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M\Desktop\"/>
    </mc:Choice>
  </mc:AlternateContent>
  <bookViews>
    <workbookView xWindow="-120" yWindow="-120" windowWidth="20730" windowHeight="9735" firstSheet="2" activeTab="7"/>
  </bookViews>
  <sheets>
    <sheet name="JANUARI 2026" sheetId="1" r:id="rId1"/>
    <sheet name="FEBUARI 2026" sheetId="2" r:id="rId2"/>
    <sheet name="MARET 2026" sheetId="3" r:id="rId3"/>
    <sheet name="APRIL 2026" sheetId="4" r:id="rId4"/>
    <sheet name="MEI 2026" sheetId="5" r:id="rId5"/>
    <sheet name="Chart1" sheetId="40" r:id="rId6"/>
    <sheet name="JUNI 2026" sheetId="6" r:id="rId7"/>
    <sheet name="JULI 2026" sheetId="7" r:id="rId8"/>
    <sheet name="AGUSTUS 2026" sheetId="8" r:id="rId9"/>
    <sheet name="SEPTEMBER 2026" sheetId="9" r:id="rId10"/>
    <sheet name="OKTOBER 2026" sheetId="10" r:id="rId11"/>
    <sheet name="NOPEMBER 2026" sheetId="11" r:id="rId12"/>
    <sheet name="DESEMBER 2026" sheetId="12" r:id="rId13"/>
    <sheet name="12" sheetId="13" r:id="rId14"/>
    <sheet name="13" sheetId="14" r:id="rId15"/>
    <sheet name="14 " sheetId="15" r:id="rId16"/>
    <sheet name="15" sheetId="16" r:id="rId17"/>
    <sheet name="16" sheetId="17" r:id="rId18"/>
    <sheet name="17" sheetId="18" r:id="rId19"/>
    <sheet name="18" sheetId="19" r:id="rId20"/>
    <sheet name="19" sheetId="20" r:id="rId21"/>
    <sheet name="20" sheetId="21" r:id="rId22"/>
    <sheet name="21" sheetId="22" r:id="rId23"/>
    <sheet name="22" sheetId="23" r:id="rId24"/>
    <sheet name="23" sheetId="24" r:id="rId25"/>
    <sheet name="24" sheetId="25" r:id="rId26"/>
    <sheet name="25" sheetId="26" r:id="rId27"/>
    <sheet name="26" sheetId="27" r:id="rId28"/>
    <sheet name="27" sheetId="28" r:id="rId29"/>
    <sheet name="28" sheetId="29" r:id="rId30"/>
    <sheet name="29" sheetId="30" r:id="rId31"/>
    <sheet name="30" sheetId="31" r:id="rId32"/>
    <sheet name="31" sheetId="32" r:id="rId33"/>
    <sheet name="32" sheetId="33" r:id="rId34"/>
    <sheet name="33" sheetId="34" r:id="rId35"/>
    <sheet name="Rekap minggu 4" sheetId="35" r:id="rId36"/>
    <sheet name="Total Januari 2024" sheetId="36" r:id="rId37"/>
    <sheet name="Rekap khusus HT" sheetId="37" r:id="rId38"/>
    <sheet name="Rekap khusus RTGC" sheetId="38" r:id="rId39"/>
    <sheet name="Sheet1" sheetId="39" r:id="rId40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77" i="7" l="1"/>
  <c r="R66" i="7" l="1"/>
  <c r="S66" i="7"/>
  <c r="T66" i="7"/>
  <c r="U66" i="7"/>
  <c r="V66" i="7"/>
  <c r="W66" i="7"/>
  <c r="X66" i="7"/>
  <c r="T304" i="7"/>
  <c r="V304" i="7"/>
  <c r="W304" i="7"/>
  <c r="S303" i="7"/>
  <c r="T303" i="7"/>
  <c r="U303" i="7"/>
  <c r="U304" i="7" s="1"/>
  <c r="W303" i="7"/>
  <c r="Y305" i="7"/>
  <c r="R304" i="7"/>
  <c r="R290" i="7"/>
  <c r="S290" i="7"/>
  <c r="T290" i="7"/>
  <c r="U290" i="7"/>
  <c r="V290" i="7"/>
  <c r="W290" i="7"/>
  <c r="X290" i="7"/>
  <c r="Y66" i="7" l="1"/>
  <c r="Y290" i="7"/>
  <c r="S304" i="7"/>
  <c r="R303" i="7"/>
  <c r="AK66" i="7"/>
  <c r="P303" i="7" l="1"/>
  <c r="P304" i="7" s="1"/>
  <c r="Q173" i="7" l="1"/>
  <c r="K173" i="7"/>
  <c r="Q305" i="7"/>
  <c r="AK312" i="7"/>
  <c r="I305" i="7"/>
  <c r="AK290" i="7"/>
  <c r="I290" i="7"/>
  <c r="AK266" i="7"/>
  <c r="I266" i="7"/>
  <c r="AK259" i="7"/>
  <c r="I259" i="7"/>
  <c r="AK251" i="7"/>
  <c r="I251" i="7"/>
  <c r="AK197" i="7"/>
  <c r="I197" i="7"/>
  <c r="AK173" i="7"/>
  <c r="I173" i="7"/>
  <c r="AK163" i="7"/>
  <c r="I66" i="7"/>
  <c r="I163" i="7"/>
  <c r="L304" i="7" l="1"/>
  <c r="N304" i="7"/>
  <c r="K303" i="7"/>
  <c r="L303" i="7"/>
  <c r="M303" i="7"/>
  <c r="M304" i="7" s="1"/>
  <c r="N303" i="7"/>
  <c r="O303" i="7"/>
  <c r="O304" i="7" s="1"/>
  <c r="K290" i="7"/>
  <c r="L290" i="7"/>
  <c r="M290" i="7"/>
  <c r="N290" i="7"/>
  <c r="O290" i="7"/>
  <c r="P290" i="7"/>
  <c r="J290" i="7"/>
  <c r="Q290" i="7" l="1"/>
  <c r="K304" i="7"/>
  <c r="J303" i="7"/>
  <c r="J304" i="7" s="1"/>
  <c r="H173" i="7"/>
  <c r="H304" i="7" l="1"/>
  <c r="H303" i="7"/>
  <c r="G173" i="7"/>
  <c r="F290" i="7" l="1"/>
  <c r="E163" i="7"/>
  <c r="E173" i="7"/>
  <c r="D173" i="7" l="1"/>
  <c r="X266" i="7" l="1"/>
  <c r="W266" i="7"/>
  <c r="V266" i="7"/>
  <c r="U266" i="7"/>
  <c r="T266" i="7"/>
  <c r="S266" i="7"/>
  <c r="R266" i="7"/>
  <c r="P266" i="7"/>
  <c r="O266" i="7"/>
  <c r="N266" i="7"/>
  <c r="M266" i="7"/>
  <c r="L266" i="7"/>
  <c r="K266" i="7"/>
  <c r="J266" i="7"/>
  <c r="X259" i="7"/>
  <c r="W259" i="7"/>
  <c r="V259" i="7"/>
  <c r="U259" i="7"/>
  <c r="T259" i="7"/>
  <c r="S259" i="7"/>
  <c r="R259" i="7"/>
  <c r="P259" i="7"/>
  <c r="O259" i="7"/>
  <c r="N259" i="7"/>
  <c r="M259" i="7"/>
  <c r="L259" i="7"/>
  <c r="K259" i="7"/>
  <c r="J259" i="7"/>
  <c r="X251" i="7"/>
  <c r="W251" i="7"/>
  <c r="V251" i="7"/>
  <c r="U251" i="7"/>
  <c r="T251" i="7"/>
  <c r="S251" i="7"/>
  <c r="R251" i="7"/>
  <c r="P251" i="7"/>
  <c r="O251" i="7"/>
  <c r="N251" i="7"/>
  <c r="M251" i="7"/>
  <c r="L251" i="7"/>
  <c r="K251" i="7"/>
  <c r="J251" i="7"/>
  <c r="X197" i="7"/>
  <c r="W197" i="7"/>
  <c r="V197" i="7"/>
  <c r="U197" i="7"/>
  <c r="T197" i="7"/>
  <c r="S197" i="7"/>
  <c r="R197" i="7"/>
  <c r="P197" i="7"/>
  <c r="O197" i="7"/>
  <c r="N197" i="7"/>
  <c r="M197" i="7"/>
  <c r="L197" i="7"/>
  <c r="K197" i="7"/>
  <c r="J197" i="7"/>
  <c r="X163" i="7"/>
  <c r="W163" i="7"/>
  <c r="V163" i="7"/>
  <c r="U163" i="7"/>
  <c r="T163" i="7"/>
  <c r="S163" i="7"/>
  <c r="R163" i="7"/>
  <c r="P163" i="7"/>
  <c r="O163" i="7"/>
  <c r="N163" i="7"/>
  <c r="M163" i="7"/>
  <c r="L163" i="7"/>
  <c r="K163" i="7"/>
  <c r="J163" i="7"/>
  <c r="J66" i="7"/>
  <c r="K66" i="7"/>
  <c r="L66" i="7"/>
  <c r="M66" i="7"/>
  <c r="N66" i="7"/>
  <c r="O66" i="7"/>
  <c r="P66" i="7"/>
  <c r="Y259" i="7" l="1"/>
  <c r="Y266" i="7"/>
  <c r="Y197" i="7"/>
  <c r="Y251" i="7"/>
  <c r="Y163" i="7"/>
  <c r="Q259" i="7"/>
  <c r="Q197" i="7"/>
  <c r="Q251" i="7"/>
  <c r="Q266" i="7"/>
  <c r="Q163" i="7"/>
  <c r="Q66" i="7"/>
  <c r="AJ304" i="6"/>
  <c r="AJ250" i="6"/>
  <c r="AJ197" i="6"/>
  <c r="B303" i="7"/>
  <c r="C303" i="7"/>
  <c r="C304" i="7" s="1"/>
  <c r="D303" i="7"/>
  <c r="D304" i="7" s="1"/>
  <c r="F303" i="7"/>
  <c r="F304" i="7" s="1"/>
  <c r="G303" i="7"/>
  <c r="G304" i="7" s="1"/>
  <c r="AJ66" i="6"/>
  <c r="AJ258" i="6"/>
  <c r="AK265" i="6"/>
  <c r="AJ265" i="6"/>
  <c r="AH303" i="6"/>
  <c r="AH302" i="6"/>
  <c r="B304" i="7" l="1"/>
  <c r="B66" i="7"/>
  <c r="C66" i="7"/>
  <c r="D66" i="7"/>
  <c r="E66" i="7"/>
  <c r="F66" i="7"/>
  <c r="G66" i="7"/>
  <c r="H66" i="7"/>
  <c r="B163" i="7"/>
  <c r="C163" i="7"/>
  <c r="D163" i="7"/>
  <c r="F163" i="7"/>
  <c r="G163" i="7"/>
  <c r="H163" i="7"/>
  <c r="B197" i="7"/>
  <c r="C197" i="7"/>
  <c r="D197" i="7"/>
  <c r="E197" i="7"/>
  <c r="F197" i="7"/>
  <c r="G197" i="7"/>
  <c r="H197" i="7"/>
  <c r="B251" i="7"/>
  <c r="C251" i="7"/>
  <c r="D251" i="7"/>
  <c r="E251" i="7"/>
  <c r="F251" i="7"/>
  <c r="G251" i="7"/>
  <c r="H251" i="7"/>
  <c r="B259" i="7"/>
  <c r="C259" i="7"/>
  <c r="D259" i="7"/>
  <c r="E259" i="7"/>
  <c r="F259" i="7"/>
  <c r="G259" i="7"/>
  <c r="H259" i="7"/>
  <c r="B266" i="7"/>
  <c r="C266" i="7"/>
  <c r="D266" i="7"/>
  <c r="E266" i="7"/>
  <c r="F266" i="7"/>
  <c r="G266" i="7"/>
  <c r="H266" i="7"/>
  <c r="B290" i="7"/>
  <c r="C290" i="7"/>
  <c r="D290" i="7"/>
  <c r="E290" i="7"/>
  <c r="G290" i="7"/>
  <c r="H290" i="7"/>
  <c r="AD302" i="6" l="1"/>
  <c r="AD303" i="6" s="1"/>
  <c r="AG302" i="6"/>
  <c r="AG303" i="6" s="1"/>
  <c r="AD289" i="6"/>
  <c r="AE289" i="6"/>
  <c r="AF289" i="6"/>
  <c r="AG289" i="6"/>
  <c r="AH289" i="6"/>
  <c r="AJ289" i="6" s="1"/>
  <c r="AE265" i="6"/>
  <c r="AF265" i="6"/>
  <c r="AG265" i="6"/>
  <c r="AH265" i="6"/>
  <c r="AE258" i="6"/>
  <c r="AF258" i="6"/>
  <c r="AG258" i="6"/>
  <c r="AH258" i="6"/>
  <c r="AE250" i="6"/>
  <c r="AF250" i="6"/>
  <c r="AG250" i="6"/>
  <c r="AH250" i="6"/>
  <c r="AE197" i="6"/>
  <c r="AF197" i="6"/>
  <c r="AG197" i="6"/>
  <c r="AH197" i="6"/>
  <c r="AE163" i="6"/>
  <c r="AF163" i="6"/>
  <c r="AG163" i="6"/>
  <c r="AH163" i="6"/>
  <c r="AJ163" i="6" s="1"/>
  <c r="AE66" i="6"/>
  <c r="AF66" i="6"/>
  <c r="AG66" i="6"/>
  <c r="AH66" i="6"/>
  <c r="AD66" i="6"/>
  <c r="AD163" i="6"/>
  <c r="AD197" i="6"/>
  <c r="AD250" i="6"/>
  <c r="AD265" i="6"/>
  <c r="AD258" i="6"/>
  <c r="AC303" i="6" l="1"/>
  <c r="AC66" i="6"/>
  <c r="AC289" i="6"/>
  <c r="AC163" i="6"/>
  <c r="AC265" i="6"/>
  <c r="AC258" i="6"/>
  <c r="AC250" i="6"/>
  <c r="AC197" i="6"/>
  <c r="AC302" i="6" l="1"/>
  <c r="AB303" i="6"/>
  <c r="AB66" i="6"/>
  <c r="AB163" i="6"/>
  <c r="AB250" i="6"/>
  <c r="AB265" i="6"/>
  <c r="AB258" i="6"/>
  <c r="AB197" i="6"/>
  <c r="AB205" i="6"/>
  <c r="AB289" i="6"/>
  <c r="AB302" i="6" l="1"/>
  <c r="AA66" i="6"/>
  <c r="AA289" i="6"/>
  <c r="AA265" i="6"/>
  <c r="AA258" i="6"/>
  <c r="AA250" i="6"/>
  <c r="AA197" i="6"/>
  <c r="AA163" i="6"/>
  <c r="AA302" i="6" l="1"/>
  <c r="AA303" i="6" s="1"/>
  <c r="Z197" i="6"/>
  <c r="Z289" i="6"/>
  <c r="Z258" i="6"/>
  <c r="Z265" i="6"/>
  <c r="Z66" i="6"/>
  <c r="Z250" i="6"/>
  <c r="Z163" i="6"/>
  <c r="Z302" i="6"/>
  <c r="Z303" i="6" s="1"/>
  <c r="AK311" i="6"/>
  <c r="AK289" i="6"/>
  <c r="AK258" i="6"/>
  <c r="AK250" i="6"/>
  <c r="AK197" i="6"/>
  <c r="AK163" i="6"/>
  <c r="AK66" i="6"/>
  <c r="V163" i="6" l="1"/>
  <c r="Y304" i="6"/>
  <c r="V66" i="6"/>
  <c r="W66" i="6"/>
  <c r="X66" i="6"/>
  <c r="W163" i="6"/>
  <c r="X163" i="6"/>
  <c r="V197" i="6"/>
  <c r="W197" i="6"/>
  <c r="X197" i="6"/>
  <c r="V250" i="6"/>
  <c r="W250" i="6"/>
  <c r="X250" i="6"/>
  <c r="V258" i="6"/>
  <c r="W258" i="6"/>
  <c r="X258" i="6"/>
  <c r="V265" i="6"/>
  <c r="W265" i="6"/>
  <c r="X265" i="6"/>
  <c r="W289" i="6"/>
  <c r="X289" i="6"/>
  <c r="V302" i="6"/>
  <c r="V303" i="6" s="1"/>
  <c r="W303" i="6"/>
  <c r="V289" i="6"/>
  <c r="Y289" i="6" l="1"/>
  <c r="Y250" i="6"/>
  <c r="Y265" i="6"/>
  <c r="Y258" i="6"/>
  <c r="Y197" i="6"/>
  <c r="Y163" i="6"/>
  <c r="Y66" i="6"/>
  <c r="U66" i="6"/>
  <c r="U289" i="6"/>
  <c r="U163" i="6"/>
  <c r="U265" i="6"/>
  <c r="U258" i="6"/>
  <c r="U197" i="6"/>
  <c r="U250" i="6"/>
  <c r="U302" i="6" l="1"/>
  <c r="U303" i="6" s="1"/>
  <c r="T66" i="6"/>
  <c r="T289" i="6"/>
  <c r="T163" i="6"/>
  <c r="T197" i="6"/>
  <c r="T250" i="6"/>
  <c r="T265" i="6"/>
  <c r="T258" i="6"/>
  <c r="S302" i="6"/>
  <c r="T302" i="6"/>
  <c r="T303" i="6" s="1"/>
  <c r="S289" i="6" l="1"/>
  <c r="S163" i="6"/>
  <c r="S250" i="6"/>
  <c r="S258" i="6"/>
  <c r="S265" i="6" l="1"/>
  <c r="S197" i="6"/>
  <c r="S66" i="6"/>
  <c r="S303" i="6" l="1"/>
  <c r="R303" i="6"/>
  <c r="R302" i="6"/>
  <c r="R289" i="6"/>
  <c r="R258" i="6"/>
  <c r="R66" i="6"/>
  <c r="R250" i="6"/>
  <c r="R265" i="6"/>
  <c r="R197" i="6"/>
  <c r="R163" i="6"/>
  <c r="P302" i="6"/>
  <c r="M302" i="6"/>
  <c r="N302" i="6"/>
  <c r="O302" i="6"/>
  <c r="Q66" i="6"/>
  <c r="Q163" i="6"/>
  <c r="Q197" i="6"/>
  <c r="Q250" i="6"/>
  <c r="Q258" i="6"/>
  <c r="Q265" i="6"/>
  <c r="Q289" i="6"/>
  <c r="Q304" i="6"/>
  <c r="P289" i="6" l="1"/>
  <c r="P250" i="6"/>
  <c r="P265" i="6"/>
  <c r="P258" i="6"/>
  <c r="P197" i="6"/>
  <c r="P163" i="6"/>
  <c r="P66" i="6"/>
  <c r="O289" i="6"/>
  <c r="O250" i="6"/>
  <c r="O265" i="6"/>
  <c r="O258" i="6"/>
  <c r="O197" i="6"/>
  <c r="O163" i="6"/>
  <c r="O66" i="6"/>
  <c r="N289" i="6" l="1"/>
  <c r="N66" i="6"/>
  <c r="N250" i="6"/>
  <c r="N265" i="6"/>
  <c r="N258" i="6"/>
  <c r="N197" i="6"/>
  <c r="N163" i="6"/>
  <c r="M289" i="6" l="1"/>
  <c r="M250" i="6"/>
  <c r="M163" i="6"/>
  <c r="M66" i="6"/>
  <c r="M265" i="6"/>
  <c r="M258" i="6"/>
  <c r="M197" i="6"/>
  <c r="L302" i="6" l="1"/>
  <c r="L289" i="6"/>
  <c r="L163" i="6"/>
  <c r="L250" i="6"/>
  <c r="L258" i="6"/>
  <c r="L197" i="6"/>
  <c r="L66" i="6"/>
  <c r="L265" i="6"/>
  <c r="K302" i="6" l="1"/>
  <c r="K66" i="6"/>
  <c r="K289" i="6"/>
  <c r="K163" i="6"/>
  <c r="K250" i="6"/>
  <c r="K258" i="6"/>
  <c r="K197" i="6"/>
  <c r="K265" i="6"/>
  <c r="F302" i="6"/>
  <c r="E302" i="6"/>
  <c r="D302" i="6"/>
  <c r="K303" i="6" l="1"/>
  <c r="J303" i="6"/>
  <c r="J302" i="6"/>
  <c r="I304" i="6"/>
  <c r="G302" i="6"/>
  <c r="G303" i="6" s="1"/>
  <c r="J289" i="6"/>
  <c r="J265" i="6"/>
  <c r="J258" i="6"/>
  <c r="J250" i="6"/>
  <c r="J197" i="6"/>
  <c r="J163" i="6"/>
  <c r="J66" i="6"/>
  <c r="H303" i="6" l="1"/>
  <c r="F303" i="6"/>
  <c r="I163" i="6"/>
  <c r="I197" i="6"/>
  <c r="I250" i="6"/>
  <c r="I258" i="6"/>
  <c r="I265" i="6"/>
  <c r="I289" i="6"/>
  <c r="H289" i="6"/>
  <c r="H265" i="6"/>
  <c r="H258" i="6"/>
  <c r="H250" i="6"/>
  <c r="H197" i="6"/>
  <c r="H163" i="6"/>
  <c r="G289" i="6"/>
  <c r="G265" i="6"/>
  <c r="G258" i="6"/>
  <c r="G250" i="6"/>
  <c r="G197" i="6"/>
  <c r="G163" i="6"/>
  <c r="F289" i="6"/>
  <c r="F163" i="6"/>
  <c r="F197" i="6"/>
  <c r="F250" i="6"/>
  <c r="F258" i="6"/>
  <c r="F265" i="6"/>
  <c r="E303" i="6"/>
  <c r="E289" i="6"/>
  <c r="E265" i="6"/>
  <c r="E258" i="6"/>
  <c r="E197" i="6"/>
  <c r="E163" i="6"/>
  <c r="D303" i="6"/>
  <c r="D289" i="6"/>
  <c r="D265" i="6"/>
  <c r="D258" i="6"/>
  <c r="D250" i="6"/>
  <c r="D197" i="6"/>
  <c r="D163" i="6"/>
  <c r="H66" i="6"/>
  <c r="G66" i="6"/>
  <c r="F66" i="6"/>
  <c r="D66" i="6"/>
  <c r="E66" i="6"/>
  <c r="H302" i="6"/>
  <c r="C302" i="6"/>
  <c r="C289" i="6" l="1"/>
  <c r="C66" i="6"/>
  <c r="C265" i="6"/>
  <c r="C258" i="6"/>
  <c r="C250" i="6"/>
  <c r="B197" i="6"/>
  <c r="C197" i="6"/>
  <c r="C163" i="6"/>
  <c r="E250" i="6" l="1"/>
  <c r="C303" i="6"/>
  <c r="B163" i="6"/>
  <c r="B66" i="6" l="1"/>
  <c r="I66" i="6" s="1"/>
  <c r="B289" i="6"/>
  <c r="B265" i="6"/>
  <c r="B258" i="6"/>
  <c r="B302" i="6"/>
  <c r="B303" i="6" s="1"/>
  <c r="B250" i="6" l="1"/>
  <c r="AK263" i="5"/>
  <c r="AK256" i="5"/>
  <c r="AK274" i="5"/>
  <c r="AK287" i="5"/>
  <c r="AK309" i="5"/>
  <c r="AI287" i="5"/>
  <c r="AH287" i="5"/>
  <c r="AH263" i="5"/>
  <c r="AH256" i="5"/>
  <c r="AI263" i="5"/>
  <c r="AI256" i="5"/>
  <c r="AK248" i="5"/>
  <c r="AI248" i="5"/>
  <c r="AH248" i="5"/>
  <c r="AK196" i="5"/>
  <c r="AH196" i="5"/>
  <c r="AI196" i="5"/>
  <c r="AK173" i="5"/>
  <c r="AK163" i="5"/>
  <c r="AK66" i="5"/>
  <c r="AI163" i="5"/>
  <c r="AH163" i="5"/>
  <c r="AI66" i="5"/>
  <c r="AH66" i="5"/>
  <c r="AI301" i="5"/>
  <c r="AH301" i="5"/>
  <c r="AI300" i="5"/>
  <c r="AH300" i="5"/>
  <c r="AG300" i="5"/>
  <c r="AG196" i="5" l="1"/>
  <c r="AG66" i="5"/>
  <c r="AG287" i="5"/>
  <c r="AG263" i="5"/>
  <c r="AG256" i="5"/>
  <c r="AG248" i="5"/>
  <c r="AG163" i="5"/>
  <c r="AG301" i="5" l="1"/>
  <c r="AF301" i="5"/>
  <c r="AF300" i="5"/>
  <c r="AE300" i="5"/>
  <c r="AE301" i="5" s="1"/>
  <c r="AF163" i="5"/>
  <c r="AF66" i="5"/>
  <c r="AF287" i="5"/>
  <c r="AF263" i="5"/>
  <c r="AF256" i="5"/>
  <c r="AF248" i="5"/>
  <c r="AF196" i="5"/>
  <c r="AE287" i="5"/>
  <c r="AE66" i="5"/>
  <c r="AE163" i="5"/>
  <c r="AE263" i="5"/>
  <c r="AE256" i="5"/>
  <c r="AE248" i="5"/>
  <c r="AE196" i="5"/>
  <c r="AD196" i="5"/>
  <c r="AD287" i="5"/>
  <c r="AD248" i="5"/>
  <c r="AD66" i="5"/>
  <c r="AJ66" i="5" l="1"/>
  <c r="AJ196" i="5"/>
  <c r="AJ248" i="5"/>
  <c r="AJ256" i="5"/>
  <c r="AJ263" i="5"/>
  <c r="AJ287" i="5"/>
  <c r="AD163" i="5"/>
  <c r="AJ163" i="5" s="1"/>
  <c r="AD256" i="5"/>
  <c r="AD263" i="5"/>
  <c r="AD301" i="5"/>
  <c r="AJ302" i="5"/>
  <c r="AD300" i="5" l="1"/>
  <c r="AC287" i="5"/>
  <c r="AC66" i="5"/>
  <c r="AC248" i="5" l="1"/>
  <c r="AC163" i="5"/>
  <c r="T66" i="5"/>
  <c r="AC263" i="5"/>
  <c r="AC256" i="5"/>
  <c r="AC196" i="5"/>
  <c r="AB287" i="5" l="1"/>
  <c r="AB263" i="5"/>
  <c r="AB256" i="5"/>
  <c r="AB248" i="5"/>
  <c r="AB196" i="5"/>
  <c r="AB163" i="5"/>
  <c r="AB66" i="5"/>
  <c r="AA287" i="5"/>
  <c r="AA263" i="5"/>
  <c r="AA256" i="5"/>
  <c r="AA248" i="5"/>
  <c r="AA196" i="5"/>
  <c r="AA66" i="5"/>
  <c r="AA163" i="5"/>
  <c r="AC300" i="5"/>
  <c r="AC301" i="5" s="1"/>
  <c r="AB301" i="5"/>
  <c r="AB300" i="5"/>
  <c r="AA301" i="5"/>
  <c r="AA300" i="5"/>
  <c r="Z301" i="5"/>
  <c r="Z300" i="5"/>
  <c r="Z66" i="5"/>
  <c r="Z287" i="5"/>
  <c r="Z248" i="5" l="1"/>
  <c r="Z163" i="5"/>
  <c r="Z263" i="5"/>
  <c r="Z256" i="5"/>
  <c r="Z196" i="5"/>
  <c r="X300" i="5"/>
  <c r="Y66" i="5"/>
  <c r="Y163" i="5"/>
  <c r="X163" i="5"/>
  <c r="Y173" i="5"/>
  <c r="Y196" i="5"/>
  <c r="Y248" i="5"/>
  <c r="Y256" i="5"/>
  <c r="Y263" i="5"/>
  <c r="Y274" i="5"/>
  <c r="R274" i="5"/>
  <c r="S274" i="5"/>
  <c r="T274" i="5"/>
  <c r="U274" i="5"/>
  <c r="V274" i="5"/>
  <c r="W274" i="5"/>
  <c r="X274" i="5"/>
  <c r="Y302" i="5"/>
  <c r="Y287" i="5"/>
  <c r="X66" i="5" l="1"/>
  <c r="X287" i="5"/>
  <c r="X196" i="5"/>
  <c r="X263" i="5"/>
  <c r="X256" i="5"/>
  <c r="X248" i="5" l="1"/>
  <c r="W163" i="5"/>
  <c r="X301" i="5"/>
  <c r="W287" i="5" l="1"/>
  <c r="W248" i="5"/>
  <c r="W66" i="5"/>
  <c r="W263" i="5"/>
  <c r="W256" i="5"/>
  <c r="W196" i="5"/>
  <c r="W300" i="5" l="1"/>
  <c r="W301" i="5" s="1"/>
  <c r="V287" i="5"/>
  <c r="V163" i="5"/>
  <c r="V300" i="5"/>
  <c r="V66" i="5"/>
  <c r="V196" i="5"/>
  <c r="V263" i="5"/>
  <c r="V256" i="5"/>
  <c r="V248" i="5" l="1"/>
  <c r="V301" i="5"/>
  <c r="U287" i="5"/>
  <c r="U248" i="5"/>
  <c r="U163" i="5"/>
  <c r="U300" i="5"/>
  <c r="U301" i="5" s="1"/>
  <c r="Q302" i="5"/>
  <c r="Q287" i="5"/>
  <c r="Q274" i="5"/>
  <c r="Q263" i="5"/>
  <c r="Q256" i="5"/>
  <c r="Q248" i="5"/>
  <c r="Q196" i="5"/>
  <c r="Q163" i="5"/>
  <c r="Q66" i="5"/>
  <c r="U66" i="5"/>
  <c r="U256" i="5"/>
  <c r="U263" i="5"/>
  <c r="U196" i="5"/>
  <c r="T287" i="5"/>
  <c r="T263" i="5"/>
  <c r="T256" i="5"/>
  <c r="T248" i="5"/>
  <c r="T163" i="5"/>
  <c r="S287" i="5"/>
  <c r="S263" i="5"/>
  <c r="S256" i="5"/>
  <c r="S173" i="5"/>
  <c r="S248" i="5"/>
  <c r="S196" i="5"/>
  <c r="S163" i="5"/>
  <c r="R163" i="5"/>
  <c r="R287" i="5"/>
  <c r="R263" i="5"/>
  <c r="R256" i="5"/>
  <c r="R248" i="5"/>
  <c r="R196" i="5"/>
  <c r="R300" i="5"/>
  <c r="R301" i="5" s="1"/>
  <c r="T300" i="5"/>
  <c r="T301" i="5" s="1"/>
  <c r="S300" i="5"/>
  <c r="S301" i="5" s="1"/>
  <c r="P300" i="5"/>
  <c r="P301" i="5" s="1"/>
  <c r="P287" i="5"/>
  <c r="P263" i="5"/>
  <c r="P256" i="5"/>
  <c r="P248" i="5"/>
  <c r="P196" i="5"/>
  <c r="P163" i="5"/>
  <c r="S66" i="5"/>
  <c r="R66" i="5"/>
  <c r="P66" i="5"/>
  <c r="O287" i="5" l="1"/>
  <c r="O248" i="5"/>
  <c r="O196" i="5"/>
  <c r="O163" i="5"/>
  <c r="O66" i="5"/>
  <c r="O263" i="5"/>
  <c r="O256" i="5"/>
  <c r="O300" i="5"/>
  <c r="O301" i="5" s="1"/>
  <c r="N274" i="5" l="1"/>
  <c r="N301" i="5"/>
  <c r="N300" i="5"/>
  <c r="N287" i="5"/>
  <c r="N248" i="5"/>
  <c r="N66" i="5"/>
  <c r="N263" i="5"/>
  <c r="N256" i="5"/>
  <c r="N196" i="5"/>
  <c r="N163" i="5"/>
  <c r="M66" i="5" l="1"/>
  <c r="M287" i="5"/>
  <c r="M256" i="5"/>
  <c r="M248" i="5"/>
  <c r="M163" i="5"/>
  <c r="M196" i="5"/>
  <c r="M300" i="5"/>
  <c r="M301" i="5" s="1"/>
  <c r="K163" i="5"/>
  <c r="K287" i="5"/>
  <c r="L287" i="5"/>
  <c r="K196" i="5"/>
  <c r="L196" i="5"/>
  <c r="K248" i="5"/>
  <c r="K256" i="5"/>
  <c r="K263" i="5"/>
  <c r="L248" i="5"/>
  <c r="L263" i="5"/>
  <c r="L256" i="5"/>
  <c r="M274" i="5"/>
  <c r="M263" i="5"/>
  <c r="L163" i="5"/>
  <c r="L66" i="5"/>
  <c r="K66" i="5"/>
  <c r="L300" i="5"/>
  <c r="L301" i="5" s="1"/>
  <c r="K300" i="5"/>
  <c r="K301" i="5" s="1"/>
  <c r="J287" i="5" l="1"/>
  <c r="J263" i="5"/>
  <c r="J66" i="5"/>
  <c r="J163" i="5"/>
  <c r="J274" i="5"/>
  <c r="J256" i="5"/>
  <c r="J248" i="5"/>
  <c r="J196" i="5"/>
  <c r="J300" i="5"/>
  <c r="J301" i="5" s="1"/>
  <c r="I302" i="5" l="1"/>
  <c r="I66" i="5"/>
  <c r="I163" i="5"/>
  <c r="I196" i="5"/>
  <c r="I248" i="5"/>
  <c r="I256" i="5"/>
  <c r="I263" i="5"/>
  <c r="I274" i="5"/>
  <c r="I287" i="5"/>
  <c r="H66" i="5"/>
  <c r="H287" i="5"/>
  <c r="H274" i="5"/>
  <c r="B274" i="5"/>
  <c r="C274" i="5"/>
  <c r="D274" i="5"/>
  <c r="E274" i="5"/>
  <c r="F274" i="5"/>
  <c r="H248" i="5"/>
  <c r="H163" i="5"/>
  <c r="H263" i="5"/>
  <c r="H256" i="5"/>
  <c r="H196" i="5"/>
  <c r="H300" i="5"/>
  <c r="H301" i="5" s="1"/>
  <c r="G301" i="5" l="1"/>
  <c r="G300" i="5"/>
  <c r="G287" i="5"/>
  <c r="G248" i="5"/>
  <c r="G163" i="5"/>
  <c r="G66" i="5"/>
  <c r="G274" i="5"/>
  <c r="G263" i="5"/>
  <c r="G256" i="5"/>
  <c r="G196" i="5"/>
  <c r="F163" i="5" l="1"/>
  <c r="F287" i="5"/>
  <c r="F248" i="5"/>
  <c r="F196" i="5"/>
  <c r="F66" i="5"/>
  <c r="F300" i="5"/>
  <c r="F301" i="5" s="1"/>
  <c r="F263" i="5"/>
  <c r="F256" i="5"/>
  <c r="E287" i="5" l="1"/>
  <c r="E163" i="5"/>
  <c r="E66" i="5"/>
  <c r="E263" i="5"/>
  <c r="E256" i="5"/>
  <c r="E248" i="5"/>
  <c r="E196" i="5"/>
  <c r="E300" i="5" l="1"/>
  <c r="E301" i="5" s="1"/>
  <c r="D300" i="5"/>
  <c r="D301" i="5" s="1"/>
  <c r="C300" i="5"/>
  <c r="C301" i="5" s="1"/>
  <c r="B300" i="5"/>
  <c r="B301" i="5" s="1"/>
  <c r="D163" i="5"/>
  <c r="D287" i="5"/>
  <c r="B287" i="5"/>
  <c r="C287" i="5"/>
  <c r="D248" i="5"/>
  <c r="D263" i="5"/>
  <c r="D256" i="5"/>
  <c r="C263" i="5"/>
  <c r="C256" i="5"/>
  <c r="C248" i="5"/>
  <c r="B263" i="5"/>
  <c r="B256" i="5"/>
  <c r="B248" i="5"/>
  <c r="B196" i="5"/>
  <c r="C196" i="5"/>
  <c r="D196" i="5"/>
  <c r="B163" i="5"/>
  <c r="C163" i="5"/>
  <c r="D66" i="5"/>
  <c r="C66" i="5"/>
  <c r="B66" i="5"/>
  <c r="AK66" i="4" l="1"/>
  <c r="AJ66" i="4"/>
  <c r="AK163" i="4"/>
  <c r="AJ163" i="4"/>
  <c r="AK196" i="4"/>
  <c r="AJ196" i="4"/>
  <c r="AK248" i="4"/>
  <c r="AJ248" i="4"/>
  <c r="AK256" i="4"/>
  <c r="AJ256" i="4"/>
  <c r="AK263" i="4"/>
  <c r="AJ263" i="4"/>
  <c r="AJ302" i="4"/>
  <c r="AK287" i="4"/>
  <c r="AJ287" i="4"/>
  <c r="AH287" i="4"/>
  <c r="AH66" i="4"/>
  <c r="AH163" i="4"/>
  <c r="AH196" i="4"/>
  <c r="AH248" i="4"/>
  <c r="AG196" i="4"/>
  <c r="AH256" i="4"/>
  <c r="AH263" i="4"/>
  <c r="AH300" i="4"/>
  <c r="AH301" i="4" s="1"/>
  <c r="AG300" i="4"/>
  <c r="AG301" i="4" s="1"/>
  <c r="AG287" i="4" l="1"/>
  <c r="AG248" i="4"/>
  <c r="AG163" i="4"/>
  <c r="AG66" i="4"/>
  <c r="AG256" i="4"/>
  <c r="AG263" i="4"/>
  <c r="AF300" i="4"/>
  <c r="AF301" i="4" s="1"/>
  <c r="AF287" i="4" l="1"/>
  <c r="AF263" i="4"/>
  <c r="AF163" i="4"/>
  <c r="AF66" i="4"/>
  <c r="AF256" i="4"/>
  <c r="AF248" i="4"/>
  <c r="AF196" i="4"/>
  <c r="AE287" i="4" l="1"/>
  <c r="AE163" i="4"/>
  <c r="AE66" i="4"/>
  <c r="AE248" i="4"/>
  <c r="AD66" i="4"/>
  <c r="AC66" i="4"/>
  <c r="AE301" i="4"/>
  <c r="AE300" i="4"/>
  <c r="AE263" i="4" l="1"/>
  <c r="AE256" i="4"/>
  <c r="AE196" i="4"/>
  <c r="AD287" i="4"/>
  <c r="AD163" i="4"/>
  <c r="AD263" i="4"/>
  <c r="AD256" i="4"/>
  <c r="AD248" i="4"/>
  <c r="AD196" i="4"/>
  <c r="AC287" i="4"/>
  <c r="AC263" i="4"/>
  <c r="AC256" i="4"/>
  <c r="AC248" i="4"/>
  <c r="AC196" i="4"/>
  <c r="AC163" i="4"/>
  <c r="AD300" i="4"/>
  <c r="AD301" i="4" s="1"/>
  <c r="AC300" i="4"/>
  <c r="AC301" i="4" s="1"/>
  <c r="AB300" i="4" l="1"/>
  <c r="AB301" i="4" s="1"/>
  <c r="AA196" i="4"/>
  <c r="AB196" i="4"/>
  <c r="AB287" i="4"/>
  <c r="AB163" i="4"/>
  <c r="AB248" i="4"/>
  <c r="Q163" i="4"/>
  <c r="Y163" i="4"/>
  <c r="AB306" i="4"/>
  <c r="AB66" i="4"/>
  <c r="AB263" i="4"/>
  <c r="AB256" i="4"/>
  <c r="T163" i="4"/>
  <c r="T287" i="4"/>
  <c r="AA287" i="4" l="1"/>
  <c r="AA248" i="4"/>
  <c r="AA163" i="4"/>
  <c r="AA66" i="4"/>
  <c r="AA263" i="4"/>
  <c r="AA256" i="4"/>
  <c r="AA306" i="4"/>
  <c r="AA300" i="4"/>
  <c r="AA301" i="4" s="1"/>
  <c r="Z287" i="4" l="1"/>
  <c r="Z163" i="4"/>
  <c r="Z66" i="4"/>
  <c r="Z196" i="4"/>
  <c r="Z263" i="4"/>
  <c r="Z256" i="4"/>
  <c r="Z248" i="4"/>
  <c r="Y302" i="4"/>
  <c r="P306" i="4"/>
  <c r="Y263" i="4"/>
  <c r="Y256" i="4"/>
  <c r="Y248" i="4"/>
  <c r="Y196" i="4"/>
  <c r="Y66" i="4"/>
  <c r="Z300" i="4"/>
  <c r="Z301" i="4" s="1"/>
  <c r="Z306" i="4"/>
  <c r="Y287" i="4"/>
  <c r="X163" i="4" l="1"/>
  <c r="X287" i="4"/>
  <c r="X66" i="4"/>
  <c r="X263" i="4"/>
  <c r="X248" i="4"/>
  <c r="X301" i="4"/>
  <c r="X196" i="4"/>
  <c r="X256" i="4"/>
  <c r="X300" i="4" l="1"/>
  <c r="W287" i="4"/>
  <c r="W196" i="4"/>
  <c r="W248" i="4"/>
  <c r="W256" i="4"/>
  <c r="W263" i="4"/>
  <c r="W163" i="4"/>
  <c r="W66" i="4"/>
  <c r="W306" i="4"/>
  <c r="W301" i="4"/>
  <c r="W300" i="4"/>
  <c r="V306" i="4" l="1"/>
  <c r="V301" i="4"/>
  <c r="V300" i="4"/>
  <c r="U300" i="4"/>
  <c r="U301" i="4" s="1"/>
  <c r="V287" i="4"/>
  <c r="V163" i="4"/>
  <c r="V248" i="4"/>
  <c r="V263" i="4"/>
  <c r="V256" i="4"/>
  <c r="V196" i="4"/>
  <c r="U287" i="4"/>
  <c r="U263" i="4"/>
  <c r="U256" i="4"/>
  <c r="U248" i="4"/>
  <c r="U196" i="4"/>
  <c r="U163" i="4"/>
  <c r="V66" i="4"/>
  <c r="U66" i="4"/>
  <c r="T263" i="4" l="1"/>
  <c r="T256" i="4"/>
  <c r="T248" i="4"/>
  <c r="T196" i="4"/>
  <c r="T66" i="4"/>
  <c r="T300" i="4"/>
  <c r="T301" i="4"/>
  <c r="T306" i="4"/>
  <c r="S287" i="4" l="1"/>
  <c r="S248" i="4"/>
  <c r="S196" i="4"/>
  <c r="S66" i="4"/>
  <c r="S163" i="4"/>
  <c r="S301" i="4"/>
  <c r="I163" i="4"/>
  <c r="F163" i="4"/>
  <c r="S256" i="4"/>
  <c r="S263" i="4"/>
  <c r="R163" i="4" l="1"/>
  <c r="R196" i="4"/>
  <c r="R287" i="4"/>
  <c r="S300" i="4" l="1"/>
  <c r="R66" i="4"/>
  <c r="R248" i="4"/>
  <c r="R263" i="4"/>
  <c r="R256" i="4"/>
  <c r="Q263" i="4"/>
  <c r="Q256" i="4"/>
  <c r="I263" i="4"/>
  <c r="I256" i="4"/>
  <c r="Q248" i="4"/>
  <c r="I248" i="4"/>
  <c r="Q196" i="4"/>
  <c r="I196" i="4"/>
  <c r="Q66" i="4"/>
  <c r="I66" i="4"/>
  <c r="R300" i="4"/>
  <c r="R301" i="4" s="1"/>
  <c r="M287" i="4"/>
  <c r="Q287" i="4" s="1"/>
  <c r="Q302" i="4"/>
  <c r="AK278" i="3"/>
  <c r="AK281" i="2"/>
  <c r="AK282" i="1"/>
  <c r="AK291" i="1"/>
  <c r="AJ291" i="1"/>
  <c r="R306" i="4" l="1"/>
  <c r="N306" i="4"/>
  <c r="M306" i="4"/>
  <c r="K306" i="4"/>
  <c r="P163" i="4" l="1"/>
  <c r="P287" i="4"/>
  <c r="P66" i="4"/>
  <c r="P248" i="4"/>
  <c r="P263" i="4"/>
  <c r="P256" i="4"/>
  <c r="P196" i="4"/>
  <c r="P300" i="4"/>
  <c r="P301" i="4" s="1"/>
  <c r="O300" i="4"/>
  <c r="L301" i="4"/>
  <c r="L300" i="4"/>
  <c r="N300" i="4"/>
  <c r="O287" i="4" l="1"/>
  <c r="O163" i="4"/>
  <c r="O248" i="4" l="1"/>
  <c r="O263" i="4"/>
  <c r="O256" i="4"/>
  <c r="O196" i="4"/>
  <c r="O66" i="4" l="1"/>
  <c r="O301" i="4"/>
  <c r="N301" i="4"/>
  <c r="M300" i="4"/>
  <c r="M301" i="4" s="1"/>
  <c r="N287" i="4"/>
  <c r="N163" i="4"/>
  <c r="N263" i="4"/>
  <c r="N256" i="4"/>
  <c r="N248" i="4"/>
  <c r="L196" i="4"/>
  <c r="N196" i="4"/>
  <c r="N66" i="4"/>
  <c r="M163" i="4"/>
  <c r="M196" i="4"/>
  <c r="M248" i="4"/>
  <c r="M263" i="4"/>
  <c r="M256" i="4"/>
  <c r="M66" i="4"/>
  <c r="L163" i="4" l="1"/>
  <c r="L287" i="4"/>
  <c r="L248" i="4"/>
  <c r="L66" i="4"/>
  <c r="L263" i="4"/>
  <c r="L256" i="4"/>
  <c r="K287" i="4" l="1"/>
  <c r="K248" i="4"/>
  <c r="K163" i="4"/>
  <c r="K66" i="4"/>
  <c r="K263" i="4"/>
  <c r="K256" i="4"/>
  <c r="K196" i="4"/>
  <c r="I302" i="4"/>
  <c r="I304" i="4" s="1"/>
  <c r="J300" i="4"/>
  <c r="H301" i="4"/>
  <c r="H299" i="4"/>
  <c r="G301" i="4"/>
  <c r="F309" i="4"/>
  <c r="I309" i="4" s="1"/>
  <c r="G309" i="4"/>
  <c r="H309" i="4"/>
  <c r="F301" i="4" l="1"/>
  <c r="E301" i="4"/>
  <c r="D301" i="4"/>
  <c r="C301" i="4"/>
  <c r="K300" i="4"/>
  <c r="K301" i="4" s="1"/>
  <c r="J301" i="4"/>
  <c r="J287" i="4"/>
  <c r="J248" i="4"/>
  <c r="J163" i="4"/>
  <c r="J66" i="4" l="1"/>
  <c r="J256" i="4"/>
  <c r="J263" i="4"/>
  <c r="J196" i="4"/>
  <c r="I287" i="4"/>
  <c r="B309" i="4"/>
  <c r="D309" i="4"/>
  <c r="B300" i="4"/>
  <c r="H163" i="4" l="1"/>
  <c r="H287" i="4"/>
  <c r="H248" i="4"/>
  <c r="H66" i="4"/>
  <c r="H263" i="4"/>
  <c r="H256" i="4"/>
  <c r="H196" i="4"/>
  <c r="G163" i="4" l="1"/>
  <c r="G287" i="4"/>
  <c r="G263" i="4"/>
  <c r="G256" i="4"/>
  <c r="G248" i="4"/>
  <c r="G196" i="4"/>
  <c r="G66" i="4"/>
  <c r="F287" i="4" l="1"/>
  <c r="C163" i="4"/>
  <c r="C287" i="4"/>
  <c r="F248" i="4"/>
  <c r="F256" i="4"/>
  <c r="F263" i="4"/>
  <c r="F196" i="4"/>
  <c r="F66" i="4"/>
  <c r="E196" i="4"/>
  <c r="E287" i="4"/>
  <c r="E248" i="4"/>
  <c r="E263" i="4"/>
  <c r="E256" i="4"/>
  <c r="E163" i="4"/>
  <c r="E66" i="4"/>
  <c r="D287" i="4"/>
  <c r="D196" i="4"/>
  <c r="D248" i="4"/>
  <c r="D263" i="4"/>
  <c r="D256" i="4"/>
  <c r="D163" i="4"/>
  <c r="D66" i="4"/>
  <c r="C66" i="4" l="1"/>
  <c r="C263" i="4"/>
  <c r="C256" i="4"/>
  <c r="C196" i="4"/>
  <c r="C248" i="4"/>
  <c r="B287" i="4" l="1"/>
  <c r="B163" i="4"/>
  <c r="B66" i="4"/>
  <c r="B196" i="4"/>
  <c r="B263" i="4"/>
  <c r="B248" i="4" l="1"/>
  <c r="B256" i="4"/>
  <c r="AK287" i="3" l="1"/>
  <c r="AJ287" i="3"/>
  <c r="AI287" i="3" l="1"/>
  <c r="AK274" i="3"/>
  <c r="AI274" i="3"/>
  <c r="AJ274" i="3" s="1"/>
  <c r="AK263" i="3"/>
  <c r="AJ263" i="3"/>
  <c r="AK256" i="3"/>
  <c r="AJ256" i="3"/>
  <c r="AK248" i="3"/>
  <c r="AI248" i="3"/>
  <c r="AJ248" i="3" s="1"/>
  <c r="AK196" i="3"/>
  <c r="AJ196" i="3"/>
  <c r="AK181" i="3"/>
  <c r="AJ181" i="3"/>
  <c r="AK173" i="3"/>
  <c r="AJ173" i="3"/>
  <c r="AK163" i="3"/>
  <c r="AJ163" i="3"/>
  <c r="AI163" i="3"/>
  <c r="AK204" i="3"/>
  <c r="AJ204" i="3"/>
  <c r="AI196" i="3"/>
  <c r="AK66" i="3"/>
  <c r="AI66" i="3"/>
  <c r="AJ66" i="3" s="1"/>
  <c r="AI263" i="3"/>
  <c r="AI256" i="3"/>
  <c r="AH287" i="3" l="1"/>
  <c r="AH248" i="3"/>
  <c r="AH163" i="3"/>
  <c r="AH66" i="3"/>
  <c r="AH263" i="3"/>
  <c r="AH256" i="3"/>
  <c r="AH196" i="3"/>
  <c r="AG287" i="3" l="1"/>
  <c r="AG263" i="3"/>
  <c r="AG256" i="3"/>
  <c r="AG248" i="3"/>
  <c r="AG196" i="3"/>
  <c r="AG163" i="3"/>
  <c r="AG66" i="3"/>
  <c r="AF287" i="3"/>
  <c r="AF248" i="3"/>
  <c r="AF263" i="3"/>
  <c r="AF256" i="3"/>
  <c r="AF196" i="3"/>
  <c r="AF163" i="3"/>
  <c r="AF66" i="3"/>
  <c r="AE287" i="3" l="1"/>
  <c r="AE163" i="3"/>
  <c r="AE248" i="3"/>
  <c r="AE196" i="3"/>
  <c r="AE66" i="3"/>
  <c r="AE263" i="3"/>
  <c r="AE256" i="3"/>
  <c r="AD287" i="3" l="1"/>
  <c r="AD66" i="3"/>
  <c r="AD163" i="3"/>
  <c r="AD248" i="3"/>
  <c r="AD256" i="3"/>
  <c r="AD263" i="3"/>
  <c r="AD196" i="3"/>
  <c r="AC287" i="3" l="1"/>
  <c r="AC163" i="3"/>
  <c r="AC196" i="3"/>
  <c r="AH274" i="3"/>
  <c r="AG274" i="3"/>
  <c r="AC248" i="3"/>
  <c r="AC66" i="3"/>
  <c r="AI173" i="3"/>
  <c r="AH173" i="3"/>
  <c r="AG173" i="3"/>
  <c r="AI181" i="3"/>
  <c r="AH181" i="3"/>
  <c r="AG181" i="3"/>
  <c r="AI204" i="3"/>
  <c r="AH204" i="3"/>
  <c r="AG204" i="3"/>
  <c r="AC263" i="3"/>
  <c r="AC256" i="3"/>
  <c r="AB163" i="3" l="1"/>
  <c r="AB287" i="3"/>
  <c r="AB196" i="3"/>
  <c r="AB248" i="3"/>
  <c r="AB263" i="3"/>
  <c r="AB256" i="3"/>
  <c r="AA287" i="3"/>
  <c r="AA263" i="3"/>
  <c r="AA256" i="3"/>
  <c r="AA248" i="3"/>
  <c r="AA196" i="3"/>
  <c r="AA163" i="3"/>
  <c r="Z287" i="3"/>
  <c r="Z163" i="3"/>
  <c r="Z263" i="3"/>
  <c r="Z256" i="3"/>
  <c r="Z248" i="3"/>
  <c r="AF204" i="3"/>
  <c r="AE204" i="3"/>
  <c r="AD204" i="3"/>
  <c r="AC204" i="3"/>
  <c r="AB204" i="3"/>
  <c r="AA204" i="3"/>
  <c r="Z204" i="3"/>
  <c r="Z196" i="3"/>
  <c r="AF181" i="3"/>
  <c r="AE181" i="3"/>
  <c r="AD181" i="3"/>
  <c r="AC181" i="3"/>
  <c r="AB181" i="3"/>
  <c r="AA181" i="3"/>
  <c r="Z181" i="3"/>
  <c r="AF173" i="3"/>
  <c r="AE173" i="3"/>
  <c r="AD173" i="3"/>
  <c r="AC173" i="3"/>
  <c r="AB173" i="3"/>
  <c r="AA173" i="3"/>
  <c r="Z173" i="3"/>
  <c r="Y287" i="3"/>
  <c r="Y274" i="3"/>
  <c r="Y263" i="3"/>
  <c r="Y256" i="3"/>
  <c r="Y248" i="3"/>
  <c r="Y204" i="3"/>
  <c r="Y196" i="3"/>
  <c r="R181" i="3"/>
  <c r="Y181" i="3" s="1"/>
  <c r="S181" i="3"/>
  <c r="T181" i="3"/>
  <c r="U181" i="3"/>
  <c r="V181" i="3"/>
  <c r="W181" i="3"/>
  <c r="X181" i="3"/>
  <c r="Y173" i="3"/>
  <c r="Y163" i="3"/>
  <c r="W163" i="3"/>
  <c r="W287" i="3"/>
  <c r="W263" i="3"/>
  <c r="W256" i="3"/>
  <c r="W248" i="3"/>
  <c r="W196" i="3"/>
  <c r="V287" i="3"/>
  <c r="V263" i="3"/>
  <c r="V256" i="3"/>
  <c r="V248" i="3"/>
  <c r="V196" i="3"/>
  <c r="V163" i="3"/>
  <c r="U163" i="3"/>
  <c r="U287" i="3"/>
  <c r="U263" i="3"/>
  <c r="U256" i="3"/>
  <c r="U248" i="3"/>
  <c r="U196" i="3"/>
  <c r="AB66" i="3"/>
  <c r="AA66" i="3"/>
  <c r="Z66" i="3"/>
  <c r="W66" i="3"/>
  <c r="V66" i="3"/>
  <c r="U66" i="3"/>
  <c r="AF274" i="3"/>
  <c r="AE274" i="3"/>
  <c r="AD274" i="3"/>
  <c r="AC274" i="3"/>
  <c r="AB274" i="3"/>
  <c r="AA274" i="3"/>
  <c r="Z274" i="3"/>
  <c r="T163" i="3" l="1"/>
  <c r="T287" i="3"/>
  <c r="T248" i="3"/>
  <c r="T196" i="3"/>
  <c r="T66" i="3"/>
  <c r="Y66" i="3" s="1"/>
  <c r="T263" i="3"/>
  <c r="T256" i="3"/>
  <c r="S256" i="3"/>
  <c r="S287" i="3" l="1"/>
  <c r="S163" i="3"/>
  <c r="S248" i="3"/>
  <c r="S66" i="3"/>
  <c r="S263" i="3"/>
  <c r="S196" i="3"/>
  <c r="R173" i="3"/>
  <c r="S173" i="3"/>
  <c r="T173" i="3"/>
  <c r="U173" i="3"/>
  <c r="V173" i="3"/>
  <c r="W173" i="3"/>
  <c r="X173" i="3"/>
  <c r="R204" i="3"/>
  <c r="S204" i="3"/>
  <c r="T204" i="3"/>
  <c r="U204" i="3"/>
  <c r="V204" i="3"/>
  <c r="W204" i="3"/>
  <c r="X204" i="3"/>
  <c r="R274" i="3"/>
  <c r="S274" i="3"/>
  <c r="T274" i="3"/>
  <c r="U274" i="3"/>
  <c r="V274" i="3"/>
  <c r="W274" i="3"/>
  <c r="X274" i="3"/>
  <c r="Q287" i="3"/>
  <c r="I287" i="3"/>
  <c r="Q274" i="3"/>
  <c r="I274" i="3"/>
  <c r="Q263" i="3"/>
  <c r="I263" i="3"/>
  <c r="Q256" i="3"/>
  <c r="I256" i="3"/>
  <c r="Q248" i="3"/>
  <c r="I248" i="3"/>
  <c r="Q204" i="3"/>
  <c r="I204" i="3"/>
  <c r="Q196" i="3"/>
  <c r="I196" i="3"/>
  <c r="Q181" i="3"/>
  <c r="I181" i="3"/>
  <c r="Q173" i="3"/>
  <c r="I173" i="3"/>
  <c r="Q66" i="3"/>
  <c r="I66" i="3"/>
  <c r="I163" i="3"/>
  <c r="Q163" i="3"/>
  <c r="O196" i="3"/>
  <c r="R287" i="3" l="1"/>
  <c r="R163" i="3"/>
  <c r="R248" i="3"/>
  <c r="R263" i="3"/>
  <c r="R256" i="3"/>
  <c r="R196" i="3"/>
  <c r="R66" i="3"/>
  <c r="P248" i="3"/>
  <c r="P287" i="3"/>
  <c r="P263" i="3"/>
  <c r="P256" i="3"/>
  <c r="P196" i="3"/>
  <c r="P163" i="3"/>
  <c r="P66" i="3"/>
  <c r="O287" i="3" l="1"/>
  <c r="O163" i="3"/>
  <c r="O248" i="3"/>
  <c r="O263" i="3"/>
  <c r="O256" i="3"/>
  <c r="O66" i="3"/>
  <c r="N287" i="3" l="1"/>
  <c r="N163" i="3"/>
  <c r="N248" i="3"/>
  <c r="N66" i="3"/>
  <c r="N263" i="3" l="1"/>
  <c r="N256" i="3"/>
  <c r="N196" i="3"/>
  <c r="M287" i="3" l="1"/>
  <c r="M248" i="3"/>
  <c r="M163" i="3"/>
  <c r="M66" i="3"/>
  <c r="M263" i="3"/>
  <c r="M256" i="3"/>
  <c r="M196" i="3"/>
  <c r="L163" i="3" l="1"/>
  <c r="L287" i="3"/>
  <c r="L66" i="3"/>
  <c r="L263" i="3" l="1"/>
  <c r="L256" i="3"/>
  <c r="L248" i="3"/>
  <c r="L196" i="3"/>
  <c r="K163" i="3" l="1"/>
  <c r="K287" i="3"/>
  <c r="K196" i="3"/>
  <c r="K248" i="3"/>
  <c r="K66" i="3" l="1"/>
  <c r="J196" i="3"/>
  <c r="K263" i="3"/>
  <c r="K256" i="3"/>
  <c r="P173" i="3"/>
  <c r="O173" i="3"/>
  <c r="N173" i="3"/>
  <c r="M173" i="3"/>
  <c r="L173" i="3"/>
  <c r="K173" i="3"/>
  <c r="J173" i="3"/>
  <c r="P181" i="3"/>
  <c r="O181" i="3"/>
  <c r="N181" i="3"/>
  <c r="M181" i="3"/>
  <c r="L181" i="3"/>
  <c r="K181" i="3"/>
  <c r="J181" i="3"/>
  <c r="P204" i="3"/>
  <c r="O204" i="3"/>
  <c r="N204" i="3"/>
  <c r="M204" i="3"/>
  <c r="L204" i="3"/>
  <c r="K204" i="3"/>
  <c r="J204" i="3"/>
  <c r="J274" i="3"/>
  <c r="K274" i="3"/>
  <c r="L274" i="3"/>
  <c r="M274" i="3"/>
  <c r="N274" i="3"/>
  <c r="O274" i="3"/>
  <c r="P274" i="3"/>
  <c r="J287" i="3"/>
  <c r="J248" i="3"/>
  <c r="J263" i="3"/>
  <c r="J256" i="3"/>
  <c r="J163" i="3"/>
  <c r="J66" i="3"/>
  <c r="H287" i="3"/>
  <c r="H248" i="3"/>
  <c r="H263" i="3"/>
  <c r="H256" i="3"/>
  <c r="H196" i="3"/>
  <c r="H163" i="3"/>
  <c r="H66" i="3"/>
  <c r="G66" i="3" l="1"/>
  <c r="G287" i="3"/>
  <c r="G248" i="3"/>
  <c r="G163" i="3"/>
  <c r="G263" i="3"/>
  <c r="G256" i="3"/>
  <c r="G196" i="3"/>
  <c r="F163" i="3" l="1"/>
  <c r="F287" i="3"/>
  <c r="F248" i="3"/>
  <c r="F196" i="3"/>
  <c r="F66" i="3"/>
  <c r="F263" i="3"/>
  <c r="F256" i="3"/>
  <c r="E163" i="3" l="1"/>
  <c r="E287" i="3"/>
  <c r="E196" i="3"/>
  <c r="E66" i="3"/>
  <c r="E248" i="3"/>
  <c r="E263" i="3"/>
  <c r="E256" i="3"/>
  <c r="D66" i="3"/>
  <c r="D248" i="3" l="1"/>
  <c r="D196" i="3"/>
  <c r="D287" i="3"/>
  <c r="D163" i="3"/>
  <c r="D263" i="3"/>
  <c r="D256" i="3"/>
  <c r="D204" i="3"/>
  <c r="E204" i="3"/>
  <c r="F204" i="3"/>
  <c r="G204" i="3"/>
  <c r="H204" i="3"/>
  <c r="D274" i="3"/>
  <c r="E274" i="3"/>
  <c r="F274" i="3"/>
  <c r="G274" i="3"/>
  <c r="H274" i="3"/>
  <c r="C287" i="3" l="1"/>
  <c r="C248" i="3"/>
  <c r="C66" i="3"/>
  <c r="C163" i="3"/>
  <c r="C196" i="3"/>
  <c r="C204" i="3"/>
  <c r="C274" i="3"/>
  <c r="C263" i="3"/>
  <c r="C256" i="3"/>
  <c r="C173" i="3"/>
  <c r="D173" i="3"/>
  <c r="E173" i="3"/>
  <c r="F173" i="3"/>
  <c r="G173" i="3"/>
  <c r="H173" i="3"/>
  <c r="C181" i="3"/>
  <c r="D181" i="3"/>
  <c r="E181" i="3"/>
  <c r="F181" i="3"/>
  <c r="G181" i="3"/>
  <c r="H181" i="3"/>
  <c r="B196" i="3"/>
  <c r="B287" i="3"/>
  <c r="B274" i="3"/>
  <c r="B263" i="3"/>
  <c r="B256" i="3"/>
  <c r="B248" i="3"/>
  <c r="B204" i="3"/>
  <c r="B181" i="3"/>
  <c r="B173" i="3"/>
  <c r="B163" i="3"/>
  <c r="B66" i="3"/>
  <c r="AK66" i="2"/>
  <c r="AJ66" i="2"/>
  <c r="AK163" i="2"/>
  <c r="AJ163" i="2"/>
  <c r="AK173" i="2"/>
  <c r="AJ173" i="2"/>
  <c r="AK181" i="2"/>
  <c r="AJ181" i="2"/>
  <c r="AK197" i="2"/>
  <c r="AJ197" i="2"/>
  <c r="AK205" i="2"/>
  <c r="AJ205" i="2"/>
  <c r="AK250" i="2"/>
  <c r="AJ250" i="2"/>
  <c r="AK258" i="2"/>
  <c r="AJ258" i="2"/>
  <c r="AK266" i="2"/>
  <c r="AJ266" i="2"/>
  <c r="AK277" i="2"/>
  <c r="AJ277" i="2"/>
  <c r="AK290" i="2"/>
  <c r="AJ290" i="2"/>
  <c r="AF290" i="2"/>
  <c r="AF163" i="2"/>
  <c r="AF266" i="2"/>
  <c r="AE258" i="2"/>
  <c r="AF258" i="2"/>
  <c r="AF250" i="2"/>
  <c r="AF197" i="2"/>
  <c r="AF66" i="2"/>
  <c r="AE290" i="2" l="1"/>
  <c r="AE163" i="2"/>
  <c r="AE66" i="2"/>
  <c r="AE197" i="2"/>
  <c r="AE181" i="2"/>
  <c r="AF181" i="2"/>
  <c r="AE250" i="2"/>
  <c r="AE266" i="2"/>
  <c r="AE173" i="2"/>
  <c r="AF173" i="2"/>
  <c r="AE277" i="2"/>
  <c r="AF277" i="2"/>
  <c r="AD290" i="2" l="1"/>
  <c r="AD266" i="2"/>
  <c r="AD163" i="2"/>
  <c r="AD66" i="2"/>
  <c r="AE205" i="2"/>
  <c r="AF205" i="2"/>
  <c r="AD173" i="2"/>
  <c r="AD181" i="2"/>
  <c r="AD197" i="2"/>
  <c r="AD205" i="2"/>
  <c r="AD250" i="2"/>
  <c r="AD277" i="2"/>
  <c r="AD258" i="2"/>
  <c r="AC290" i="2" l="1"/>
  <c r="AC66" i="2"/>
  <c r="AC163" i="2"/>
  <c r="AC250" i="2"/>
  <c r="AC277" i="2"/>
  <c r="AC266" i="2"/>
  <c r="AC258" i="2"/>
  <c r="AC205" i="2"/>
  <c r="AC197" i="2"/>
  <c r="AC181" i="2"/>
  <c r="AC173" i="2"/>
  <c r="AB290" i="2" l="1"/>
  <c r="AB163" i="2"/>
  <c r="AB66" i="2"/>
  <c r="AB250" i="2"/>
  <c r="AB197" i="2"/>
  <c r="AB173" i="2"/>
  <c r="AB277" i="2"/>
  <c r="AB266" i="2"/>
  <c r="AB258" i="2"/>
  <c r="AB181" i="2"/>
  <c r="AB205" i="2"/>
  <c r="AA163" i="2"/>
  <c r="AA66" i="2" l="1"/>
  <c r="AA290" i="2"/>
  <c r="AA250" i="2"/>
  <c r="AA258" i="2"/>
  <c r="AA277" i="2"/>
  <c r="AA266" i="2"/>
  <c r="AA205" i="2"/>
  <c r="AA197" i="2"/>
  <c r="Z181" i="2"/>
  <c r="AA181" i="2"/>
  <c r="AA173" i="2"/>
  <c r="Z277" i="2"/>
  <c r="Z205" i="2"/>
  <c r="Y163" i="2"/>
  <c r="Y173" i="2"/>
  <c r="Y181" i="2"/>
  <c r="Y197" i="2"/>
  <c r="Y205" i="2"/>
  <c r="Y250" i="2"/>
  <c r="Y258" i="2"/>
  <c r="Y266" i="2"/>
  <c r="Y277" i="2"/>
  <c r="X277" i="2"/>
  <c r="Y290" i="2"/>
  <c r="Z290" i="2"/>
  <c r="Z250" i="2"/>
  <c r="Z266" i="2"/>
  <c r="Z258" i="2"/>
  <c r="Z197" i="2"/>
  <c r="Z173" i="2"/>
  <c r="Z163" i="2"/>
  <c r="Z66" i="2"/>
  <c r="X290" i="2"/>
  <c r="X250" i="2"/>
  <c r="X266" i="2"/>
  <c r="X258" i="2"/>
  <c r="X197" i="2"/>
  <c r="X173" i="2"/>
  <c r="X163" i="2"/>
  <c r="X66" i="2"/>
  <c r="W66" i="2" l="1"/>
  <c r="W290" i="2"/>
  <c r="W163" i="2"/>
  <c r="W250" i="2"/>
  <c r="W173" i="2"/>
  <c r="X181" i="2"/>
  <c r="W181" i="2"/>
  <c r="W197" i="2"/>
  <c r="R205" i="2"/>
  <c r="S205" i="2"/>
  <c r="T205" i="2"/>
  <c r="U205" i="2"/>
  <c r="V205" i="2"/>
  <c r="W205" i="2"/>
  <c r="X205" i="2"/>
  <c r="W277" i="2"/>
  <c r="W266" i="2"/>
  <c r="W258" i="2"/>
  <c r="Q290" i="2"/>
  <c r="Q277" i="2"/>
  <c r="R277" i="2"/>
  <c r="S277" i="2"/>
  <c r="T277" i="2"/>
  <c r="U277" i="2"/>
  <c r="V277" i="2"/>
  <c r="Q266" i="2"/>
  <c r="Q258" i="2"/>
  <c r="Q250" i="2"/>
  <c r="Q205" i="2"/>
  <c r="Q197" i="2"/>
  <c r="Q181" i="2"/>
  <c r="J66" i="2"/>
  <c r="Q173" i="2"/>
  <c r="Q163" i="2"/>
  <c r="R181" i="2"/>
  <c r="S181" i="2"/>
  <c r="T181" i="2"/>
  <c r="U181" i="2"/>
  <c r="V181" i="2"/>
  <c r="U197" i="2"/>
  <c r="V290" i="2" l="1"/>
  <c r="V250" i="2"/>
  <c r="V163" i="2"/>
  <c r="V66" i="2"/>
  <c r="V266" i="2"/>
  <c r="V258" i="2"/>
  <c r="V197" i="2"/>
  <c r="V173" i="2"/>
  <c r="U66" i="2" l="1"/>
  <c r="U290" i="2"/>
  <c r="U266" i="2"/>
  <c r="U250" i="2"/>
  <c r="U163" i="2"/>
  <c r="U258" i="2"/>
  <c r="U173" i="2"/>
  <c r="T290" i="2"/>
  <c r="T250" i="2"/>
  <c r="T266" i="2"/>
  <c r="T258" i="2"/>
  <c r="T197" i="2"/>
  <c r="T173" i="2"/>
  <c r="T163" i="2"/>
  <c r="T66" i="2"/>
  <c r="S290" i="2"/>
  <c r="S163" i="2"/>
  <c r="S250" i="2"/>
  <c r="S266" i="2"/>
  <c r="S258" i="2"/>
  <c r="S197" i="2"/>
  <c r="S173" i="2"/>
  <c r="S66" i="2"/>
  <c r="R290" i="2"/>
  <c r="R163" i="2"/>
  <c r="R250" i="2"/>
  <c r="R266" i="2"/>
  <c r="R258" i="2"/>
  <c r="R197" i="2"/>
  <c r="R173" i="2"/>
  <c r="R66" i="2"/>
  <c r="P290" i="2"/>
  <c r="P250" i="2"/>
  <c r="P266" i="2"/>
  <c r="P258" i="2"/>
  <c r="P197" i="2"/>
  <c r="P173" i="2"/>
  <c r="P163" i="2"/>
  <c r="P66" i="2"/>
  <c r="Y66" i="2" l="1"/>
  <c r="O290" i="2"/>
  <c r="O66" i="2"/>
  <c r="O250" i="2"/>
  <c r="O197" i="2"/>
  <c r="O163" i="2"/>
  <c r="O258" i="2"/>
  <c r="O173" i="2"/>
  <c r="O266" i="2"/>
  <c r="N290" i="2" l="1"/>
  <c r="N66" i="2"/>
  <c r="N250" i="2"/>
  <c r="N163" i="2"/>
  <c r="N266" i="2"/>
  <c r="N258" i="2"/>
  <c r="N197" i="2"/>
  <c r="N173" i="2"/>
  <c r="N181" i="2"/>
  <c r="O181" i="2"/>
  <c r="P181" i="2"/>
  <c r="N205" i="2"/>
  <c r="O205" i="2"/>
  <c r="P205" i="2"/>
  <c r="N277" i="2"/>
  <c r="O277" i="2"/>
  <c r="P277" i="2"/>
  <c r="I290" i="2"/>
  <c r="I277" i="2"/>
  <c r="I266" i="2"/>
  <c r="I258" i="2"/>
  <c r="I250" i="2"/>
  <c r="I205" i="2"/>
  <c r="I197" i="2"/>
  <c r="I181" i="2"/>
  <c r="I173" i="2"/>
  <c r="M163" i="2" l="1"/>
  <c r="M290" i="2"/>
  <c r="M66" i="2"/>
  <c r="M197" i="2"/>
  <c r="M250" i="2"/>
  <c r="M181" i="2"/>
  <c r="M205" i="2"/>
  <c r="M277" i="2"/>
  <c r="M266" i="2"/>
  <c r="M258" i="2"/>
  <c r="M173" i="2"/>
  <c r="L290" i="2" l="1"/>
  <c r="L163" i="2"/>
  <c r="L66" i="2"/>
  <c r="L197" i="2"/>
  <c r="L250" i="2"/>
  <c r="L277" i="2"/>
  <c r="L266" i="2"/>
  <c r="L258" i="2"/>
  <c r="L205" i="2"/>
  <c r="L181" i="2"/>
  <c r="L173" i="2"/>
  <c r="K66" i="2"/>
  <c r="Q66" i="2" s="1"/>
  <c r="K290" i="2" l="1"/>
  <c r="K250" i="2"/>
  <c r="K197" i="2"/>
  <c r="J181" i="2"/>
  <c r="K181" i="2"/>
  <c r="K163" i="2"/>
  <c r="J205" i="2" l="1"/>
  <c r="K205" i="2"/>
  <c r="J277" i="2"/>
  <c r="K277" i="2"/>
  <c r="K266" i="2"/>
  <c r="K258" i="2"/>
  <c r="K173" i="2"/>
  <c r="H290" i="2"/>
  <c r="H163" i="2"/>
  <c r="H250" i="2"/>
  <c r="J290" i="2"/>
  <c r="J163" i="2"/>
  <c r="J250" i="2"/>
  <c r="J266" i="2"/>
  <c r="J258" i="2"/>
  <c r="J197" i="2"/>
  <c r="J173" i="2"/>
  <c r="H266" i="2"/>
  <c r="H258" i="2"/>
  <c r="H173" i="2"/>
  <c r="H197" i="2"/>
  <c r="H66" i="2"/>
  <c r="G290" i="2" l="1"/>
  <c r="G66" i="2"/>
  <c r="G250" i="2"/>
  <c r="G197" i="2"/>
  <c r="G173" i="2"/>
  <c r="G163" i="2"/>
  <c r="G266" i="2"/>
  <c r="G258" i="2"/>
  <c r="F181" i="2"/>
  <c r="G181" i="2"/>
  <c r="H181" i="2"/>
  <c r="F205" i="2"/>
  <c r="G205" i="2"/>
  <c r="H205" i="2"/>
  <c r="F277" i="2"/>
  <c r="G277" i="2"/>
  <c r="H277" i="2"/>
  <c r="F290" i="2" l="1"/>
  <c r="F250" i="2"/>
  <c r="F163" i="2"/>
  <c r="F197" i="2"/>
  <c r="F66" i="2"/>
  <c r="F266" i="2"/>
  <c r="F258" i="2"/>
  <c r="F173" i="2"/>
  <c r="E290" i="2" l="1"/>
  <c r="E163" i="2"/>
  <c r="E250" i="2"/>
  <c r="E197" i="2"/>
  <c r="E66" i="2"/>
  <c r="E277" i="2"/>
  <c r="E266" i="2"/>
  <c r="E258" i="2"/>
  <c r="E205" i="2"/>
  <c r="E181" i="2"/>
  <c r="E173" i="2"/>
  <c r="D290" i="2" l="1"/>
  <c r="D250" i="2"/>
  <c r="D163" i="2"/>
  <c r="D66" i="2"/>
  <c r="D277" i="2"/>
  <c r="D266" i="2"/>
  <c r="D258" i="2"/>
  <c r="D205" i="2"/>
  <c r="D197" i="2"/>
  <c r="D181" i="2"/>
  <c r="D173" i="2"/>
  <c r="C290" i="2" l="1"/>
  <c r="C163" i="2"/>
  <c r="C197" i="2"/>
  <c r="C250" i="2"/>
  <c r="C66" i="2"/>
  <c r="B277" i="2"/>
  <c r="C277" i="2"/>
  <c r="C266" i="2"/>
  <c r="C258" i="2"/>
  <c r="B205" i="2"/>
  <c r="C205" i="2"/>
  <c r="C181" i="2"/>
  <c r="C173" i="2"/>
  <c r="AK66" i="1"/>
  <c r="AJ66" i="1"/>
  <c r="AI291" i="1"/>
  <c r="AI251" i="1"/>
  <c r="AI266" i="1"/>
  <c r="AI259" i="1"/>
  <c r="AI173" i="1"/>
  <c r="AI163" i="1"/>
  <c r="AI66" i="1"/>
  <c r="B290" i="2"/>
  <c r="B173" i="2"/>
  <c r="B197" i="2"/>
  <c r="B250" i="2"/>
  <c r="B266" i="2"/>
  <c r="B258" i="2"/>
  <c r="B66" i="2"/>
  <c r="I66" i="2" s="1"/>
  <c r="AH291" i="1" l="1"/>
  <c r="AH251" i="1"/>
  <c r="AH163" i="1"/>
  <c r="AH198" i="1"/>
  <c r="AH66" i="1"/>
  <c r="AH266" i="1"/>
  <c r="AH259" i="1"/>
  <c r="AH173" i="1"/>
  <c r="AH206" i="1"/>
  <c r="AG206" i="1"/>
  <c r="AH181" i="1"/>
  <c r="AI181" i="1"/>
  <c r="AG66" i="1" l="1"/>
  <c r="AG291" i="1"/>
  <c r="AG163" i="1"/>
  <c r="AG259" i="1"/>
  <c r="AG251" i="1"/>
  <c r="AG173" i="1"/>
  <c r="AG181" i="1"/>
  <c r="AG198" i="1"/>
  <c r="AG266" i="1"/>
  <c r="AF181" i="1"/>
  <c r="AF206" i="1"/>
  <c r="AF291" i="1"/>
  <c r="AF173" i="1"/>
  <c r="AF251" i="1"/>
  <c r="AF266" i="1"/>
  <c r="AF198" i="1"/>
  <c r="AF163" i="1"/>
  <c r="AF66" i="1"/>
  <c r="AF259" i="1" l="1"/>
  <c r="AE163" i="1" l="1"/>
  <c r="AE291" i="1"/>
  <c r="AE66" i="1"/>
  <c r="AE181" i="1"/>
  <c r="AE259" i="1"/>
  <c r="AE173" i="1"/>
  <c r="AE198" i="1"/>
  <c r="AE266" i="1"/>
  <c r="AE206" i="1"/>
  <c r="AE251" i="1"/>
  <c r="AE277" i="1"/>
  <c r="AF277" i="1"/>
  <c r="AG277" i="1"/>
  <c r="AH277" i="1"/>
  <c r="AI277" i="1"/>
  <c r="AD291" i="1" l="1"/>
  <c r="AD251" i="1"/>
  <c r="AA277" i="1"/>
  <c r="AB277" i="1"/>
  <c r="AC277" i="1"/>
  <c r="AD277" i="1"/>
  <c r="AA206" i="1"/>
  <c r="AB206" i="1"/>
  <c r="AC206" i="1"/>
  <c r="AD206" i="1"/>
  <c r="AD163" i="1"/>
  <c r="AD66" i="1"/>
  <c r="AD198" i="1"/>
  <c r="AD173" i="1"/>
  <c r="AD181" i="1"/>
  <c r="AD266" i="1"/>
  <c r="AD259" i="1"/>
  <c r="AB291" i="1"/>
  <c r="AB251" i="1"/>
  <c r="AC291" i="1"/>
  <c r="AC173" i="1"/>
  <c r="AC181" i="1"/>
  <c r="AC198" i="1"/>
  <c r="AC251" i="1"/>
  <c r="AC266" i="1"/>
  <c r="AC259" i="1"/>
  <c r="AC163" i="1"/>
  <c r="AC66" i="1"/>
  <c r="AB163" i="1"/>
  <c r="AB198" i="1"/>
  <c r="AB181" i="1"/>
  <c r="AB173" i="1"/>
  <c r="AB266" i="1"/>
  <c r="AB259" i="1"/>
  <c r="AB66" i="1"/>
  <c r="AA291" i="1" l="1"/>
  <c r="AA251" i="1"/>
  <c r="AA163" i="1"/>
  <c r="AA173" i="1"/>
  <c r="AA66" i="1"/>
  <c r="AA266" i="1"/>
  <c r="AA259" i="1"/>
  <c r="AA198" i="1"/>
  <c r="AA181" i="1"/>
  <c r="Z291" i="1" l="1"/>
  <c r="Z251" i="1"/>
  <c r="Z163" i="1"/>
  <c r="Z66" i="1"/>
  <c r="Z181" i="1"/>
  <c r="Z277" i="1"/>
  <c r="Z266" i="1"/>
  <c r="Z259" i="1"/>
  <c r="Z206" i="1"/>
  <c r="Z198" i="1"/>
  <c r="Z173" i="1"/>
  <c r="L66" i="1"/>
  <c r="Y291" i="1" l="1"/>
  <c r="X291" i="1"/>
  <c r="X163" i="1"/>
  <c r="Y163" i="1" s="1"/>
  <c r="X251" i="1"/>
  <c r="Y251" i="1" s="1"/>
  <c r="X198" i="1"/>
  <c r="Y198" i="1" s="1"/>
  <c r="Y173" i="1"/>
  <c r="Y181" i="1"/>
  <c r="Y259" i="1"/>
  <c r="Y266" i="1"/>
  <c r="Y277" i="1"/>
  <c r="X66" i="1"/>
  <c r="Y66" i="1" s="1"/>
  <c r="X266" i="1"/>
  <c r="X259" i="1"/>
  <c r="X173" i="1"/>
  <c r="X181" i="1"/>
  <c r="V66" i="1" l="1"/>
  <c r="W66" i="1"/>
  <c r="W163" i="1"/>
  <c r="W291" i="1"/>
  <c r="W251" i="1"/>
  <c r="W266" i="1"/>
  <c r="W259" i="1"/>
  <c r="W198" i="1"/>
  <c r="W181" i="1"/>
  <c r="W173" i="1"/>
  <c r="W206" i="1"/>
  <c r="X206" i="1"/>
  <c r="W277" i="1"/>
  <c r="X277" i="1"/>
  <c r="V291" i="1" l="1"/>
  <c r="V259" i="1"/>
  <c r="V163" i="1"/>
  <c r="V251" i="1"/>
  <c r="V181" i="1"/>
  <c r="V277" i="1"/>
  <c r="V198" i="1"/>
  <c r="V173" i="1"/>
  <c r="V206" i="1"/>
  <c r="V266" i="1"/>
  <c r="U163" i="1"/>
  <c r="T163" i="1"/>
  <c r="T291" i="1"/>
  <c r="U291" i="1"/>
  <c r="S291" i="1"/>
  <c r="S163" i="1"/>
  <c r="T66" i="1"/>
  <c r="S66" i="1"/>
  <c r="U66" i="1"/>
  <c r="S181" i="1"/>
  <c r="T181" i="1"/>
  <c r="U181" i="1"/>
  <c r="S173" i="1"/>
  <c r="T173" i="1"/>
  <c r="U173" i="1"/>
  <c r="S198" i="1"/>
  <c r="T198" i="1"/>
  <c r="U198" i="1"/>
  <c r="S206" i="1"/>
  <c r="T206" i="1"/>
  <c r="U206" i="1"/>
  <c r="S251" i="1"/>
  <c r="T251" i="1"/>
  <c r="U251" i="1"/>
  <c r="S259" i="1"/>
  <c r="T259" i="1"/>
  <c r="U259" i="1"/>
  <c r="S266" i="1"/>
  <c r="T266" i="1"/>
  <c r="U266" i="1"/>
  <c r="S277" i="1"/>
  <c r="T277" i="1"/>
  <c r="U277" i="1"/>
  <c r="R163" i="1" l="1"/>
  <c r="R291" i="1"/>
  <c r="R251" i="1"/>
  <c r="R66" i="1"/>
  <c r="R277" i="1"/>
  <c r="R266" i="1"/>
  <c r="R259" i="1"/>
  <c r="R206" i="1"/>
  <c r="Y206" i="1" s="1"/>
  <c r="R198" i="1"/>
  <c r="R181" i="1"/>
  <c r="R173" i="1"/>
  <c r="P291" i="1" l="1"/>
  <c r="Q291" i="1" s="1"/>
  <c r="P163" i="1"/>
  <c r="Q163" i="1"/>
  <c r="Q251" i="1"/>
  <c r="Q206" i="1"/>
  <c r="Q198" i="1"/>
  <c r="Q181" i="1"/>
  <c r="P173" i="1"/>
  <c r="Q173" i="1" s="1"/>
  <c r="P251" i="1"/>
  <c r="O277" i="1"/>
  <c r="Q277" i="1" s="1"/>
  <c r="P277" i="1"/>
  <c r="Q266" i="1"/>
  <c r="P259" i="1"/>
  <c r="Q259" i="1" s="1"/>
  <c r="Q66" i="1"/>
  <c r="P198" i="1"/>
  <c r="O206" i="1"/>
  <c r="P206" i="1"/>
  <c r="P66" i="1"/>
  <c r="P181" i="1"/>
  <c r="P266" i="1"/>
  <c r="O291" i="1" l="1"/>
  <c r="O173" i="1"/>
  <c r="O251" i="1"/>
  <c r="O163" i="1"/>
  <c r="O66" i="1"/>
  <c r="O266" i="1"/>
  <c r="O181" i="1"/>
  <c r="O259" i="1"/>
  <c r="N291" i="1"/>
  <c r="N66" i="1"/>
  <c r="N163" i="1"/>
  <c r="N173" i="1"/>
  <c r="N181" i="1"/>
  <c r="N198" i="1"/>
  <c r="L206" i="1"/>
  <c r="M206" i="1"/>
  <c r="N206" i="1"/>
  <c r="N251" i="1"/>
  <c r="N266" i="1"/>
  <c r="N259" i="1"/>
  <c r="N277" i="1"/>
  <c r="L291" i="1"/>
  <c r="L163" i="1"/>
  <c r="M291" i="1"/>
  <c r="M163" i="1"/>
  <c r="L277" i="1"/>
  <c r="M277" i="1"/>
  <c r="L266" i="1"/>
  <c r="M266" i="1"/>
  <c r="L259" i="1"/>
  <c r="M259" i="1"/>
  <c r="L251" i="1"/>
  <c r="M251" i="1"/>
  <c r="L198" i="1"/>
  <c r="M198" i="1"/>
  <c r="L181" i="1"/>
  <c r="M181" i="1"/>
  <c r="L173" i="1"/>
  <c r="M173" i="1"/>
  <c r="M66" i="1"/>
  <c r="K291" i="1" l="1"/>
  <c r="K163" i="1"/>
  <c r="K251" i="1"/>
  <c r="K173" i="1"/>
  <c r="K66" i="1"/>
  <c r="K198" i="1"/>
  <c r="K181" i="1"/>
  <c r="K206" i="1"/>
  <c r="K277" i="1"/>
  <c r="K266" i="1"/>
  <c r="K259" i="1"/>
  <c r="I66" i="1"/>
  <c r="I163" i="1"/>
  <c r="I173" i="1"/>
  <c r="I181" i="1"/>
  <c r="I198" i="1"/>
  <c r="I206" i="1"/>
  <c r="I251" i="1"/>
  <c r="I259" i="1"/>
  <c r="I266" i="1"/>
  <c r="I277" i="1"/>
  <c r="J206" i="1"/>
  <c r="J277" i="1"/>
  <c r="J291" i="1" l="1"/>
  <c r="J251" i="1"/>
  <c r="J198" i="1"/>
  <c r="J163" i="1"/>
  <c r="J66" i="1"/>
  <c r="J259" i="1"/>
  <c r="J266" i="1"/>
  <c r="J181" i="1"/>
  <c r="J173" i="1"/>
  <c r="I291" i="1" l="1"/>
  <c r="H291" i="1"/>
  <c r="H163" i="1"/>
  <c r="H66" i="1"/>
  <c r="H251" i="1"/>
  <c r="H173" i="1"/>
  <c r="H181" i="1"/>
  <c r="H266" i="1"/>
  <c r="H259" i="1"/>
  <c r="H277" i="1"/>
  <c r="H206" i="1"/>
  <c r="H198" i="1"/>
  <c r="G291" i="1" l="1"/>
  <c r="G66" i="1"/>
  <c r="G163" i="1"/>
  <c r="G251" i="1"/>
  <c r="G198" i="1"/>
  <c r="G181" i="1"/>
  <c r="G173" i="1"/>
  <c r="G206" i="1"/>
  <c r="G277" i="1"/>
  <c r="G266" i="1"/>
  <c r="G259" i="1"/>
  <c r="F291" i="1" l="1"/>
  <c r="F251" i="1"/>
  <c r="F163" i="1"/>
  <c r="F198" i="1"/>
  <c r="F66" i="1"/>
  <c r="C163" i="1"/>
  <c r="C291" i="1"/>
  <c r="C259" i="1"/>
  <c r="F277" i="1"/>
  <c r="F266" i="1"/>
  <c r="F259" i="1"/>
  <c r="F206" i="1"/>
  <c r="F181" i="1"/>
  <c r="F173" i="1"/>
  <c r="B291" i="1"/>
  <c r="B163" i="1"/>
  <c r="E163" i="1"/>
  <c r="E291" i="1"/>
  <c r="E266" i="1"/>
  <c r="E259" i="1"/>
  <c r="E251" i="1"/>
  <c r="E198" i="1"/>
  <c r="E181" i="1"/>
  <c r="E173" i="1"/>
  <c r="D291" i="1"/>
  <c r="D173" i="1"/>
  <c r="D181" i="1"/>
  <c r="D198" i="1"/>
  <c r="D251" i="1"/>
  <c r="D266" i="1"/>
  <c r="D259" i="1"/>
  <c r="C173" i="1"/>
  <c r="C181" i="1"/>
  <c r="C198" i="1"/>
  <c r="C206" i="1"/>
  <c r="D206" i="1"/>
  <c r="E206" i="1"/>
  <c r="C251" i="1"/>
  <c r="C266" i="1"/>
  <c r="C277" i="1"/>
  <c r="D277" i="1"/>
  <c r="E277" i="1"/>
  <c r="B277" i="1"/>
  <c r="B266" i="1"/>
  <c r="B259" i="1"/>
  <c r="B251" i="1"/>
  <c r="B206" i="1"/>
  <c r="B198" i="1"/>
  <c r="B181" i="1"/>
  <c r="B173" i="1"/>
  <c r="D163" i="1"/>
  <c r="E66" i="1"/>
  <c r="D66" i="1"/>
  <c r="C66" i="1"/>
  <c r="B66" i="1"/>
  <c r="AG295" i="12" l="1"/>
  <c r="F52" i="14" l="1"/>
  <c r="I163" i="2"/>
  <c r="B163" i="2"/>
</calcChain>
</file>

<file path=xl/sharedStrings.xml><?xml version="1.0" encoding="utf-8"?>
<sst xmlns="http://schemas.openxmlformats.org/spreadsheetml/2006/main" count="7947" uniqueCount="444">
  <si>
    <t>TOTALISATOR</t>
  </si>
  <si>
    <t xml:space="preserve">                 MINGGU KE 2</t>
  </si>
  <si>
    <t>TOTAL</t>
  </si>
  <si>
    <t>Rtgc/Tgl</t>
  </si>
  <si>
    <t xml:space="preserve">    REKAP JANUARI  2024</t>
  </si>
  <si>
    <t>P</t>
  </si>
  <si>
    <t>WEEKS</t>
  </si>
  <si>
    <t>HT/TGL</t>
  </si>
  <si>
    <t>ALAT/TGL</t>
  </si>
  <si>
    <t>SL 03</t>
  </si>
  <si>
    <t>SL 04</t>
  </si>
  <si>
    <t>SL 10</t>
  </si>
  <si>
    <t>SL 11</t>
  </si>
  <si>
    <t>RS 06</t>
  </si>
  <si>
    <t>RS 25</t>
  </si>
  <si>
    <t>FRK 18</t>
  </si>
  <si>
    <t>FRK 30</t>
  </si>
  <si>
    <t>FRK 28</t>
  </si>
  <si>
    <t>FRK 32</t>
  </si>
  <si>
    <t>FRK 05A</t>
  </si>
  <si>
    <t>OPS/TGL</t>
  </si>
  <si>
    <t>B 9682 BAY</t>
  </si>
  <si>
    <t>B 9786 BAZ</t>
  </si>
  <si>
    <t>B 9963 CAJ</t>
  </si>
  <si>
    <t>MODUL/TGL</t>
  </si>
  <si>
    <t>RTGC</t>
  </si>
  <si>
    <t>BUS</t>
  </si>
  <si>
    <t>ELF</t>
  </si>
  <si>
    <t>MODUL</t>
  </si>
  <si>
    <t>RS 02</t>
  </si>
  <si>
    <t>FRK 26</t>
  </si>
  <si>
    <t>FRK 20</t>
  </si>
  <si>
    <t>FRK 17</t>
  </si>
  <si>
    <t>FRK 31</t>
  </si>
  <si>
    <t>FRK 19</t>
  </si>
  <si>
    <t>B 9131 J</t>
  </si>
  <si>
    <t>HEAD TRUK</t>
  </si>
  <si>
    <t>KEND OPS</t>
  </si>
  <si>
    <t>B 9172 CBA</t>
  </si>
  <si>
    <t>NOTE</t>
  </si>
  <si>
    <t>Lelang</t>
  </si>
  <si>
    <t>Scrub</t>
  </si>
  <si>
    <t>Note</t>
  </si>
  <si>
    <t>Graha</t>
  </si>
  <si>
    <t>Rusak</t>
  </si>
  <si>
    <t xml:space="preserve">SL 05 </t>
  </si>
  <si>
    <t>SITE LOADER</t>
  </si>
  <si>
    <t>RIGTH STAGGER</t>
  </si>
  <si>
    <t>FORKLIF</t>
  </si>
  <si>
    <t>B 9970 CAI/ TG 01</t>
  </si>
  <si>
    <t>B 9693 CAI/ TG MDF</t>
  </si>
  <si>
    <t>B 9150 TBD/ HLX 09</t>
  </si>
  <si>
    <t>B 1133 RYD/ INV 08</t>
  </si>
  <si>
    <t>B 9118 SQ/ TA 01</t>
  </si>
  <si>
    <t>B 7943 TAA/ ELF 01</t>
  </si>
  <si>
    <t>B 7941 TAA/ ELF 02</t>
  </si>
  <si>
    <t>B 7962 TAA/ ELF 03</t>
  </si>
  <si>
    <t>B 7985 TAA/ BUS 01</t>
  </si>
  <si>
    <t>B 7987 TAA/ BUS 02</t>
  </si>
  <si>
    <t>B 7963 TAA/ BUS 03</t>
  </si>
  <si>
    <t>MODUL 5/ STG 20</t>
  </si>
  <si>
    <t xml:space="preserve">B 9015 UBE/ SAF 02 </t>
  </si>
  <si>
    <t xml:space="preserve">B 9301 UAV/ SAF 01 </t>
  </si>
  <si>
    <t>B 9621 TVC/ RG 01</t>
  </si>
  <si>
    <t>B 9426 TVC/ RG 02</t>
  </si>
  <si>
    <t>B 9458 TVC/ RG 04</t>
  </si>
  <si>
    <t>B 9456 TVC/ RG 05</t>
  </si>
  <si>
    <t>B 9422 TVC/ RG 06</t>
  </si>
  <si>
    <t>B 9615 TVC/ RG 07</t>
  </si>
  <si>
    <t>B 9619 TVC/ RG 10</t>
  </si>
  <si>
    <t>B 9611 TVC/ RG 11</t>
  </si>
  <si>
    <t>B 9613 TVC/ RG 12</t>
  </si>
  <si>
    <t>B 9617 TVC/ RG 13</t>
  </si>
  <si>
    <t>B 9609 TVC/ RG 14</t>
  </si>
  <si>
    <t>B 9424 TVC/ RG 15</t>
  </si>
  <si>
    <t>B 9661 TVC/ RG 17</t>
  </si>
  <si>
    <t>B 9872 CAJ/ RG 16</t>
  </si>
  <si>
    <t>B 9870 CAJ/ RG 03</t>
  </si>
  <si>
    <t>B 9578 BAY/ RG 09</t>
  </si>
  <si>
    <t xml:space="preserve">SL 24 </t>
  </si>
  <si>
    <t>Com/TGL</t>
  </si>
  <si>
    <t xml:space="preserve">Compresor 06 </t>
  </si>
  <si>
    <t>Compresor 07</t>
  </si>
  <si>
    <t>B 9428 UAT/ SC 03</t>
  </si>
  <si>
    <t>B 9656 UAU/ SC 04</t>
  </si>
  <si>
    <t xml:space="preserve">B 9269 UWM/ SC 05 </t>
  </si>
  <si>
    <t>POL 1050.38/ SC 06</t>
  </si>
  <si>
    <t>B 9801 BAZ/ TG 02</t>
  </si>
  <si>
    <t>B 9794 BAZ</t>
  </si>
  <si>
    <t>Comp Meantenan</t>
  </si>
  <si>
    <t>B 9015 RFP STOP</t>
  </si>
  <si>
    <t>B 9799 BAZ/ TG 04</t>
  </si>
  <si>
    <t>MODUL 1/ STG GD</t>
  </si>
  <si>
    <t>MODUL 5/ STG 19</t>
  </si>
  <si>
    <t>MODUL 2/ STG 13</t>
  </si>
  <si>
    <t>MODUL 3/ STG 16</t>
  </si>
  <si>
    <t>MODUL 4/ STG 17</t>
  </si>
  <si>
    <t>MODUL 5/ STG 18</t>
  </si>
  <si>
    <t>B 9080 VE/ TA 02</t>
  </si>
  <si>
    <t>B 9582 BAY/ TG 03</t>
  </si>
  <si>
    <t xml:space="preserve">GALMON 05 </t>
  </si>
  <si>
    <t>GALMON  08</t>
  </si>
  <si>
    <t>terex 01</t>
  </si>
  <si>
    <t xml:space="preserve">                   PEMAKAIAN SOLAR RTGC BULAN JANUARI 2026                                                                                                                                                                          </t>
  </si>
  <si>
    <t xml:space="preserve">                   PEMAKAIAN SOLAR HEADTRUCK BULAN JANUARI 2026                                                                                                                                                                       </t>
  </si>
  <si>
    <t xml:space="preserve">                   PEMAKAIAN SOLAR SITE LOADER BULAN JANUARI 2026                                                                                                                                                                          </t>
  </si>
  <si>
    <t xml:space="preserve">                   PEMAKAIAN SOLAR RICHT STAGGER BULAN JANUARI 2026                                                                                                                                                                            </t>
  </si>
  <si>
    <t xml:space="preserve">                   PEMAKAIAN SOLAR FORKLIF BULAN JANUARI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</si>
  <si>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JANUARI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</si>
  <si>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JANUARI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</si>
  <si>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JANUARI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</si>
  <si>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JANUARI 2026                                                                                                                                                                        </t>
  </si>
  <si>
    <t xml:space="preserve">                   PEMAKAIAN SOLAR MODUL / GENSET  BULAN JANUARI 2026                                                                                                                                                                           </t>
  </si>
  <si>
    <t xml:space="preserve">                   PEMAKAIAN SOLAR RTGC BULAN FEBRUARI 2026                                                                                                                                                                       </t>
  </si>
  <si>
    <t xml:space="preserve">                   PEMAKAIAN SOLAR HEADTRUCK BULAN FEBRUARI 2026                                                                                                                                                                       </t>
  </si>
  <si>
    <t xml:space="preserve">                   PEMAKAIAN SOLAR RICHT STAGGER BULAN FEBRUARI 2026                                                                                                                                                                            </t>
  </si>
  <si>
    <t xml:space="preserve">                   PEMAKAIAN SOLAR SITE LOADER BULAN FEBRUARI  2026                                                                                                                                                                          </t>
  </si>
  <si>
    <t xml:space="preserve">                   PEMAKAIAN SOLAR FORKLIF BULAN FEBRUARI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</si>
  <si>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FEBRUARI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</si>
  <si>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FEBRUARI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</si>
  <si>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FEBRUARI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</si>
  <si>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FEBRUARI 2026                                                                                                                                                                        </t>
  </si>
  <si>
    <t xml:space="preserve">                   PEMAKAIAN SOLAR MODUL / GENSET  BULAN FEBRUARI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</si>
  <si>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FEBRUARI 2026</t>
  </si>
  <si>
    <t xml:space="preserve">                   PEMAKAIAN SOLAR RTGC BULAN MARET 2026                                                                                                                                                                          </t>
  </si>
  <si>
    <t xml:space="preserve">                   PEMAKAIAN SOLAR HEADTRUCK BULAN MARET 2026                                                                                                                                                                       </t>
  </si>
  <si>
    <t xml:space="preserve">                   PEMAKAIAN SOLAR SITE LOADER BULAN MARET 2026                                                                                                                                                                          </t>
  </si>
  <si>
    <t xml:space="preserve">                   PEMAKAIAN SOLAR RICHT STAGGER BULAN MARET 2026                                                                                                                                                                            </t>
  </si>
  <si>
    <t xml:space="preserve">                   PEMAKAIAN SOLAR FORKLIF BULAN MARET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</si>
  <si>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MARET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</si>
  <si>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MARET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</si>
  <si>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MARET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</si>
  <si>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MARET 2026                                                                                                                                                                        </t>
  </si>
  <si>
    <t xml:space="preserve">                   PEMAKAIAN SOLAR MODUL / GENSET  BULAN MARET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</si>
  <si>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MARET 2026</t>
  </si>
  <si>
    <t xml:space="preserve">                   PEMAKAIAN SOLAR RTGC BULAN APRIL 2026                                                                                                                                                                          </t>
  </si>
  <si>
    <t xml:space="preserve">                   PEMAKAIAN SOLAR HEADTRUCK BULAN APRIL 2026                                                                                                                                                                       </t>
  </si>
  <si>
    <t xml:space="preserve">                   PEMAKAIAN SOLAR SITE LOADER BULAN APRIL 2026                                                                                                                                                                          </t>
  </si>
  <si>
    <t xml:space="preserve">                   PEMAKAIAN SOLAR RICHT STAGGER BULAN APRIL 2026                                                                                                                                                                            </t>
  </si>
  <si>
    <t xml:space="preserve">                   PEMAKAIAN SOLAR FORKLIF BULAN APRIL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</si>
  <si>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APRIL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</si>
  <si>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APRIL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</si>
  <si>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APRIL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</si>
  <si>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APRIL 2026                                                                                                                                                                        </t>
  </si>
  <si>
    <t xml:space="preserve">                   PEMAKAIAN SOLAR MODUL / GENSET  BULAN APRIL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</si>
  <si>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APRIL 2026</t>
  </si>
  <si>
    <t xml:space="preserve">                   PEMAKAIAN SOLAR RTGC BULAN MEI 2026                                                                                                                                                                          </t>
  </si>
  <si>
    <t xml:space="preserve">                   PEMAKAIAN SOLAR HEADTRUCK BULAN MEI 2026                                                                                                                                                                       </t>
  </si>
  <si>
    <t xml:space="preserve">                   PEMAKAIAN SOLAR SITE LOADER BULAN MEI 2026                                                                                                                                                                          </t>
  </si>
  <si>
    <t xml:space="preserve">                   PEMAKAIAN SOLAR RICHT STAGGER BULAN MEI 2026                                                                                                                                                                            </t>
  </si>
  <si>
    <t xml:space="preserve">                   PEMAKAIAN SOLAR FORKLIF BULAN MEI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</si>
  <si>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MEI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</si>
  <si>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MEI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</si>
  <si>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MEI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</si>
  <si>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MEI 2026                                                                                                                                                                        </t>
  </si>
  <si>
    <t xml:space="preserve">                   PEMAKAIAN SOLAR MODUL / GENSET  BULAN MEI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</si>
  <si>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MEI 2026</t>
  </si>
  <si>
    <t xml:space="preserve">                   PEMAKAIAN SOLAR RTGC BULAN JUNI 2026                                                                                                                                                                          </t>
  </si>
  <si>
    <t xml:space="preserve">                   PEMAKAIAN SOLAR HEADTRUCK BULAN JUNI 2026                                                                                                                                                                       </t>
  </si>
  <si>
    <t xml:space="preserve">                   PEMAKAIAN SOLAR SITE LOADER BULAN JUNI 2026                                                                                                                                                                          </t>
  </si>
  <si>
    <t xml:space="preserve">                   PEMAKAIAN SOLAR RICHT STAGGER BULAN JUNI 2026                                                                                                                                                                            </t>
  </si>
  <si>
    <t xml:space="preserve">                   PEMAKAIAN SOLAR FORKLIF BULAN JUNI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</si>
  <si>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JUNI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</si>
  <si>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JUNI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</si>
  <si>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JUNI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</si>
  <si>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JUNI 2026                                                                                                                                                                        </t>
  </si>
  <si>
    <t xml:space="preserve">                   PEMAKAIAN SOLAR MODUL / GENSET  BULAN JUMI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</si>
  <si>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JUNI 2026</t>
  </si>
  <si>
    <t xml:space="preserve">                   PEMAKAIAN SOLAR RTGC BULAN JULI 2026                                                                                                                                                                          </t>
  </si>
  <si>
    <t xml:space="preserve">                   PEMAKAIAN SOLAR HEADTRUCK BULAN JULI 2026                                                                                                                                                                       </t>
  </si>
  <si>
    <t xml:space="preserve">                   PEMAKAIAN SOLAR SITE LOADER BULAN JULI 2026                                                                                                                                                                          </t>
  </si>
  <si>
    <t xml:space="preserve">                   PEMAKAIAN SOLAR RICHT STAGGER BULAN JULI 2026                                                                                                                                                                            </t>
  </si>
  <si>
    <t xml:space="preserve">                   PEMAKAIAN SOLAR FORKLIF BULAN JULI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</si>
  <si>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JULI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</si>
  <si>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JULI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</si>
  <si>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JULI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</si>
  <si>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JULI 2026                                                                                                                                                                        </t>
  </si>
  <si>
    <t xml:space="preserve">                   PEMAKAIAN SOLAR MODUL / GENSET  BULAN JULI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</si>
  <si>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JULI 2026</t>
  </si>
  <si>
    <t xml:space="preserve">                   PEMAKAIAN SOLAR RTGC BULAN AGUSTUS 2026                                                                                                                                                                          </t>
  </si>
  <si>
    <t xml:space="preserve">                   PEMAKAIAN SOLAR HEADTRUCK BULAN AGUSTUS 2026                                                                                                                                                                       </t>
  </si>
  <si>
    <t xml:space="preserve">                   PEMAKAIAN SOLAR SITE LOADER BULAN AGUSTUS 2026                                                                                                                                                                          </t>
  </si>
  <si>
    <t xml:space="preserve">                   PEMAKAIAN SOLAR RICHT STAGGER BULAN AGUSTUS 2026                                                                                                                                                                            </t>
  </si>
  <si>
    <t xml:space="preserve">                   PEMAKAIAN SOLAR FORKLIF BULAN AGUSTUS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</si>
  <si>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AGUSTUS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</si>
  <si>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AGUSTUS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</si>
  <si>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AGUSTUS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</si>
  <si>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AGUSTUS 2026                                                                                                                                                                        </t>
  </si>
  <si>
    <t xml:space="preserve">                   PEMAKAIAN SOLAR MODUL / GENSET  BULAN AGUSTUS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</si>
  <si>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AGUSTUS 2026</t>
  </si>
  <si>
    <t xml:space="preserve">                   PEMAKAIAN SOLAR RTGC BULAN SEPTEMBER 2026                                                                                                                                                                          </t>
  </si>
  <si>
    <t xml:space="preserve">                   PEMAKAIAN SOLAR HEADTRUCK BULAN SEPTEMBER 2026                                                                                                                                                                       </t>
  </si>
  <si>
    <t xml:space="preserve">                   PEMAKAIAN SOLAR SITE LOADER BULAN SEPTEMBER 2026                                                                                                                                                                          </t>
  </si>
  <si>
    <t xml:space="preserve">                   PEMAKAIAN SOLAR RICHT STAGGER BULAN SEPTEMBER 2026                                                                                                                                                                            </t>
  </si>
  <si>
    <t xml:space="preserve">                   PEMAKAIAN SOLAR FORKLIF BULAN SEPTEMBER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</si>
  <si>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SEPTEMBER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</si>
  <si>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SEPTEMBER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</si>
  <si>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SEPTEMBER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</si>
  <si>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SEPTEMBER 2026                                                                                                                                                                        </t>
  </si>
  <si>
    <t xml:space="preserve">                   PEMAKAIAN SOLAR MODUL / GENSET  BULAN SEPTEMBER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</si>
  <si>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SEPTEMBER 2026</t>
  </si>
  <si>
    <t xml:space="preserve">                   PEMAKAIAN SOLAR RTGC BULAN OKTOBER 2026                                                                                                                                                                          </t>
  </si>
  <si>
    <t xml:space="preserve">                   PEMAKAIAN SOLAR HEADTRUCK BULAN OKTOBER 2026                                                                                                                                                                       </t>
  </si>
  <si>
    <t xml:space="preserve">                   PEMAKAIAN SOLAR SITE LOADER BULAN OKTOBER 2026                                                                                                                                                                          </t>
  </si>
  <si>
    <t xml:space="preserve">                   PEMAKAIAN SOLAR RICHT STAGGER BULAN OKTOBER 2026                                                                                                                                                                            </t>
  </si>
  <si>
    <t xml:space="preserve">                   PEMAKAIAN SOLAR FORKLIF BULAN OKTOBER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</si>
  <si>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OKTOBER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</si>
  <si>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OKTOBER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</si>
  <si>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OKTOBER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</si>
  <si>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OKTOBER 2026                                                                                                                                                                        </t>
  </si>
  <si>
    <t xml:space="preserve">                   PEMAKAIAN SOLAR MODUL / GENSET  BULAN OKTOBER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</si>
  <si>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OKTOBER 2026</t>
  </si>
  <si>
    <t xml:space="preserve">                   PEMAKAIAN SOLAR RTGC BULAN NOPEMBER 2026                                                                                                                                                                          </t>
  </si>
  <si>
    <t xml:space="preserve">                   PEMAKAIAN SOLAR HEADTRUCK BULAN NOPEMBER 2026                                                                                                                                                                       </t>
  </si>
  <si>
    <t xml:space="preserve">                   PEMAKAIAN SOLAR SITE LOADER BULAN NOPEMBER 2026                                                                                                                                                                          </t>
  </si>
  <si>
    <t xml:space="preserve">                   PEMAKAIAN SOLAR RICHT STAGGER BULAN NOPEMBER 2026                                                                                                                                                                            </t>
  </si>
  <si>
    <t xml:space="preserve">                   PEMAKAIAN SOLAR FORKLIF BULAN NOPEMBER 2026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</si>
  <si>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NOPEMBER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</si>
  <si>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NOPEMBER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</si>
  <si>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NOPEMBER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</si>
  <si>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NOPEMBER 2026                                                                                                                                                                        </t>
  </si>
  <si>
    <t xml:space="preserve">                   PEMAKAIAN SOLAR MODUL / GENSET  BULAN NOPEMBER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</si>
  <si>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NOPEMBER 2026</t>
  </si>
  <si>
    <t xml:space="preserve">                   PEMAKAIAN SOLAR RTGC BULAN DESEMBER  2026                                                                                                                                                                          </t>
  </si>
  <si>
    <t xml:space="preserve">                   PEMAKAIAN SOLAR HEADTRUCK BULAN DESEMBER 2026                                                                                                                                                                       </t>
  </si>
  <si>
    <t xml:space="preserve">                   PEMAKAIAN SOLAR SITE LOADER BULAN DESEMBER 2026                                                                                                                                                                          </t>
  </si>
  <si>
    <t xml:space="preserve">                   PEMAKAIAN SOLAR FORKLIF BULAN DESEMBER 2026                                                                                                                                                                          </t>
  </si>
  <si>
    <t xml:space="preserve">                   PEMAKAIAN SOLAR RICHT STAGGER BULAN DESEMBER 2026                                                                                                                                                                            </t>
  </si>
  <si>
    <t xml:space="preserve">                   PEMAKAIAN SOLAR COMPRESOR MEANTENANCE BULAN DESEMBER 2026                                                                                                                                                                        </t>
  </si>
  <si>
    <t xml:space="preserve">                   PEMAKAIAN SOLAR KENDARAAN OPERATIONAL BULAN DESEMBER 2026                                                                                                                                                                           </t>
  </si>
  <si>
    <t xml:space="preserve">                   PEMAKAIAN SOLAR KENDARAAN  BUS BULAN DESEMBER 2026                                                                                                                                                                            </t>
  </si>
  <si>
    <t xml:space="preserve">                   PEMAKAIAN SOLAR KENDARAAN  ELF BULAN DESEMBER 2026                                                                                                                                                                        </t>
  </si>
  <si>
    <t xml:space="preserve">                   PEMAKAIAN SOLAR MODUL / GENSET  BULAN DESEMBER 2026                                                                                                                                                                           </t>
  </si>
  <si>
    <t xml:space="preserve"> TOTALISATOR PEMAKAIAN SOLAR TERHADAP ALAT KERJA PT JICT  BULAN  DESEMBER 2026</t>
  </si>
  <si>
    <t>. HT 23, 230 Liter</t>
  </si>
  <si>
    <t>. HT 83 - 104, 230 Liter</t>
  </si>
  <si>
    <t>Tgl 14 Desember '25</t>
  </si>
  <si>
    <t>semua Uni HT diisi</t>
  </si>
  <si>
    <t>Full tanki BBM Solar</t>
  </si>
  <si>
    <t>Khusus HT</t>
  </si>
  <si>
    <t>. HT 23 Utk Alban BM</t>
  </si>
  <si>
    <t>. HT 118 Utk Behandle</t>
  </si>
  <si>
    <t xml:space="preserve">  Hasil dilapangan</t>
  </si>
  <si>
    <t xml:space="preserve">. HT 129, 130, 146, 160, </t>
  </si>
  <si>
    <t xml:space="preserve">   82, 84, 85, 86, 87, 88, </t>
  </si>
  <si>
    <t xml:space="preserve">   89, 91, 92, 94, 96, 97,</t>
  </si>
  <si>
    <t xml:space="preserve">   99, 101. 102, 103, 105,</t>
  </si>
  <si>
    <t xml:space="preserve">  106,107 . Lelang srcub</t>
  </si>
  <si>
    <t xml:space="preserve"> Total  24 Unit di Scrub</t>
  </si>
  <si>
    <t>Total HT utk OPS</t>
  </si>
  <si>
    <t xml:space="preserve"> 92 Unit</t>
  </si>
  <si>
    <t>. HT 174 - 203, 190 Liter</t>
  </si>
  <si>
    <t>. HT 204 - 216, 230 Liter</t>
  </si>
  <si>
    <t>. RTGC 16 Lapangan GS</t>
  </si>
  <si>
    <t>. RTGC 21,23,24,25 sdh</t>
  </si>
  <si>
    <t xml:space="preserve">   di Scrub via lelang</t>
  </si>
  <si>
    <t xml:space="preserve">. RTGC 29,36,42,63 </t>
  </si>
  <si>
    <t xml:space="preserve">   Posisi PM.</t>
  </si>
  <si>
    <t>RTGC/Tgl</t>
  </si>
  <si>
    <t>37.15.11</t>
  </si>
  <si>
    <t>38.14.11</t>
  </si>
  <si>
    <t>40.12.11</t>
  </si>
  <si>
    <t>41.11.11</t>
  </si>
  <si>
    <t>42.10.11</t>
  </si>
  <si>
    <t>35.17.11</t>
  </si>
  <si>
    <t>39.13.11</t>
  </si>
  <si>
    <t>92.79</t>
  </si>
  <si>
    <t>5.1</t>
  </si>
  <si>
    <t>5.2</t>
  </si>
  <si>
    <t>3.1</t>
  </si>
  <si>
    <t>10.2</t>
  </si>
  <si>
    <t>10.0</t>
  </si>
  <si>
    <t>10.1</t>
  </si>
  <si>
    <t>10.</t>
  </si>
  <si>
    <t>2.0</t>
  </si>
  <si>
    <t>2.1</t>
  </si>
  <si>
    <t>32.5</t>
  </si>
  <si>
    <t>32.3</t>
  </si>
  <si>
    <t>30.5</t>
  </si>
  <si>
    <t>30.9</t>
  </si>
  <si>
    <t>30.4</t>
  </si>
  <si>
    <t>30.7</t>
  </si>
  <si>
    <t>30.3</t>
  </si>
  <si>
    <t>30.10</t>
  </si>
  <si>
    <t>30.6</t>
  </si>
  <si>
    <t>3.3</t>
  </si>
  <si>
    <t xml:space="preserve">                                 TOTALISATOR PEMAKAIAN SOLAR TERHADAP ALAT KERJA PT JICT  BULAN  JANUARI 2026</t>
  </si>
  <si>
    <t>Terex 01</t>
  </si>
  <si>
    <t>FRK 11</t>
  </si>
  <si>
    <t>FULL</t>
  </si>
  <si>
    <t>PM</t>
  </si>
  <si>
    <t>GRAHA</t>
  </si>
  <si>
    <t>36.16.11</t>
  </si>
  <si>
    <t>32.6</t>
  </si>
  <si>
    <t>5.0</t>
  </si>
  <si>
    <t>32.1</t>
  </si>
  <si>
    <t>32.8</t>
  </si>
  <si>
    <t>FRK 22</t>
  </si>
  <si>
    <t>32.34</t>
  </si>
  <si>
    <t>RS 01</t>
  </si>
  <si>
    <t>32.4</t>
  </si>
  <si>
    <t>diisi full tank 1000 liter</t>
  </si>
  <si>
    <t xml:space="preserve">diisi 150 liter jam 09,04 </t>
  </si>
  <si>
    <t xml:space="preserve">wib ttest mesin dng </t>
  </si>
  <si>
    <t>tanki pengganti krn</t>
  </si>
  <si>
    <t xml:space="preserve">kurang solar diisikan  </t>
  </si>
  <si>
    <t xml:space="preserve">kembali 250 liter jam </t>
  </si>
  <si>
    <t>Tgl 06/01/2026 perbaikan</t>
  </si>
  <si>
    <t xml:space="preserve"> mesin dan tanki dibawa</t>
  </si>
  <si>
    <t>servis/ perbaiakan</t>
  </si>
  <si>
    <t>RTGC 62 Tgl 05/01/2026</t>
  </si>
  <si>
    <t>RTGC 62 Tgl 06/01/2026</t>
  </si>
  <si>
    <t>15,03 wib.</t>
  </si>
  <si>
    <t>30.0</t>
  </si>
  <si>
    <t>30.1</t>
  </si>
  <si>
    <t>B 9809 VE</t>
  </si>
  <si>
    <t>FRK 23</t>
  </si>
  <si>
    <t>92.76</t>
  </si>
  <si>
    <t>92.73</t>
  </si>
  <si>
    <t>92.71</t>
  </si>
  <si>
    <t>92.77</t>
  </si>
  <si>
    <t>92.75</t>
  </si>
  <si>
    <t>92.80</t>
  </si>
  <si>
    <t>92.72</t>
  </si>
  <si>
    <t>92.74</t>
  </si>
  <si>
    <t>30.2</t>
  </si>
  <si>
    <t>92.67</t>
  </si>
  <si>
    <t>92.70</t>
  </si>
  <si>
    <t xml:space="preserve">Mounth </t>
  </si>
  <si>
    <t>37.14.11</t>
  </si>
  <si>
    <t xml:space="preserve">PM </t>
  </si>
  <si>
    <t>3.2</t>
  </si>
  <si>
    <t>30.8</t>
  </si>
  <si>
    <t>33.19.11</t>
  </si>
  <si>
    <t>3.0</t>
  </si>
  <si>
    <t>34.18.11</t>
  </si>
  <si>
    <t>BUS/ TGL</t>
  </si>
  <si>
    <t>ELF  / TGL</t>
  </si>
  <si>
    <t>Minggu</t>
  </si>
  <si>
    <t>Bulan</t>
  </si>
  <si>
    <t>6.1</t>
  </si>
  <si>
    <t>11.1</t>
  </si>
  <si>
    <t>39.5</t>
  </si>
  <si>
    <t>MODUL 6/ STG 19</t>
  </si>
  <si>
    <t>MODUL 7/ STG 20</t>
  </si>
  <si>
    <t>36.17.11</t>
  </si>
  <si>
    <t>92.69</t>
  </si>
  <si>
    <t>RG 16 proses KIR diganti</t>
  </si>
  <si>
    <t xml:space="preserve">dng mobil penggati </t>
  </si>
  <si>
    <t>sementara 04/12;2026</t>
  </si>
  <si>
    <t>39.4</t>
  </si>
  <si>
    <t>92.68</t>
  </si>
  <si>
    <t>39.6</t>
  </si>
  <si>
    <t>6.0</t>
  </si>
  <si>
    <t>11.3</t>
  </si>
  <si>
    <t>11.2</t>
  </si>
  <si>
    <t>39.2</t>
  </si>
  <si>
    <t>11.0</t>
  </si>
  <si>
    <t>39.7</t>
  </si>
  <si>
    <t>B 1146 UIX</t>
  </si>
  <si>
    <t>11.</t>
  </si>
  <si>
    <t>92.78</t>
  </si>
  <si>
    <t>Truble</t>
  </si>
  <si>
    <t>11.4</t>
  </si>
  <si>
    <t>B 9516 UAU</t>
  </si>
  <si>
    <t>40,12.11</t>
  </si>
  <si>
    <t>Comp Meantenant</t>
  </si>
  <si>
    <t>39.12.12</t>
  </si>
  <si>
    <t>39.3</t>
  </si>
  <si>
    <t>LELANG</t>
  </si>
  <si>
    <t>39.12</t>
  </si>
  <si>
    <t>39.1</t>
  </si>
  <si>
    <t xml:space="preserve">. RTGC 07,26,29,36,42,63 </t>
  </si>
  <si>
    <t>39.8</t>
  </si>
  <si>
    <t>43.09.11</t>
  </si>
  <si>
    <t>Compresor</t>
  </si>
  <si>
    <t xml:space="preserve">   </t>
  </si>
  <si>
    <t>Total Bulan</t>
  </si>
  <si>
    <t>B 9631 BAY</t>
  </si>
  <si>
    <t>. RTGC 16 Disewakan ke</t>
  </si>
  <si>
    <t>Graga Segara</t>
  </si>
  <si>
    <t>. RTGC PM ---------------</t>
  </si>
  <si>
    <t>07, 26, 29, 35,36, 42, 63.</t>
  </si>
  <si>
    <t>. RTGC yg Dilelang Srucb</t>
  </si>
  <si>
    <t>. RTGC Standby status</t>
  </si>
  <si>
    <t xml:space="preserve"> full BBM Solar -----------</t>
  </si>
  <si>
    <t>05, 09,12,22,38, 43, 44.</t>
  </si>
  <si>
    <t>21, 23, 24, 25.</t>
  </si>
  <si>
    <t>43.9.11</t>
  </si>
  <si>
    <t>FRK 11 A</t>
  </si>
  <si>
    <t>3.23</t>
  </si>
  <si>
    <t>32.20.11</t>
  </si>
  <si>
    <t>Disewakan</t>
  </si>
  <si>
    <t>B 1975 HKN DM</t>
  </si>
  <si>
    <t>12.39.12</t>
  </si>
  <si>
    <t>GraHa Segara</t>
  </si>
  <si>
    <t>STOCK SOLAR  PT JICT  BULAN  APRIL 2026</t>
  </si>
  <si>
    <t>MASUK/TGL</t>
  </si>
  <si>
    <t>TANK  5 / 15 KL</t>
  </si>
  <si>
    <t xml:space="preserve">TANK  1 / 16 KL </t>
  </si>
  <si>
    <t xml:space="preserve">TANK  2 / 16 KL </t>
  </si>
  <si>
    <t xml:space="preserve">TANK  3 / 16 KL </t>
  </si>
  <si>
    <t xml:space="preserve">TANK  4 / 16 KL </t>
  </si>
  <si>
    <t>TANK  6 / 20 KL</t>
  </si>
  <si>
    <t>TANK  7 / 20 KL</t>
  </si>
  <si>
    <t>TANK  8 / 20 KL</t>
  </si>
  <si>
    <t>42.15.11</t>
  </si>
  <si>
    <t>Stock Tank</t>
  </si>
  <si>
    <t>Total Stock</t>
  </si>
  <si>
    <t>Pemakaian Solar</t>
  </si>
  <si>
    <t>Sisa stock solar</t>
  </si>
  <si>
    <t>AD 8130 OA</t>
  </si>
  <si>
    <t xml:space="preserve">Sisa bongkaran MT </t>
  </si>
  <si>
    <t>Supply Solar</t>
  </si>
  <si>
    <t>33.17.11</t>
  </si>
  <si>
    <t>B 9131 J / PMK 1</t>
  </si>
  <si>
    <t>B 9362 J  /PMK 2</t>
  </si>
  <si>
    <t>39.9</t>
  </si>
  <si>
    <t>B 9516 UAS</t>
  </si>
  <si>
    <t xml:space="preserve">Sisa bongkaran FT </t>
  </si>
  <si>
    <t>AD 8137 OA</t>
  </si>
  <si>
    <t>B 9362 J</t>
  </si>
  <si>
    <t>SCRUB</t>
  </si>
  <si>
    <t>B 9631 CAJ</t>
  </si>
  <si>
    <t>39.0</t>
  </si>
  <si>
    <t>92.64</t>
  </si>
  <si>
    <t>39.18.11</t>
  </si>
  <si>
    <t>AD 8137 OH</t>
  </si>
  <si>
    <t>12.2</t>
  </si>
  <si>
    <t>DM</t>
  </si>
  <si>
    <t>12.4</t>
  </si>
  <si>
    <t>1427,,55</t>
  </si>
  <si>
    <t>FRK 11A</t>
  </si>
  <si>
    <t>B 9337 BBF</t>
  </si>
  <si>
    <t>B 9254 BBF</t>
  </si>
  <si>
    <t>B 9934 PQ Damkar</t>
  </si>
  <si>
    <t>STOCK SOLAR  PT JICT  BULAN  JUNI 2026</t>
  </si>
  <si>
    <t>STOCK SOLAR  PT JICT  BULAN  JULI 2026</t>
  </si>
  <si>
    <t>92.0</t>
  </si>
  <si>
    <t>38.14,11</t>
  </si>
  <si>
    <t>38/14/11</t>
  </si>
  <si>
    <t>B 9561 UAS</t>
  </si>
  <si>
    <t>B 9786 BAZ/ TG 01</t>
  </si>
  <si>
    <t xml:space="preserve">D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</si>
</sst>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0.000"/>
    <numFmt numFmtId="166" formatCode="0.0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charset val="1"/>
      <scheme val="minor"/>
    </font>
    <font>
      <b/>
      <i/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595C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0" fillId="0" borderId="0" applyFont="0" applyFill="0" applyBorder="0" applyAlignment="0" applyProtection="0"/>
    <xf numFmtId="0" fontId="36" fillId="15" borderId="0" applyNumberFormat="0" applyBorder="0" applyAlignment="0" applyProtection="0"/>
    <xf numFmtId="0" fontId="37" fillId="16" borderId="0" applyNumberFormat="0" applyBorder="0" applyAlignment="0" applyProtection="0"/>
    <xf numFmtId="0" fontId="38" fillId="17" borderId="0" applyNumberFormat="0" applyBorder="0" applyAlignment="0" applyProtection="0"/>
  </cellStyleXfs>
  <cellXfs count="1011">
    <xf numFmtId="0" fontId="0" fillId="0" borderId="0" xfId="0"/>
    <xf numFmtId="2" fontId="1" fillId="0" borderId="1" xfId="0" applyNumberFormat="1" applyFont="1" applyBorder="1"/>
    <xf numFmtId="0" fontId="0" fillId="0" borderId="1" xfId="0" applyBorder="1"/>
    <xf numFmtId="0" fontId="0" fillId="2" borderId="1" xfId="0" applyFill="1" applyBorder="1"/>
    <xf numFmtId="0" fontId="11" fillId="2" borderId="3" xfId="0" applyFont="1" applyFill="1" applyBorder="1"/>
    <xf numFmtId="0" fontId="11" fillId="2" borderId="4" xfId="0" applyFont="1" applyFill="1" applyBorder="1"/>
    <xf numFmtId="14" fontId="11" fillId="0" borderId="1" xfId="0" applyNumberFormat="1" applyFont="1" applyBorder="1"/>
    <xf numFmtId="4" fontId="11" fillId="0" borderId="1" xfId="0" applyNumberFormat="1" applyFont="1" applyBorder="1"/>
    <xf numFmtId="14" fontId="11" fillId="0" borderId="1" xfId="0" applyNumberFormat="1" applyFont="1" applyBorder="1" applyAlignment="1">
      <alignment horizontal="right"/>
    </xf>
    <xf numFmtId="0" fontId="12" fillId="2" borderId="1" xfId="0" applyFont="1" applyFill="1" applyBorder="1"/>
    <xf numFmtId="4" fontId="13" fillId="2" borderId="1" xfId="0" applyNumberFormat="1" applyFont="1" applyFill="1" applyBorder="1"/>
    <xf numFmtId="0" fontId="1" fillId="4" borderId="10" xfId="0" applyFont="1" applyFill="1" applyBorder="1" applyAlignment="1">
      <alignment horizontal="center"/>
    </xf>
    <xf numFmtId="2" fontId="1" fillId="3" borderId="1" xfId="0" applyNumberFormat="1" applyFont="1" applyFill="1" applyBorder="1"/>
    <xf numFmtId="2" fontId="0" fillId="0" borderId="0" xfId="0" applyNumberFormat="1"/>
    <xf numFmtId="2" fontId="1" fillId="2" borderId="3" xfId="0" applyNumberFormat="1" applyFont="1" applyFill="1" applyBorder="1"/>
    <xf numFmtId="0" fontId="6" fillId="3" borderId="0" xfId="0" applyFont="1" applyFill="1" applyBorder="1"/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0" fillId="3" borderId="0" xfId="0" applyFill="1" applyBorder="1"/>
    <xf numFmtId="0" fontId="3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1" fillId="3" borderId="0" xfId="0" applyFont="1" applyFill="1" applyBorder="1"/>
    <xf numFmtId="2" fontId="1" fillId="3" borderId="0" xfId="0" applyNumberFormat="1" applyFont="1" applyFill="1" applyBorder="1"/>
    <xf numFmtId="2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2" fontId="7" fillId="3" borderId="0" xfId="0" applyNumberFormat="1" applyFont="1" applyFill="1" applyBorder="1"/>
    <xf numFmtId="2" fontId="0" fillId="3" borderId="0" xfId="0" applyNumberFormat="1" applyFill="1" applyBorder="1"/>
    <xf numFmtId="0" fontId="8" fillId="3" borderId="0" xfId="0" applyFont="1" applyFill="1" applyBorder="1" applyAlignment="1">
      <alignment horizontal="right"/>
    </xf>
    <xf numFmtId="0" fontId="5" fillId="6" borderId="16" xfId="0" applyFont="1" applyFill="1" applyBorder="1" applyAlignment="1">
      <alignment horizontal="center"/>
    </xf>
    <xf numFmtId="2" fontId="7" fillId="6" borderId="1" xfId="0" applyNumberFormat="1" applyFont="1" applyFill="1" applyBorder="1"/>
    <xf numFmtId="2" fontId="1" fillId="6" borderId="1" xfId="0" applyNumberFormat="1" applyFont="1" applyFill="1" applyBorder="1"/>
    <xf numFmtId="0" fontId="0" fillId="6" borderId="1" xfId="0" applyFill="1" applyBorder="1"/>
    <xf numFmtId="0" fontId="0" fillId="2" borderId="3" xfId="0" applyFill="1" applyBorder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2" xfId="0" applyBorder="1"/>
    <xf numFmtId="0" fontId="0" fillId="6" borderId="2" xfId="0" applyFill="1" applyBorder="1"/>
    <xf numFmtId="0" fontId="0" fillId="2" borderId="19" xfId="0" applyFill="1" applyBorder="1"/>
    <xf numFmtId="2" fontId="14" fillId="6" borderId="2" xfId="0" applyNumberFormat="1" applyFont="1" applyFill="1" applyBorder="1"/>
    <xf numFmtId="0" fontId="14" fillId="2" borderId="19" xfId="0" applyFont="1" applyFill="1" applyBorder="1"/>
    <xf numFmtId="2" fontId="14" fillId="6" borderId="1" xfId="0" applyNumberFormat="1" applyFont="1" applyFill="1" applyBorder="1"/>
    <xf numFmtId="0" fontId="14" fillId="2" borderId="3" xfId="0" applyFont="1" applyFill="1" applyBorder="1"/>
    <xf numFmtId="0" fontId="5" fillId="6" borderId="1" xfId="0" applyFont="1" applyFill="1" applyBorder="1" applyAlignment="1">
      <alignment horizontal="center"/>
    </xf>
    <xf numFmtId="2" fontId="14" fillId="4" borderId="13" xfId="0" applyNumberFormat="1" applyFont="1" applyFill="1" applyBorder="1"/>
    <xf numFmtId="2" fontId="14" fillId="6" borderId="13" xfId="0" applyNumberFormat="1" applyFont="1" applyFill="1" applyBorder="1"/>
    <xf numFmtId="0" fontId="0" fillId="0" borderId="3" xfId="0" applyBorder="1"/>
    <xf numFmtId="0" fontId="14" fillId="4" borderId="8" xfId="0" applyFont="1" applyFill="1" applyBorder="1" applyAlignment="1">
      <alignment horizontal="center"/>
    </xf>
    <xf numFmtId="0" fontId="14" fillId="4" borderId="9" xfId="0" applyFont="1" applyFill="1" applyBorder="1" applyAlignment="1">
      <alignment horizontal="center"/>
    </xf>
    <xf numFmtId="2" fontId="1" fillId="0" borderId="3" xfId="0" applyNumberFormat="1" applyFont="1" applyBorder="1"/>
    <xf numFmtId="0" fontId="0" fillId="6" borderId="21" xfId="0" applyFill="1" applyBorder="1"/>
    <xf numFmtId="2" fontId="6" fillId="0" borderId="1" xfId="0" applyNumberFormat="1" applyFont="1" applyBorder="1"/>
    <xf numFmtId="2" fontId="6" fillId="0" borderId="3" xfId="0" applyNumberFormat="1" applyFont="1" applyBorder="1"/>
    <xf numFmtId="0" fontId="14" fillId="0" borderId="1" xfId="0" applyFont="1" applyBorder="1"/>
    <xf numFmtId="0" fontId="14" fillId="0" borderId="3" xfId="0" applyFont="1" applyBorder="1"/>
    <xf numFmtId="0" fontId="1" fillId="4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1" fillId="3" borderId="0" xfId="0" applyFont="1" applyFill="1" applyBorder="1"/>
    <xf numFmtId="14" fontId="11" fillId="3" borderId="0" xfId="0" applyNumberFormat="1" applyFont="1" applyFill="1" applyBorder="1"/>
    <xf numFmtId="4" fontId="11" fillId="3" borderId="0" xfId="0" applyNumberFormat="1" applyFont="1" applyFill="1" applyBorder="1"/>
    <xf numFmtId="0" fontId="12" fillId="3" borderId="0" xfId="0" applyFont="1" applyFill="1" applyBorder="1"/>
    <xf numFmtId="4" fontId="13" fillId="3" borderId="0" xfId="0" applyNumberFormat="1" applyFont="1" applyFill="1" applyBorder="1"/>
    <xf numFmtId="2" fontId="6" fillId="3" borderId="0" xfId="0" applyNumberFormat="1" applyFont="1" applyFill="1" applyBorder="1"/>
    <xf numFmtId="2" fontId="6" fillId="3" borderId="0" xfId="0" applyNumberFormat="1" applyFont="1" applyFill="1" applyBorder="1" applyAlignment="1">
      <alignment horizontal="right"/>
    </xf>
    <xf numFmtId="2" fontId="6" fillId="3" borderId="0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2" fontId="1" fillId="3" borderId="0" xfId="0" applyNumberFormat="1" applyFont="1" applyFill="1" applyBorder="1" applyAlignment="1">
      <alignment horizontal="center"/>
    </xf>
    <xf numFmtId="2" fontId="1" fillId="3" borderId="0" xfId="0" applyNumberFormat="1" applyFont="1" applyFill="1" applyBorder="1" applyAlignment="1">
      <alignment horizontal="center" vertical="center"/>
    </xf>
    <xf numFmtId="2" fontId="7" fillId="3" borderId="0" xfId="0" applyNumberFormat="1" applyFont="1" applyFill="1" applyBorder="1" applyAlignment="1">
      <alignment horizontal="center"/>
    </xf>
    <xf numFmtId="165" fontId="7" fillId="3" borderId="0" xfId="0" applyNumberFormat="1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center" vertical="center"/>
    </xf>
    <xf numFmtId="165" fontId="1" fillId="3" borderId="0" xfId="0" applyNumberFormat="1" applyFont="1" applyFill="1" applyBorder="1" applyAlignment="1">
      <alignment horizontal="center"/>
    </xf>
    <xf numFmtId="2" fontId="15" fillId="3" borderId="0" xfId="0" applyNumberFormat="1" applyFont="1" applyFill="1" applyBorder="1" applyAlignment="1">
      <alignment horizontal="center"/>
    </xf>
    <xf numFmtId="2" fontId="15" fillId="3" borderId="0" xfId="0" applyNumberFormat="1" applyFont="1" applyFill="1" applyBorder="1"/>
    <xf numFmtId="14" fontId="1" fillId="3" borderId="0" xfId="0" applyNumberFormat="1" applyFont="1" applyFill="1" applyBorder="1"/>
    <xf numFmtId="2" fontId="5" fillId="3" borderId="0" xfId="0" applyNumberFormat="1" applyFont="1" applyFill="1" applyBorder="1"/>
    <xf numFmtId="14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/>
    <xf numFmtId="2" fontId="1" fillId="3" borderId="0" xfId="1" applyNumberFormat="1" applyFont="1" applyFill="1" applyBorder="1"/>
    <xf numFmtId="0" fontId="6" fillId="3" borderId="0" xfId="0" applyFont="1" applyFill="1" applyBorder="1" applyAlignment="1">
      <alignment horizontal="right"/>
    </xf>
    <xf numFmtId="1" fontId="6" fillId="3" borderId="0" xfId="0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4" fontId="1" fillId="3" borderId="0" xfId="0" applyNumberFormat="1" applyFont="1" applyFill="1" applyBorder="1"/>
    <xf numFmtId="4" fontId="14" fillId="3" borderId="0" xfId="0" applyNumberFormat="1" applyFont="1" applyFill="1" applyBorder="1" applyAlignment="1">
      <alignment horizontal="right"/>
    </xf>
    <xf numFmtId="4" fontId="1" fillId="3" borderId="0" xfId="0" applyNumberFormat="1" applyFont="1" applyFill="1" applyBorder="1" applyAlignment="1">
      <alignment horizontal="right"/>
    </xf>
    <xf numFmtId="4" fontId="14" fillId="3" borderId="0" xfId="0" applyNumberFormat="1" applyFont="1" applyFill="1" applyBorder="1"/>
    <xf numFmtId="4" fontId="5" fillId="3" borderId="0" xfId="0" applyNumberFormat="1" applyFont="1" applyFill="1" applyBorder="1"/>
    <xf numFmtId="4" fontId="11" fillId="3" borderId="0" xfId="0" applyNumberFormat="1" applyFont="1" applyFill="1" applyBorder="1" applyAlignment="1">
      <alignment horizontal="right"/>
    </xf>
    <xf numFmtId="14" fontId="11" fillId="3" borderId="0" xfId="0" applyNumberFormat="1" applyFont="1" applyFill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2" fontId="1" fillId="0" borderId="1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6" fillId="5" borderId="1" xfId="0" applyNumberFormat="1" applyFont="1" applyFill="1" applyBorder="1" applyAlignment="1">
      <alignment horizontal="center"/>
    </xf>
    <xf numFmtId="2" fontId="0" fillId="5" borderId="2" xfId="0" applyNumberFormat="1" applyFill="1" applyBorder="1"/>
    <xf numFmtId="0" fontId="0" fillId="5" borderId="1" xfId="0" applyFill="1" applyBorder="1"/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0" fillId="5" borderId="2" xfId="0" applyFill="1" applyBorder="1"/>
    <xf numFmtId="2" fontId="6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19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7" fillId="2" borderId="1" xfId="0" applyFont="1" applyFill="1" applyBorder="1"/>
    <xf numFmtId="2" fontId="7" fillId="2" borderId="1" xfId="0" applyNumberFormat="1" applyFont="1" applyFill="1" applyBorder="1"/>
    <xf numFmtId="0" fontId="7" fillId="2" borderId="2" xfId="0" applyFont="1" applyFill="1" applyBorder="1"/>
    <xf numFmtId="2" fontId="1" fillId="0" borderId="2" xfId="0" applyNumberFormat="1" applyFont="1" applyBorder="1"/>
    <xf numFmtId="2" fontId="14" fillId="3" borderId="1" xfId="0" applyNumberFormat="1" applyFont="1" applyFill="1" applyBorder="1"/>
    <xf numFmtId="2" fontId="14" fillId="3" borderId="3" xfId="0" applyNumberFormat="1" applyFont="1" applyFill="1" applyBorder="1"/>
    <xf numFmtId="2" fontId="1" fillId="6" borderId="2" xfId="0" applyNumberFormat="1" applyFont="1" applyFill="1" applyBorder="1"/>
    <xf numFmtId="2" fontId="6" fillId="6" borderId="2" xfId="0" applyNumberFormat="1" applyFont="1" applyFill="1" applyBorder="1"/>
    <xf numFmtId="2" fontId="7" fillId="2" borderId="2" xfId="0" applyNumberFormat="1" applyFont="1" applyFill="1" applyBorder="1"/>
    <xf numFmtId="0" fontId="9" fillId="3" borderId="0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4" fillId="2" borderId="1" xfId="0" applyFont="1" applyFill="1" applyBorder="1"/>
    <xf numFmtId="0" fontId="14" fillId="3" borderId="1" xfId="0" applyFont="1" applyFill="1" applyBorder="1" applyAlignment="1">
      <alignment horizontal="center"/>
    </xf>
    <xf numFmtId="2" fontId="6" fillId="3" borderId="1" xfId="0" applyNumberFormat="1" applyFont="1" applyFill="1" applyBorder="1"/>
    <xf numFmtId="0" fontId="1" fillId="3" borderId="0" xfId="0" applyFont="1" applyFill="1" applyBorder="1" applyAlignment="1">
      <alignment horizontal="left"/>
    </xf>
    <xf numFmtId="2" fontId="14" fillId="3" borderId="0" xfId="0" applyNumberFormat="1" applyFont="1" applyFill="1" applyBorder="1"/>
    <xf numFmtId="0" fontId="14" fillId="3" borderId="0" xfId="0" applyFont="1" applyFill="1" applyBorder="1" applyAlignment="1">
      <alignment horizontal="center"/>
    </xf>
    <xf numFmtId="0" fontId="14" fillId="3" borderId="0" xfId="0" applyFont="1" applyFill="1" applyBorder="1"/>
    <xf numFmtId="2" fontId="17" fillId="3" borderId="0" xfId="0" applyNumberFormat="1" applyFont="1" applyFill="1" applyBorder="1" applyAlignment="1">
      <alignment horizontal="center"/>
    </xf>
    <xf numFmtId="2" fontId="17" fillId="3" borderId="0" xfId="0" applyNumberFormat="1" applyFont="1" applyFill="1" applyBorder="1"/>
    <xf numFmtId="0" fontId="17" fillId="3" borderId="0" xfId="0" applyFont="1" applyFill="1" applyBorder="1" applyAlignment="1">
      <alignment horizontal="center"/>
    </xf>
    <xf numFmtId="0" fontId="17" fillId="3" borderId="0" xfId="0" applyFont="1" applyFill="1" applyBorder="1"/>
    <xf numFmtId="0" fontId="9" fillId="3" borderId="0" xfId="0" applyFont="1" applyFill="1" applyBorder="1" applyAlignment="1">
      <alignment horizontal="left"/>
    </xf>
    <xf numFmtId="0" fontId="20" fillId="3" borderId="0" xfId="0" applyFont="1" applyFill="1" applyBorder="1"/>
    <xf numFmtId="0" fontId="8" fillId="3" borderId="0" xfId="0" applyFont="1" applyFill="1" applyBorder="1"/>
    <xf numFmtId="2" fontId="19" fillId="3" borderId="0" xfId="0" applyNumberFormat="1" applyFont="1" applyFill="1" applyBorder="1"/>
    <xf numFmtId="0" fontId="19" fillId="3" borderId="0" xfId="0" applyFont="1" applyFill="1" applyBorder="1"/>
    <xf numFmtId="2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/>
    <xf numFmtId="2" fontId="1" fillId="3" borderId="2" xfId="0" applyNumberFormat="1" applyFont="1" applyFill="1" applyBorder="1"/>
    <xf numFmtId="0" fontId="1" fillId="7" borderId="1" xfId="0" applyFont="1" applyFill="1" applyBorder="1" applyAlignment="1">
      <alignment horizontal="center"/>
    </xf>
    <xf numFmtId="0" fontId="6" fillId="3" borderId="1" xfId="0" applyFont="1" applyFill="1" applyBorder="1"/>
    <xf numFmtId="0" fontId="16" fillId="3" borderId="1" xfId="0" applyFont="1" applyFill="1" applyBorder="1" applyAlignment="1">
      <alignment horizontal="center"/>
    </xf>
    <xf numFmtId="2" fontId="6" fillId="6" borderId="1" xfId="0" applyNumberFormat="1" applyFont="1" applyFill="1" applyBorder="1"/>
    <xf numFmtId="2" fontId="6" fillId="6" borderId="13" xfId="0" applyNumberFormat="1" applyFont="1" applyFill="1" applyBorder="1"/>
    <xf numFmtId="2" fontId="16" fillId="3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/>
    <xf numFmtId="0" fontId="6" fillId="0" borderId="1" xfId="0" applyFont="1" applyBorder="1"/>
    <xf numFmtId="2" fontId="6" fillId="3" borderId="2" xfId="0" applyNumberFormat="1" applyFont="1" applyFill="1" applyBorder="1" applyAlignment="1">
      <alignment horizontal="center"/>
    </xf>
    <xf numFmtId="2" fontId="6" fillId="4" borderId="13" xfId="0" applyNumberFormat="1" applyFont="1" applyFill="1" applyBorder="1"/>
    <xf numFmtId="0" fontId="6" fillId="3" borderId="2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0" fontId="0" fillId="2" borderId="35" xfId="0" applyFill="1" applyBorder="1"/>
    <xf numFmtId="0" fontId="17" fillId="4" borderId="1" xfId="0" applyFont="1" applyFill="1" applyBorder="1" applyAlignment="1">
      <alignment horizontal="center"/>
    </xf>
    <xf numFmtId="0" fontId="20" fillId="2" borderId="1" xfId="0" applyFont="1" applyFill="1" applyBorder="1"/>
    <xf numFmtId="0" fontId="6" fillId="3" borderId="2" xfId="0" applyFont="1" applyFill="1" applyBorder="1"/>
    <xf numFmtId="0" fontId="6" fillId="7" borderId="1" xfId="0" applyFont="1" applyFill="1" applyBorder="1"/>
    <xf numFmtId="2" fontId="1" fillId="0" borderId="1" xfId="0" applyNumberFormat="1" applyFont="1" applyBorder="1" applyAlignment="1">
      <alignment horizontal="right"/>
    </xf>
    <xf numFmtId="2" fontId="7" fillId="9" borderId="1" xfId="0" applyNumberFormat="1" applyFont="1" applyFill="1" applyBorder="1" applyAlignment="1">
      <alignment horizontal="center"/>
    </xf>
    <xf numFmtId="2" fontId="6" fillId="3" borderId="2" xfId="0" applyNumberFormat="1" applyFont="1" applyFill="1" applyBorder="1"/>
    <xf numFmtId="0" fontId="1" fillId="7" borderId="1" xfId="0" applyFont="1" applyFill="1" applyBorder="1"/>
    <xf numFmtId="0" fontId="6" fillId="0" borderId="2" xfId="0" applyFont="1" applyBorder="1"/>
    <xf numFmtId="2" fontId="6" fillId="0" borderId="2" xfId="0" applyNumberFormat="1" applyFont="1" applyBorder="1"/>
    <xf numFmtId="2" fontId="6" fillId="2" borderId="1" xfId="0" applyNumberFormat="1" applyFont="1" applyFill="1" applyBorder="1"/>
    <xf numFmtId="2" fontId="1" fillId="0" borderId="0" xfId="0" applyNumberFormat="1" applyFont="1" applyBorder="1"/>
    <xf numFmtId="0" fontId="1" fillId="0" borderId="0" xfId="0" applyFont="1" applyBorder="1"/>
    <xf numFmtId="0" fontId="1" fillId="5" borderId="1" xfId="0" applyFont="1" applyFill="1" applyBorder="1" applyAlignment="1">
      <alignment horizontal="center"/>
    </xf>
    <xf numFmtId="0" fontId="0" fillId="4" borderId="1" xfId="0" applyFont="1" applyFill="1" applyBorder="1"/>
    <xf numFmtId="0" fontId="0" fillId="2" borderId="18" xfId="0" applyFill="1" applyBorder="1"/>
    <xf numFmtId="2" fontId="7" fillId="0" borderId="1" xfId="0" applyNumberFormat="1" applyFont="1" applyBorder="1"/>
    <xf numFmtId="0" fontId="25" fillId="0" borderId="0" xfId="0" applyFont="1"/>
    <xf numFmtId="0" fontId="24" fillId="0" borderId="0" xfId="0" applyFont="1"/>
    <xf numFmtId="0" fontId="26" fillId="0" borderId="0" xfId="0" applyFont="1"/>
    <xf numFmtId="2" fontId="24" fillId="0" borderId="0" xfId="0" applyNumberFormat="1" applyFont="1"/>
    <xf numFmtId="2" fontId="7" fillId="0" borderId="0" xfId="0" applyNumberFormat="1" applyFont="1" applyBorder="1"/>
    <xf numFmtId="2" fontId="6" fillId="4" borderId="13" xfId="0" applyNumberFormat="1" applyFont="1" applyFill="1" applyBorder="1" applyAlignment="1">
      <alignment horizontal="center"/>
    </xf>
    <xf numFmtId="0" fontId="14" fillId="4" borderId="2" xfId="0" applyFont="1" applyFill="1" applyBorder="1"/>
    <xf numFmtId="0" fontId="7" fillId="0" borderId="1" xfId="0" applyFont="1" applyBorder="1"/>
    <xf numFmtId="0" fontId="5" fillId="4" borderId="16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3" borderId="0" xfId="0" applyFill="1"/>
    <xf numFmtId="0" fontId="0" fillId="7" borderId="1" xfId="0" applyFill="1" applyBorder="1"/>
    <xf numFmtId="0" fontId="6" fillId="4" borderId="16" xfId="0" applyFont="1" applyFill="1" applyBorder="1" applyAlignment="1">
      <alignment horizontal="center"/>
    </xf>
    <xf numFmtId="2" fontId="6" fillId="4" borderId="36" xfId="0" applyNumberFormat="1" applyFont="1" applyFill="1" applyBorder="1"/>
    <xf numFmtId="0" fontId="1" fillId="0" borderId="2" xfId="0" applyFont="1" applyBorder="1" applyAlignment="1">
      <alignment horizontal="right"/>
    </xf>
    <xf numFmtId="0" fontId="28" fillId="10" borderId="12" xfId="0" applyFont="1" applyFill="1" applyBorder="1" applyAlignment="1"/>
    <xf numFmtId="0" fontId="6" fillId="7" borderId="1" xfId="0" applyFont="1" applyFill="1" applyBorder="1" applyAlignment="1">
      <alignment horizontal="center"/>
    </xf>
    <xf numFmtId="2" fontId="1" fillId="7" borderId="1" xfId="0" applyNumberFormat="1" applyFont="1" applyFill="1" applyBorder="1"/>
    <xf numFmtId="0" fontId="0" fillId="7" borderId="2" xfId="0" applyFill="1" applyBorder="1"/>
    <xf numFmtId="2" fontId="6" fillId="7" borderId="1" xfId="0" applyNumberFormat="1" applyFont="1" applyFill="1" applyBorder="1"/>
    <xf numFmtId="0" fontId="6" fillId="7" borderId="2" xfId="0" applyFont="1" applyFill="1" applyBorder="1"/>
    <xf numFmtId="0" fontId="0" fillId="7" borderId="16" xfId="0" applyFill="1" applyBorder="1"/>
    <xf numFmtId="0" fontId="20" fillId="7" borderId="24" xfId="0" applyFont="1" applyFill="1" applyBorder="1"/>
    <xf numFmtId="0" fontId="20" fillId="7" borderId="12" xfId="0" applyFont="1" applyFill="1" applyBorder="1"/>
    <xf numFmtId="0" fontId="0" fillId="7" borderId="12" xfId="0" applyFill="1" applyBorder="1"/>
    <xf numFmtId="0" fontId="1" fillId="0" borderId="1" xfId="0" applyFont="1" applyBorder="1" applyAlignment="1">
      <alignment horizontal="right"/>
    </xf>
    <xf numFmtId="0" fontId="29" fillId="9" borderId="1" xfId="0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right"/>
    </xf>
    <xf numFmtId="0" fontId="7" fillId="9" borderId="1" xfId="0" applyFont="1" applyFill="1" applyBorder="1" applyAlignment="1">
      <alignment horizontal="center"/>
    </xf>
    <xf numFmtId="0" fontId="0" fillId="2" borderId="38" xfId="0" applyFill="1" applyBorder="1"/>
    <xf numFmtId="0" fontId="0" fillId="3" borderId="38" xfId="0" applyFill="1" applyBorder="1"/>
    <xf numFmtId="0" fontId="0" fillId="2" borderId="0" xfId="0" applyFill="1"/>
    <xf numFmtId="0" fontId="0" fillId="0" borderId="4" xfId="0" applyBorder="1"/>
    <xf numFmtId="0" fontId="28" fillId="10" borderId="36" xfId="0" applyFont="1" applyFill="1" applyBorder="1" applyAlignment="1"/>
    <xf numFmtId="0" fontId="0" fillId="0" borderId="0" xfId="0" applyFont="1" applyBorder="1"/>
    <xf numFmtId="2" fontId="21" fillId="6" borderId="13" xfId="0" applyNumberFormat="1" applyFont="1" applyFill="1" applyBorder="1"/>
    <xf numFmtId="0" fontId="1" fillId="4" borderId="36" xfId="0" applyFont="1" applyFill="1" applyBorder="1" applyAlignment="1">
      <alignment horizontal="center"/>
    </xf>
    <xf numFmtId="0" fontId="0" fillId="7" borderId="30" xfId="0" applyFill="1" applyBorder="1"/>
    <xf numFmtId="0" fontId="0" fillId="7" borderId="20" xfId="0" applyFill="1" applyBorder="1"/>
    <xf numFmtId="0" fontId="0" fillId="7" borderId="21" xfId="0" applyFill="1" applyBorder="1"/>
    <xf numFmtId="2" fontId="1" fillId="7" borderId="21" xfId="0" applyNumberFormat="1" applyFont="1" applyFill="1" applyBorder="1"/>
    <xf numFmtId="2" fontId="0" fillId="7" borderId="21" xfId="0" applyNumberFormat="1" applyFill="1" applyBorder="1"/>
    <xf numFmtId="0" fontId="0" fillId="7" borderId="40" xfId="0" applyFill="1" applyBorder="1"/>
    <xf numFmtId="0" fontId="0" fillId="7" borderId="32" xfId="0" applyFill="1" applyBorder="1"/>
    <xf numFmtId="0" fontId="9" fillId="4" borderId="7" xfId="0" applyFont="1" applyFill="1" applyBorder="1" applyAlignment="1">
      <alignment horizontal="center"/>
    </xf>
    <xf numFmtId="2" fontId="6" fillId="4" borderId="8" xfId="0" applyNumberFormat="1" applyFont="1" applyFill="1" applyBorder="1"/>
    <xf numFmtId="2" fontId="21" fillId="4" borderId="8" xfId="0" applyNumberFormat="1" applyFont="1" applyFill="1" applyBorder="1"/>
    <xf numFmtId="2" fontId="1" fillId="4" borderId="8" xfId="0" applyNumberFormat="1" applyFont="1" applyFill="1" applyBorder="1"/>
    <xf numFmtId="2" fontId="30" fillId="4" borderId="8" xfId="0" applyNumberFormat="1" applyFont="1" applyFill="1" applyBorder="1"/>
    <xf numFmtId="0" fontId="0" fillId="4" borderId="39" xfId="0" applyFill="1" applyBorder="1"/>
    <xf numFmtId="2" fontId="21" fillId="3" borderId="1" xfId="0" applyNumberFormat="1" applyFont="1" applyFill="1" applyBorder="1"/>
    <xf numFmtId="0" fontId="21" fillId="3" borderId="1" xfId="0" applyFont="1" applyFill="1" applyBorder="1"/>
    <xf numFmtId="2" fontId="9" fillId="3" borderId="1" xfId="0" applyNumberFormat="1" applyFont="1" applyFill="1" applyBorder="1"/>
    <xf numFmtId="2" fontId="27" fillId="3" borderId="2" xfId="0" applyNumberFormat="1" applyFont="1" applyFill="1" applyBorder="1"/>
    <xf numFmtId="0" fontId="6" fillId="3" borderId="1" xfId="0" applyFont="1" applyFill="1" applyBorder="1" applyAlignment="1">
      <alignment horizontal="right"/>
    </xf>
    <xf numFmtId="2" fontId="6" fillId="4" borderId="13" xfId="0" applyNumberFormat="1" applyFont="1" applyFill="1" applyBorder="1" applyAlignment="1">
      <alignment horizontal="right"/>
    </xf>
    <xf numFmtId="2" fontId="6" fillId="3" borderId="1" xfId="0" applyNumberFormat="1" applyFont="1" applyFill="1" applyBorder="1" applyAlignment="1">
      <alignment horizontal="right"/>
    </xf>
    <xf numFmtId="0" fontId="0" fillId="0" borderId="19" xfId="0" applyBorder="1"/>
    <xf numFmtId="0" fontId="20" fillId="6" borderId="1" xfId="0" applyFont="1" applyFill="1" applyBorder="1"/>
    <xf numFmtId="2" fontId="14" fillId="3" borderId="2" xfId="0" applyNumberFormat="1" applyFont="1" applyFill="1" applyBorder="1"/>
    <xf numFmtId="2" fontId="14" fillId="3" borderId="19" xfId="0" applyNumberFormat="1" applyFont="1" applyFill="1" applyBorder="1"/>
    <xf numFmtId="0" fontId="14" fillId="3" borderId="1" xfId="0" applyFont="1" applyFill="1" applyBorder="1" applyAlignment="1">
      <alignment horizontal="right"/>
    </xf>
    <xf numFmtId="2" fontId="21" fillId="4" borderId="8" xfId="0" applyNumberFormat="1" applyFont="1" applyFill="1" applyBorder="1" applyAlignment="1">
      <alignment horizontal="right"/>
    </xf>
    <xf numFmtId="2" fontId="21" fillId="6" borderId="8" xfId="0" applyNumberFormat="1" applyFont="1" applyFill="1" applyBorder="1"/>
    <xf numFmtId="0" fontId="31" fillId="2" borderId="6" xfId="0" applyFont="1" applyFill="1" applyBorder="1"/>
    <xf numFmtId="0" fontId="31" fillId="2" borderId="14" xfId="0" applyFont="1" applyFill="1" applyBorder="1"/>
    <xf numFmtId="0" fontId="11" fillId="2" borderId="25" xfId="0" applyFont="1" applyFill="1" applyBorder="1"/>
    <xf numFmtId="0" fontId="11" fillId="2" borderId="26" xfId="0" applyFont="1" applyFill="1" applyBorder="1"/>
    <xf numFmtId="0" fontId="31" fillId="2" borderId="26" xfId="0" applyFont="1" applyFill="1" applyBorder="1"/>
    <xf numFmtId="0" fontId="31" fillId="2" borderId="1" xfId="0" applyFont="1" applyFill="1" applyBorder="1"/>
    <xf numFmtId="0" fontId="11" fillId="2" borderId="5" xfId="0" applyFont="1" applyFill="1" applyBorder="1"/>
    <xf numFmtId="0" fontId="11" fillId="2" borderId="6" xfId="0" applyFont="1" applyFill="1" applyBorder="1"/>
    <xf numFmtId="0" fontId="12" fillId="2" borderId="26" xfId="0" applyFont="1" applyFill="1" applyBorder="1"/>
    <xf numFmtId="0" fontId="31" fillId="2" borderId="27" xfId="0" applyFont="1" applyFill="1" applyBorder="1"/>
    <xf numFmtId="0" fontId="31" fillId="2" borderId="16" xfId="0" applyFont="1" applyFill="1" applyBorder="1"/>
    <xf numFmtId="0" fontId="31" fillId="2" borderId="18" xfId="0" applyFont="1" applyFill="1" applyBorder="1"/>
    <xf numFmtId="0" fontId="0" fillId="6" borderId="13" xfId="0" applyFill="1" applyBorder="1"/>
    <xf numFmtId="0" fontId="0" fillId="4" borderId="42" xfId="0" applyFill="1" applyBorder="1"/>
    <xf numFmtId="0" fontId="1" fillId="7" borderId="20" xfId="0" applyFont="1" applyFill="1" applyBorder="1"/>
    <xf numFmtId="0" fontId="1" fillId="7" borderId="21" xfId="0" applyFont="1" applyFill="1" applyBorder="1" applyAlignment="1">
      <alignment horizontal="center"/>
    </xf>
    <xf numFmtId="0" fontId="14" fillId="4" borderId="42" xfId="0" applyFont="1" applyFill="1" applyBorder="1"/>
    <xf numFmtId="0" fontId="8" fillId="3" borderId="2" xfId="0" applyFont="1" applyFill="1" applyBorder="1"/>
    <xf numFmtId="0" fontId="9" fillId="3" borderId="2" xfId="0" applyFont="1" applyFill="1" applyBorder="1"/>
    <xf numFmtId="0" fontId="20" fillId="6" borderId="2" xfId="0" applyFont="1" applyFill="1" applyBorder="1"/>
    <xf numFmtId="0" fontId="20" fillId="3" borderId="2" xfId="0" applyFont="1" applyFill="1" applyBorder="1"/>
    <xf numFmtId="0" fontId="20" fillId="2" borderId="2" xfId="0" applyFont="1" applyFill="1" applyBorder="1"/>
    <xf numFmtId="0" fontId="9" fillId="7" borderId="20" xfId="0" applyFont="1" applyFill="1" applyBorder="1"/>
    <xf numFmtId="0" fontId="20" fillId="7" borderId="21" xfId="0" applyFont="1" applyFill="1" applyBorder="1"/>
    <xf numFmtId="2" fontId="8" fillId="3" borderId="2" xfId="0" applyNumberFormat="1" applyFont="1" applyFill="1" applyBorder="1"/>
    <xf numFmtId="2" fontId="9" fillId="3" borderId="2" xfId="0" applyNumberFormat="1" applyFont="1" applyFill="1" applyBorder="1"/>
    <xf numFmtId="0" fontId="11" fillId="2" borderId="44" xfId="0" applyFont="1" applyFill="1" applyBorder="1"/>
    <xf numFmtId="2" fontId="6" fillId="4" borderId="28" xfId="0" applyNumberFormat="1" applyFont="1" applyFill="1" applyBorder="1"/>
    <xf numFmtId="0" fontId="0" fillId="6" borderId="28" xfId="0" applyFill="1" applyBorder="1"/>
    <xf numFmtId="0" fontId="0" fillId="4" borderId="35" xfId="0" applyFill="1" applyBorder="1"/>
    <xf numFmtId="0" fontId="9" fillId="4" borderId="31" xfId="0" applyFont="1" applyFill="1" applyBorder="1" applyAlignment="1">
      <alignment horizontal="center"/>
    </xf>
    <xf numFmtId="0" fontId="9" fillId="4" borderId="41" xfId="0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right"/>
    </xf>
    <xf numFmtId="0" fontId="0" fillId="4" borderId="29" xfId="0" applyFill="1" applyBorder="1"/>
    <xf numFmtId="0" fontId="0" fillId="4" borderId="43" xfId="0" applyFill="1" applyBorder="1"/>
    <xf numFmtId="0" fontId="14" fillId="4" borderId="39" xfId="0" applyFont="1" applyFill="1" applyBorder="1"/>
    <xf numFmtId="0" fontId="12" fillId="3" borderId="1" xfId="0" applyFont="1" applyFill="1" applyBorder="1"/>
    <xf numFmtId="0" fontId="31" fillId="3" borderId="1" xfId="0" applyFont="1" applyFill="1" applyBorder="1"/>
    <xf numFmtId="0" fontId="14" fillId="3" borderId="2" xfId="0" applyFont="1" applyFill="1" applyBorder="1" applyAlignment="1">
      <alignment horizontal="center"/>
    </xf>
    <xf numFmtId="0" fontId="31" fillId="6" borderId="1" xfId="0" applyFont="1" applyFill="1" applyBorder="1"/>
    <xf numFmtId="0" fontId="5" fillId="6" borderId="2" xfId="0" applyFont="1" applyFill="1" applyBorder="1" applyAlignment="1">
      <alignment horizontal="center"/>
    </xf>
    <xf numFmtId="0" fontId="14" fillId="2" borderId="2" xfId="0" applyFont="1" applyFill="1" applyBorder="1"/>
    <xf numFmtId="0" fontId="31" fillId="7" borderId="1" xfId="0" applyFont="1" applyFill="1" applyBorder="1"/>
    <xf numFmtId="0" fontId="0" fillId="2" borderId="2" xfId="0" applyFill="1" applyBorder="1"/>
    <xf numFmtId="0" fontId="11" fillId="2" borderId="33" xfId="0" applyFont="1" applyFill="1" applyBorder="1"/>
    <xf numFmtId="0" fontId="12" fillId="2" borderId="0" xfId="0" applyFont="1" applyFill="1" applyBorder="1"/>
    <xf numFmtId="0" fontId="31" fillId="2" borderId="0" xfId="0" applyFont="1" applyFill="1" applyBorder="1"/>
    <xf numFmtId="0" fontId="31" fillId="2" borderId="34" xfId="0" applyFont="1" applyFill="1" applyBorder="1"/>
    <xf numFmtId="0" fontId="32" fillId="2" borderId="36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0" fontId="32" fillId="2" borderId="37" xfId="0" applyFont="1" applyFill="1" applyBorder="1"/>
    <xf numFmtId="0" fontId="31" fillId="2" borderId="36" xfId="0" applyFont="1" applyFill="1" applyBorder="1"/>
    <xf numFmtId="0" fontId="1" fillId="4" borderId="16" xfId="0" applyFont="1" applyFill="1" applyBorder="1" applyAlignment="1">
      <alignment horizontal="left"/>
    </xf>
    <xf numFmtId="2" fontId="1" fillId="0" borderId="16" xfId="0" applyNumberFormat="1" applyFont="1" applyBorder="1"/>
    <xf numFmtId="2" fontId="1" fillId="6" borderId="16" xfId="0" applyNumberFormat="1" applyFont="1" applyFill="1" applyBorder="1"/>
    <xf numFmtId="0" fontId="0" fillId="6" borderId="16" xfId="0" applyFill="1" applyBorder="1"/>
    <xf numFmtId="0" fontId="5" fillId="6" borderId="28" xfId="0" applyFont="1" applyFill="1" applyBorder="1" applyAlignment="1">
      <alignment horizontal="center"/>
    </xf>
    <xf numFmtId="2" fontId="1" fillId="4" borderId="13" xfId="0" applyNumberFormat="1" applyFont="1" applyFill="1" applyBorder="1"/>
    <xf numFmtId="0" fontId="20" fillId="4" borderId="13" xfId="0" applyFont="1" applyFill="1" applyBorder="1"/>
    <xf numFmtId="0" fontId="0" fillId="7" borderId="1" xfId="0" applyFont="1" applyFill="1" applyBorder="1"/>
    <xf numFmtId="0" fontId="20" fillId="6" borderId="13" xfId="0" applyFont="1" applyFill="1" applyBorder="1"/>
    <xf numFmtId="0" fontId="28" fillId="10" borderId="45" xfId="0" applyFont="1" applyFill="1" applyBorder="1" applyAlignment="1"/>
    <xf numFmtId="0" fontId="28" fillId="7" borderId="46" xfId="0" applyFont="1" applyFill="1" applyBorder="1" applyAlignment="1"/>
    <xf numFmtId="2" fontId="1" fillId="0" borderId="16" xfId="0" applyNumberFormat="1" applyFont="1" applyBorder="1" applyAlignment="1">
      <alignment horizontal="right"/>
    </xf>
    <xf numFmtId="2" fontId="6" fillId="3" borderId="16" xfId="0" applyNumberFormat="1" applyFont="1" applyFill="1" applyBorder="1"/>
    <xf numFmtId="0" fontId="0" fillId="7" borderId="17" xfId="0" applyFill="1" applyBorder="1"/>
    <xf numFmtId="0" fontId="7" fillId="4" borderId="28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17" fillId="4" borderId="31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23" fillId="4" borderId="16" xfId="0" applyFont="1" applyFill="1" applyBorder="1" applyAlignment="1">
      <alignment horizontal="center"/>
    </xf>
    <xf numFmtId="0" fontId="33" fillId="6" borderId="16" xfId="0" applyFont="1" applyFill="1" applyBorder="1" applyAlignment="1">
      <alignment horizontal="center"/>
    </xf>
    <xf numFmtId="0" fontId="33" fillId="6" borderId="17" xfId="0" applyFont="1" applyFill="1" applyBorder="1" applyAlignment="1">
      <alignment horizontal="center"/>
    </xf>
    <xf numFmtId="0" fontId="21" fillId="4" borderId="18" xfId="0" applyFont="1" applyFill="1" applyBorder="1"/>
    <xf numFmtId="0" fontId="23" fillId="4" borderId="8" xfId="0" applyFont="1" applyFill="1" applyBorder="1" applyAlignment="1">
      <alignment horizontal="center"/>
    </xf>
    <xf numFmtId="0" fontId="22" fillId="7" borderId="1" xfId="0" applyFont="1" applyFill="1" applyBorder="1"/>
    <xf numFmtId="0" fontId="23" fillId="4" borderId="28" xfId="0" applyFont="1" applyFill="1" applyBorder="1" applyAlignment="1">
      <alignment horizontal="center"/>
    </xf>
    <xf numFmtId="0" fontId="33" fillId="6" borderId="28" xfId="0" applyFont="1" applyFill="1" applyBorder="1" applyAlignment="1">
      <alignment horizontal="center"/>
    </xf>
    <xf numFmtId="0" fontId="19" fillId="4" borderId="35" xfId="0" applyFont="1" applyFill="1" applyBorder="1"/>
    <xf numFmtId="0" fontId="22" fillId="4" borderId="29" xfId="0" applyFont="1" applyFill="1" applyBorder="1"/>
    <xf numFmtId="0" fontId="14" fillId="3" borderId="19" xfId="0" applyFont="1" applyFill="1" applyBorder="1" applyAlignment="1">
      <alignment horizontal="center"/>
    </xf>
    <xf numFmtId="0" fontId="0" fillId="2" borderId="1" xfId="0" applyFont="1" applyFill="1" applyBorder="1"/>
    <xf numFmtId="0" fontId="20" fillId="6" borderId="21" xfId="0" applyFont="1" applyFill="1" applyBorder="1"/>
    <xf numFmtId="0" fontId="1" fillId="7" borderId="21" xfId="0" applyFont="1" applyFill="1" applyBorder="1"/>
    <xf numFmtId="2" fontId="0" fillId="0" borderId="1" xfId="0" applyNumberFormat="1" applyBorder="1"/>
    <xf numFmtId="0" fontId="1" fillId="3" borderId="1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30" fillId="2" borderId="3" xfId="0" applyFont="1" applyFill="1" applyBorder="1"/>
    <xf numFmtId="2" fontId="30" fillId="2" borderId="3" xfId="0" applyNumberFormat="1" applyFont="1" applyFill="1" applyBorder="1"/>
    <xf numFmtId="2" fontId="30" fillId="3" borderId="1" xfId="0" applyNumberFormat="1" applyFont="1" applyFill="1" applyBorder="1"/>
    <xf numFmtId="0" fontId="30" fillId="2" borderId="19" xfId="0" applyFont="1" applyFill="1" applyBorder="1"/>
    <xf numFmtId="2" fontId="30" fillId="2" borderId="18" xfId="0" applyNumberFormat="1" applyFont="1" applyFill="1" applyBorder="1"/>
    <xf numFmtId="166" fontId="7" fillId="2" borderId="1" xfId="0" applyNumberFormat="1" applyFont="1" applyFill="1" applyBorder="1"/>
    <xf numFmtId="0" fontId="21" fillId="4" borderId="35" xfId="0" applyFont="1" applyFill="1" applyBorder="1"/>
    <xf numFmtId="0" fontId="6" fillId="4" borderId="3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2" fontId="6" fillId="4" borderId="28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22" fillId="7" borderId="2" xfId="0" applyFont="1" applyFill="1" applyBorder="1"/>
    <xf numFmtId="0" fontId="32" fillId="4" borderId="8" xfId="0" applyFont="1" applyFill="1" applyBorder="1"/>
    <xf numFmtId="0" fontId="31" fillId="4" borderId="39" xfId="0" applyFont="1" applyFill="1" applyBorder="1"/>
    <xf numFmtId="0" fontId="19" fillId="7" borderId="21" xfId="0" applyFont="1" applyFill="1" applyBorder="1"/>
    <xf numFmtId="0" fontId="22" fillId="7" borderId="40" xfId="0" applyFont="1" applyFill="1" applyBorder="1"/>
    <xf numFmtId="0" fontId="5" fillId="3" borderId="2" xfId="0" applyFont="1" applyFill="1" applyBorder="1"/>
    <xf numFmtId="0" fontId="0" fillId="3" borderId="2" xfId="0" applyFont="1" applyFill="1" applyBorder="1"/>
    <xf numFmtId="0" fontId="0" fillId="6" borderId="2" xfId="0" applyFont="1" applyFill="1" applyBorder="1"/>
    <xf numFmtId="0" fontId="0" fillId="2" borderId="2" xfId="0" applyFont="1" applyFill="1" applyBorder="1"/>
    <xf numFmtId="0" fontId="0" fillId="7" borderId="2" xfId="0" applyFont="1" applyFill="1" applyBorder="1"/>
    <xf numFmtId="0" fontId="5" fillId="6" borderId="13" xfId="0" applyFont="1" applyFill="1" applyBorder="1" applyAlignment="1">
      <alignment horizontal="center"/>
    </xf>
    <xf numFmtId="0" fontId="0" fillId="6" borderId="21" xfId="0" applyFont="1" applyFill="1" applyBorder="1"/>
    <xf numFmtId="0" fontId="0" fillId="7" borderId="21" xfId="0" applyFont="1" applyFill="1" applyBorder="1"/>
    <xf numFmtId="0" fontId="0" fillId="7" borderId="40" xfId="0" applyFont="1" applyFill="1" applyBorder="1"/>
    <xf numFmtId="2" fontId="1" fillId="7" borderId="20" xfId="0" applyNumberFormat="1" applyFont="1" applyFill="1" applyBorder="1"/>
    <xf numFmtId="0" fontId="11" fillId="3" borderId="1" xfId="0" applyFont="1" applyFill="1" applyBorder="1"/>
    <xf numFmtId="2" fontId="0" fillId="0" borderId="2" xfId="0" applyNumberFormat="1" applyBorder="1"/>
    <xf numFmtId="2" fontId="6" fillId="3" borderId="2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left"/>
    </xf>
    <xf numFmtId="0" fontId="24" fillId="6" borderId="1" xfId="0" applyFont="1" applyFill="1" applyBorder="1"/>
    <xf numFmtId="0" fontId="0" fillId="5" borderId="1" xfId="0" applyFont="1" applyFill="1" applyBorder="1"/>
    <xf numFmtId="2" fontId="7" fillId="11" borderId="1" xfId="0" applyNumberFormat="1" applyFont="1" applyFill="1" applyBorder="1"/>
    <xf numFmtId="0" fontId="0" fillId="12" borderId="1" xfId="0" applyFill="1" applyBorder="1"/>
    <xf numFmtId="0" fontId="0" fillId="0" borderId="1" xfId="0" applyFont="1" applyBorder="1"/>
    <xf numFmtId="2" fontId="1" fillId="6" borderId="2" xfId="0" applyNumberFormat="1" applyFont="1" applyFill="1" applyBorder="1" applyAlignment="1">
      <alignment horizontal="right"/>
    </xf>
    <xf numFmtId="2" fontId="17" fillId="6" borderId="28" xfId="0" applyNumberFormat="1" applyFont="1" applyFill="1" applyBorder="1"/>
    <xf numFmtId="2" fontId="17" fillId="6" borderId="13" xfId="0" applyNumberFormat="1" applyFont="1" applyFill="1" applyBorder="1"/>
    <xf numFmtId="2" fontId="17" fillId="6" borderId="13" xfId="0" applyNumberFormat="1" applyFont="1" applyFill="1" applyBorder="1" applyAlignment="1">
      <alignment horizontal="center"/>
    </xf>
    <xf numFmtId="0" fontId="30" fillId="2" borderId="1" xfId="0" applyFont="1" applyFill="1" applyBorder="1"/>
    <xf numFmtId="2" fontId="30" fillId="2" borderId="19" xfId="0" applyNumberFormat="1" applyFont="1" applyFill="1" applyBorder="1"/>
    <xf numFmtId="2" fontId="17" fillId="6" borderId="13" xfId="0" applyNumberFormat="1" applyFont="1" applyFill="1" applyBorder="1" applyAlignment="1">
      <alignment horizontal="right"/>
    </xf>
    <xf numFmtId="0" fontId="6" fillId="8" borderId="10" xfId="0" applyFont="1" applyFill="1" applyBorder="1" applyAlignment="1">
      <alignment horizontal="center"/>
    </xf>
    <xf numFmtId="0" fontId="6" fillId="13" borderId="10" xfId="0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2" fontId="1" fillId="14" borderId="1" xfId="0" applyNumberFormat="1" applyFont="1" applyFill="1" applyBorder="1"/>
    <xf numFmtId="2" fontId="6" fillId="14" borderId="1" xfId="0" applyNumberFormat="1" applyFont="1" applyFill="1" applyBorder="1"/>
    <xf numFmtId="2" fontId="7" fillId="14" borderId="1" xfId="0" applyNumberFormat="1" applyFont="1" applyFill="1" applyBorder="1"/>
    <xf numFmtId="0" fontId="1" fillId="14" borderId="1" xfId="0" applyFont="1" applyFill="1" applyBorder="1"/>
    <xf numFmtId="0" fontId="0" fillId="14" borderId="1" xfId="0" applyFill="1" applyBorder="1"/>
    <xf numFmtId="0" fontId="25" fillId="14" borderId="1" xfId="0" applyFont="1" applyFill="1" applyBorder="1"/>
    <xf numFmtId="0" fontId="7" fillId="14" borderId="1" xfId="0" applyFont="1" applyFill="1" applyBorder="1"/>
    <xf numFmtId="0" fontId="6" fillId="3" borderId="10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20" fillId="2" borderId="21" xfId="0" applyFont="1" applyFill="1" applyBorder="1"/>
    <xf numFmtId="2" fontId="6" fillId="3" borderId="28" xfId="0" applyNumberFormat="1" applyFont="1" applyFill="1" applyBorder="1"/>
    <xf numFmtId="2" fontId="14" fillId="3" borderId="28" xfId="0" applyNumberFormat="1" applyFont="1" applyFill="1" applyBorder="1"/>
    <xf numFmtId="2" fontId="14" fillId="3" borderId="35" xfId="0" applyNumberFormat="1" applyFont="1" applyFill="1" applyBorder="1"/>
    <xf numFmtId="0" fontId="0" fillId="7" borderId="29" xfId="0" applyFill="1" applyBorder="1"/>
    <xf numFmtId="0" fontId="9" fillId="4" borderId="45" xfId="0" applyFont="1" applyFill="1" applyBorder="1" applyAlignment="1">
      <alignment horizontal="center"/>
    </xf>
    <xf numFmtId="2" fontId="1" fillId="4" borderId="36" xfId="0" applyNumberFormat="1" applyFont="1" applyFill="1" applyBorder="1"/>
    <xf numFmtId="2" fontId="17" fillId="6" borderId="36" xfId="0" applyNumberFormat="1" applyFont="1" applyFill="1" applyBorder="1"/>
    <xf numFmtId="0" fontId="1" fillId="4" borderId="36" xfId="0" applyFont="1" applyFill="1" applyBorder="1"/>
    <xf numFmtId="0" fontId="20" fillId="4" borderId="36" xfId="0" applyFont="1" applyFill="1" applyBorder="1"/>
    <xf numFmtId="0" fontId="20" fillId="6" borderId="36" xfId="0" applyFont="1" applyFill="1" applyBorder="1"/>
    <xf numFmtId="0" fontId="20" fillId="4" borderId="46" xfId="0" applyFont="1" applyFill="1" applyBorder="1"/>
    <xf numFmtId="2" fontId="17" fillId="6" borderId="1" xfId="0" applyNumberFormat="1" applyFont="1" applyFill="1" applyBorder="1" applyAlignment="1">
      <alignment horizontal="right"/>
    </xf>
    <xf numFmtId="2" fontId="17" fillId="6" borderId="1" xfId="0" applyNumberFormat="1" applyFont="1" applyFill="1" applyBorder="1" applyAlignment="1">
      <alignment horizontal="center"/>
    </xf>
    <xf numFmtId="2" fontId="6" fillId="0" borderId="16" xfId="0" applyNumberFormat="1" applyFont="1" applyBorder="1"/>
    <xf numFmtId="2" fontId="6" fillId="0" borderId="16" xfId="0" applyNumberFormat="1" applyFont="1" applyBorder="1" applyAlignment="1"/>
    <xf numFmtId="2" fontId="6" fillId="4" borderId="13" xfId="0" applyNumberFormat="1" applyFont="1" applyFill="1" applyBorder="1" applyAlignment="1"/>
    <xf numFmtId="2" fontId="6" fillId="0" borderId="1" xfId="0" applyNumberFormat="1" applyFont="1" applyBorder="1" applyAlignment="1"/>
    <xf numFmtId="2" fontId="6" fillId="3" borderId="2" xfId="0" applyNumberFormat="1" applyFont="1" applyFill="1" applyBorder="1" applyAlignment="1"/>
    <xf numFmtId="2" fontId="27" fillId="3" borderId="2" xfId="0" applyNumberFormat="1" applyFont="1" applyFill="1" applyBorder="1" applyAlignment="1"/>
    <xf numFmtId="2" fontId="6" fillId="3" borderId="1" xfId="0" applyNumberFormat="1" applyFont="1" applyFill="1" applyBorder="1" applyAlignment="1"/>
    <xf numFmtId="2" fontId="35" fillId="3" borderId="1" xfId="0" applyNumberFormat="1" applyFont="1" applyFill="1" applyBorder="1" applyAlignment="1"/>
    <xf numFmtId="2" fontId="6" fillId="5" borderId="1" xfId="0" applyNumberFormat="1" applyFont="1" applyFill="1" applyBorder="1" applyAlignment="1"/>
    <xf numFmtId="2" fontId="6" fillId="3" borderId="21" xfId="0" applyNumberFormat="1" applyFont="1" applyFill="1" applyBorder="1" applyAlignment="1"/>
    <xf numFmtId="2" fontId="30" fillId="3" borderId="2" xfId="0" applyNumberFormat="1" applyFont="1" applyFill="1" applyBorder="1"/>
    <xf numFmtId="2" fontId="30" fillId="2" borderId="1" xfId="0" applyNumberFormat="1" applyFont="1" applyFill="1" applyBorder="1"/>
    <xf numFmtId="2" fontId="6" fillId="4" borderId="35" xfId="0" applyNumberFormat="1" applyFont="1" applyFill="1" applyBorder="1"/>
    <xf numFmtId="0" fontId="6" fillId="4" borderId="13" xfId="0" applyFont="1" applyFill="1" applyBorder="1" applyAlignment="1">
      <alignment horizontal="right"/>
    </xf>
    <xf numFmtId="0" fontId="6" fillId="4" borderId="42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left"/>
    </xf>
    <xf numFmtId="0" fontId="14" fillId="3" borderId="2" xfId="0" applyFont="1" applyFill="1" applyBorder="1" applyAlignment="1">
      <alignment horizontal="right"/>
    </xf>
    <xf numFmtId="2" fontId="0" fillId="4" borderId="13" xfId="0" applyNumberFormat="1" applyFont="1" applyFill="1" applyBorder="1"/>
    <xf numFmtId="2" fontId="20" fillId="3" borderId="2" xfId="0" applyNumberFormat="1" applyFont="1" applyFill="1" applyBorder="1"/>
    <xf numFmtId="0" fontId="0" fillId="4" borderId="36" xfId="0" applyFont="1" applyFill="1" applyBorder="1"/>
    <xf numFmtId="0" fontId="31" fillId="3" borderId="1" xfId="0" applyFont="1" applyFill="1" applyBorder="1" applyAlignment="1">
      <alignment horizontal="right"/>
    </xf>
    <xf numFmtId="2" fontId="16" fillId="3" borderId="1" xfId="0" applyNumberFormat="1" applyFont="1" applyFill="1" applyBorder="1" applyAlignment="1">
      <alignment horizontal="right"/>
    </xf>
    <xf numFmtId="2" fontId="35" fillId="3" borderId="1" xfId="0" applyNumberFormat="1" applyFont="1" applyFill="1" applyBorder="1"/>
    <xf numFmtId="2" fontId="35" fillId="3" borderId="1" xfId="0" applyNumberFormat="1" applyFont="1" applyFill="1" applyBorder="1" applyAlignment="1">
      <alignment horizontal="right"/>
    </xf>
    <xf numFmtId="2" fontId="16" fillId="3" borderId="2" xfId="0" applyNumberFormat="1" applyFont="1" applyFill="1" applyBorder="1" applyAlignment="1">
      <alignment horizontal="center"/>
    </xf>
    <xf numFmtId="2" fontId="16" fillId="3" borderId="2" xfId="0" applyNumberFormat="1" applyFont="1" applyFill="1" applyBorder="1" applyAlignment="1">
      <alignment horizontal="right"/>
    </xf>
    <xf numFmtId="2" fontId="6" fillId="3" borderId="21" xfId="0" applyNumberFormat="1" applyFont="1" applyFill="1" applyBorder="1" applyAlignment="1">
      <alignment horizontal="center"/>
    </xf>
    <xf numFmtId="2" fontId="16" fillId="3" borderId="2" xfId="0" applyNumberFormat="1" applyFont="1" applyFill="1" applyBorder="1"/>
    <xf numFmtId="0" fontId="0" fillId="6" borderId="36" xfId="0" applyFill="1" applyBorder="1"/>
    <xf numFmtId="2" fontId="21" fillId="6" borderId="36" xfId="0" applyNumberFormat="1" applyFont="1" applyFill="1" applyBorder="1"/>
    <xf numFmtId="0" fontId="0" fillId="4" borderId="37" xfId="0" applyFill="1" applyBorder="1"/>
    <xf numFmtId="0" fontId="0" fillId="4" borderId="46" xfId="0" applyFill="1" applyBorder="1"/>
    <xf numFmtId="2" fontId="14" fillId="3" borderId="2" xfId="0" applyNumberFormat="1" applyFont="1" applyFill="1" applyBorder="1" applyAlignment="1">
      <alignment horizontal="right"/>
    </xf>
    <xf numFmtId="2" fontId="7" fillId="3" borderId="1" xfId="0" applyNumberFormat="1" applyFont="1" applyFill="1" applyBorder="1"/>
    <xf numFmtId="2" fontId="1" fillId="3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1" fillId="8" borderId="1" xfId="0" applyFont="1" applyFill="1" applyBorder="1"/>
    <xf numFmtId="0" fontId="6" fillId="8" borderId="1" xfId="0" applyFont="1" applyFill="1" applyBorder="1" applyAlignment="1">
      <alignment horizontal="center"/>
    </xf>
    <xf numFmtId="0" fontId="1" fillId="13" borderId="1" xfId="0" applyFont="1" applyFill="1" applyBorder="1"/>
    <xf numFmtId="0" fontId="1" fillId="13" borderId="1" xfId="0" applyFont="1" applyFill="1" applyBorder="1" applyAlignment="1">
      <alignment horizontal="center"/>
    </xf>
    <xf numFmtId="0" fontId="6" fillId="13" borderId="1" xfId="0" applyFont="1" applyFill="1" applyBorder="1"/>
    <xf numFmtId="0" fontId="0" fillId="13" borderId="1" xfId="0" applyFill="1" applyBorder="1"/>
    <xf numFmtId="0" fontId="1" fillId="11" borderId="1" xfId="0" applyFont="1" applyFill="1" applyBorder="1"/>
    <xf numFmtId="0" fontId="0" fillId="11" borderId="1" xfId="0" applyFill="1" applyBorder="1"/>
    <xf numFmtId="0" fontId="1" fillId="12" borderId="1" xfId="0" applyFont="1" applyFill="1" applyBorder="1"/>
    <xf numFmtId="0" fontId="0" fillId="12" borderId="2" xfId="0" applyFill="1" applyBorder="1"/>
    <xf numFmtId="0" fontId="33" fillId="2" borderId="16" xfId="0" applyFont="1" applyFill="1" applyBorder="1" applyAlignment="1">
      <alignment horizontal="center"/>
    </xf>
    <xf numFmtId="0" fontId="33" fillId="2" borderId="17" xfId="0" applyFont="1" applyFill="1" applyBorder="1" applyAlignment="1">
      <alignment horizontal="center"/>
    </xf>
    <xf numFmtId="0" fontId="21" fillId="2" borderId="18" xfId="0" applyFont="1" applyFill="1" applyBorder="1"/>
    <xf numFmtId="0" fontId="21" fillId="2" borderId="1" xfId="0" applyFont="1" applyFill="1" applyBorder="1" applyAlignment="1">
      <alignment horizontal="center"/>
    </xf>
    <xf numFmtId="0" fontId="31" fillId="2" borderId="37" xfId="0" applyFont="1" applyFill="1" applyBorder="1"/>
    <xf numFmtId="0" fontId="31" fillId="2" borderId="2" xfId="0" applyFont="1" applyFill="1" applyBorder="1"/>
    <xf numFmtId="0" fontId="17" fillId="2" borderId="31" xfId="0" applyFont="1" applyFill="1" applyBorder="1" applyAlignment="1">
      <alignment horizontal="center"/>
    </xf>
    <xf numFmtId="0" fontId="23" fillId="2" borderId="28" xfId="0" applyFont="1" applyFill="1" applyBorder="1" applyAlignment="1">
      <alignment horizontal="center"/>
    </xf>
    <xf numFmtId="0" fontId="33" fillId="2" borderId="28" xfId="0" applyFont="1" applyFill="1" applyBorder="1" applyAlignment="1">
      <alignment horizontal="center"/>
    </xf>
    <xf numFmtId="0" fontId="33" fillId="2" borderId="29" xfId="0" applyFont="1" applyFill="1" applyBorder="1" applyAlignment="1">
      <alignment horizontal="center"/>
    </xf>
    <xf numFmtId="0" fontId="21" fillId="2" borderId="35" xfId="0" applyFont="1" applyFill="1" applyBorder="1"/>
    <xf numFmtId="0" fontId="21" fillId="2" borderId="29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0" fontId="23" fillId="2" borderId="1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2" fontId="21" fillId="2" borderId="8" xfId="0" applyNumberFormat="1" applyFont="1" applyFill="1" applyBorder="1"/>
    <xf numFmtId="2" fontId="21" fillId="2" borderId="8" xfId="0" applyNumberFormat="1" applyFont="1" applyFill="1" applyBorder="1" applyAlignment="1">
      <alignment horizontal="right"/>
    </xf>
    <xf numFmtId="2" fontId="6" fillId="2" borderId="8" xfId="0" applyNumberFormat="1" applyFont="1" applyFill="1" applyBorder="1"/>
    <xf numFmtId="2" fontId="1" fillId="2" borderId="8" xfId="0" applyNumberFormat="1" applyFont="1" applyFill="1" applyBorder="1"/>
    <xf numFmtId="2" fontId="30" fillId="2" borderId="8" xfId="0" applyNumberFormat="1" applyFont="1" applyFill="1" applyBorder="1"/>
    <xf numFmtId="0" fontId="0" fillId="2" borderId="39" xfId="0" applyFill="1" applyBorder="1"/>
    <xf numFmtId="0" fontId="9" fillId="2" borderId="45" xfId="0" applyFont="1" applyFill="1" applyBorder="1" applyAlignment="1">
      <alignment horizontal="center"/>
    </xf>
    <xf numFmtId="2" fontId="1" fillId="2" borderId="36" xfId="0" applyNumberFormat="1" applyFont="1" applyFill="1" applyBorder="1"/>
    <xf numFmtId="2" fontId="17" fillId="2" borderId="36" xfId="0" applyNumberFormat="1" applyFont="1" applyFill="1" applyBorder="1"/>
    <xf numFmtId="0" fontId="1" fillId="2" borderId="36" xfId="0" applyFont="1" applyFill="1" applyBorder="1"/>
    <xf numFmtId="0" fontId="20" fillId="2" borderId="36" xfId="0" applyFont="1" applyFill="1" applyBorder="1"/>
    <xf numFmtId="0" fontId="20" fillId="2" borderId="46" xfId="0" applyFont="1" applyFill="1" applyBorder="1"/>
    <xf numFmtId="0" fontId="9" fillId="2" borderId="41" xfId="0" applyFont="1" applyFill="1" applyBorder="1" applyAlignment="1">
      <alignment horizontal="center"/>
    </xf>
    <xf numFmtId="2" fontId="1" fillId="2" borderId="13" xfId="0" applyNumberFormat="1" applyFont="1" applyFill="1" applyBorder="1"/>
    <xf numFmtId="2" fontId="17" fillId="2" borderId="13" xfId="0" applyNumberFormat="1" applyFont="1" applyFill="1" applyBorder="1"/>
    <xf numFmtId="2" fontId="6" fillId="2" borderId="13" xfId="0" applyNumberFormat="1" applyFont="1" applyFill="1" applyBorder="1"/>
    <xf numFmtId="0" fontId="20" fillId="2" borderId="13" xfId="0" applyFont="1" applyFill="1" applyBorder="1"/>
    <xf numFmtId="0" fontId="0" fillId="2" borderId="43" xfId="0" applyFill="1" applyBorder="1"/>
    <xf numFmtId="2" fontId="6" fillId="2" borderId="13" xfId="0" applyNumberFormat="1" applyFont="1" applyFill="1" applyBorder="1" applyAlignment="1">
      <alignment horizontal="right"/>
    </xf>
    <xf numFmtId="2" fontId="17" fillId="2" borderId="13" xfId="0" applyNumberFormat="1" applyFont="1" applyFill="1" applyBorder="1" applyAlignment="1">
      <alignment horizontal="right"/>
    </xf>
    <xf numFmtId="2" fontId="17" fillId="2" borderId="13" xfId="0" applyNumberFormat="1" applyFont="1" applyFill="1" applyBorder="1" applyAlignment="1">
      <alignment horizontal="center"/>
    </xf>
    <xf numFmtId="2" fontId="6" fillId="2" borderId="13" xfId="0" applyNumberFormat="1" applyFont="1" applyFill="1" applyBorder="1" applyAlignment="1"/>
    <xf numFmtId="0" fontId="5" fillId="2" borderId="13" xfId="0" applyFont="1" applyFill="1" applyBorder="1" applyAlignment="1">
      <alignment horizontal="center"/>
    </xf>
    <xf numFmtId="0" fontId="14" fillId="2" borderId="42" xfId="0" applyFont="1" applyFill="1" applyBorder="1"/>
    <xf numFmtId="2" fontId="21" fillId="2" borderId="13" xfId="0" applyNumberFormat="1" applyFont="1" applyFill="1" applyBorder="1"/>
    <xf numFmtId="2" fontId="14" fillId="2" borderId="13" xfId="0" applyNumberFormat="1" applyFont="1" applyFill="1" applyBorder="1"/>
    <xf numFmtId="0" fontId="32" fillId="2" borderId="8" xfId="0" applyFont="1" applyFill="1" applyBorder="1"/>
    <xf numFmtId="0" fontId="31" fillId="2" borderId="39" xfId="0" applyFont="1" applyFill="1" applyBorder="1"/>
    <xf numFmtId="2" fontId="6" fillId="2" borderId="36" xfId="0" applyNumberFormat="1" applyFont="1" applyFill="1" applyBorder="1"/>
    <xf numFmtId="2" fontId="21" fillId="2" borderId="36" xfId="0" applyNumberFormat="1" applyFont="1" applyFill="1" applyBorder="1"/>
    <xf numFmtId="0" fontId="0" fillId="2" borderId="36" xfId="0" applyFill="1" applyBorder="1"/>
    <xf numFmtId="0" fontId="0" fillId="2" borderId="37" xfId="0" applyFill="1" applyBorder="1"/>
    <xf numFmtId="0" fontId="0" fillId="2" borderId="46" xfId="0" applyFill="1" applyBorder="1"/>
    <xf numFmtId="0" fontId="0" fillId="2" borderId="13" xfId="0" applyFill="1" applyBorder="1"/>
    <xf numFmtId="0" fontId="0" fillId="2" borderId="42" xfId="0" applyFill="1" applyBorder="1"/>
    <xf numFmtId="2" fontId="6" fillId="2" borderId="13" xfId="0" applyNumberFormat="1" applyFont="1" applyFill="1" applyBorder="1" applyAlignment="1">
      <alignment horizontal="center"/>
    </xf>
    <xf numFmtId="0" fontId="6" fillId="2" borderId="1" xfId="0" applyFont="1" applyFill="1" applyBorder="1"/>
    <xf numFmtId="2" fontId="1" fillId="0" borderId="18" xfId="0" applyNumberFormat="1" applyFont="1" applyBorder="1"/>
    <xf numFmtId="0" fontId="1" fillId="2" borderId="31" xfId="0" applyFont="1" applyFill="1" applyBorder="1" applyAlignment="1">
      <alignment horizontal="center"/>
    </xf>
    <xf numFmtId="0" fontId="11" fillId="2" borderId="47" xfId="0" applyFont="1" applyFill="1" applyBorder="1"/>
    <xf numFmtId="2" fontId="6" fillId="0" borderId="18" xfId="0" applyNumberFormat="1" applyFont="1" applyBorder="1"/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0" fillId="6" borderId="1" xfId="0" applyFont="1" applyFill="1" applyBorder="1"/>
    <xf numFmtId="2" fontId="1" fillId="0" borderId="36" xfId="0" applyNumberFormat="1" applyFont="1" applyFill="1" applyBorder="1"/>
    <xf numFmtId="0" fontId="28" fillId="10" borderId="22" xfId="0" applyFont="1" applyFill="1" applyBorder="1" applyAlignment="1"/>
    <xf numFmtId="0" fontId="28" fillId="10" borderId="23" xfId="0" applyFont="1" applyFill="1" applyBorder="1" applyAlignment="1"/>
    <xf numFmtId="0" fontId="28" fillId="7" borderId="24" xfId="0" applyFont="1" applyFill="1" applyBorder="1" applyAlignment="1"/>
    <xf numFmtId="2" fontId="17" fillId="2" borderId="8" xfId="0" applyNumberFormat="1" applyFont="1" applyFill="1" applyBorder="1"/>
    <xf numFmtId="0" fontId="0" fillId="2" borderId="8" xfId="0" applyFill="1" applyBorder="1"/>
    <xf numFmtId="0" fontId="28" fillId="7" borderId="20" xfId="0" applyFont="1" applyFill="1" applyBorder="1" applyAlignment="1"/>
    <xf numFmtId="0" fontId="28" fillId="7" borderId="21" xfId="0" applyFont="1" applyFill="1" applyBorder="1" applyAlignment="1"/>
    <xf numFmtId="0" fontId="28" fillId="7" borderId="40" xfId="0" applyFont="1" applyFill="1" applyBorder="1" applyAlignment="1"/>
    <xf numFmtId="0" fontId="28" fillId="6" borderId="21" xfId="0" applyFont="1" applyFill="1" applyBorder="1" applyAlignment="1"/>
    <xf numFmtId="2" fontId="1" fillId="0" borderId="16" xfId="0" applyNumberFormat="1" applyFont="1" applyBorder="1" applyAlignment="1"/>
    <xf numFmtId="0" fontId="1" fillId="0" borderId="1" xfId="0" applyFont="1" applyBorder="1" applyAlignment="1"/>
    <xf numFmtId="0" fontId="6" fillId="3" borderId="1" xfId="0" applyFont="1" applyFill="1" applyBorder="1" applyAlignment="1"/>
    <xf numFmtId="2" fontId="37" fillId="16" borderId="1" xfId="3" applyNumberFormat="1" applyBorder="1"/>
    <xf numFmtId="2" fontId="6" fillId="16" borderId="1" xfId="3" applyNumberFormat="1" applyFont="1" applyBorder="1"/>
    <xf numFmtId="2" fontId="7" fillId="15" borderId="1" xfId="2" applyNumberFormat="1" applyFont="1" applyBorder="1"/>
    <xf numFmtId="2" fontId="6" fillId="3" borderId="1" xfId="3" applyNumberFormat="1" applyFont="1" applyFill="1" applyBorder="1"/>
    <xf numFmtId="2" fontId="6" fillId="6" borderId="1" xfId="0" applyNumberFormat="1" applyFont="1" applyFill="1" applyBorder="1" applyAlignment="1">
      <alignment horizontal="left"/>
    </xf>
    <xf numFmtId="2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37" fillId="16" borderId="1" xfId="3" applyBorder="1"/>
    <xf numFmtId="2" fontId="27" fillId="2" borderId="3" xfId="0" applyNumberFormat="1" applyFont="1" applyFill="1" applyBorder="1"/>
    <xf numFmtId="0" fontId="27" fillId="2" borderId="3" xfId="0" applyFont="1" applyFill="1" applyBorder="1"/>
    <xf numFmtId="0" fontId="27" fillId="2" borderId="18" xfId="0" applyFont="1" applyFill="1" applyBorder="1"/>
    <xf numFmtId="0" fontId="9" fillId="2" borderId="2" xfId="0" applyFont="1" applyFill="1" applyBorder="1"/>
    <xf numFmtId="2" fontId="27" fillId="2" borderId="18" xfId="0" applyNumberFormat="1" applyFont="1" applyFill="1" applyBorder="1"/>
    <xf numFmtId="0" fontId="27" fillId="2" borderId="1" xfId="0" applyFont="1" applyFill="1" applyBorder="1"/>
    <xf numFmtId="0" fontId="9" fillId="2" borderId="3" xfId="0" applyFont="1" applyFill="1" applyBorder="1"/>
    <xf numFmtId="2" fontId="6" fillId="16" borderId="1" xfId="3" applyNumberFormat="1" applyFont="1" applyBorder="1" applyAlignment="1">
      <alignment horizontal="center"/>
    </xf>
    <xf numFmtId="2" fontId="7" fillId="16" borderId="1" xfId="3" applyNumberFormat="1" applyFont="1" applyBorder="1" applyAlignment="1">
      <alignment horizontal="center"/>
    </xf>
    <xf numFmtId="2" fontId="7" fillId="16" borderId="2" xfId="3" applyNumberFormat="1" applyFont="1" applyBorder="1" applyAlignment="1">
      <alignment horizontal="center"/>
    </xf>
    <xf numFmtId="0" fontId="7" fillId="15" borderId="1" xfId="2" applyFont="1" applyBorder="1"/>
    <xf numFmtId="2" fontId="6" fillId="3" borderId="1" xfId="4" applyNumberFormat="1" applyFont="1" applyFill="1" applyBorder="1"/>
    <xf numFmtId="2" fontId="7" fillId="15" borderId="2" xfId="2" applyNumberFormat="1" applyFont="1" applyBorder="1"/>
    <xf numFmtId="2" fontId="7" fillId="15" borderId="16" xfId="2" applyNumberFormat="1" applyFont="1" applyBorder="1"/>
    <xf numFmtId="2" fontId="25" fillId="3" borderId="1" xfId="0" applyNumberFormat="1" applyFont="1" applyFill="1" applyBorder="1"/>
    <xf numFmtId="0" fontId="27" fillId="2" borderId="2" xfId="0" applyFont="1" applyFill="1" applyBorder="1"/>
    <xf numFmtId="2" fontId="27" fillId="2" borderId="19" xfId="0" applyNumberFormat="1" applyFont="1" applyFill="1" applyBorder="1"/>
    <xf numFmtId="2" fontId="27" fillId="3" borderId="1" xfId="0" applyNumberFormat="1" applyFont="1" applyFill="1" applyBorder="1"/>
    <xf numFmtId="9" fontId="37" fillId="16" borderId="1" xfId="3" applyNumberFormat="1" applyBorder="1"/>
    <xf numFmtId="165" fontId="1" fillId="0" borderId="2" xfId="0" applyNumberFormat="1" applyFont="1" applyBorder="1" applyAlignment="1">
      <alignment horizontal="right"/>
    </xf>
    <xf numFmtId="3" fontId="1" fillId="7" borderId="21" xfId="0" applyNumberFormat="1" applyFont="1" applyFill="1" applyBorder="1" applyAlignment="1">
      <alignment horizontal="center"/>
    </xf>
    <xf numFmtId="2" fontId="9" fillId="2" borderId="19" xfId="0" applyNumberFormat="1" applyFont="1" applyFill="1" applyBorder="1"/>
    <xf numFmtId="0" fontId="27" fillId="2" borderId="19" xfId="0" applyFont="1" applyFill="1" applyBorder="1"/>
    <xf numFmtId="2" fontId="27" fillId="2" borderId="1" xfId="0" applyNumberFormat="1" applyFont="1" applyFill="1" applyBorder="1"/>
    <xf numFmtId="0" fontId="9" fillId="2" borderId="1" xfId="0" applyFont="1" applyFill="1" applyBorder="1"/>
    <xf numFmtId="0" fontId="34" fillId="2" borderId="35" xfId="0" applyFont="1" applyFill="1" applyBorder="1" applyAlignment="1">
      <alignment horizontal="center"/>
    </xf>
    <xf numFmtId="0" fontId="1" fillId="0" borderId="3" xfId="0" applyFont="1" applyBorder="1"/>
    <xf numFmtId="0" fontId="1" fillId="0" borderId="19" xfId="0" applyFont="1" applyBorder="1"/>
    <xf numFmtId="2" fontId="1" fillId="0" borderId="19" xfId="0" applyNumberFormat="1" applyFont="1" applyBorder="1"/>
    <xf numFmtId="0" fontId="6" fillId="0" borderId="0" xfId="0" applyFont="1"/>
    <xf numFmtId="0" fontId="1" fillId="3" borderId="36" xfId="0" applyFont="1" applyFill="1" applyBorder="1"/>
    <xf numFmtId="2" fontId="1" fillId="3" borderId="36" xfId="0" applyNumberFormat="1" applyFont="1" applyFill="1" applyBorder="1"/>
    <xf numFmtId="0" fontId="6" fillId="3" borderId="1" xfId="3" applyFont="1" applyFill="1" applyBorder="1"/>
    <xf numFmtId="0" fontId="6" fillId="0" borderId="0" xfId="0" applyFont="1" applyFill="1" applyBorder="1"/>
    <xf numFmtId="2" fontId="37" fillId="3" borderId="1" xfId="3" applyNumberFormat="1" applyFill="1" applyBorder="1"/>
    <xf numFmtId="0" fontId="0" fillId="3" borderId="1" xfId="0" applyFill="1" applyBorder="1"/>
    <xf numFmtId="2" fontId="7" fillId="15" borderId="0" xfId="2" applyNumberFormat="1" applyFont="1"/>
    <xf numFmtId="2" fontId="37" fillId="16" borderId="16" xfId="3" applyNumberFormat="1" applyBorder="1"/>
    <xf numFmtId="2" fontId="37" fillId="16" borderId="2" xfId="3" applyNumberFormat="1" applyBorder="1"/>
    <xf numFmtId="2" fontId="6" fillId="16" borderId="16" xfId="3" applyNumberFormat="1" applyFont="1" applyBorder="1"/>
    <xf numFmtId="2" fontId="25" fillId="16" borderId="1" xfId="3" applyNumberFormat="1" applyFont="1" applyBorder="1"/>
    <xf numFmtId="2" fontId="25" fillId="16" borderId="2" xfId="3" applyNumberFormat="1" applyFont="1" applyBorder="1"/>
    <xf numFmtId="2" fontId="6" fillId="16" borderId="13" xfId="3" applyNumberFormat="1" applyFont="1" applyBorder="1"/>
    <xf numFmtId="0" fontId="37" fillId="16" borderId="2" xfId="3" applyBorder="1"/>
    <xf numFmtId="0" fontId="37" fillId="16" borderId="1" xfId="3" applyBorder="1" applyAlignment="1">
      <alignment horizontal="right"/>
    </xf>
    <xf numFmtId="0" fontId="37" fillId="16" borderId="1" xfId="3" applyBorder="1" applyAlignment="1">
      <alignment horizontal="center"/>
    </xf>
    <xf numFmtId="0" fontId="37" fillId="16" borderId="2" xfId="3" applyBorder="1" applyAlignment="1">
      <alignment horizontal="center"/>
    </xf>
    <xf numFmtId="0" fontId="37" fillId="16" borderId="2" xfId="3" applyBorder="1" applyAlignment="1">
      <alignment horizontal="right"/>
    </xf>
    <xf numFmtId="2" fontId="37" fillId="16" borderId="2" xfId="3" applyNumberFormat="1" applyBorder="1" applyAlignment="1">
      <alignment horizontal="right"/>
    </xf>
    <xf numFmtId="2" fontId="37" fillId="16" borderId="1" xfId="3" applyNumberFormat="1" applyBorder="1" applyAlignment="1">
      <alignment horizontal="center"/>
    </xf>
    <xf numFmtId="2" fontId="37" fillId="16" borderId="1" xfId="3" applyNumberFormat="1" applyBorder="1" applyAlignment="1">
      <alignment horizontal="right"/>
    </xf>
    <xf numFmtId="2" fontId="37" fillId="16" borderId="2" xfId="3" applyNumberFormat="1" applyBorder="1" applyAlignment="1">
      <alignment horizontal="center"/>
    </xf>
    <xf numFmtId="2" fontId="37" fillId="16" borderId="21" xfId="3" applyNumberFormat="1" applyBorder="1" applyAlignment="1">
      <alignment horizontal="center"/>
    </xf>
    <xf numFmtId="0" fontId="37" fillId="16" borderId="21" xfId="3" applyBorder="1" applyAlignment="1">
      <alignment horizontal="center"/>
    </xf>
    <xf numFmtId="0" fontId="0" fillId="5" borderId="16" xfId="0" applyFill="1" applyBorder="1"/>
    <xf numFmtId="2" fontId="6" fillId="16" borderId="16" xfId="3" applyNumberFormat="1" applyFont="1" applyBorder="1" applyAlignment="1">
      <alignment horizontal="right"/>
    </xf>
    <xf numFmtId="0" fontId="6" fillId="16" borderId="1" xfId="3" applyFont="1" applyBorder="1"/>
    <xf numFmtId="0" fontId="6" fillId="16" borderId="1" xfId="3" applyFont="1" applyBorder="1" applyAlignment="1">
      <alignment horizontal="right"/>
    </xf>
    <xf numFmtId="2" fontId="6" fillId="16" borderId="2" xfId="3" applyNumberFormat="1" applyFont="1" applyBorder="1"/>
    <xf numFmtId="2" fontId="37" fillId="16" borderId="1" xfId="3" applyNumberFormat="1" applyBorder="1" applyAlignment="1"/>
    <xf numFmtId="2" fontId="37" fillId="16" borderId="2" xfId="3" applyNumberFormat="1" applyBorder="1" applyAlignment="1"/>
    <xf numFmtId="2" fontId="37" fillId="16" borderId="21" xfId="3" applyNumberFormat="1" applyBorder="1" applyAlignment="1"/>
    <xf numFmtId="0" fontId="6" fillId="16" borderId="2" xfId="3" applyFont="1" applyBorder="1"/>
    <xf numFmtId="0" fontId="6" fillId="16" borderId="2" xfId="3" applyFont="1" applyBorder="1" applyAlignment="1">
      <alignment horizontal="center"/>
    </xf>
    <xf numFmtId="2" fontId="1" fillId="5" borderId="16" xfId="0" applyNumberFormat="1" applyFont="1" applyFill="1" applyBorder="1"/>
    <xf numFmtId="2" fontId="17" fillId="5" borderId="2" xfId="0" applyNumberFormat="1" applyFont="1" applyFill="1" applyBorder="1"/>
    <xf numFmtId="0" fontId="5" fillId="5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5" borderId="2" xfId="0" applyFont="1" applyFill="1" applyBorder="1"/>
    <xf numFmtId="0" fontId="20" fillId="5" borderId="21" xfId="0" applyFont="1" applyFill="1" applyBorder="1"/>
    <xf numFmtId="2" fontId="6" fillId="15" borderId="1" xfId="2" applyNumberFormat="1" applyFont="1" applyBorder="1"/>
    <xf numFmtId="2" fontId="14" fillId="5" borderId="1" xfId="0" applyNumberFormat="1" applyFont="1" applyFill="1" applyBorder="1"/>
    <xf numFmtId="2" fontId="6" fillId="5" borderId="1" xfId="0" applyNumberFormat="1" applyFont="1" applyFill="1" applyBorder="1"/>
    <xf numFmtId="0" fontId="37" fillId="16" borderId="1" xfId="3" applyBorder="1" applyAlignment="1"/>
    <xf numFmtId="0" fontId="37" fillId="16" borderId="2" xfId="3" applyBorder="1" applyAlignment="1"/>
    <xf numFmtId="0" fontId="37" fillId="16" borderId="21" xfId="3" applyBorder="1" applyAlignment="1"/>
    <xf numFmtId="0" fontId="24" fillId="5" borderId="1" xfId="0" applyFont="1" applyFill="1" applyBorder="1"/>
    <xf numFmtId="2" fontId="1" fillId="5" borderId="2" xfId="0" applyNumberFormat="1" applyFont="1" applyFill="1" applyBorder="1" applyAlignment="1">
      <alignment horizontal="right"/>
    </xf>
    <xf numFmtId="2" fontId="17" fillId="5" borderId="1" xfId="0" applyNumberFormat="1" applyFont="1" applyFill="1" applyBorder="1" applyAlignment="1">
      <alignment horizontal="right"/>
    </xf>
    <xf numFmtId="0" fontId="20" fillId="5" borderId="1" xfId="0" applyFont="1" applyFill="1" applyBorder="1"/>
    <xf numFmtId="0" fontId="37" fillId="16" borderId="16" xfId="3" applyBorder="1"/>
    <xf numFmtId="0" fontId="6" fillId="3" borderId="1" xfId="3" applyFont="1" applyFill="1" applyBorder="1" applyAlignment="1">
      <alignment horizontal="right"/>
    </xf>
    <xf numFmtId="0" fontId="1" fillId="0" borderId="16" xfId="0" applyFont="1" applyBorder="1"/>
    <xf numFmtId="0" fontId="0" fillId="0" borderId="16" xfId="0" applyBorder="1"/>
    <xf numFmtId="0" fontId="0" fillId="0" borderId="18" xfId="0" applyBorder="1"/>
    <xf numFmtId="2" fontId="6" fillId="2" borderId="42" xfId="0" applyNumberFormat="1" applyFont="1" applyFill="1" applyBorder="1" applyAlignment="1">
      <alignment horizontal="right"/>
    </xf>
    <xf numFmtId="0" fontId="14" fillId="4" borderId="28" xfId="0" applyFont="1" applyFill="1" applyBorder="1" applyAlignment="1">
      <alignment horizontal="center"/>
    </xf>
    <xf numFmtId="2" fontId="6" fillId="7" borderId="28" xfId="0" applyNumberFormat="1" applyFont="1" applyFill="1" applyBorder="1" applyAlignment="1">
      <alignment horizontal="center"/>
    </xf>
    <xf numFmtId="2" fontId="9" fillId="2" borderId="3" xfId="0" applyNumberFormat="1" applyFont="1" applyFill="1" applyBorder="1"/>
    <xf numFmtId="2" fontId="27" fillId="2" borderId="42" xfId="0" applyNumberFormat="1" applyFont="1" applyFill="1" applyBorder="1"/>
    <xf numFmtId="0" fontId="6" fillId="0" borderId="16" xfId="0" applyFont="1" applyBorder="1"/>
    <xf numFmtId="0" fontId="17" fillId="4" borderId="28" xfId="0" applyFont="1" applyFill="1" applyBorder="1" applyAlignment="1">
      <alignment horizontal="center"/>
    </xf>
    <xf numFmtId="0" fontId="21" fillId="4" borderId="35" xfId="0" applyFont="1" applyFill="1" applyBorder="1" applyAlignment="1">
      <alignment horizontal="center"/>
    </xf>
    <xf numFmtId="0" fontId="21" fillId="4" borderId="29" xfId="0" applyFont="1" applyFill="1" applyBorder="1" applyAlignment="1">
      <alignment horizontal="center"/>
    </xf>
    <xf numFmtId="0" fontId="11" fillId="2" borderId="0" xfId="0" applyFont="1" applyFill="1" applyBorder="1"/>
    <xf numFmtId="0" fontId="6" fillId="3" borderId="15" xfId="0" applyFont="1" applyFill="1" applyBorder="1" applyAlignment="1">
      <alignment horizontal="center"/>
    </xf>
    <xf numFmtId="2" fontId="1" fillId="2" borderId="18" xfId="0" applyNumberFormat="1" applyFont="1" applyFill="1" applyBorder="1"/>
    <xf numFmtId="0" fontId="6" fillId="3" borderId="16" xfId="0" applyFont="1" applyFill="1" applyBorder="1" applyAlignment="1">
      <alignment horizontal="left"/>
    </xf>
    <xf numFmtId="0" fontId="11" fillId="2" borderId="48" xfId="0" applyFont="1" applyFill="1" applyBorder="1"/>
    <xf numFmtId="0" fontId="11" fillId="2" borderId="49" xfId="0" applyFont="1" applyFill="1" applyBorder="1"/>
    <xf numFmtId="0" fontId="31" fillId="2" borderId="49" xfId="0" applyFont="1" applyFill="1" applyBorder="1"/>
    <xf numFmtId="2" fontId="1" fillId="0" borderId="16" xfId="0" applyNumberFormat="1" applyFont="1" applyBorder="1" applyAlignment="1">
      <alignment horizontal="center"/>
    </xf>
    <xf numFmtId="2" fontId="6" fillId="6" borderId="16" xfId="0" applyNumberFormat="1" applyFont="1" applyFill="1" applyBorder="1"/>
    <xf numFmtId="2" fontId="7" fillId="6" borderId="16" xfId="0" applyNumberFormat="1" applyFont="1" applyFill="1" applyBorder="1"/>
    <xf numFmtId="2" fontId="5" fillId="2" borderId="18" xfId="0" applyNumberFormat="1" applyFont="1" applyFill="1" applyBorder="1"/>
    <xf numFmtId="0" fontId="6" fillId="7" borderId="16" xfId="0" applyFont="1" applyFill="1" applyBorder="1"/>
    <xf numFmtId="0" fontId="1" fillId="4" borderId="31" xfId="0" applyFont="1" applyFill="1" applyBorder="1" applyAlignment="1">
      <alignment horizontal="center"/>
    </xf>
    <xf numFmtId="0" fontId="17" fillId="4" borderId="31" xfId="0" applyFont="1" applyFill="1" applyBorder="1"/>
    <xf numFmtId="2" fontId="6" fillId="17" borderId="1" xfId="4" applyNumberFormat="1" applyFont="1" applyBorder="1"/>
    <xf numFmtId="2" fontId="1" fillId="4" borderId="13" xfId="0" applyNumberFormat="1" applyFont="1" applyFill="1" applyBorder="1" applyAlignment="1">
      <alignment horizontal="center"/>
    </xf>
    <xf numFmtId="0" fontId="19" fillId="2" borderId="3" xfId="0" applyFont="1" applyFill="1" applyBorder="1"/>
    <xf numFmtId="0" fontId="19" fillId="2" borderId="18" xfId="0" applyFont="1" applyFill="1" applyBorder="1"/>
    <xf numFmtId="2" fontId="19" fillId="2" borderId="18" xfId="0" applyNumberFormat="1" applyFont="1" applyFill="1" applyBorder="1"/>
    <xf numFmtId="2" fontId="6" fillId="0" borderId="2" xfId="0" applyNumberFormat="1" applyFont="1" applyBorder="1" applyAlignment="1">
      <alignment horizontal="right"/>
    </xf>
    <xf numFmtId="2" fontId="19" fillId="2" borderId="3" xfId="0" applyNumberFormat="1" applyFont="1" applyFill="1" applyBorder="1"/>
    <xf numFmtId="2" fontId="6" fillId="2" borderId="16" xfId="0" applyNumberFormat="1" applyFont="1" applyFill="1" applyBorder="1"/>
    <xf numFmtId="2" fontId="21" fillId="2" borderId="1" xfId="0" applyNumberFormat="1" applyFont="1" applyFill="1" applyBorder="1"/>
    <xf numFmtId="0" fontId="21" fillId="2" borderId="1" xfId="0" applyFont="1" applyFill="1" applyBorder="1"/>
    <xf numFmtId="2" fontId="9" fillId="2" borderId="1" xfId="0" applyNumberFormat="1" applyFont="1" applyFill="1" applyBorder="1"/>
    <xf numFmtId="2" fontId="19" fillId="2" borderId="1" xfId="0" applyNumberFormat="1" applyFont="1" applyFill="1" applyBorder="1"/>
    <xf numFmtId="2" fontId="27" fillId="2" borderId="2" xfId="0" applyNumberFormat="1" applyFont="1" applyFill="1" applyBorder="1"/>
    <xf numFmtId="2" fontId="7" fillId="15" borderId="36" xfId="2" applyNumberFormat="1" applyFont="1" applyBorder="1"/>
    <xf numFmtId="0" fontId="37" fillId="16" borderId="0" xfId="3"/>
    <xf numFmtId="0" fontId="19" fillId="2" borderId="19" xfId="0" applyFont="1" applyFill="1" applyBorder="1"/>
    <xf numFmtId="2" fontId="19" fillId="2" borderId="19" xfId="0" applyNumberFormat="1" applyFont="1" applyFill="1" applyBorder="1"/>
    <xf numFmtId="2" fontId="6" fillId="0" borderId="16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0" fontId="1" fillId="4" borderId="15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19" fillId="2" borderId="1" xfId="0" applyFont="1" applyFill="1" applyBorder="1"/>
    <xf numFmtId="0" fontId="6" fillId="6" borderId="0" xfId="0" applyFont="1" applyFill="1"/>
    <xf numFmtId="0" fontId="39" fillId="16" borderId="1" xfId="3" applyFont="1" applyBorder="1"/>
    <xf numFmtId="0" fontId="1" fillId="0" borderId="0" xfId="0" applyFont="1"/>
    <xf numFmtId="0" fontId="0" fillId="0" borderId="50" xfId="0" applyBorder="1"/>
    <xf numFmtId="0" fontId="39" fillId="16" borderId="16" xfId="3" applyFont="1" applyBorder="1"/>
    <xf numFmtId="2" fontId="7" fillId="18" borderId="1" xfId="3" applyNumberFormat="1" applyFont="1" applyFill="1" applyBorder="1" applyAlignment="1">
      <alignment horizontal="center"/>
    </xf>
    <xf numFmtId="2" fontId="7" fillId="18" borderId="2" xfId="0" applyNumberFormat="1" applyFont="1" applyFill="1" applyBorder="1" applyAlignment="1">
      <alignment horizontal="center"/>
    </xf>
    <xf numFmtId="2" fontId="7" fillId="18" borderId="1" xfId="0" applyNumberFormat="1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2" fontId="24" fillId="5" borderId="2" xfId="0" applyNumberFormat="1" applyFont="1" applyFill="1" applyBorder="1"/>
    <xf numFmtId="0" fontId="24" fillId="5" borderId="2" xfId="0" applyFont="1" applyFill="1" applyBorder="1"/>
    <xf numFmtId="0" fontId="7" fillId="5" borderId="1" xfId="0" applyFont="1" applyFill="1" applyBorder="1" applyAlignment="1">
      <alignment horizontal="center"/>
    </xf>
    <xf numFmtId="0" fontId="1" fillId="0" borderId="36" xfId="0" applyFont="1" applyFill="1" applyBorder="1"/>
    <xf numFmtId="2" fontId="7" fillId="16" borderId="16" xfId="3" applyNumberFormat="1" applyFont="1" applyBorder="1"/>
    <xf numFmtId="2" fontId="37" fillId="16" borderId="16" xfId="3" applyNumberFormat="1" applyBorder="1" applyAlignment="1">
      <alignment horizontal="right"/>
    </xf>
    <xf numFmtId="0" fontId="37" fillId="16" borderId="21" xfId="3" applyBorder="1" applyAlignment="1">
      <alignment horizontal="right"/>
    </xf>
    <xf numFmtId="2" fontId="37" fillId="16" borderId="21" xfId="3" applyNumberFormat="1" applyBorder="1" applyAlignment="1">
      <alignment horizontal="right"/>
    </xf>
    <xf numFmtId="2" fontId="37" fillId="16" borderId="28" xfId="3" applyNumberFormat="1" applyBorder="1"/>
    <xf numFmtId="2" fontId="6" fillId="16" borderId="28" xfId="3" applyNumberFormat="1" applyFont="1" applyBorder="1"/>
    <xf numFmtId="0" fontId="6" fillId="13" borderId="1" xfId="0" applyFont="1" applyFill="1" applyBorder="1" applyAlignment="1">
      <alignment horizontal="center"/>
    </xf>
    <xf numFmtId="0" fontId="6" fillId="16" borderId="1" xfId="3" applyFont="1" applyBorder="1" applyAlignment="1">
      <alignment horizontal="center"/>
    </xf>
    <xf numFmtId="2" fontId="6" fillId="4" borderId="28" xfId="3" applyNumberFormat="1" applyFont="1" applyFill="1" applyBorder="1"/>
    <xf numFmtId="2" fontId="19" fillId="2" borderId="2" xfId="0" applyNumberFormat="1" applyFont="1" applyFill="1" applyBorder="1"/>
    <xf numFmtId="2" fontId="21" fillId="4" borderId="35" xfId="0" applyNumberFormat="1" applyFont="1" applyFill="1" applyBorder="1"/>
    <xf numFmtId="0" fontId="17" fillId="4" borderId="36" xfId="0" applyFont="1" applyFill="1" applyBorder="1"/>
    <xf numFmtId="0" fontId="21" fillId="4" borderId="13" xfId="0" applyFont="1" applyFill="1" applyBorder="1"/>
    <xf numFmtId="0" fontId="21" fillId="4" borderId="42" xfId="0" applyFont="1" applyFill="1" applyBorder="1"/>
    <xf numFmtId="0" fontId="21" fillId="4" borderId="37" xfId="0" applyFont="1" applyFill="1" applyBorder="1"/>
    <xf numFmtId="2" fontId="17" fillId="4" borderId="42" xfId="0" applyNumberFormat="1" applyFont="1" applyFill="1" applyBorder="1"/>
    <xf numFmtId="2" fontId="1" fillId="6" borderId="13" xfId="0" applyNumberFormat="1" applyFont="1" applyFill="1" applyBorder="1"/>
    <xf numFmtId="0" fontId="17" fillId="4" borderId="42" xfId="0" applyFont="1" applyFill="1" applyBorder="1"/>
    <xf numFmtId="2" fontId="21" fillId="4" borderId="42" xfId="0" applyNumberFormat="1" applyFont="1" applyFill="1" applyBorder="1"/>
    <xf numFmtId="0" fontId="25" fillId="3" borderId="1" xfId="0" applyFont="1" applyFill="1" applyBorder="1"/>
    <xf numFmtId="2" fontId="39" fillId="16" borderId="2" xfId="3" applyNumberFormat="1" applyFont="1" applyBorder="1" applyAlignment="1">
      <alignment horizontal="center"/>
    </xf>
    <xf numFmtId="0" fontId="33" fillId="6" borderId="51" xfId="0" applyFont="1" applyFill="1" applyBorder="1" applyAlignment="1">
      <alignment horizontal="center"/>
    </xf>
    <xf numFmtId="0" fontId="23" fillId="4" borderId="29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23" fillId="4" borderId="31" xfId="0" applyFont="1" applyFill="1" applyBorder="1" applyAlignment="1">
      <alignment horizontal="center"/>
    </xf>
    <xf numFmtId="2" fontId="6" fillId="4" borderId="13" xfId="3" applyNumberFormat="1" applyFont="1" applyFill="1" applyBorder="1"/>
    <xf numFmtId="2" fontId="6" fillId="5" borderId="2" xfId="0" applyNumberFormat="1" applyFont="1" applyFill="1" applyBorder="1"/>
    <xf numFmtId="0" fontId="7" fillId="15" borderId="0" xfId="2" applyFont="1"/>
    <xf numFmtId="2" fontId="6" fillId="3" borderId="1" xfId="3" applyNumberFormat="1" applyFont="1" applyFill="1" applyBorder="1" applyAlignment="1">
      <alignment horizontal="right"/>
    </xf>
    <xf numFmtId="2" fontId="6" fillId="3" borderId="2" xfId="3" applyNumberFormat="1" applyFont="1" applyFill="1" applyBorder="1"/>
    <xf numFmtId="2" fontId="1" fillId="16" borderId="1" xfId="3" applyNumberFormat="1" applyFont="1" applyBorder="1"/>
    <xf numFmtId="2" fontId="1" fillId="16" borderId="16" xfId="3" applyNumberFormat="1" applyFont="1" applyBorder="1"/>
    <xf numFmtId="0" fontId="1" fillId="16" borderId="2" xfId="3" applyFont="1" applyBorder="1"/>
    <xf numFmtId="0" fontId="1" fillId="16" borderId="2" xfId="3" applyFont="1" applyBorder="1" applyAlignment="1">
      <alignment horizontal="center"/>
    </xf>
    <xf numFmtId="2" fontId="1" fillId="5" borderId="2" xfId="0" applyNumberFormat="1" applyFont="1" applyFill="1" applyBorder="1"/>
    <xf numFmtId="0" fontId="1" fillId="3" borderId="0" xfId="0" applyFont="1" applyFill="1"/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2" fontId="1" fillId="4" borderId="13" xfId="3" applyNumberFormat="1" applyFont="1" applyFill="1" applyBorder="1"/>
    <xf numFmtId="2" fontId="25" fillId="3" borderId="1" xfId="3" applyNumberFormat="1" applyFont="1" applyFill="1" applyBorder="1"/>
    <xf numFmtId="0" fontId="25" fillId="6" borderId="1" xfId="0" applyFont="1" applyFill="1" applyBorder="1"/>
    <xf numFmtId="166" fontId="6" fillId="3" borderId="1" xfId="0" applyNumberFormat="1" applyFont="1" applyFill="1" applyBorder="1"/>
    <xf numFmtId="0" fontId="6" fillId="6" borderId="1" xfId="0" applyFont="1" applyFill="1" applyBorder="1"/>
    <xf numFmtId="0" fontId="33" fillId="6" borderId="6" xfId="0" applyFont="1" applyFill="1" applyBorder="1" applyAlignment="1">
      <alignment horizontal="center"/>
    </xf>
    <xf numFmtId="0" fontId="37" fillId="3" borderId="21" xfId="3" applyFill="1" applyBorder="1" applyAlignment="1">
      <alignment horizontal="center"/>
    </xf>
    <xf numFmtId="0" fontId="17" fillId="4" borderId="52" xfId="0" applyFont="1" applyFill="1" applyBorder="1" applyAlignment="1">
      <alignment horizontal="center"/>
    </xf>
    <xf numFmtId="2" fontId="1" fillId="7" borderId="16" xfId="0" applyNumberFormat="1" applyFont="1" applyFill="1" applyBorder="1"/>
    <xf numFmtId="0" fontId="34" fillId="4" borderId="35" xfId="0" applyFont="1" applyFill="1" applyBorder="1" applyAlignment="1">
      <alignment horizontal="center"/>
    </xf>
    <xf numFmtId="0" fontId="34" fillId="4" borderId="29" xfId="0" applyFont="1" applyFill="1" applyBorder="1" applyAlignment="1">
      <alignment horizontal="center"/>
    </xf>
    <xf numFmtId="2" fontId="39" fillId="16" borderId="16" xfId="3" applyNumberFormat="1" applyFont="1" applyBorder="1"/>
    <xf numFmtId="0" fontId="22" fillId="7" borderId="29" xfId="0" applyFont="1" applyFill="1" applyBorder="1"/>
    <xf numFmtId="2" fontId="6" fillId="4" borderId="36" xfId="3" applyNumberFormat="1" applyFont="1" applyFill="1" applyBorder="1"/>
    <xf numFmtId="2" fontId="40" fillId="3" borderId="1" xfId="0" applyNumberFormat="1" applyFont="1" applyFill="1" applyBorder="1"/>
    <xf numFmtId="0" fontId="40" fillId="3" borderId="1" xfId="0" applyFont="1" applyFill="1" applyBorder="1"/>
    <xf numFmtId="0" fontId="0" fillId="3" borderId="1" xfId="0" applyFont="1" applyFill="1" applyBorder="1"/>
    <xf numFmtId="2" fontId="6" fillId="3" borderId="1" xfId="0" quotePrefix="1" applyNumberFormat="1" applyFont="1" applyFill="1" applyBorder="1" applyAlignment="1">
      <alignment horizontal="right"/>
    </xf>
    <xf numFmtId="0" fontId="41" fillId="3" borderId="1" xfId="0" applyFont="1" applyFill="1" applyBorder="1"/>
    <xf numFmtId="0" fontId="22" fillId="2" borderId="3" xfId="0" applyFont="1" applyFill="1" applyBorder="1"/>
    <xf numFmtId="0" fontId="22" fillId="2" borderId="18" xfId="0" applyFont="1" applyFill="1" applyBorder="1"/>
    <xf numFmtId="0" fontId="22" fillId="2" borderId="1" xfId="0" applyFont="1" applyFill="1" applyBorder="1"/>
    <xf numFmtId="0" fontId="19" fillId="2" borderId="21" xfId="0" applyFont="1" applyFill="1" applyBorder="1"/>
    <xf numFmtId="0" fontId="22" fillId="2" borderId="35" xfId="0" applyFont="1" applyFill="1" applyBorder="1"/>
    <xf numFmtId="2" fontId="21" fillId="3" borderId="16" xfId="0" applyNumberFormat="1" applyFont="1" applyFill="1" applyBorder="1"/>
    <xf numFmtId="2" fontId="17" fillId="3" borderId="1" xfId="0" applyNumberFormat="1" applyFont="1" applyFill="1" applyBorder="1"/>
    <xf numFmtId="2" fontId="19" fillId="3" borderId="1" xfId="0" applyNumberFormat="1" applyFont="1" applyFill="1" applyBorder="1"/>
    <xf numFmtId="2" fontId="19" fillId="3" borderId="2" xfId="0" applyNumberFormat="1" applyFont="1" applyFill="1" applyBorder="1"/>
    <xf numFmtId="2" fontId="21" fillId="3" borderId="2" xfId="0" applyNumberFormat="1" applyFont="1" applyFill="1" applyBorder="1"/>
    <xf numFmtId="0" fontId="37" fillId="5" borderId="2" xfId="3" applyFill="1" applyBorder="1"/>
    <xf numFmtId="0" fontId="37" fillId="5" borderId="1" xfId="3" applyFill="1" applyBorder="1"/>
    <xf numFmtId="0" fontId="23" fillId="4" borderId="13" xfId="0" applyFont="1" applyFill="1" applyBorder="1" applyAlignment="1">
      <alignment horizontal="center"/>
    </xf>
    <xf numFmtId="0" fontId="6" fillId="3" borderId="2" xfId="3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2" fontId="6" fillId="3" borderId="1" xfId="3" applyNumberFormat="1" applyFont="1" applyFill="1" applyBorder="1" applyAlignment="1">
      <alignment horizontal="center"/>
    </xf>
    <xf numFmtId="2" fontId="37" fillId="16" borderId="16" xfId="3" applyNumberFormat="1" applyBorder="1" applyAlignment="1"/>
    <xf numFmtId="2" fontId="7" fillId="17" borderId="1" xfId="4" applyNumberFormat="1" applyFont="1" applyBorder="1"/>
    <xf numFmtId="0" fontId="6" fillId="3" borderId="1" xfId="2" applyFont="1" applyFill="1" applyBorder="1"/>
    <xf numFmtId="0" fontId="7" fillId="17" borderId="1" xfId="4" applyFont="1" applyBorder="1"/>
    <xf numFmtId="0" fontId="0" fillId="5" borderId="1" xfId="0" applyFill="1" applyBorder="1" applyAlignment="1">
      <alignment horizontal="center"/>
    </xf>
    <xf numFmtId="2" fontId="6" fillId="4" borderId="42" xfId="0" applyNumberFormat="1" applyFont="1" applyFill="1" applyBorder="1" applyAlignment="1">
      <alignment horizontal="right"/>
    </xf>
    <xf numFmtId="2" fontId="1" fillId="6" borderId="36" xfId="0" applyNumberFormat="1" applyFont="1" applyFill="1" applyBorder="1"/>
    <xf numFmtId="2" fontId="17" fillId="4" borderId="37" xfId="0" applyNumberFormat="1" applyFont="1" applyFill="1" applyBorder="1"/>
    <xf numFmtId="0" fontId="37" fillId="16" borderId="19" xfId="3" applyBorder="1" applyAlignment="1">
      <alignment horizontal="center"/>
    </xf>
    <xf numFmtId="2" fontId="1" fillId="6" borderId="13" xfId="0" applyNumberFormat="1" applyFont="1" applyFill="1" applyBorder="1" applyAlignment="1">
      <alignment horizontal="right"/>
    </xf>
    <xf numFmtId="0" fontId="17" fillId="4" borderId="13" xfId="0" applyFont="1" applyFill="1" applyBorder="1"/>
    <xf numFmtId="0" fontId="17" fillId="6" borderId="36" xfId="0" applyFont="1" applyFill="1" applyBorder="1"/>
    <xf numFmtId="0" fontId="21" fillId="4" borderId="36" xfId="0" applyFont="1" applyFill="1" applyBorder="1"/>
    <xf numFmtId="2" fontId="17" fillId="4" borderId="35" xfId="0" applyNumberFormat="1" applyFont="1" applyFill="1" applyBorder="1"/>
    <xf numFmtId="0" fontId="7" fillId="3" borderId="1" xfId="0" applyFont="1" applyFill="1" applyBorder="1"/>
    <xf numFmtId="2" fontId="7" fillId="3" borderId="2" xfId="0" applyNumberFormat="1" applyFont="1" applyFill="1" applyBorder="1"/>
    <xf numFmtId="0" fontId="34" fillId="4" borderId="52" xfId="0" applyFont="1" applyFill="1" applyBorder="1" applyAlignment="1">
      <alignment horizontal="center"/>
    </xf>
    <xf numFmtId="2" fontId="1" fillId="5" borderId="2" xfId="0" applyNumberFormat="1" applyFont="1" applyFill="1" applyBorder="1" applyAlignment="1">
      <alignment horizontal="center"/>
    </xf>
    <xf numFmtId="0" fontId="1" fillId="6" borderId="1" xfId="0" applyFont="1" applyFill="1" applyBorder="1"/>
    <xf numFmtId="2" fontId="21" fillId="4" borderId="13" xfId="0" applyNumberFormat="1" applyFont="1" applyFill="1" applyBorder="1"/>
    <xf numFmtId="2" fontId="39" fillId="16" borderId="1" xfId="3" applyNumberFormat="1" applyFont="1" applyBorder="1" applyAlignment="1">
      <alignment horizontal="center"/>
    </xf>
    <xf numFmtId="2" fontId="17" fillId="7" borderId="21" xfId="0" applyNumberFormat="1" applyFont="1" applyFill="1" applyBorder="1"/>
    <xf numFmtId="0" fontId="25" fillId="16" borderId="1" xfId="3" applyFont="1" applyBorder="1"/>
    <xf numFmtId="0" fontId="33" fillId="6" borderId="53" xfId="0" applyFont="1" applyFill="1" applyBorder="1" applyAlignment="1">
      <alignment horizontal="center"/>
    </xf>
    <xf numFmtId="0" fontId="0" fillId="4" borderId="21" xfId="0" applyFill="1" applyBorder="1"/>
    <xf numFmtId="0" fontId="0" fillId="4" borderId="40" xfId="0" applyFill="1" applyBorder="1"/>
    <xf numFmtId="0" fontId="28" fillId="10" borderId="37" xfId="0" applyFont="1" applyFill="1" applyBorder="1" applyAlignment="1"/>
    <xf numFmtId="0" fontId="34" fillId="4" borderId="16" xfId="0" applyFont="1" applyFill="1" applyBorder="1" applyAlignment="1">
      <alignment horizontal="center"/>
    </xf>
    <xf numFmtId="0" fontId="28" fillId="10" borderId="31" xfId="0" applyFont="1" applyFill="1" applyBorder="1" applyAlignment="1"/>
    <xf numFmtId="0" fontId="28" fillId="10" borderId="28" xfId="0" applyFont="1" applyFill="1" applyBorder="1" applyAlignment="1"/>
    <xf numFmtId="0" fontId="28" fillId="7" borderId="29" xfId="0" applyFont="1" applyFill="1" applyBorder="1" applyAlignment="1"/>
    <xf numFmtId="2" fontId="21" fillId="3" borderId="8" xfId="0" applyNumberFormat="1" applyFont="1" applyFill="1" applyBorder="1"/>
    <xf numFmtId="0" fontId="1" fillId="3" borderId="21" xfId="0" applyFont="1" applyFill="1" applyBorder="1"/>
    <xf numFmtId="0" fontId="0" fillId="3" borderId="21" xfId="0" applyFill="1" applyBorder="1"/>
    <xf numFmtId="2" fontId="1" fillId="3" borderId="16" xfId="0" applyNumberFormat="1" applyFont="1" applyFill="1" applyBorder="1"/>
    <xf numFmtId="2" fontId="6" fillId="3" borderId="8" xfId="0" applyNumberFormat="1" applyFont="1" applyFill="1" applyBorder="1"/>
    <xf numFmtId="2" fontId="1" fillId="3" borderId="8" xfId="0" applyNumberFormat="1" applyFont="1" applyFill="1" applyBorder="1"/>
    <xf numFmtId="2" fontId="1" fillId="3" borderId="21" xfId="0" applyNumberFormat="1" applyFont="1" applyFill="1" applyBorder="1"/>
    <xf numFmtId="2" fontId="0" fillId="3" borderId="21" xfId="0" applyNumberFormat="1" applyFill="1" applyBorder="1"/>
    <xf numFmtId="2" fontId="30" fillId="3" borderId="8" xfId="0" applyNumberFormat="1" applyFont="1" applyFill="1" applyBorder="1"/>
    <xf numFmtId="0" fontId="0" fillId="7" borderId="39" xfId="0" applyFill="1" applyBorder="1"/>
    <xf numFmtId="0" fontId="1" fillId="4" borderId="20" xfId="0" applyFont="1" applyFill="1" applyBorder="1" applyAlignment="1">
      <alignment horizontal="center"/>
    </xf>
    <xf numFmtId="2" fontId="7" fillId="3" borderId="21" xfId="0" applyNumberFormat="1" applyFont="1" applyFill="1" applyBorder="1"/>
    <xf numFmtId="0" fontId="7" fillId="3" borderId="21" xfId="0" applyFont="1" applyFill="1" applyBorder="1"/>
    <xf numFmtId="2" fontId="39" fillId="16" borderId="2" xfId="3" applyNumberFormat="1" applyFont="1" applyBorder="1"/>
    <xf numFmtId="0" fontId="0" fillId="3" borderId="2" xfId="0" applyFill="1" applyBorder="1"/>
    <xf numFmtId="2" fontId="0" fillId="3" borderId="2" xfId="0" applyNumberFormat="1" applyFill="1" applyBorder="1"/>
    <xf numFmtId="0" fontId="0" fillId="4" borderId="32" xfId="0" applyFill="1" applyBorder="1"/>
    <xf numFmtId="2" fontId="6" fillId="3" borderId="16" xfId="0" applyNumberFormat="1" applyFont="1" applyFill="1" applyBorder="1" applyAlignment="1">
      <alignment horizontal="center"/>
    </xf>
    <xf numFmtId="2" fontId="39" fillId="16" borderId="21" xfId="3" applyNumberFormat="1" applyFont="1" applyBorder="1" applyAlignment="1">
      <alignment horizontal="right"/>
    </xf>
    <xf numFmtId="2" fontId="39" fillId="16" borderId="21" xfId="3" applyNumberFormat="1" applyFont="1" applyBorder="1"/>
    <xf numFmtId="2" fontId="6" fillId="3" borderId="21" xfId="3" applyNumberFormat="1" applyFont="1" applyFill="1" applyBorder="1"/>
    <xf numFmtId="0" fontId="25" fillId="3" borderId="21" xfId="3" applyFont="1" applyFill="1" applyBorder="1"/>
    <xf numFmtId="0" fontId="6" fillId="3" borderId="21" xfId="0" applyFont="1" applyFill="1" applyBorder="1"/>
    <xf numFmtId="2" fontId="45" fillId="3" borderId="21" xfId="0" applyNumberFormat="1" applyFont="1" applyFill="1" applyBorder="1"/>
    <xf numFmtId="0" fontId="45" fillId="3" borderId="21" xfId="0" applyFont="1" applyFill="1" applyBorder="1"/>
    <xf numFmtId="2" fontId="45" fillId="3" borderId="21" xfId="3" applyNumberFormat="1" applyFont="1" applyFill="1" applyBorder="1"/>
    <xf numFmtId="2" fontId="6" fillId="3" borderId="21" xfId="3" applyNumberFormat="1" applyFont="1" applyFill="1" applyBorder="1" applyAlignment="1">
      <alignment horizontal="right"/>
    </xf>
    <xf numFmtId="2" fontId="7" fillId="3" borderId="21" xfId="3" applyNumberFormat="1" applyFont="1" applyFill="1" applyBorder="1" applyAlignment="1">
      <alignment horizontal="right"/>
    </xf>
    <xf numFmtId="2" fontId="46" fillId="3" borderId="21" xfId="0" applyNumberFormat="1" applyFont="1" applyFill="1" applyBorder="1"/>
    <xf numFmtId="2" fontId="42" fillId="3" borderId="0" xfId="0" applyNumberFormat="1" applyFont="1" applyFill="1" applyBorder="1"/>
    <xf numFmtId="0" fontId="44" fillId="3" borderId="0" xfId="0" applyFont="1" applyFill="1" applyBorder="1"/>
    <xf numFmtId="2" fontId="39" fillId="3" borderId="0" xfId="3" applyNumberFormat="1" applyFont="1" applyFill="1" applyBorder="1" applyAlignment="1">
      <alignment horizontal="center"/>
    </xf>
    <xf numFmtId="2" fontId="37" fillId="3" borderId="0" xfId="3" applyNumberFormat="1" applyFill="1" applyBorder="1"/>
    <xf numFmtId="0" fontId="37" fillId="3" borderId="0" xfId="3" applyFill="1" applyBorder="1"/>
    <xf numFmtId="2" fontId="6" fillId="3" borderId="0" xfId="3" applyNumberFormat="1" applyFont="1" applyFill="1" applyBorder="1"/>
    <xf numFmtId="2" fontId="39" fillId="3" borderId="0" xfId="3" applyNumberFormat="1" applyFont="1" applyFill="1" applyBorder="1"/>
    <xf numFmtId="0" fontId="39" fillId="3" borderId="0" xfId="3" applyFont="1" applyFill="1" applyBorder="1"/>
    <xf numFmtId="0" fontId="43" fillId="3" borderId="0" xfId="0" applyFont="1" applyFill="1" applyBorder="1"/>
    <xf numFmtId="0" fontId="24" fillId="3" borderId="0" xfId="0" applyFont="1" applyFill="1" applyBorder="1"/>
    <xf numFmtId="2" fontId="1" fillId="3" borderId="0" xfId="0" applyNumberFormat="1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2" fontId="21" fillId="3" borderId="0" xfId="0" applyNumberFormat="1" applyFont="1" applyFill="1" applyBorder="1"/>
    <xf numFmtId="2" fontId="21" fillId="3" borderId="0" xfId="0" applyNumberFormat="1" applyFont="1" applyFill="1" applyBorder="1" applyAlignment="1">
      <alignment horizontal="right"/>
    </xf>
    <xf numFmtId="2" fontId="46" fillId="3" borderId="1" xfId="0" applyNumberFormat="1" applyFont="1" applyFill="1" applyBorder="1"/>
    <xf numFmtId="2" fontId="46" fillId="0" borderId="16" xfId="0" applyNumberFormat="1" applyFont="1" applyBorder="1"/>
    <xf numFmtId="2" fontId="46" fillId="0" borderId="1" xfId="0" applyNumberFormat="1" applyFont="1" applyBorder="1"/>
    <xf numFmtId="2" fontId="46" fillId="3" borderId="8" xfId="0" applyNumberFormat="1" applyFont="1" applyFill="1" applyBorder="1"/>
    <xf numFmtId="2" fontId="46" fillId="3" borderId="21" xfId="3" applyNumberFormat="1" applyFont="1" applyFill="1" applyBorder="1" applyAlignment="1">
      <alignment horizontal="right"/>
    </xf>
    <xf numFmtId="2" fontId="1" fillId="4" borderId="2" xfId="0" applyNumberFormat="1" applyFont="1" applyFill="1" applyBorder="1"/>
    <xf numFmtId="2" fontId="6" fillId="4" borderId="2" xfId="0" applyNumberFormat="1" applyFont="1" applyFill="1" applyBorder="1"/>
    <xf numFmtId="2" fontId="6" fillId="3" borderId="21" xfId="0" applyNumberFormat="1" applyFont="1" applyFill="1" applyBorder="1"/>
    <xf numFmtId="2" fontId="46" fillId="3" borderId="21" xfId="3" applyNumberFormat="1" applyFont="1" applyFill="1" applyBorder="1"/>
    <xf numFmtId="2" fontId="1" fillId="6" borderId="21" xfId="0" applyNumberFormat="1" applyFont="1" applyFill="1" applyBorder="1"/>
    <xf numFmtId="2" fontId="6" fillId="6" borderId="21" xfId="0" applyNumberFormat="1" applyFont="1" applyFill="1" applyBorder="1"/>
    <xf numFmtId="2" fontId="39" fillId="16" borderId="1" xfId="3" applyNumberFormat="1" applyFont="1" applyBorder="1"/>
    <xf numFmtId="2" fontId="45" fillId="3" borderId="0" xfId="0" applyNumberFormat="1" applyFont="1" applyFill="1" applyBorder="1"/>
    <xf numFmtId="2" fontId="7" fillId="3" borderId="52" xfId="0" applyNumberFormat="1" applyFont="1" applyFill="1" applyBorder="1" applyAlignment="1">
      <alignment horizontal="right"/>
    </xf>
    <xf numFmtId="0" fontId="7" fillId="4" borderId="1" xfId="0" applyFont="1" applyFill="1" applyBorder="1"/>
    <xf numFmtId="2" fontId="1" fillId="3" borderId="21" xfId="0" applyNumberFormat="1" applyFont="1" applyFill="1" applyBorder="1" applyAlignment="1">
      <alignment horizontal="right"/>
    </xf>
    <xf numFmtId="2" fontId="47" fillId="3" borderId="21" xfId="0" applyNumberFormat="1" applyFont="1" applyFill="1" applyBorder="1"/>
    <xf numFmtId="0" fontId="15" fillId="4" borderId="1" xfId="0" applyFont="1" applyFill="1" applyBorder="1"/>
    <xf numFmtId="0" fontId="43" fillId="3" borderId="1" xfId="0" applyFont="1" applyFill="1" applyBorder="1"/>
    <xf numFmtId="2" fontId="43" fillId="3" borderId="1" xfId="0" applyNumberFormat="1" applyFont="1" applyFill="1" applyBorder="1"/>
    <xf numFmtId="2" fontId="0" fillId="7" borderId="30" xfId="0" applyNumberFormat="1" applyFill="1" applyBorder="1"/>
    <xf numFmtId="2" fontId="6" fillId="6" borderId="36" xfId="0" applyNumberFormat="1" applyFont="1" applyFill="1" applyBorder="1"/>
    <xf numFmtId="2" fontId="1" fillId="6" borderId="13" xfId="0" applyNumberFormat="1" applyFont="1" applyFill="1" applyBorder="1" applyAlignment="1">
      <alignment horizontal="center"/>
    </xf>
    <xf numFmtId="0" fontId="6" fillId="3" borderId="2" xfId="3" applyFont="1" applyFill="1" applyBorder="1"/>
    <xf numFmtId="2" fontId="6" fillId="4" borderId="13" xfId="3" applyNumberFormat="1" applyFont="1" applyFill="1" applyBorder="1" applyAlignment="1">
      <alignment horizontal="right"/>
    </xf>
    <xf numFmtId="2" fontId="42" fillId="3" borderId="21" xfId="0" applyNumberFormat="1" applyFont="1" applyFill="1" applyBorder="1"/>
    <xf numFmtId="2" fontId="0" fillId="6" borderId="1" xfId="0" applyNumberFormat="1" applyFill="1" applyBorder="1"/>
    <xf numFmtId="2" fontId="37" fillId="16" borderId="3" xfId="3" applyNumberFormat="1" applyBorder="1"/>
    <xf numFmtId="0" fontId="37" fillId="16" borderId="3" xfId="3" applyBorder="1"/>
    <xf numFmtId="2" fontId="37" fillId="16" borderId="19" xfId="3" applyNumberFormat="1" applyBorder="1"/>
    <xf numFmtId="2" fontId="37" fillId="16" borderId="35" xfId="3" applyNumberFormat="1" applyBorder="1"/>
    <xf numFmtId="2" fontId="1" fillId="5" borderId="1" xfId="0" applyNumberFormat="1" applyFont="1" applyFill="1" applyBorder="1" applyAlignment="1">
      <alignment horizontal="center"/>
    </xf>
    <xf numFmtId="2" fontId="30" fillId="2" borderId="2" xfId="0" applyNumberFormat="1" applyFont="1" applyFill="1" applyBorder="1"/>
    <xf numFmtId="0" fontId="30" fillId="2" borderId="2" xfId="0" applyFont="1" applyFill="1" applyBorder="1"/>
    <xf numFmtId="0" fontId="30" fillId="2" borderId="21" xfId="0" applyFont="1" applyFill="1" applyBorder="1"/>
    <xf numFmtId="0" fontId="1" fillId="6" borderId="21" xfId="0" applyFont="1" applyFill="1" applyBorder="1"/>
    <xf numFmtId="2" fontId="0" fillId="6" borderId="2" xfId="0" applyNumberFormat="1" applyFill="1" applyBorder="1"/>
    <xf numFmtId="2" fontId="7" fillId="4" borderId="1" xfId="0" applyNumberFormat="1" applyFont="1" applyFill="1" applyBorder="1"/>
    <xf numFmtId="2" fontId="1" fillId="3" borderId="1" xfId="3" applyNumberFormat="1" applyFont="1" applyFill="1" applyBorder="1"/>
    <xf numFmtId="0" fontId="1" fillId="3" borderId="1" xfId="3" applyFont="1" applyFill="1" applyBorder="1"/>
    <xf numFmtId="2" fontId="7" fillId="3" borderId="0" xfId="3" applyNumberFormat="1" applyFont="1" applyFill="1" applyBorder="1"/>
    <xf numFmtId="0" fontId="15" fillId="3" borderId="1" xfId="0" applyFont="1" applyFill="1" applyBorder="1"/>
    <xf numFmtId="2" fontId="6" fillId="3" borderId="21" xfId="0" applyNumberFormat="1" applyFont="1" applyFill="1" applyBorder="1" applyAlignment="1">
      <alignment horizontal="right"/>
    </xf>
    <xf numFmtId="2" fontId="15" fillId="3" borderId="1" xfId="0" applyNumberFormat="1" applyFont="1" applyFill="1" applyBorder="1"/>
    <xf numFmtId="2" fontId="1" fillId="4" borderId="21" xfId="0" applyNumberFormat="1" applyFont="1" applyFill="1" applyBorder="1"/>
    <xf numFmtId="0" fontId="9" fillId="6" borderId="36" xfId="0" applyFont="1" applyFill="1" applyBorder="1"/>
    <xf numFmtId="0" fontId="9" fillId="4" borderId="36" xfId="0" applyFont="1" applyFill="1" applyBorder="1"/>
    <xf numFmtId="2" fontId="20" fillId="6" borderId="13" xfId="0" applyNumberFormat="1" applyFont="1" applyFill="1" applyBorder="1"/>
    <xf numFmtId="0" fontId="9" fillId="4" borderId="13" xfId="0" applyFont="1" applyFill="1" applyBorder="1"/>
    <xf numFmtId="2" fontId="27" fillId="4" borderId="42" xfId="0" applyNumberFormat="1" applyFont="1" applyFill="1" applyBorder="1"/>
    <xf numFmtId="2" fontId="9" fillId="4" borderId="37" xfId="0" applyNumberFormat="1" applyFont="1" applyFill="1" applyBorder="1"/>
    <xf numFmtId="0" fontId="9" fillId="4" borderId="42" xfId="0" applyFont="1" applyFill="1" applyBorder="1"/>
    <xf numFmtId="2" fontId="6" fillId="16" borderId="21" xfId="3" applyNumberFormat="1" applyFont="1" applyBorder="1"/>
    <xf numFmtId="2" fontId="6" fillId="16" borderId="21" xfId="3" applyNumberFormat="1" applyFont="1" applyBorder="1" applyAlignment="1">
      <alignment horizontal="right"/>
    </xf>
    <xf numFmtId="2" fontId="42" fillId="3" borderId="21" xfId="3" applyNumberFormat="1" applyFont="1" applyFill="1" applyBorder="1" applyAlignment="1">
      <alignment horizontal="right"/>
    </xf>
    <xf numFmtId="2" fontId="6" fillId="4" borderId="23" xfId="0" applyNumberFormat="1" applyFont="1" applyFill="1" applyBorder="1"/>
    <xf numFmtId="2" fontId="1" fillId="3" borderId="4" xfId="0" applyNumberFormat="1" applyFont="1" applyFill="1" applyBorder="1"/>
    <xf numFmtId="2" fontId="1" fillId="0" borderId="0" xfId="0" applyNumberFormat="1" applyFont="1"/>
    <xf numFmtId="0" fontId="0" fillId="7" borderId="3" xfId="0" applyFill="1" applyBorder="1"/>
    <xf numFmtId="2" fontId="19" fillId="3" borderId="21" xfId="0" applyNumberFormat="1" applyFont="1" applyFill="1" applyBorder="1"/>
    <xf numFmtId="2" fontId="21" fillId="6" borderId="2" xfId="0" applyNumberFormat="1" applyFont="1" applyFill="1" applyBorder="1"/>
    <xf numFmtId="0" fontId="25" fillId="4" borderId="1" xfId="0" applyFont="1" applyFill="1" applyBorder="1"/>
    <xf numFmtId="2" fontId="6" fillId="4" borderId="1" xfId="0" applyNumberFormat="1" applyFont="1" applyFill="1" applyBorder="1"/>
    <xf numFmtId="0" fontId="6" fillId="4" borderId="1" xfId="0" applyFont="1" applyFill="1" applyBorder="1"/>
    <xf numFmtId="0" fontId="42" fillId="3" borderId="21" xfId="0" applyFont="1" applyFill="1" applyBorder="1"/>
    <xf numFmtId="0" fontId="1" fillId="4" borderId="1" xfId="0" applyFont="1" applyFill="1" applyBorder="1"/>
    <xf numFmtId="2" fontId="7" fillId="3" borderId="21" xfId="3" applyNumberFormat="1" applyFont="1" applyFill="1" applyBorder="1"/>
    <xf numFmtId="0" fontId="1" fillId="3" borderId="21" xfId="0" applyFont="1" applyFill="1" applyBorder="1" applyAlignment="1">
      <alignment horizontal="right"/>
    </xf>
    <xf numFmtId="2" fontId="6" fillId="0" borderId="0" xfId="0" applyNumberFormat="1" applyFont="1"/>
    <xf numFmtId="0" fontId="19" fillId="3" borderId="21" xfId="0" applyFont="1" applyFill="1" applyBorder="1"/>
    <xf numFmtId="2" fontId="48" fillId="9" borderId="1" xfId="0" applyNumberFormat="1" applyFont="1" applyFill="1" applyBorder="1" applyAlignment="1">
      <alignment horizontal="center"/>
    </xf>
    <xf numFmtId="0" fontId="6" fillId="5" borderId="1" xfId="3" applyFont="1" applyFill="1" applyBorder="1" applyAlignment="1">
      <alignment horizontal="center"/>
    </xf>
    <xf numFmtId="0" fontId="7" fillId="0" borderId="0" xfId="0" applyFont="1"/>
    <xf numFmtId="2" fontId="0" fillId="7" borderId="17" xfId="0" applyNumberFormat="1" applyFill="1" applyBorder="1"/>
    <xf numFmtId="0" fontId="0" fillId="3" borderId="40" xfId="0" applyFill="1" applyBorder="1"/>
    <xf numFmtId="0" fontId="21" fillId="4" borderId="18" xfId="0" applyFont="1" applyFill="1" applyBorder="1" applyAlignment="1">
      <alignment horizontal="center"/>
    </xf>
    <xf numFmtId="0" fontId="0" fillId="7" borderId="0" xfId="0" applyFill="1"/>
    <xf numFmtId="0" fontId="0" fillId="4" borderId="0" xfId="0" applyFill="1"/>
    <xf numFmtId="0" fontId="28" fillId="7" borderId="37" xfId="0" applyFont="1" applyFill="1" applyBorder="1" applyAlignment="1"/>
    <xf numFmtId="0" fontId="6" fillId="4" borderId="35" xfId="0" applyFont="1" applyFill="1" applyBorder="1" applyAlignment="1">
      <alignment horizontal="center"/>
    </xf>
    <xf numFmtId="0" fontId="0" fillId="7" borderId="18" xfId="0" applyFill="1" applyBorder="1"/>
    <xf numFmtId="0" fontId="0" fillId="7" borderId="19" xfId="0" applyFill="1" applyBorder="1"/>
    <xf numFmtId="0" fontId="0" fillId="4" borderId="9" xfId="0" applyFill="1" applyBorder="1"/>
    <xf numFmtId="0" fontId="0" fillId="7" borderId="54" xfId="0" applyFill="1" applyBorder="1"/>
    <xf numFmtId="0" fontId="34" fillId="4" borderId="56" xfId="0" applyFont="1" applyFill="1" applyBorder="1" applyAlignment="1">
      <alignment horizontal="center"/>
    </xf>
    <xf numFmtId="0" fontId="0" fillId="0" borderId="56" xfId="0" applyBorder="1"/>
    <xf numFmtId="0" fontId="0" fillId="4" borderId="56" xfId="0" applyFill="1" applyBorder="1"/>
    <xf numFmtId="0" fontId="0" fillId="7" borderId="57" xfId="0" applyFill="1" applyBorder="1"/>
    <xf numFmtId="0" fontId="0" fillId="7" borderId="35" xfId="0" applyFill="1" applyBorder="1"/>
    <xf numFmtId="0" fontId="34" fillId="4" borderId="2" xfId="0" applyFont="1" applyFill="1" applyBorder="1" applyAlignment="1">
      <alignment horizontal="center"/>
    </xf>
    <xf numFmtId="0" fontId="0" fillId="7" borderId="59" xfId="0" applyFill="1" applyBorder="1"/>
    <xf numFmtId="0" fontId="20" fillId="4" borderId="37" xfId="0" applyFont="1" applyFill="1" applyBorder="1"/>
    <xf numFmtId="0" fontId="0" fillId="7" borderId="54" xfId="0" applyFont="1" applyFill="1" applyBorder="1"/>
    <xf numFmtId="0" fontId="34" fillId="4" borderId="36" xfId="0" applyFont="1" applyFill="1" applyBorder="1" applyAlignment="1">
      <alignment horizontal="center"/>
    </xf>
    <xf numFmtId="0" fontId="0" fillId="0" borderId="55" xfId="0" applyBorder="1"/>
    <xf numFmtId="0" fontId="0" fillId="2" borderId="59" xfId="0" applyFill="1" applyBorder="1"/>
    <xf numFmtId="0" fontId="0" fillId="7" borderId="56" xfId="0" applyFill="1" applyBorder="1"/>
    <xf numFmtId="0" fontId="0" fillId="2" borderId="57" xfId="0" applyFill="1" applyBorder="1"/>
    <xf numFmtId="0" fontId="31" fillId="7" borderId="3" xfId="0" applyFont="1" applyFill="1" applyBorder="1"/>
    <xf numFmtId="0" fontId="0" fillId="7" borderId="3" xfId="0" applyFont="1" applyFill="1" applyBorder="1"/>
    <xf numFmtId="0" fontId="0" fillId="7" borderId="19" xfId="0" applyFont="1" applyFill="1" applyBorder="1"/>
    <xf numFmtId="0" fontId="22" fillId="7" borderId="19" xfId="0" applyFont="1" applyFill="1" applyBorder="1"/>
    <xf numFmtId="0" fontId="31" fillId="4" borderId="9" xfId="0" applyFont="1" applyFill="1" applyBorder="1"/>
    <xf numFmtId="0" fontId="22" fillId="7" borderId="54" xfId="0" applyFont="1" applyFill="1" applyBorder="1"/>
    <xf numFmtId="0" fontId="34" fillId="2" borderId="1" xfId="0" applyFont="1" applyFill="1" applyBorder="1" applyAlignment="1">
      <alignment horizontal="center"/>
    </xf>
    <xf numFmtId="0" fontId="0" fillId="4" borderId="58" xfId="0" applyFill="1" applyBorder="1"/>
    <xf numFmtId="0" fontId="0" fillId="3" borderId="3" xfId="0" applyFill="1" applyBorder="1"/>
    <xf numFmtId="0" fontId="30" fillId="3" borderId="3" xfId="0" applyFont="1" applyFill="1" applyBorder="1"/>
    <xf numFmtId="0" fontId="0" fillId="3" borderId="19" xfId="0" applyFill="1" applyBorder="1"/>
    <xf numFmtId="0" fontId="30" fillId="3" borderId="19" xfId="0" applyFont="1" applyFill="1" applyBorder="1"/>
    <xf numFmtId="0" fontId="30" fillId="3" borderId="1" xfId="0" applyFont="1" applyFill="1" applyBorder="1"/>
    <xf numFmtId="2" fontId="30" fillId="3" borderId="18" xfId="0" applyNumberFormat="1" applyFont="1" applyFill="1" applyBorder="1"/>
    <xf numFmtId="2" fontId="30" fillId="3" borderId="19" xfId="0" applyNumberFormat="1" applyFont="1" applyFill="1" applyBorder="1"/>
    <xf numFmtId="0" fontId="19" fillId="3" borderId="2" xfId="0" applyFont="1" applyFill="1" applyBorder="1"/>
    <xf numFmtId="0" fontId="0" fillId="3" borderId="18" xfId="0" applyFill="1" applyBorder="1"/>
    <xf numFmtId="0" fontId="14" fillId="3" borderId="3" xfId="0" applyFont="1" applyFill="1" applyBorder="1"/>
    <xf numFmtId="0" fontId="14" fillId="3" borderId="1" xfId="0" applyFont="1" applyFill="1" applyBorder="1"/>
    <xf numFmtId="0" fontId="20" fillId="3" borderId="1" xfId="0" applyFont="1" applyFill="1" applyBorder="1"/>
    <xf numFmtId="0" fontId="14" fillId="3" borderId="2" xfId="0" applyFont="1" applyFill="1" applyBorder="1"/>
    <xf numFmtId="0" fontId="14" fillId="3" borderId="19" xfId="0" applyFont="1" applyFill="1" applyBorder="1"/>
    <xf numFmtId="2" fontId="30" fillId="3" borderId="3" xfId="0" applyNumberFormat="1" applyFont="1" applyFill="1" applyBorder="1"/>
    <xf numFmtId="0" fontId="0" fillId="3" borderId="35" xfId="0" applyFill="1" applyBorder="1"/>
    <xf numFmtId="0" fontId="17" fillId="4" borderId="37" xfId="0" applyFont="1" applyFill="1" applyBorder="1"/>
    <xf numFmtId="0" fontId="6" fillId="17" borderId="1" xfId="4" applyFont="1" applyBorder="1"/>
    <xf numFmtId="2" fontId="21" fillId="4" borderId="2" xfId="0" applyNumberFormat="1" applyFont="1" applyFill="1" applyBorder="1"/>
    <xf numFmtId="2" fontId="27" fillId="4" borderId="8" xfId="0" applyNumberFormat="1" applyFont="1" applyFill="1" applyBorder="1"/>
    <xf numFmtId="2" fontId="19" fillId="2" borderId="35" xfId="0" applyNumberFormat="1" applyFont="1" applyFill="1" applyBorder="1"/>
    <xf numFmtId="2" fontId="17" fillId="4" borderId="36" xfId="0" applyNumberFormat="1" applyFont="1" applyFill="1" applyBorder="1"/>
    <xf numFmtId="0" fontId="22" fillId="4" borderId="12" xfId="0" applyFont="1" applyFill="1" applyBorder="1"/>
    <xf numFmtId="0" fontId="33" fillId="6" borderId="29" xfId="0" applyFont="1" applyFill="1" applyBorder="1" applyAlignment="1">
      <alignment horizontal="center"/>
    </xf>
    <xf numFmtId="0" fontId="22" fillId="4" borderId="6" xfId="0" applyFont="1" applyFill="1" applyBorder="1"/>
    <xf numFmtId="0" fontId="21" fillId="4" borderId="29" xfId="0" applyFont="1" applyFill="1" applyBorder="1"/>
    <xf numFmtId="2" fontId="6" fillId="9" borderId="1" xfId="0" applyNumberFormat="1" applyFont="1" applyFill="1" applyBorder="1" applyAlignment="1">
      <alignment horizontal="center"/>
    </xf>
    <xf numFmtId="2" fontId="6" fillId="16" borderId="1" xfId="3" applyNumberFormat="1" applyFont="1" applyBorder="1" applyAlignment="1">
      <alignment horizontal="right"/>
    </xf>
    <xf numFmtId="2" fontId="6" fillId="16" borderId="2" xfId="3" applyNumberFormat="1" applyFont="1" applyBorder="1" applyAlignment="1">
      <alignment horizontal="right"/>
    </xf>
    <xf numFmtId="0" fontId="7" fillId="3" borderId="2" xfId="0" applyFont="1" applyFill="1" applyBorder="1" applyAlignment="1">
      <alignment horizontal="center"/>
    </xf>
    <xf numFmtId="0" fontId="24" fillId="6" borderId="2" xfId="0" applyFont="1" applyFill="1" applyBorder="1"/>
    <xf numFmtId="2" fontId="1" fillId="3" borderId="2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center"/>
    </xf>
    <xf numFmtId="0" fontId="0" fillId="3" borderId="56" xfId="0" applyFill="1" applyBorder="1"/>
    <xf numFmtId="0" fontId="0" fillId="4" borderId="54" xfId="0" applyFill="1" applyBorder="1"/>
    <xf numFmtId="0" fontId="0" fillId="4" borderId="19" xfId="0" applyFill="1" applyBorder="1"/>
    <xf numFmtId="0" fontId="28" fillId="7" borderId="35" xfId="0" applyFont="1" applyFill="1" applyBorder="1" applyAlignment="1"/>
    <xf numFmtId="0" fontId="34" fillId="4" borderId="18" xfId="0" applyFont="1" applyFill="1" applyBorder="1" applyAlignment="1">
      <alignment horizontal="center"/>
    </xf>
    <xf numFmtId="2" fontId="0" fillId="7" borderId="18" xfId="0" applyNumberFormat="1" applyFill="1" applyBorder="1"/>
    <xf numFmtId="0" fontId="0" fillId="7" borderId="9" xfId="0" applyFill="1" applyBorder="1"/>
    <xf numFmtId="0" fontId="0" fillId="4" borderId="3" xfId="0" applyFill="1" applyBorder="1"/>
    <xf numFmtId="0" fontId="0" fillId="7" borderId="60" xfId="0" applyFill="1" applyBorder="1"/>
    <xf numFmtId="0" fontId="0" fillId="7" borderId="55" xfId="0" applyFill="1" applyBorder="1"/>
    <xf numFmtId="0" fontId="17" fillId="0" borderId="1" xfId="0" applyFont="1" applyBorder="1"/>
    <xf numFmtId="0" fontId="22" fillId="0" borderId="1" xfId="0" applyFont="1" applyBorder="1"/>
    <xf numFmtId="0" fontId="17" fillId="3" borderId="3" xfId="0" applyFont="1" applyFill="1" applyBorder="1"/>
    <xf numFmtId="0" fontId="22" fillId="3" borderId="2" xfId="0" applyFont="1" applyFill="1" applyBorder="1"/>
    <xf numFmtId="0" fontId="21" fillId="3" borderId="19" xfId="0" applyFont="1" applyFill="1" applyBorder="1"/>
    <xf numFmtId="0" fontId="21" fillId="3" borderId="2" xfId="0" applyFont="1" applyFill="1" applyBorder="1"/>
    <xf numFmtId="0" fontId="21" fillId="3" borderId="21" xfId="0" applyFont="1" applyFill="1" applyBorder="1"/>
    <xf numFmtId="0" fontId="21" fillId="3" borderId="3" xfId="0" applyFont="1" applyFill="1" applyBorder="1"/>
    <xf numFmtId="2" fontId="21" fillId="3" borderId="3" xfId="0" applyNumberFormat="1" applyFont="1" applyFill="1" applyBorder="1"/>
    <xf numFmtId="2" fontId="7" fillId="4" borderId="1" xfId="0" applyNumberFormat="1" applyFont="1" applyFill="1" applyBorder="1" applyAlignment="1">
      <alignment horizontal="right"/>
    </xf>
    <xf numFmtId="0" fontId="16" fillId="3" borderId="2" xfId="0" applyFont="1" applyFill="1" applyBorder="1" applyAlignment="1">
      <alignment horizontal="right"/>
    </xf>
    <xf numFmtId="0" fontId="19" fillId="4" borderId="42" xfId="0" applyFont="1" applyFill="1" applyBorder="1"/>
    <xf numFmtId="0" fontId="19" fillId="4" borderId="37" xfId="0" applyFont="1" applyFill="1" applyBorder="1"/>
    <xf numFmtId="2" fontId="6" fillId="16" borderId="16" xfId="3" applyNumberFormat="1" applyFont="1" applyBorder="1" applyAlignment="1"/>
    <xf numFmtId="0" fontId="19" fillId="4" borderId="36" xfId="0" applyFont="1" applyFill="1" applyBorder="1"/>
    <xf numFmtId="2" fontId="19" fillId="4" borderId="8" xfId="0" applyNumberFormat="1" applyFont="1" applyFill="1" applyBorder="1"/>
    <xf numFmtId="2" fontId="17" fillId="4" borderId="2" xfId="0" applyNumberFormat="1" applyFont="1" applyFill="1" applyBorder="1"/>
    <xf numFmtId="2" fontId="19" fillId="4" borderId="13" xfId="0" applyNumberFormat="1" applyFont="1" applyFill="1" applyBorder="1"/>
    <xf numFmtId="0" fontId="17" fillId="3" borderId="1" xfId="0" applyFont="1" applyFill="1" applyBorder="1"/>
    <xf numFmtId="2" fontId="0" fillId="6" borderId="13" xfId="0" applyNumberFormat="1" applyFill="1" applyBorder="1"/>
    <xf numFmtId="2" fontId="0" fillId="6" borderId="36" xfId="0" applyNumberFormat="1" applyFill="1" applyBorder="1"/>
    <xf numFmtId="0" fontId="37" fillId="3" borderId="1" xfId="3" applyFill="1" applyBorder="1"/>
    <xf numFmtId="0" fontId="22" fillId="2" borderId="2" xfId="0" applyFont="1" applyFill="1" applyBorder="1"/>
    <xf numFmtId="0" fontId="22" fillId="2" borderId="19" xfId="0" applyFont="1" applyFill="1" applyBorder="1"/>
    <xf numFmtId="2" fontId="0" fillId="3" borderId="0" xfId="0" applyNumberFormat="1" applyFill="1"/>
    <xf numFmtId="0" fontId="1" fillId="3" borderId="2" xfId="0" applyFont="1" applyFill="1" applyBorder="1" applyAlignment="1">
      <alignment horizontal="right"/>
    </xf>
    <xf numFmtId="164" fontId="2" fillId="3" borderId="0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right"/>
    </xf>
    <xf numFmtId="2" fontId="9" fillId="3" borderId="0" xfId="0" applyNumberFormat="1" applyFont="1" applyFill="1" applyBorder="1"/>
    <xf numFmtId="0" fontId="9" fillId="3" borderId="0" xfId="0" applyFont="1" applyFill="1" applyBorder="1"/>
    <xf numFmtId="2" fontId="25" fillId="3" borderId="2" xfId="0" applyNumberFormat="1" applyFont="1" applyFill="1" applyBorder="1" applyAlignment="1">
      <alignment horizontal="right"/>
    </xf>
    <xf numFmtId="165" fontId="46" fillId="3" borderId="21" xfId="0" applyNumberFormat="1" applyFont="1" applyFill="1" applyBorder="1"/>
  </cellXfs>
  <cellStyles count="5">
    <cellStyle name="Bad" xfId="3" builtinId="27"/>
    <cellStyle name="Good" xfId="2" builtinId="26"/>
    <cellStyle name="Neutral" xfId="4" builtinId="28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59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openxmlformats.org/officeDocument/2006/relationships/worksheet" Target="worksheets/sheet38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42" Type="http://schemas.openxmlformats.org/officeDocument/2006/relationships/styles" Target="styles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worksheet" Target="worksheets/sheet36.xml"/><Relationship Id="rId40" Type="http://schemas.openxmlformats.org/officeDocument/2006/relationships/worksheet" Target="worksheets/sheet3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worksheet" Target="worksheets/sheet3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'JUNI 2026'!$A$167</c:f>
              <c:strCache>
                <c:ptCount val="1"/>
                <c:pt idx="0">
                  <c:v>SL 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'JUNI 2026'!$B$1:$AM$166</c:f>
              <c:multiLvlStrCache>
                <c:ptCount val="3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6">
                    <c:v>Note</c:v>
                  </c:pt>
                </c:lvl>
                <c:lvl>
                  <c:pt idx="0">
                    <c:v>92.77</c:v>
                  </c:pt>
                  <c:pt idx="1">
                    <c:v>92.72</c:v>
                  </c:pt>
                  <c:pt idx="2">
                    <c:v>92.74</c:v>
                  </c:pt>
                  <c:pt idx="3">
                    <c:v>92.76</c:v>
                  </c:pt>
                  <c:pt idx="4">
                    <c:v>92.79</c:v>
                  </c:pt>
                  <c:pt idx="5">
                    <c:v>92.75</c:v>
                  </c:pt>
                  <c:pt idx="6">
                    <c:v>92.74</c:v>
                  </c:pt>
                  <c:pt idx="8">
                    <c:v>92.74</c:v>
                  </c:pt>
                  <c:pt idx="9">
                    <c:v>92.74</c:v>
                  </c:pt>
                  <c:pt idx="10">
                    <c:v>92.75</c:v>
                  </c:pt>
                  <c:pt idx="11">
                    <c:v>92.77</c:v>
                  </c:pt>
                  <c:pt idx="12">
                    <c:v>92.77</c:v>
                  </c:pt>
                  <c:pt idx="13">
                    <c:v>92.73</c:v>
                  </c:pt>
                  <c:pt idx="14">
                    <c:v>92.77</c:v>
                  </c:pt>
                  <c:pt idx="16">
                    <c:v>92.71</c:v>
                  </c:pt>
                  <c:pt idx="17">
                    <c:v>92.72</c:v>
                  </c:pt>
                  <c:pt idx="18">
                    <c:v>92.75</c:v>
                  </c:pt>
                  <c:pt idx="19">
                    <c:v>92.74</c:v>
                  </c:pt>
                  <c:pt idx="20">
                    <c:v>92.75</c:v>
                  </c:pt>
                  <c:pt idx="21">
                    <c:v>92.75</c:v>
                  </c:pt>
                  <c:pt idx="22">
                    <c:v>92.72</c:v>
                  </c:pt>
                  <c:pt idx="24">
                    <c:v>92.75</c:v>
                  </c:pt>
                  <c:pt idx="25">
                    <c:v>92.78</c:v>
                  </c:pt>
                  <c:pt idx="26">
                    <c:v>92.73</c:v>
                  </c:pt>
                  <c:pt idx="27">
                    <c:v>92.73</c:v>
                  </c:pt>
                  <c:pt idx="28">
                    <c:v>92.73</c:v>
                  </c:pt>
                  <c:pt idx="29">
                    <c:v>92.74</c:v>
                  </c:pt>
                  <c:pt idx="30">
                    <c:v>92.70</c:v>
                  </c:pt>
                  <c:pt idx="31">
                    <c:v>92.74</c:v>
                  </c:pt>
                  <c:pt idx="32">
                    <c:v>92.70</c:v>
                  </c:pt>
                </c:lvl>
                <c:lvl>
                  <c:pt idx="0">
                    <c:v>6662,40</c:v>
                  </c:pt>
                  <c:pt idx="1">
                    <c:v>6181,46</c:v>
                  </c:pt>
                  <c:pt idx="2">
                    <c:v>5449,10</c:v>
                  </c:pt>
                  <c:pt idx="3">
                    <c:v>5917,58</c:v>
                  </c:pt>
                  <c:pt idx="4">
                    <c:v>5481,75</c:v>
                  </c:pt>
                  <c:pt idx="5">
                    <c:v>5209,42</c:v>
                  </c:pt>
                  <c:pt idx="6">
                    <c:v>6470,01</c:v>
                  </c:pt>
                  <c:pt idx="7">
                    <c:v>41371,72</c:v>
                  </c:pt>
                  <c:pt idx="8">
                    <c:v>4919,99</c:v>
                  </c:pt>
                  <c:pt idx="9">
                    <c:v>6025,86</c:v>
                  </c:pt>
                  <c:pt idx="10">
                    <c:v>5631,71</c:v>
                  </c:pt>
                  <c:pt idx="11">
                    <c:v>6898,52</c:v>
                  </c:pt>
                  <c:pt idx="12">
                    <c:v>5969,85</c:v>
                  </c:pt>
                  <c:pt idx="13">
                    <c:v>5632,86</c:v>
                  </c:pt>
                  <c:pt idx="14">
                    <c:v>6170,18</c:v>
                  </c:pt>
                  <c:pt idx="15">
                    <c:v>41248,97</c:v>
                  </c:pt>
                  <c:pt idx="16">
                    <c:v>6556,14</c:v>
                  </c:pt>
                  <c:pt idx="17">
                    <c:v>6351,87</c:v>
                  </c:pt>
                  <c:pt idx="18">
                    <c:v>6159,44</c:v>
                  </c:pt>
                  <c:pt idx="19">
                    <c:v>5595,52</c:v>
                  </c:pt>
                  <c:pt idx="20">
                    <c:v>6263,54</c:v>
                  </c:pt>
                  <c:pt idx="21">
                    <c:v>5953,98</c:v>
                  </c:pt>
                  <c:pt idx="22">
                    <c:v>5971,14</c:v>
                  </c:pt>
                  <c:pt idx="23">
                    <c:v>42851,63</c:v>
                  </c:pt>
                  <c:pt idx="24">
                    <c:v>6694,38</c:v>
                  </c:pt>
                  <c:pt idx="25">
                    <c:v>6869,59</c:v>
                  </c:pt>
                  <c:pt idx="26">
                    <c:v>5926,68</c:v>
                  </c:pt>
                  <c:pt idx="27">
                    <c:v>5421,42</c:v>
                  </c:pt>
                  <c:pt idx="28">
                    <c:v>6222,84</c:v>
                  </c:pt>
                  <c:pt idx="29">
                    <c:v>5964,21</c:v>
                  </c:pt>
                  <c:pt idx="30">
                    <c:v>6111,90</c:v>
                  </c:pt>
                  <c:pt idx="31">
                    <c:v>5306,48</c:v>
                  </c:pt>
                  <c:pt idx="32">
                    <c:v>5897,44</c:v>
                  </c:pt>
                  <c:pt idx="34">
                    <c:v>54414,94</c:v>
                  </c:pt>
                  <c:pt idx="35">
                    <c:v>179884,26</c:v>
                  </c:pt>
                </c:lvl>
                <c:lvl>
                  <c:pt idx="0">
                    <c:v>69,87</c:v>
                  </c:pt>
                  <c:pt idx="1">
                    <c:v>85,55</c:v>
                  </c:pt>
                  <c:pt idx="2">
                    <c:v>40,04</c:v>
                  </c:pt>
                  <c:pt idx="3">
                    <c:v>89,88</c:v>
                  </c:pt>
                  <c:pt idx="4">
                    <c:v>51,52</c:v>
                  </c:pt>
                  <c:pt idx="5">
                    <c:v>76,86</c:v>
                  </c:pt>
                  <c:pt idx="6">
                    <c:v>95,85</c:v>
                  </c:pt>
                  <c:pt idx="8">
                    <c:v>66,97</c:v>
                  </c:pt>
                  <c:pt idx="9">
                    <c:v>73,35</c:v>
                  </c:pt>
                  <c:pt idx="10">
                    <c:v>57,55</c:v>
                  </c:pt>
                  <c:pt idx="11">
                    <c:v>77,65</c:v>
                  </c:pt>
                  <c:pt idx="12">
                    <c:v>75,78</c:v>
                  </c:pt>
                  <c:pt idx="13">
                    <c:v>62,34</c:v>
                  </c:pt>
                  <c:pt idx="14">
                    <c:v>74,62</c:v>
                  </c:pt>
                  <c:pt idx="16">
                    <c:v>105,49</c:v>
                  </c:pt>
                  <c:pt idx="17">
                    <c:v>103,53</c:v>
                  </c:pt>
                  <c:pt idx="18">
                    <c:v>84,69</c:v>
                  </c:pt>
                  <c:pt idx="19">
                    <c:v>46,34</c:v>
                  </c:pt>
                  <c:pt idx="20">
                    <c:v>92,17</c:v>
                  </c:pt>
                  <c:pt idx="21">
                    <c:v>62,58</c:v>
                  </c:pt>
                  <c:pt idx="22">
                    <c:v>68,39</c:v>
                  </c:pt>
                  <c:pt idx="24">
                    <c:v>86,57</c:v>
                  </c:pt>
                  <c:pt idx="25">
                    <c:v>82,13</c:v>
                  </c:pt>
                  <c:pt idx="26">
                    <c:v>88,08</c:v>
                  </c:pt>
                  <c:pt idx="27">
                    <c:v>70,33</c:v>
                  </c:pt>
                  <c:pt idx="28">
                    <c:v>65,48</c:v>
                  </c:pt>
                  <c:pt idx="29">
                    <c:v>64,07</c:v>
                  </c:pt>
                  <c:pt idx="30">
                    <c:v>85,37</c:v>
                  </c:pt>
                  <c:pt idx="31">
                    <c:v>76,35</c:v>
                  </c:pt>
                  <c:pt idx="32">
                    <c:v>68,54</c:v>
                  </c:pt>
                </c:lvl>
                <c:lvl>
                  <c:pt idx="0">
                    <c:v>94,88</c:v>
                  </c:pt>
                  <c:pt idx="1">
                    <c:v>94,75</c:v>
                  </c:pt>
                  <c:pt idx="2">
                    <c:v>70,80</c:v>
                  </c:pt>
                  <c:pt idx="3">
                    <c:v>25,54</c:v>
                  </c:pt>
                  <c:pt idx="4">
                    <c:v>49,63</c:v>
                  </c:pt>
                  <c:pt idx="5">
                    <c:v>87,58</c:v>
                  </c:pt>
                  <c:pt idx="6">
                    <c:v>93,40</c:v>
                  </c:pt>
                  <c:pt idx="8">
                    <c:v>72,07</c:v>
                  </c:pt>
                  <c:pt idx="9">
                    <c:v>93,76</c:v>
                  </c:pt>
                  <c:pt idx="10">
                    <c:v>74,24</c:v>
                  </c:pt>
                  <c:pt idx="11">
                    <c:v>109,58</c:v>
                  </c:pt>
                  <c:pt idx="12">
                    <c:v>85,04</c:v>
                  </c:pt>
                  <c:pt idx="13">
                    <c:v>90,95</c:v>
                  </c:pt>
                  <c:pt idx="14">
                    <c:v>84,75</c:v>
                  </c:pt>
                  <c:pt idx="16">
                    <c:v>84,80</c:v>
                  </c:pt>
                  <c:pt idx="17">
                    <c:v>72,30</c:v>
                  </c:pt>
                  <c:pt idx="18">
                    <c:v>112,35</c:v>
                  </c:pt>
                  <c:pt idx="19">
                    <c:v>95,67</c:v>
                  </c:pt>
                  <c:pt idx="20">
                    <c:v>84,10</c:v>
                  </c:pt>
                  <c:pt idx="21">
                    <c:v>77,54</c:v>
                  </c:pt>
                  <c:pt idx="22">
                    <c:v>51,38</c:v>
                  </c:pt>
                  <c:pt idx="24">
                    <c:v>114,77</c:v>
                  </c:pt>
                  <c:pt idx="25">
                    <c:v>96,62</c:v>
                  </c:pt>
                  <c:pt idx="26">
                    <c:v>93,24</c:v>
                  </c:pt>
                  <c:pt idx="27">
                    <c:v>88,30</c:v>
                  </c:pt>
                  <c:pt idx="28">
                    <c:v>98,59</c:v>
                  </c:pt>
                  <c:pt idx="29">
                    <c:v>101,45</c:v>
                  </c:pt>
                  <c:pt idx="30">
                    <c:v>87,19</c:v>
                  </c:pt>
                  <c:pt idx="31">
                    <c:v>79,44</c:v>
                  </c:pt>
                  <c:pt idx="32">
                    <c:v>93,48</c:v>
                  </c:pt>
                  <c:pt idx="35">
                    <c:v>54411,94</c:v>
                  </c:pt>
                </c:lvl>
                <c:lvl>
                  <c:pt idx="0">
                    <c:v>75,82</c:v>
                  </c:pt>
                  <c:pt idx="1">
                    <c:v>71,36</c:v>
                  </c:pt>
                  <c:pt idx="2">
                    <c:v>68,11</c:v>
                  </c:pt>
                  <c:pt idx="3">
                    <c:v>82,01</c:v>
                  </c:pt>
                  <c:pt idx="4">
                    <c:v>86,56</c:v>
                  </c:pt>
                  <c:pt idx="5">
                    <c:v>72,14</c:v>
                  </c:pt>
                  <c:pt idx="6">
                    <c:v>107,02</c:v>
                  </c:pt>
                  <c:pt idx="8">
                    <c:v>45,71</c:v>
                  </c:pt>
                  <c:pt idx="9">
                    <c:v>61,93</c:v>
                  </c:pt>
                  <c:pt idx="11">
                    <c:v>208,17</c:v>
                  </c:pt>
                  <c:pt idx="12">
                    <c:v>57,00</c:v>
                  </c:pt>
                  <c:pt idx="13">
                    <c:v>82,06</c:v>
                  </c:pt>
                  <c:pt idx="14">
                    <c:v>83,60</c:v>
                  </c:pt>
                  <c:pt idx="16">
                    <c:v>80,28</c:v>
                  </c:pt>
                  <c:pt idx="17">
                    <c:v>90,96</c:v>
                  </c:pt>
                  <c:pt idx="18">
                    <c:v>110,84</c:v>
                  </c:pt>
                  <c:pt idx="19">
                    <c:v>86,21</c:v>
                  </c:pt>
                  <c:pt idx="20">
                    <c:v>93,82</c:v>
                  </c:pt>
                  <c:pt idx="21">
                    <c:v>70,26</c:v>
                  </c:pt>
                  <c:pt idx="22">
                    <c:v>69,18</c:v>
                  </c:pt>
                  <c:pt idx="24">
                    <c:v>100,47</c:v>
                  </c:pt>
                  <c:pt idx="25">
                    <c:v>81,75</c:v>
                  </c:pt>
                  <c:pt idx="26">
                    <c:v>75,77</c:v>
                  </c:pt>
                  <c:pt idx="27">
                    <c:v>106,83</c:v>
                  </c:pt>
                  <c:pt idx="28">
                    <c:v>78,26</c:v>
                  </c:pt>
                  <c:pt idx="29">
                    <c:v>76,14</c:v>
                  </c:pt>
                  <c:pt idx="30">
                    <c:v>79,02</c:v>
                  </c:pt>
                  <c:pt idx="31">
                    <c:v>88,27</c:v>
                  </c:pt>
                  <c:pt idx="32">
                    <c:v>118,74</c:v>
                  </c:pt>
                  <c:pt idx="35">
                    <c:v>42851,63</c:v>
                  </c:pt>
                </c:lvl>
                <c:lvl>
                  <c:pt idx="0">
                    <c:v>83,22</c:v>
                  </c:pt>
                  <c:pt idx="1">
                    <c:v>88,58</c:v>
                  </c:pt>
                  <c:pt idx="2">
                    <c:v>75,59</c:v>
                  </c:pt>
                  <c:pt idx="3">
                    <c:v>73,95</c:v>
                  </c:pt>
                  <c:pt idx="4">
                    <c:v>97,83</c:v>
                  </c:pt>
                  <c:pt idx="5">
                    <c:v>86,42</c:v>
                  </c:pt>
                  <c:pt idx="6">
                    <c:v>79,55</c:v>
                  </c:pt>
                  <c:pt idx="8">
                    <c:v>79,73</c:v>
                  </c:pt>
                  <c:pt idx="9">
                    <c:v>92,33</c:v>
                  </c:pt>
                  <c:pt idx="10">
                    <c:v>72,43</c:v>
                  </c:pt>
                  <c:pt idx="11">
                    <c:v>94,35</c:v>
                  </c:pt>
                  <c:pt idx="12">
                    <c:v>63,14</c:v>
                  </c:pt>
                  <c:pt idx="13">
                    <c:v>98,05</c:v>
                  </c:pt>
                  <c:pt idx="14">
                    <c:v>69,22</c:v>
                  </c:pt>
                  <c:pt idx="16">
                    <c:v>101,45</c:v>
                  </c:pt>
                  <c:pt idx="17">
                    <c:v>96,95</c:v>
                  </c:pt>
                  <c:pt idx="18">
                    <c:v>89,41</c:v>
                  </c:pt>
                  <c:pt idx="19">
                    <c:v>87,28</c:v>
                  </c:pt>
                  <c:pt idx="20">
                    <c:v>68,28</c:v>
                  </c:pt>
                  <c:pt idx="21">
                    <c:v>68,95</c:v>
                  </c:pt>
                  <c:pt idx="22">
                    <c:v>92,22</c:v>
                  </c:pt>
                  <c:pt idx="24">
                    <c:v>99,83</c:v>
                  </c:pt>
                  <c:pt idx="25">
                    <c:v>76,17</c:v>
                  </c:pt>
                  <c:pt idx="26">
                    <c:v>86,33</c:v>
                  </c:pt>
                  <c:pt idx="27">
                    <c:v>79,07</c:v>
                  </c:pt>
                  <c:pt idx="28">
                    <c:v>95,91</c:v>
                  </c:pt>
                  <c:pt idx="29">
                    <c:v>68,55</c:v>
                  </c:pt>
                  <c:pt idx="32">
                    <c:v>55,67</c:v>
                  </c:pt>
                  <c:pt idx="35">
                    <c:v>41248,97</c:v>
                  </c:pt>
                </c:lvl>
                <c:lvl>
                  <c:pt idx="0">
                    <c:v>71,14</c:v>
                  </c:pt>
                  <c:pt idx="1">
                    <c:v>91,53</c:v>
                  </c:pt>
                  <c:pt idx="2">
                    <c:v>97,02</c:v>
                  </c:pt>
                  <c:pt idx="3">
                    <c:v>73,32</c:v>
                  </c:pt>
                  <c:pt idx="4">
                    <c:v>83,64</c:v>
                  </c:pt>
                  <c:pt idx="5">
                    <c:v>61,23</c:v>
                  </c:pt>
                  <c:pt idx="6">
                    <c:v>108,55</c:v>
                  </c:pt>
                  <c:pt idx="8">
                    <c:v>65,76</c:v>
                  </c:pt>
                  <c:pt idx="9">
                    <c:v>71,06</c:v>
                  </c:pt>
                  <c:pt idx="10">
                    <c:v>91,45</c:v>
                  </c:pt>
                  <c:pt idx="11">
                    <c:v>93,90</c:v>
                  </c:pt>
                  <c:pt idx="12">
                    <c:v>71,61</c:v>
                  </c:pt>
                  <c:pt idx="13">
                    <c:v>79,68</c:v>
                  </c:pt>
                  <c:pt idx="14">
                    <c:v>95,14</c:v>
                  </c:pt>
                  <c:pt idx="16">
                    <c:v>75,92</c:v>
                  </c:pt>
                  <c:pt idx="17">
                    <c:v>91,03</c:v>
                  </c:pt>
                  <c:pt idx="18">
                    <c:v>73,67</c:v>
                  </c:pt>
                  <c:pt idx="19">
                    <c:v>66,78</c:v>
                  </c:pt>
                  <c:pt idx="21">
                    <c:v>166,54</c:v>
                  </c:pt>
                  <c:pt idx="22">
                    <c:v>88,08</c:v>
                  </c:pt>
                  <c:pt idx="24">
                    <c:v>93,32</c:v>
                  </c:pt>
                  <c:pt idx="25">
                    <c:v>95,06</c:v>
                  </c:pt>
                  <c:pt idx="26">
                    <c:v>104,77</c:v>
                  </c:pt>
                  <c:pt idx="27">
                    <c:v>81,16</c:v>
                  </c:pt>
                  <c:pt idx="28">
                    <c:v>87,83</c:v>
                  </c:pt>
                  <c:pt idx="29">
                    <c:v>87,67</c:v>
                  </c:pt>
                  <c:pt idx="30">
                    <c:v>86,01</c:v>
                  </c:pt>
                  <c:pt idx="31">
                    <c:v>71,07</c:v>
                  </c:pt>
                  <c:pt idx="32">
                    <c:v>81,96</c:v>
                  </c:pt>
                  <c:pt idx="35">
                    <c:v>41371,72</c:v>
                  </c:pt>
                </c:lvl>
                <c:lvl>
                  <c:pt idx="0">
                    <c:v>73,25</c:v>
                  </c:pt>
                  <c:pt idx="1">
                    <c:v>55,04</c:v>
                  </c:pt>
                  <c:pt idx="2">
                    <c:v>93,73</c:v>
                  </c:pt>
                  <c:pt idx="3">
                    <c:v>81,04</c:v>
                  </c:pt>
                  <c:pt idx="4">
                    <c:v>77,13</c:v>
                  </c:pt>
                  <c:pt idx="5">
                    <c:v>94,58</c:v>
                  </c:pt>
                  <c:pt idx="6">
                    <c:v>109,16</c:v>
                  </c:pt>
                  <c:pt idx="8">
                    <c:v>119,34</c:v>
                  </c:pt>
                  <c:pt idx="9">
                    <c:v>55,48</c:v>
                  </c:pt>
                  <c:pt idx="10">
                    <c:v>76,91</c:v>
                  </c:pt>
                  <c:pt idx="11">
                    <c:v>109,88</c:v>
                  </c:pt>
                  <c:pt idx="12">
                    <c:v>92,36</c:v>
                  </c:pt>
                  <c:pt idx="13">
                    <c:v>66,60</c:v>
                  </c:pt>
                  <c:pt idx="14">
                    <c:v>109,70</c:v>
                  </c:pt>
                  <c:pt idx="16">
                    <c:v>114,44</c:v>
                  </c:pt>
                  <c:pt idx="18">
                    <c:v>104,75</c:v>
                  </c:pt>
                  <c:pt idx="19">
                    <c:v>67,51</c:v>
                  </c:pt>
                  <c:pt idx="20">
                    <c:v>111,04</c:v>
                  </c:pt>
                  <c:pt idx="21">
                    <c:v>79,73</c:v>
                  </c:pt>
                  <c:pt idx="22">
                    <c:v>68,97</c:v>
                  </c:pt>
                  <c:pt idx="24">
                    <c:v>89,93</c:v>
                  </c:pt>
                  <c:pt idx="25">
                    <c:v>103,39</c:v>
                  </c:pt>
                  <c:pt idx="26">
                    <c:v>81,32</c:v>
                  </c:pt>
                  <c:pt idx="27">
                    <c:v>58,79</c:v>
                  </c:pt>
                  <c:pt idx="28">
                    <c:v>85,94</c:v>
                  </c:pt>
                  <c:pt idx="29">
                    <c:v>72,27</c:v>
                  </c:pt>
                  <c:pt idx="30">
                    <c:v>78,67</c:v>
                  </c:pt>
                  <c:pt idx="31">
                    <c:v>74,98</c:v>
                  </c:pt>
                  <c:pt idx="32">
                    <c:v>79,81</c:v>
                  </c:pt>
                </c:lvl>
                <c:lvl>
                  <c:pt idx="0">
                    <c:v>92,89</c:v>
                  </c:pt>
                  <c:pt idx="1">
                    <c:v>84,31</c:v>
                  </c:pt>
                  <c:pt idx="3">
                    <c:v>147,73</c:v>
                  </c:pt>
                  <c:pt idx="4">
                    <c:v>94,66</c:v>
                  </c:pt>
                  <c:pt idx="5">
                    <c:v>80,83</c:v>
                  </c:pt>
                  <c:pt idx="6">
                    <c:v>66,35</c:v>
                  </c:pt>
                  <c:pt idx="8">
                    <c:v>64,10</c:v>
                  </c:pt>
                  <c:pt idx="9">
                    <c:v>85,22</c:v>
                  </c:pt>
                  <c:pt idx="10">
                    <c:v>68,05</c:v>
                  </c:pt>
                  <c:pt idx="11">
                    <c:v>56,92</c:v>
                  </c:pt>
                  <c:pt idx="12">
                    <c:v>84,95</c:v>
                  </c:pt>
                  <c:pt idx="13">
                    <c:v>85,46</c:v>
                  </c:pt>
                  <c:pt idx="14">
                    <c:v>74,70</c:v>
                  </c:pt>
                  <c:pt idx="16">
                    <c:v>103,31</c:v>
                  </c:pt>
                  <c:pt idx="17">
                    <c:v>77,21</c:v>
                  </c:pt>
                  <c:pt idx="18">
                    <c:v>79,33</c:v>
                  </c:pt>
                  <c:pt idx="19">
                    <c:v>70,44</c:v>
                  </c:pt>
                  <c:pt idx="20">
                    <c:v>88,74</c:v>
                  </c:pt>
                  <c:pt idx="21">
                    <c:v>67,04</c:v>
                  </c:pt>
                  <c:pt idx="22">
                    <c:v>80,56</c:v>
                  </c:pt>
                  <c:pt idx="24">
                    <c:v>91,29</c:v>
                  </c:pt>
                  <c:pt idx="25">
                    <c:v>87,01</c:v>
                  </c:pt>
                  <c:pt idx="26">
                    <c:v>66,10</c:v>
                  </c:pt>
                  <c:pt idx="27">
                    <c:v>70,86</c:v>
                  </c:pt>
                  <c:pt idx="28">
                    <c:v>83,31</c:v>
                  </c:pt>
                  <c:pt idx="29">
                    <c:v>71,50</c:v>
                  </c:pt>
                  <c:pt idx="30">
                    <c:v>84,84</c:v>
                  </c:pt>
                  <c:pt idx="31">
                    <c:v>117,15</c:v>
                  </c:pt>
                  <c:pt idx="32">
                    <c:v>70,71</c:v>
                  </c:pt>
                </c:lvl>
                <c:lvl>
                  <c:pt idx="0">
                    <c:v>99,05</c:v>
                  </c:pt>
                  <c:pt idx="1">
                    <c:v>88,36</c:v>
                  </c:pt>
                  <c:pt idx="2">
                    <c:v>86,32</c:v>
                  </c:pt>
                  <c:pt idx="3">
                    <c:v>82,26</c:v>
                  </c:pt>
                  <c:pt idx="4">
                    <c:v>81,09</c:v>
                  </c:pt>
                  <c:pt idx="5">
                    <c:v>67,51</c:v>
                  </c:pt>
                  <c:pt idx="6">
                    <c:v>118,29</c:v>
                  </c:pt>
                  <c:pt idx="8">
                    <c:v>77,87</c:v>
                  </c:pt>
                  <c:pt idx="9">
                    <c:v>93,74</c:v>
                  </c:pt>
                  <c:pt idx="10">
                    <c:v>69,90</c:v>
                  </c:pt>
                  <c:pt idx="11">
                    <c:v>126,30</c:v>
                  </c:pt>
                  <c:pt idx="12">
                    <c:v>72,96</c:v>
                  </c:pt>
                  <c:pt idx="13">
                    <c:v>97,78</c:v>
                  </c:pt>
                  <c:pt idx="14">
                    <c:v>99,16</c:v>
                  </c:pt>
                  <c:pt idx="16">
                    <c:v>104,64</c:v>
                  </c:pt>
                  <c:pt idx="17">
                    <c:v>77,16</c:v>
                  </c:pt>
                  <c:pt idx="18">
                    <c:v>73,22</c:v>
                  </c:pt>
                  <c:pt idx="21">
                    <c:v>124,93</c:v>
                  </c:pt>
                  <c:pt idx="22">
                    <c:v>100,04</c:v>
                  </c:pt>
                  <c:pt idx="24">
                    <c:v>73,88</c:v>
                  </c:pt>
                  <c:pt idx="25">
                    <c:v>90,92</c:v>
                  </c:pt>
                  <c:pt idx="26">
                    <c:v>97,25</c:v>
                  </c:pt>
                  <c:pt idx="27">
                    <c:v>93,86</c:v>
                  </c:pt>
                  <c:pt idx="28">
                    <c:v>90,08</c:v>
                  </c:pt>
                  <c:pt idx="29">
                    <c:v>86,73</c:v>
                  </c:pt>
                  <c:pt idx="30">
                    <c:v>100,07</c:v>
                  </c:pt>
                  <c:pt idx="31">
                    <c:v>90,25</c:v>
                  </c:pt>
                  <c:pt idx="32">
                    <c:v>82,02</c:v>
                  </c:pt>
                </c:lvl>
                <c:lvl>
                  <c:pt idx="0">
                    <c:v>75,15</c:v>
                  </c:pt>
                  <c:pt idx="1">
                    <c:v>90,26</c:v>
                  </c:pt>
                  <c:pt idx="2">
                    <c:v>62,29</c:v>
                  </c:pt>
                  <c:pt idx="3">
                    <c:v>69,72</c:v>
                  </c:pt>
                  <c:pt idx="4">
                    <c:v>64,88</c:v>
                  </c:pt>
                  <c:pt idx="5">
                    <c:v>70,23</c:v>
                  </c:pt>
                  <c:pt idx="6">
                    <c:v>72,94</c:v>
                  </c:pt>
                  <c:pt idx="8">
                    <c:v>64,22</c:v>
                  </c:pt>
                  <c:pt idx="9">
                    <c:v>74,55</c:v>
                  </c:pt>
                  <c:pt idx="10">
                    <c:v>71,92</c:v>
                  </c:pt>
                  <c:pt idx="11">
                    <c:v>76,72</c:v>
                  </c:pt>
                  <c:pt idx="12">
                    <c:v>82,02</c:v>
                  </c:pt>
                  <c:pt idx="13">
                    <c:v>59,58</c:v>
                  </c:pt>
                  <c:pt idx="14">
                    <c:v>60,07</c:v>
                  </c:pt>
                  <c:pt idx="16">
                    <c:v>93,00</c:v>
                  </c:pt>
                  <c:pt idx="17">
                    <c:v>89,43</c:v>
                  </c:pt>
                  <c:pt idx="18">
                    <c:v>74,49</c:v>
                  </c:pt>
                  <c:pt idx="19">
                    <c:v>68,50</c:v>
                  </c:pt>
                  <c:pt idx="20">
                    <c:v>83,91</c:v>
                  </c:pt>
                  <c:pt idx="21">
                    <c:v>54,01</c:v>
                  </c:pt>
                  <c:pt idx="22">
                    <c:v>73,88</c:v>
                  </c:pt>
                  <c:pt idx="24">
                    <c:v>110,53</c:v>
                  </c:pt>
                  <c:pt idx="25">
                    <c:v>56,49</c:v>
                  </c:pt>
                  <c:pt idx="26">
                    <c:v>68,71</c:v>
                  </c:pt>
                  <c:pt idx="27">
                    <c:v>32,45</c:v>
                  </c:pt>
                  <c:pt idx="28">
                    <c:v>89,78</c:v>
                  </c:pt>
                  <c:pt idx="29">
                    <c:v>78,64</c:v>
                  </c:pt>
                  <c:pt idx="30">
                    <c:v>77,70</c:v>
                  </c:pt>
                  <c:pt idx="31">
                    <c:v>77,65</c:v>
                  </c:pt>
                  <c:pt idx="32">
                    <c:v>68,72</c:v>
                  </c:pt>
                </c:lvl>
                <c:lvl>
                  <c:pt idx="0">
                    <c:v>93,20</c:v>
                  </c:pt>
                  <c:pt idx="1">
                    <c:v>65,52</c:v>
                  </c:pt>
                  <c:pt idx="2">
                    <c:v>94,15</c:v>
                  </c:pt>
                  <c:pt idx="3">
                    <c:v>72,57</c:v>
                  </c:pt>
                  <c:pt idx="4">
                    <c:v>78,98</c:v>
                  </c:pt>
                  <c:pt idx="5">
                    <c:v>82,10</c:v>
                  </c:pt>
                  <c:pt idx="6">
                    <c:v>71,42</c:v>
                  </c:pt>
                  <c:pt idx="8">
                    <c:v>60,46</c:v>
                  </c:pt>
                  <c:pt idx="9">
                    <c:v>70,40</c:v>
                  </c:pt>
                  <c:pt idx="10">
                    <c:v>84,01</c:v>
                  </c:pt>
                  <c:pt idx="11">
                    <c:v>101,32</c:v>
                  </c:pt>
                  <c:pt idx="12">
                    <c:v>87,07</c:v>
                  </c:pt>
                  <c:pt idx="13">
                    <c:v>80,92</c:v>
                  </c:pt>
                  <c:pt idx="14">
                    <c:v>25,75</c:v>
                  </c:pt>
                  <c:pt idx="16">
                    <c:v>40,02</c:v>
                  </c:pt>
                  <c:pt idx="17">
                    <c:v>99,48</c:v>
                  </c:pt>
                  <c:pt idx="18">
                    <c:v>47,40</c:v>
                  </c:pt>
                  <c:pt idx="19">
                    <c:v>67,32</c:v>
                  </c:pt>
                  <c:pt idx="20">
                    <c:v>91,77</c:v>
                  </c:pt>
                  <c:pt idx="21">
                    <c:v>85,95</c:v>
                  </c:pt>
                  <c:pt idx="22">
                    <c:v>79,78</c:v>
                  </c:pt>
                  <c:pt idx="24">
                    <c:v>101,61</c:v>
                  </c:pt>
                  <c:pt idx="25">
                    <c:v>105,49</c:v>
                  </c:pt>
                  <c:pt idx="26">
                    <c:v>56,11</c:v>
                  </c:pt>
                  <c:pt idx="27">
                    <c:v>72,05</c:v>
                  </c:pt>
                  <c:pt idx="28">
                    <c:v>89,39</c:v>
                  </c:pt>
                  <c:pt idx="29">
                    <c:v>100,5</c:v>
                  </c:pt>
                  <c:pt idx="30">
                    <c:v>98,67</c:v>
                  </c:pt>
                  <c:pt idx="31">
                    <c:v>63,65</c:v>
                  </c:pt>
                  <c:pt idx="32">
                    <c:v>74,31</c:v>
                  </c:pt>
                </c:lvl>
                <c:lvl>
                  <c:pt idx="0">
                    <c:v>82,75</c:v>
                  </c:pt>
                  <c:pt idx="1">
                    <c:v>84,04</c:v>
                  </c:pt>
                  <c:pt idx="2">
                    <c:v>117,67</c:v>
                  </c:pt>
                  <c:pt idx="3">
                    <c:v>70,62</c:v>
                  </c:pt>
                  <c:pt idx="4">
                    <c:v>76,00</c:v>
                  </c:pt>
                  <c:pt idx="5">
                    <c:v>51,44</c:v>
                  </c:pt>
                  <c:pt idx="6">
                    <c:v>96,46</c:v>
                  </c:pt>
                  <c:pt idx="8">
                    <c:v>61,04</c:v>
                  </c:pt>
                  <c:pt idx="9">
                    <c:v>115,77</c:v>
                  </c:pt>
                  <c:pt idx="10">
                    <c:v>58,51</c:v>
                  </c:pt>
                  <c:pt idx="11">
                    <c:v>110,18</c:v>
                  </c:pt>
                  <c:pt idx="12">
                    <c:v>56,91</c:v>
                  </c:pt>
                  <c:pt idx="13">
                    <c:v>71,18</c:v>
                  </c:pt>
                  <c:pt idx="14">
                    <c:v>100,92</c:v>
                  </c:pt>
                  <c:pt idx="16">
                    <c:v>99,33</c:v>
                  </c:pt>
                  <c:pt idx="19">
                    <c:v>78,58</c:v>
                  </c:pt>
                  <c:pt idx="20">
                    <c:v>124,02</c:v>
                  </c:pt>
                  <c:pt idx="21">
                    <c:v>69,26</c:v>
                  </c:pt>
                  <c:pt idx="22">
                    <c:v>88,41</c:v>
                  </c:pt>
                  <c:pt idx="24">
                    <c:v>101,71</c:v>
                  </c:pt>
                  <c:pt idx="25">
                    <c:v>101,78</c:v>
                  </c:pt>
                  <c:pt idx="26">
                    <c:v>95,57</c:v>
                  </c:pt>
                  <c:pt idx="27">
                    <c:v>58,05</c:v>
                  </c:pt>
                  <c:pt idx="28">
                    <c:v>103,57</c:v>
                  </c:pt>
                  <c:pt idx="29">
                    <c:v>67,07</c:v>
                  </c:pt>
                  <c:pt idx="30">
                    <c:v>85,80</c:v>
                  </c:pt>
                  <c:pt idx="31">
                    <c:v>70,53</c:v>
                  </c:pt>
                  <c:pt idx="32">
                    <c:v>137,15</c:v>
                  </c:pt>
                </c:lvl>
                <c:lvl>
                  <c:pt idx="0">
                    <c:v>85,16</c:v>
                  </c:pt>
                  <c:pt idx="1">
                    <c:v>95,79</c:v>
                  </c:pt>
                  <c:pt idx="2">
                    <c:v>69,40</c:v>
                  </c:pt>
                  <c:pt idx="3">
                    <c:v>61,82</c:v>
                  </c:pt>
                  <c:pt idx="4">
                    <c:v>115,15</c:v>
                  </c:pt>
                  <c:pt idx="5">
                    <c:v>80,05</c:v>
                  </c:pt>
                  <c:pt idx="6">
                    <c:v>92,17</c:v>
                  </c:pt>
                  <c:pt idx="8">
                    <c:v>52,20</c:v>
                  </c:pt>
                  <c:pt idx="9">
                    <c:v>104,08</c:v>
                  </c:pt>
                  <c:pt idx="10">
                    <c:v>100,60</c:v>
                  </c:pt>
                  <c:pt idx="11">
                    <c:v>99,49</c:v>
                  </c:pt>
                  <c:pt idx="12">
                    <c:v>77,75</c:v>
                  </c:pt>
                  <c:pt idx="13">
                    <c:v>86,00</c:v>
                  </c:pt>
                  <c:pt idx="14">
                    <c:v>103,32</c:v>
                  </c:pt>
                  <c:pt idx="16">
                    <c:v>117,08</c:v>
                  </c:pt>
                  <c:pt idx="17">
                    <c:v>81,14</c:v>
                  </c:pt>
                  <c:pt idx="18">
                    <c:v>99,79</c:v>
                  </c:pt>
                  <c:pt idx="19">
                    <c:v>85,97</c:v>
                  </c:pt>
                  <c:pt idx="20">
                    <c:v>80,34</c:v>
                  </c:pt>
                  <c:pt idx="21">
                    <c:v>96,73</c:v>
                  </c:pt>
                  <c:pt idx="22">
                    <c:v>88,02</c:v>
                  </c:pt>
                  <c:pt idx="24">
                    <c:v>109,33</c:v>
                  </c:pt>
                  <c:pt idx="25">
                    <c:v>80,54</c:v>
                  </c:pt>
                  <c:pt idx="26">
                    <c:v>80,04</c:v>
                  </c:pt>
                  <c:pt idx="27">
                    <c:v>92,43</c:v>
                  </c:pt>
                  <c:pt idx="28">
                    <c:v>101,64</c:v>
                  </c:pt>
                  <c:pt idx="29">
                    <c:v>108,68</c:v>
                  </c:pt>
                  <c:pt idx="30">
                    <c:v>97,76</c:v>
                  </c:pt>
                  <c:pt idx="31">
                    <c:v>73,82</c:v>
                  </c:pt>
                  <c:pt idx="32">
                    <c:v>118,55</c:v>
                  </c:pt>
                </c:lvl>
                <c:lvl>
                  <c:pt idx="0">
                    <c:v>68,97</c:v>
                  </c:pt>
                  <c:pt idx="1">
                    <c:v>69,15</c:v>
                  </c:pt>
                  <c:pt idx="2">
                    <c:v>87,42</c:v>
                  </c:pt>
                  <c:pt idx="3">
                    <c:v>67,64</c:v>
                  </c:pt>
                  <c:pt idx="4">
                    <c:v>54,71</c:v>
                  </c:pt>
                  <c:pt idx="5">
                    <c:v>52,97</c:v>
                  </c:pt>
                  <c:pt idx="6">
                    <c:v>78,70</c:v>
                  </c:pt>
                  <c:pt idx="8">
                    <c:v>66,39</c:v>
                  </c:pt>
                  <c:pt idx="9">
                    <c:v>93,62</c:v>
                  </c:pt>
                  <c:pt idx="10">
                    <c:v>65,94</c:v>
                  </c:pt>
                  <c:pt idx="11">
                    <c:v>65,00</c:v>
                  </c:pt>
                  <c:pt idx="12">
                    <c:v>74,89</c:v>
                  </c:pt>
                  <c:pt idx="13">
                    <c:v>74,79</c:v>
                  </c:pt>
                  <c:pt idx="14">
                    <c:v>76,22</c:v>
                  </c:pt>
                  <c:pt idx="16">
                    <c:v>85,89</c:v>
                  </c:pt>
                  <c:pt idx="17">
                    <c:v>78,49</c:v>
                  </c:pt>
                  <c:pt idx="18">
                    <c:v>83,99</c:v>
                  </c:pt>
                  <c:pt idx="19">
                    <c:v>50,91</c:v>
                  </c:pt>
                  <c:pt idx="20">
                    <c:v>58,61</c:v>
                  </c:pt>
                  <c:pt idx="21">
                    <c:v>54,78</c:v>
                  </c:pt>
                  <c:pt idx="22">
                    <c:v>66,80</c:v>
                  </c:pt>
                  <c:pt idx="24">
                    <c:v>87,48</c:v>
                  </c:pt>
                  <c:pt idx="25">
                    <c:v>80,38</c:v>
                  </c:pt>
                  <c:pt idx="26">
                    <c:v>72,12</c:v>
                  </c:pt>
                  <c:pt idx="27">
                    <c:v>61,93</c:v>
                  </c:pt>
                  <c:pt idx="28">
                    <c:v>55,95</c:v>
                  </c:pt>
                  <c:pt idx="29">
                    <c:v>84,29</c:v>
                  </c:pt>
                  <c:pt idx="30">
                    <c:v>96,81</c:v>
                  </c:pt>
                  <c:pt idx="31">
                    <c:v>67,32</c:v>
                  </c:pt>
                  <c:pt idx="32">
                    <c:v>69,39</c:v>
                  </c:pt>
                  <c:pt idx="36">
                    <c:v>. HT 204 - 216, 230 Liter</c:v>
                  </c:pt>
                </c:lvl>
                <c:lvl>
                  <c:pt idx="0">
                    <c:v>97,21</c:v>
                  </c:pt>
                  <c:pt idx="1">
                    <c:v>92,37</c:v>
                  </c:pt>
                  <c:pt idx="2">
                    <c:v>61,16</c:v>
                  </c:pt>
                  <c:pt idx="3">
                    <c:v>68,80</c:v>
                  </c:pt>
                  <c:pt idx="4">
                    <c:v>53,87</c:v>
                  </c:pt>
                  <c:pt idx="5">
                    <c:v>65,60</c:v>
                  </c:pt>
                  <c:pt idx="6">
                    <c:v>59,99</c:v>
                  </c:pt>
                  <c:pt idx="8">
                    <c:v>70,85</c:v>
                  </c:pt>
                  <c:pt idx="9">
                    <c:v>73,91</c:v>
                  </c:pt>
                  <c:pt idx="10">
                    <c:v>77,92</c:v>
                  </c:pt>
                  <c:pt idx="11">
                    <c:v>62,11</c:v>
                  </c:pt>
                  <c:pt idx="12">
                    <c:v>63,19</c:v>
                  </c:pt>
                  <c:pt idx="13">
                    <c:v>60,43</c:v>
                  </c:pt>
                  <c:pt idx="14">
                    <c:v>81,71</c:v>
                  </c:pt>
                  <c:pt idx="16">
                    <c:v>79,41</c:v>
                  </c:pt>
                  <c:pt idx="17">
                    <c:v>84,77</c:v>
                  </c:pt>
                  <c:pt idx="18">
                    <c:v>64,93</c:v>
                  </c:pt>
                  <c:pt idx="19">
                    <c:v>71,54</c:v>
                  </c:pt>
                  <c:pt idx="20">
                    <c:v>72,53</c:v>
                  </c:pt>
                  <c:pt idx="21">
                    <c:v>70,48</c:v>
                  </c:pt>
                  <c:pt idx="22">
                    <c:v>69,68</c:v>
                  </c:pt>
                  <c:pt idx="24">
                    <c:v>74,47</c:v>
                  </c:pt>
                  <c:pt idx="25">
                    <c:v>81,72</c:v>
                  </c:pt>
                  <c:pt idx="26">
                    <c:v>65,13</c:v>
                  </c:pt>
                  <c:pt idx="27">
                    <c:v>82,61</c:v>
                  </c:pt>
                  <c:pt idx="28">
                    <c:v>78,99</c:v>
                  </c:pt>
                  <c:pt idx="29">
                    <c:v>68,72</c:v>
                  </c:pt>
                  <c:pt idx="30">
                    <c:v>73,10</c:v>
                  </c:pt>
                  <c:pt idx="31">
                    <c:v>16,93</c:v>
                  </c:pt>
                  <c:pt idx="32">
                    <c:v>43,96</c:v>
                  </c:pt>
                </c:lvl>
                <c:lvl>
                  <c:pt idx="0">
                    <c:v>74,48</c:v>
                  </c:pt>
                  <c:pt idx="1">
                    <c:v>57,38</c:v>
                  </c:pt>
                  <c:pt idx="2">
                    <c:v>50,97</c:v>
                  </c:pt>
                  <c:pt idx="3">
                    <c:v>68,85</c:v>
                  </c:pt>
                  <c:pt idx="4">
                    <c:v>87,90</c:v>
                  </c:pt>
                  <c:pt idx="5">
                    <c:v>54,86</c:v>
                  </c:pt>
                  <c:pt idx="6">
                    <c:v>68,65</c:v>
                  </c:pt>
                  <c:pt idx="8">
                    <c:v>50,80</c:v>
                  </c:pt>
                  <c:pt idx="9">
                    <c:v>66,89</c:v>
                  </c:pt>
                  <c:pt idx="10">
                    <c:v>50,13</c:v>
                  </c:pt>
                  <c:pt idx="11">
                    <c:v>74,61</c:v>
                  </c:pt>
                  <c:pt idx="12">
                    <c:v>77,51</c:v>
                  </c:pt>
                  <c:pt idx="13">
                    <c:v>77,75</c:v>
                  </c:pt>
                  <c:pt idx="14">
                    <c:v>90,87</c:v>
                  </c:pt>
                  <c:pt idx="16">
                    <c:v>82,76</c:v>
                  </c:pt>
                  <c:pt idx="17">
                    <c:v>91,06</c:v>
                  </c:pt>
                  <c:pt idx="18">
                    <c:v>78,70</c:v>
                  </c:pt>
                  <c:pt idx="19">
                    <c:v>85,10</c:v>
                  </c:pt>
                  <c:pt idx="20">
                    <c:v>66,28</c:v>
                  </c:pt>
                  <c:pt idx="21">
                    <c:v>70,62</c:v>
                  </c:pt>
                  <c:pt idx="22">
                    <c:v>84,26</c:v>
                  </c:pt>
                  <c:pt idx="24">
                    <c:v>80,96</c:v>
                  </c:pt>
                  <c:pt idx="25">
                    <c:v>96,53</c:v>
                  </c:pt>
                  <c:pt idx="26">
                    <c:v>63,91</c:v>
                  </c:pt>
                  <c:pt idx="27">
                    <c:v>68,97</c:v>
                  </c:pt>
                  <c:pt idx="28">
                    <c:v>78,55</c:v>
                  </c:pt>
                  <c:pt idx="29">
                    <c:v>54,59</c:v>
                  </c:pt>
                  <c:pt idx="30">
                    <c:v>78,69</c:v>
                  </c:pt>
                  <c:pt idx="31">
                    <c:v>61,34</c:v>
                  </c:pt>
                  <c:pt idx="32">
                    <c:v>75,85</c:v>
                  </c:pt>
                </c:lvl>
                <c:lvl>
                  <c:pt idx="0">
                    <c:v>77,73</c:v>
                  </c:pt>
                  <c:pt idx="1">
                    <c:v>71,14</c:v>
                  </c:pt>
                  <c:pt idx="2">
                    <c:v>73,86</c:v>
                  </c:pt>
                  <c:pt idx="3">
                    <c:v>88,48</c:v>
                  </c:pt>
                  <c:pt idx="4">
                    <c:v>70,15</c:v>
                  </c:pt>
                  <c:pt idx="5">
                    <c:v>59,67</c:v>
                  </c:pt>
                  <c:pt idx="6">
                    <c:v>85,29</c:v>
                  </c:pt>
                  <c:pt idx="8">
                    <c:v>60,32</c:v>
                  </c:pt>
                  <c:pt idx="9">
                    <c:v>74,05</c:v>
                  </c:pt>
                  <c:pt idx="10">
                    <c:v>84,71</c:v>
                  </c:pt>
                  <c:pt idx="11">
                    <c:v>80,83</c:v>
                  </c:pt>
                  <c:pt idx="12">
                    <c:v>83,74</c:v>
                  </c:pt>
                  <c:pt idx="13">
                    <c:v>82,17</c:v>
                  </c:pt>
                  <c:pt idx="14">
                    <c:v>84,70</c:v>
                  </c:pt>
                  <c:pt idx="16">
                    <c:v>97,47</c:v>
                  </c:pt>
                  <c:pt idx="17">
                    <c:v>114,55</c:v>
                  </c:pt>
                  <c:pt idx="18">
                    <c:v>53,37</c:v>
                  </c:pt>
                  <c:pt idx="19">
                    <c:v>65,01</c:v>
                  </c:pt>
                  <c:pt idx="20">
                    <c:v>69,88</c:v>
                  </c:pt>
                  <c:pt idx="21">
                    <c:v>65,82</c:v>
                  </c:pt>
                  <c:pt idx="22">
                    <c:v>96,47</c:v>
                  </c:pt>
                  <c:pt idx="24">
                    <c:v>75,44</c:v>
                  </c:pt>
                  <c:pt idx="25">
                    <c:v>78,89</c:v>
                  </c:pt>
                  <c:pt idx="26">
                    <c:v>68,56</c:v>
                  </c:pt>
                  <c:pt idx="27">
                    <c:v>72,66</c:v>
                  </c:pt>
                  <c:pt idx="28">
                    <c:v>83,22</c:v>
                  </c:pt>
                  <c:pt idx="29">
                    <c:v>76,11</c:v>
                  </c:pt>
                  <c:pt idx="30">
                    <c:v>87,74</c:v>
                  </c:pt>
                  <c:pt idx="31">
                    <c:v>65,48</c:v>
                  </c:pt>
                  <c:pt idx="32">
                    <c:v>74,19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74,99</c:v>
                  </c:pt>
                  <c:pt idx="1">
                    <c:v>62,39</c:v>
                  </c:pt>
                  <c:pt idx="2">
                    <c:v>61,34</c:v>
                  </c:pt>
                  <c:pt idx="3">
                    <c:v>59,79</c:v>
                  </c:pt>
                  <c:pt idx="4">
                    <c:v>54,93</c:v>
                  </c:pt>
                  <c:pt idx="5">
                    <c:v>56,69</c:v>
                  </c:pt>
                  <c:pt idx="6">
                    <c:v>64,03</c:v>
                  </c:pt>
                  <c:pt idx="8">
                    <c:v>58,99</c:v>
                  </c:pt>
                  <c:pt idx="9">
                    <c:v>75,37</c:v>
                  </c:pt>
                  <c:pt idx="10">
                    <c:v>76,72</c:v>
                  </c:pt>
                  <c:pt idx="11">
                    <c:v>73,40</c:v>
                  </c:pt>
                  <c:pt idx="12">
                    <c:v>67,65</c:v>
                  </c:pt>
                  <c:pt idx="13">
                    <c:v>55,00</c:v>
                  </c:pt>
                  <c:pt idx="14">
                    <c:v>69,87</c:v>
                  </c:pt>
                  <c:pt idx="16">
                    <c:v>84,42</c:v>
                  </c:pt>
                  <c:pt idx="17">
                    <c:v>58,19</c:v>
                  </c:pt>
                  <c:pt idx="18">
                    <c:v>70,23</c:v>
                  </c:pt>
                  <c:pt idx="19">
                    <c:v>55,11</c:v>
                  </c:pt>
                  <c:pt idx="20">
                    <c:v>75,18</c:v>
                  </c:pt>
                  <c:pt idx="21">
                    <c:v>65,18</c:v>
                  </c:pt>
                  <c:pt idx="22">
                    <c:v>70,81</c:v>
                  </c:pt>
                  <c:pt idx="24">
                    <c:v>71,20</c:v>
                  </c:pt>
                  <c:pt idx="25">
                    <c:v>74,04</c:v>
                  </c:pt>
                  <c:pt idx="26">
                    <c:v>61,91</c:v>
                  </c:pt>
                  <c:pt idx="27">
                    <c:v>78,69</c:v>
                  </c:pt>
                  <c:pt idx="28">
                    <c:v>66,47</c:v>
                  </c:pt>
                  <c:pt idx="29">
                    <c:v>75,08</c:v>
                  </c:pt>
                  <c:pt idx="30">
                    <c:v>71,44</c:v>
                  </c:pt>
                  <c:pt idx="31">
                    <c:v>73,81</c:v>
                  </c:pt>
                  <c:pt idx="32">
                    <c:v>78,07</c:v>
                  </c:pt>
                </c:lvl>
                <c:lvl>
                  <c:pt idx="0">
                    <c:v>108,56</c:v>
                  </c:pt>
                  <c:pt idx="1">
                    <c:v>104,74</c:v>
                  </c:pt>
                  <c:pt idx="2">
                    <c:v>96,37</c:v>
                  </c:pt>
                  <c:pt idx="3">
                    <c:v>86,22</c:v>
                  </c:pt>
                  <c:pt idx="4">
                    <c:v>82,19</c:v>
                  </c:pt>
                  <c:pt idx="5">
                    <c:v>83,37</c:v>
                  </c:pt>
                  <c:pt idx="6">
                    <c:v>81,25</c:v>
                  </c:pt>
                  <c:pt idx="8">
                    <c:v>102,31</c:v>
                  </c:pt>
                  <c:pt idx="9">
                    <c:v>99,87</c:v>
                  </c:pt>
                  <c:pt idx="10">
                    <c:v>92,46</c:v>
                  </c:pt>
                  <c:pt idx="11">
                    <c:v>102,75</c:v>
                  </c:pt>
                  <c:pt idx="12">
                    <c:v>76,33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69,83</c:v>
                  </c:pt>
                  <c:pt idx="1">
                    <c:v>74,23</c:v>
                  </c:pt>
                  <c:pt idx="2">
                    <c:v>73,72</c:v>
                  </c:pt>
                  <c:pt idx="3">
                    <c:v>65,74</c:v>
                  </c:pt>
                  <c:pt idx="4">
                    <c:v>59,91</c:v>
                  </c:pt>
                  <c:pt idx="5">
                    <c:v>74,53</c:v>
                  </c:pt>
                  <c:pt idx="6">
                    <c:v>67,65</c:v>
                  </c:pt>
                  <c:pt idx="8">
                    <c:v>49,85</c:v>
                  </c:pt>
                  <c:pt idx="9">
                    <c:v>72,69</c:v>
                  </c:pt>
                  <c:pt idx="10">
                    <c:v>65,45</c:v>
                  </c:pt>
                  <c:pt idx="11">
                    <c:v>75,78</c:v>
                  </c:pt>
                  <c:pt idx="12">
                    <c:v>70,73</c:v>
                  </c:pt>
                  <c:pt idx="13">
                    <c:v>76,04</c:v>
                  </c:pt>
                  <c:pt idx="14">
                    <c:v>65,83</c:v>
                  </c:pt>
                  <c:pt idx="16">
                    <c:v>86,63</c:v>
                  </c:pt>
                  <c:pt idx="17">
                    <c:v>80,43</c:v>
                  </c:pt>
                  <c:pt idx="18">
                    <c:v>70,40</c:v>
                  </c:pt>
                  <c:pt idx="20">
                    <c:v>66,48</c:v>
                  </c:pt>
                  <c:pt idx="21">
                    <c:v>68,75</c:v>
                  </c:pt>
                  <c:pt idx="22">
                    <c:v>75,21</c:v>
                  </c:pt>
                  <c:pt idx="24">
                    <c:v>99,14</c:v>
                  </c:pt>
                  <c:pt idx="25">
                    <c:v>76,46</c:v>
                  </c:pt>
                  <c:pt idx="26">
                    <c:v>66,65</c:v>
                  </c:pt>
                  <c:pt idx="27">
                    <c:v>43,46</c:v>
                  </c:pt>
                  <c:pt idx="28">
                    <c:v>80,36</c:v>
                  </c:pt>
                  <c:pt idx="29">
                    <c:v>66,98</c:v>
                  </c:pt>
                  <c:pt idx="30">
                    <c:v>87,00</c:v>
                  </c:pt>
                  <c:pt idx="31">
                    <c:v>73,52</c:v>
                  </c:pt>
                  <c:pt idx="32">
                    <c:v>82,27</c:v>
                  </c:pt>
                </c:lvl>
                <c:lvl>
                  <c:pt idx="0">
                    <c:v>87,02</c:v>
                  </c:pt>
                  <c:pt idx="1">
                    <c:v>69,61</c:v>
                  </c:pt>
                  <c:pt idx="2">
                    <c:v>95,97</c:v>
                  </c:pt>
                  <c:pt idx="3">
                    <c:v>88,96</c:v>
                  </c:pt>
                  <c:pt idx="4">
                    <c:v>66,97</c:v>
                  </c:pt>
                  <c:pt idx="5">
                    <c:v>81,11</c:v>
                  </c:pt>
                  <c:pt idx="6">
                    <c:v>79,28</c:v>
                  </c:pt>
                  <c:pt idx="8">
                    <c:v>70,37</c:v>
                  </c:pt>
                  <c:pt idx="9">
                    <c:v>90,54</c:v>
                  </c:pt>
                  <c:pt idx="10">
                    <c:v>73,13</c:v>
                  </c:pt>
                  <c:pt idx="12">
                    <c:v>129,99</c:v>
                  </c:pt>
                  <c:pt idx="13">
                    <c:v>78,30</c:v>
                  </c:pt>
                  <c:pt idx="14">
                    <c:v>90,69</c:v>
                  </c:pt>
                  <c:pt idx="16">
                    <c:v>107,10</c:v>
                  </c:pt>
                  <c:pt idx="17">
                    <c:v>94,25</c:v>
                  </c:pt>
                  <c:pt idx="18">
                    <c:v>89,24</c:v>
                  </c:pt>
                  <c:pt idx="19">
                    <c:v>80,86</c:v>
                  </c:pt>
                  <c:pt idx="20">
                    <c:v>76,66</c:v>
                  </c:pt>
                  <c:pt idx="21">
                    <c:v>102,29</c:v>
                  </c:pt>
                  <c:pt idx="22">
                    <c:v>90,62</c:v>
                  </c:pt>
                  <c:pt idx="24">
                    <c:v>97,63</c:v>
                  </c:pt>
                  <c:pt idx="25">
                    <c:v>100,68</c:v>
                  </c:pt>
                  <c:pt idx="26">
                    <c:v>77,06</c:v>
                  </c:pt>
                  <c:pt idx="27">
                    <c:v>74,12</c:v>
                  </c:pt>
                  <c:pt idx="28">
                    <c:v>100,53</c:v>
                  </c:pt>
                  <c:pt idx="29">
                    <c:v>88,32</c:v>
                  </c:pt>
                  <c:pt idx="30">
                    <c:v>25,14</c:v>
                  </c:pt>
                  <c:pt idx="31">
                    <c:v>55,86</c:v>
                  </c:pt>
                  <c:pt idx="32">
                    <c:v>87,61</c:v>
                  </c:pt>
                </c:lvl>
                <c:lvl>
                  <c:pt idx="0">
                    <c:v>75,35</c:v>
                  </c:pt>
                  <c:pt idx="1">
                    <c:v>70,68</c:v>
                  </c:pt>
                  <c:pt idx="2">
                    <c:v>81,70</c:v>
                  </c:pt>
                  <c:pt idx="3">
                    <c:v>98,85</c:v>
                  </c:pt>
                  <c:pt idx="4">
                    <c:v>48,46</c:v>
                  </c:pt>
                  <c:pt idx="5">
                    <c:v>3,87</c:v>
                  </c:pt>
                  <c:pt idx="6">
                    <c:v>69,30</c:v>
                  </c:pt>
                  <c:pt idx="8">
                    <c:v>57,61</c:v>
                  </c:pt>
                  <c:pt idx="9">
                    <c:v>81,47</c:v>
                  </c:pt>
                  <c:pt idx="10">
                    <c:v>85,20</c:v>
                  </c:pt>
                  <c:pt idx="11">
                    <c:v>87,57</c:v>
                  </c:pt>
                  <c:pt idx="12">
                    <c:v>66,61</c:v>
                  </c:pt>
                  <c:pt idx="13">
                    <c:v>77,86</c:v>
                  </c:pt>
                  <c:pt idx="14">
                    <c:v>81,37</c:v>
                  </c:pt>
                  <c:pt idx="16">
                    <c:v>87,75</c:v>
                  </c:pt>
                  <c:pt idx="17">
                    <c:v>92,59</c:v>
                  </c:pt>
                  <c:pt idx="18">
                    <c:v>73,39</c:v>
                  </c:pt>
                  <c:pt idx="19">
                    <c:v>79,19</c:v>
                  </c:pt>
                  <c:pt idx="20">
                    <c:v>85,19</c:v>
                  </c:pt>
                  <c:pt idx="21">
                    <c:v>77,15</c:v>
                  </c:pt>
                  <c:pt idx="22">
                    <c:v>88,22</c:v>
                  </c:pt>
                  <c:pt idx="24">
                    <c:v>89,01</c:v>
                  </c:pt>
                  <c:pt idx="25">
                    <c:v>72,14</c:v>
                  </c:pt>
                  <c:pt idx="26">
                    <c:v>87,79</c:v>
                  </c:pt>
                  <c:pt idx="27">
                    <c:v>119,59</c:v>
                  </c:pt>
                  <c:pt idx="28">
                    <c:v>93,15</c:v>
                  </c:pt>
                  <c:pt idx="29">
                    <c:v>69,65</c:v>
                  </c:pt>
                  <c:pt idx="30">
                    <c:v>108,13</c:v>
                  </c:pt>
                  <c:pt idx="31">
                    <c:v>57,78</c:v>
                  </c:pt>
                  <c:pt idx="32">
                    <c:v>86,51</c:v>
                  </c:pt>
                </c:lvl>
                <c:lvl>
                  <c:pt idx="0">
                    <c:v>76,22</c:v>
                  </c:pt>
                  <c:pt idx="1">
                    <c:v>83,13</c:v>
                  </c:pt>
                  <c:pt idx="2">
                    <c:v>71,11</c:v>
                  </c:pt>
                  <c:pt idx="3">
                    <c:v>75,42</c:v>
                  </c:pt>
                  <c:pt idx="4">
                    <c:v>68,93</c:v>
                  </c:pt>
                  <c:pt idx="5">
                    <c:v>70,64</c:v>
                  </c:pt>
                  <c:pt idx="6">
                    <c:v>83,44</c:v>
                  </c:pt>
                  <c:pt idx="8">
                    <c:v>70,48</c:v>
                  </c:pt>
                  <c:pt idx="9">
                    <c:v>85,35</c:v>
                  </c:pt>
                  <c:pt idx="10">
                    <c:v>94,85</c:v>
                  </c:pt>
                  <c:pt idx="11">
                    <c:v>81,38</c:v>
                  </c:pt>
                  <c:pt idx="12">
                    <c:v>79,76</c:v>
                  </c:pt>
                  <c:pt idx="13">
                    <c:v>76,84</c:v>
                  </c:pt>
                  <c:pt idx="14">
                    <c:v>68,37</c:v>
                  </c:pt>
                  <c:pt idx="16">
                    <c:v>97,82</c:v>
                  </c:pt>
                  <c:pt idx="17">
                    <c:v>76,49</c:v>
                  </c:pt>
                  <c:pt idx="18">
                    <c:v>71,75</c:v>
                  </c:pt>
                  <c:pt idx="19">
                    <c:v>97,51</c:v>
                  </c:pt>
                  <c:pt idx="20">
                    <c:v>82,36</c:v>
                  </c:pt>
                  <c:pt idx="21">
                    <c:v>76,44</c:v>
                  </c:pt>
                  <c:pt idx="22">
                    <c:v>82,17</c:v>
                  </c:pt>
                  <c:pt idx="24">
                    <c:v>93,95</c:v>
                  </c:pt>
                  <c:pt idx="25">
                    <c:v>85,99</c:v>
                  </c:pt>
                  <c:pt idx="26">
                    <c:v>66,34</c:v>
                  </c:pt>
                  <c:pt idx="27">
                    <c:v>65,13</c:v>
                  </c:pt>
                  <c:pt idx="28">
                    <c:v>92,59</c:v>
                  </c:pt>
                  <c:pt idx="29">
                    <c:v>71,62</c:v>
                  </c:pt>
                  <c:pt idx="30">
                    <c:v>94,73</c:v>
                  </c:pt>
                  <c:pt idx="31">
                    <c:v>62,48</c:v>
                  </c:pt>
                  <c:pt idx="32">
                    <c:v>84,82</c:v>
                  </c:pt>
                </c:lvl>
                <c:lvl>
                  <c:pt idx="0">
                    <c:v>75,98</c:v>
                  </c:pt>
                  <c:pt idx="1">
                    <c:v>86,42</c:v>
                  </c:pt>
                  <c:pt idx="2">
                    <c:v>70,74</c:v>
                  </c:pt>
                  <c:pt idx="3">
                    <c:v>66,66</c:v>
                  </c:pt>
                  <c:pt idx="4">
                    <c:v>76,39</c:v>
                  </c:pt>
                  <c:pt idx="5">
                    <c:v>66,95</c:v>
                  </c:pt>
                  <c:pt idx="6">
                    <c:v>76,41</c:v>
                  </c:pt>
                  <c:pt idx="8">
                    <c:v>68,83</c:v>
                  </c:pt>
                  <c:pt idx="9">
                    <c:v>80,94</c:v>
                  </c:pt>
                  <c:pt idx="10">
                    <c:v>66,48</c:v>
                  </c:pt>
                  <c:pt idx="11">
                    <c:v>78,66</c:v>
                  </c:pt>
                  <c:pt idx="12">
                    <c:v>71,02</c:v>
                  </c:pt>
                  <c:pt idx="13">
                    <c:v>64,75</c:v>
                  </c:pt>
                  <c:pt idx="14">
                    <c:v>81,53</c:v>
                  </c:pt>
                  <c:pt idx="16">
                    <c:v>91,39</c:v>
                  </c:pt>
                  <c:pt idx="17">
                    <c:v>89,37</c:v>
                  </c:pt>
                  <c:pt idx="18">
                    <c:v>91,17</c:v>
                  </c:pt>
                  <c:pt idx="19">
                    <c:v>77,60</c:v>
                  </c:pt>
                  <c:pt idx="20">
                    <c:v>75,55</c:v>
                  </c:pt>
                  <c:pt idx="21">
                    <c:v>75,30</c:v>
                  </c:pt>
                  <c:pt idx="22">
                    <c:v>84,20</c:v>
                  </c:pt>
                  <c:pt idx="24">
                    <c:v>88,45</c:v>
                  </c:pt>
                  <c:pt idx="25">
                    <c:v>80,17</c:v>
                  </c:pt>
                  <c:pt idx="26">
                    <c:v>80,12</c:v>
                  </c:pt>
                  <c:pt idx="27">
                    <c:v>57,31</c:v>
                  </c:pt>
                  <c:pt idx="28">
                    <c:v>58,31</c:v>
                  </c:pt>
                </c:lvl>
                <c:lvl>
                  <c:pt idx="0">
                    <c:v>76,23</c:v>
                  </c:pt>
                  <c:pt idx="1">
                    <c:v>78,95</c:v>
                  </c:pt>
                  <c:pt idx="2">
                    <c:v>43,03</c:v>
                  </c:pt>
                  <c:pt idx="3">
                    <c:v>89,27</c:v>
                  </c:pt>
                  <c:pt idx="4">
                    <c:v>61,53</c:v>
                  </c:pt>
                  <c:pt idx="5">
                    <c:v>41,99</c:v>
                  </c:pt>
                  <c:pt idx="6">
                    <c:v>82,37</c:v>
                  </c:pt>
                  <c:pt idx="8">
                    <c:v>60,84</c:v>
                  </c:pt>
                  <c:pt idx="9">
                    <c:v>71,25</c:v>
                  </c:pt>
                  <c:pt idx="10">
                    <c:v>90,58</c:v>
                  </c:pt>
                  <c:pt idx="11">
                    <c:v>78,95</c:v>
                  </c:pt>
                  <c:pt idx="12">
                    <c:v>77,94</c:v>
                  </c:pt>
                  <c:pt idx="13">
                    <c:v>80,88</c:v>
                  </c:pt>
                  <c:pt idx="14">
                    <c:v>76,39</c:v>
                  </c:pt>
                  <c:pt idx="16">
                    <c:v>85,08</c:v>
                  </c:pt>
                  <c:pt idx="17">
                    <c:v>101,07</c:v>
                  </c:pt>
                  <c:pt idx="18">
                    <c:v>64,61</c:v>
                  </c:pt>
                  <c:pt idx="19">
                    <c:v>70,57</c:v>
                  </c:pt>
                  <c:pt idx="20">
                    <c:v>66,33</c:v>
                  </c:pt>
                  <c:pt idx="22">
                    <c:v>116,51</c:v>
                  </c:pt>
                  <c:pt idx="24">
                    <c:v>72,60</c:v>
                  </c:pt>
                  <c:pt idx="25">
                    <c:v>88,93</c:v>
                  </c:pt>
                  <c:pt idx="27">
                    <c:v>48,35</c:v>
                  </c:pt>
                  <c:pt idx="28">
                    <c:v>75,30</c:v>
                  </c:pt>
                  <c:pt idx="29">
                    <c:v>72,34</c:v>
                  </c:pt>
                  <c:pt idx="30">
                    <c:v>87,71</c:v>
                  </c:pt>
                  <c:pt idx="31">
                    <c:v>66,90</c:v>
                  </c:pt>
                  <c:pt idx="32">
                    <c:v>87,51</c:v>
                  </c:pt>
                </c:lvl>
                <c:lvl>
                  <c:pt idx="0">
                    <c:v>92,58</c:v>
                  </c:pt>
                  <c:pt idx="1">
                    <c:v>78,93</c:v>
                  </c:pt>
                  <c:pt idx="2">
                    <c:v>64,34</c:v>
                  </c:pt>
                  <c:pt idx="3">
                    <c:v>70,15</c:v>
                  </c:pt>
                  <c:pt idx="4">
                    <c:v>84,40</c:v>
                  </c:pt>
                  <c:pt idx="5">
                    <c:v>66,36</c:v>
                  </c:pt>
                  <c:pt idx="6">
                    <c:v>74,53</c:v>
                  </c:pt>
                  <c:pt idx="8">
                    <c:v>54,36</c:v>
                  </c:pt>
                  <c:pt idx="9">
                    <c:v>86,41</c:v>
                  </c:pt>
                  <c:pt idx="10">
                    <c:v>87,61</c:v>
                  </c:pt>
                  <c:pt idx="11">
                    <c:v>65,03</c:v>
                  </c:pt>
                  <c:pt idx="12">
                    <c:v>73,94</c:v>
                  </c:pt>
                  <c:pt idx="13">
                    <c:v>78,62</c:v>
                  </c:pt>
                  <c:pt idx="14">
                    <c:v>70,96</c:v>
                  </c:pt>
                  <c:pt idx="16">
                    <c:v>92,35</c:v>
                  </c:pt>
                  <c:pt idx="17">
                    <c:v>93,40</c:v>
                  </c:pt>
                  <c:pt idx="18">
                    <c:v>84,86</c:v>
                  </c:pt>
                  <c:pt idx="19">
                    <c:v>72,84</c:v>
                  </c:pt>
                  <c:pt idx="20">
                    <c:v>54,86</c:v>
                  </c:pt>
                  <c:pt idx="21">
                    <c:v>81,55</c:v>
                  </c:pt>
                  <c:pt idx="22">
                    <c:v>77,26</c:v>
                  </c:pt>
                  <c:pt idx="24">
                    <c:v>82,90</c:v>
                  </c:pt>
                  <c:pt idx="25">
                    <c:v>71,74</c:v>
                  </c:pt>
                  <c:pt idx="26">
                    <c:v>85,01</c:v>
                  </c:pt>
                  <c:pt idx="27">
                    <c:v>86,37</c:v>
                  </c:pt>
                  <c:pt idx="28">
                    <c:v>92,56</c:v>
                  </c:pt>
                  <c:pt idx="29">
                    <c:v>66,32</c:v>
                  </c:pt>
                  <c:pt idx="30">
                    <c:v>72,22</c:v>
                  </c:pt>
                </c:lvl>
                <c:lvl>
                  <c:pt idx="0">
                    <c:v>69,56</c:v>
                  </c:pt>
                  <c:pt idx="1">
                    <c:v>39,42</c:v>
                  </c:pt>
                  <c:pt idx="2">
                    <c:v>81,50</c:v>
                  </c:pt>
                  <c:pt idx="3">
                    <c:v>86,14</c:v>
                  </c:pt>
                  <c:pt idx="4">
                    <c:v>58,31</c:v>
                  </c:pt>
                  <c:pt idx="5">
                    <c:v>73,76</c:v>
                  </c:pt>
                  <c:pt idx="8">
                    <c:v>87,56</c:v>
                  </c:pt>
                  <c:pt idx="9">
                    <c:v>82,90</c:v>
                  </c:pt>
                  <c:pt idx="10">
                    <c:v>78,18</c:v>
                  </c:pt>
                  <c:pt idx="11">
                    <c:v>61,05</c:v>
                  </c:pt>
                  <c:pt idx="12">
                    <c:v>66,59</c:v>
                  </c:pt>
                  <c:pt idx="14">
                    <c:v>30,08</c:v>
                  </c:pt>
                  <c:pt idx="18">
                    <c:v>41,00</c:v>
                  </c:pt>
                  <c:pt idx="19">
                    <c:v>15,07</c:v>
                  </c:pt>
                  <c:pt idx="20">
                    <c:v>73,08</c:v>
                  </c:pt>
                  <c:pt idx="21">
                    <c:v>66,52</c:v>
                  </c:pt>
                  <c:pt idx="22">
                    <c:v>69,91</c:v>
                  </c:pt>
                  <c:pt idx="24">
                    <c:v>111,07</c:v>
                  </c:pt>
                  <c:pt idx="25">
                    <c:v>60,83</c:v>
                  </c:pt>
                  <c:pt idx="27">
                    <c:v>95,72</c:v>
                  </c:pt>
                  <c:pt idx="29">
                    <c:v>62,53</c:v>
                  </c:pt>
                  <c:pt idx="30">
                    <c:v>82,15</c:v>
                  </c:pt>
                  <c:pt idx="31">
                    <c:v>86,28</c:v>
                  </c:pt>
                </c:lvl>
                <c:lvl>
                  <c:pt idx="0">
                    <c:v>97,27</c:v>
                  </c:pt>
                  <c:pt idx="1">
                    <c:v>80,43</c:v>
                  </c:pt>
                  <c:pt idx="2">
                    <c:v>62,21</c:v>
                  </c:pt>
                  <c:pt idx="3">
                    <c:v>90,58</c:v>
                  </c:pt>
                  <c:pt idx="4">
                    <c:v>49,73</c:v>
                  </c:pt>
                  <c:pt idx="5">
                    <c:v>67,11</c:v>
                  </c:pt>
                  <c:pt idx="6">
                    <c:v>96,93</c:v>
                  </c:pt>
                  <c:pt idx="8">
                    <c:v>60,80</c:v>
                  </c:pt>
                  <c:pt idx="9">
                    <c:v>90,43</c:v>
                  </c:pt>
                  <c:pt idx="10">
                    <c:v>67,70</c:v>
                  </c:pt>
                  <c:pt idx="11">
                    <c:v>67,19</c:v>
                  </c:pt>
                  <c:pt idx="12">
                    <c:v>89,45</c:v>
                  </c:pt>
                  <c:pt idx="13">
                    <c:v>63,89</c:v>
                  </c:pt>
                  <c:pt idx="14">
                    <c:v>65,89</c:v>
                  </c:pt>
                  <c:pt idx="16">
                    <c:v>91,85</c:v>
                  </c:pt>
                  <c:pt idx="17">
                    <c:v>94,45</c:v>
                  </c:pt>
                  <c:pt idx="18">
                    <c:v>87,57</c:v>
                  </c:pt>
                  <c:pt idx="19">
                    <c:v>76,77</c:v>
                  </c:pt>
                  <c:pt idx="20">
                    <c:v>68,11</c:v>
                  </c:pt>
                  <c:pt idx="21">
                    <c:v>81,09</c:v>
                  </c:pt>
                  <c:pt idx="22">
                    <c:v>74,07</c:v>
                  </c:pt>
                  <c:pt idx="24">
                    <c:v>74,93</c:v>
                  </c:pt>
                  <c:pt idx="26">
                    <c:v>138,97</c:v>
                  </c:pt>
                  <c:pt idx="27">
                    <c:v>43,38</c:v>
                  </c:pt>
                  <c:pt idx="29">
                    <c:v>100,66</c:v>
                  </c:pt>
                  <c:pt idx="30">
                    <c:v>84,43</c:v>
                  </c:pt>
                  <c:pt idx="31">
                    <c:v>71,78</c:v>
                  </c:pt>
                </c:lvl>
                <c:lvl>
                  <c:pt idx="0">
                    <c:v>76,46</c:v>
                  </c:pt>
                  <c:pt idx="1">
                    <c:v>42,89</c:v>
                  </c:pt>
                  <c:pt idx="2">
                    <c:v>78,79</c:v>
                  </c:pt>
                  <c:pt idx="3">
                    <c:v>72,21</c:v>
                  </c:pt>
                  <c:pt idx="4">
                    <c:v>47,30</c:v>
                  </c:pt>
                  <c:pt idx="5">
                    <c:v>49,50</c:v>
                  </c:pt>
                  <c:pt idx="8">
                    <c:v>13,06</c:v>
                  </c:pt>
                  <c:pt idx="9">
                    <c:v>67,91</c:v>
                  </c:pt>
                  <c:pt idx="10">
                    <c:v>70,45</c:v>
                  </c:pt>
                  <c:pt idx="11">
                    <c:v>109,44</c:v>
                  </c:pt>
                  <c:pt idx="12">
                    <c:v>52,89</c:v>
                  </c:pt>
                  <c:pt idx="13">
                    <c:v>71,24</c:v>
                  </c:pt>
                  <c:pt idx="14">
                    <c:v>95,92</c:v>
                  </c:pt>
                  <c:pt idx="16">
                    <c:v>111,92</c:v>
                  </c:pt>
                  <c:pt idx="17">
                    <c:v>62,30</c:v>
                  </c:pt>
                  <c:pt idx="18">
                    <c:v>81,23</c:v>
                  </c:pt>
                  <c:pt idx="19">
                    <c:v>87,58</c:v>
                  </c:pt>
                  <c:pt idx="20">
                    <c:v>84,78</c:v>
                  </c:pt>
                  <c:pt idx="21">
                    <c:v>77,57</c:v>
                  </c:pt>
                  <c:pt idx="24">
                    <c:v>91,17</c:v>
                  </c:pt>
                  <c:pt idx="25">
                    <c:v>86,40</c:v>
                  </c:pt>
                  <c:pt idx="26">
                    <c:v>78,22</c:v>
                  </c:pt>
                  <c:pt idx="27">
                    <c:v>73,24</c:v>
                  </c:pt>
                  <c:pt idx="28">
                    <c:v>63,96</c:v>
                  </c:pt>
                  <c:pt idx="29">
                    <c:v>61,70</c:v>
                  </c:pt>
                  <c:pt idx="31">
                    <c:v>35,57</c:v>
                  </c:pt>
                  <c:pt idx="32">
                    <c:v>87,32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94,35</c:v>
                  </c:pt>
                  <c:pt idx="1">
                    <c:v>59,74</c:v>
                  </c:pt>
                  <c:pt idx="2">
                    <c:v>81,91</c:v>
                  </c:pt>
                  <c:pt idx="3">
                    <c:v>71,16</c:v>
                  </c:pt>
                  <c:pt idx="4">
                    <c:v>40,01</c:v>
                  </c:pt>
                  <c:pt idx="5">
                    <c:v>66,38</c:v>
                  </c:pt>
                  <c:pt idx="6">
                    <c:v>87,00</c:v>
                  </c:pt>
                  <c:pt idx="8">
                    <c:v>62,03</c:v>
                  </c:pt>
                  <c:pt idx="9">
                    <c:v>81,03</c:v>
                  </c:pt>
                  <c:pt idx="10">
                    <c:v>76,29</c:v>
                  </c:pt>
                  <c:pt idx="11">
                    <c:v>82,95</c:v>
                  </c:pt>
                  <c:pt idx="12">
                    <c:v>80,21</c:v>
                  </c:pt>
                  <c:pt idx="13">
                    <c:v>71,35</c:v>
                  </c:pt>
                  <c:pt idx="14">
                    <c:v>67,35</c:v>
                  </c:pt>
                  <c:pt idx="16">
                    <c:v>76,59</c:v>
                  </c:pt>
                  <c:pt idx="17">
                    <c:v>65,78</c:v>
                  </c:pt>
                  <c:pt idx="18">
                    <c:v>56,07</c:v>
                  </c:pt>
                  <c:pt idx="19">
                    <c:v>71,92</c:v>
                  </c:pt>
                  <c:pt idx="20">
                    <c:v>75,96</c:v>
                  </c:pt>
                  <c:pt idx="21">
                    <c:v>58,95</c:v>
                  </c:pt>
                  <c:pt idx="22">
                    <c:v>66,21</c:v>
                  </c:pt>
                  <c:pt idx="24">
                    <c:v>135,00</c:v>
                  </c:pt>
                  <c:pt idx="25">
                    <c:v>76,09</c:v>
                  </c:pt>
                  <c:pt idx="26">
                    <c:v>77,09</c:v>
                  </c:pt>
                </c:lvl>
                <c:lvl>
                  <c:pt idx="0">
                    <c:v>71,96</c:v>
                  </c:pt>
                  <c:pt idx="1">
                    <c:v>79,02</c:v>
                  </c:pt>
                  <c:pt idx="2">
                    <c:v>64,51</c:v>
                  </c:pt>
                  <c:pt idx="3">
                    <c:v>84,47</c:v>
                  </c:pt>
                  <c:pt idx="4">
                    <c:v>75,25</c:v>
                  </c:pt>
                  <c:pt idx="5">
                    <c:v>49,48</c:v>
                  </c:pt>
                  <c:pt idx="6">
                    <c:v>70,06</c:v>
                  </c:pt>
                  <c:pt idx="8">
                    <c:v>69,40</c:v>
                  </c:pt>
                  <c:pt idx="9">
                    <c:v>70,39</c:v>
                  </c:pt>
                  <c:pt idx="10">
                    <c:v>76,19</c:v>
                  </c:pt>
                  <c:pt idx="11">
                    <c:v>79,70</c:v>
                  </c:pt>
                  <c:pt idx="12">
                    <c:v>74,77</c:v>
                  </c:pt>
                  <c:pt idx="13">
                    <c:v>82,78</c:v>
                  </c:pt>
                  <c:pt idx="14">
                    <c:v>71,92</c:v>
                  </c:pt>
                  <c:pt idx="16">
                    <c:v>91,44</c:v>
                  </c:pt>
                  <c:pt idx="17">
                    <c:v>69,09</c:v>
                  </c:pt>
                  <c:pt idx="18">
                    <c:v>65,01</c:v>
                  </c:pt>
                  <c:pt idx="19">
                    <c:v>40,17</c:v>
                  </c:pt>
                  <c:pt idx="20">
                    <c:v>48,83</c:v>
                  </c:pt>
                  <c:pt idx="21">
                    <c:v>82,77</c:v>
                  </c:pt>
                  <c:pt idx="22">
                    <c:v>60,30</c:v>
                  </c:pt>
                  <c:pt idx="24">
                    <c:v>84,35</c:v>
                  </c:pt>
                  <c:pt idx="25">
                    <c:v>53,55</c:v>
                  </c:pt>
                  <c:pt idx="26">
                    <c:v>72,03</c:v>
                  </c:pt>
                  <c:pt idx="27">
                    <c:v>67,84</c:v>
                  </c:pt>
                  <c:pt idx="28">
                    <c:v>91,10</c:v>
                  </c:pt>
                  <c:pt idx="29">
                    <c:v>85,24</c:v>
                  </c:pt>
                  <c:pt idx="30">
                    <c:v>76,72</c:v>
                  </c:pt>
                  <c:pt idx="31">
                    <c:v>69,23</c:v>
                  </c:pt>
                  <c:pt idx="32">
                    <c:v>93,23</c:v>
                  </c:pt>
                </c:lvl>
                <c:lvl>
                  <c:pt idx="0">
                    <c:v>90,94</c:v>
                  </c:pt>
                  <c:pt idx="1">
                    <c:v>58,43</c:v>
                  </c:pt>
                  <c:pt idx="2">
                    <c:v>82,52</c:v>
                  </c:pt>
                  <c:pt idx="3">
                    <c:v>63,62</c:v>
                  </c:pt>
                  <c:pt idx="4">
                    <c:v>50,96</c:v>
                  </c:pt>
                  <c:pt idx="5">
                    <c:v>56,79</c:v>
                  </c:pt>
                  <c:pt idx="6">
                    <c:v>75,28</c:v>
                  </c:pt>
                  <c:pt idx="8">
                    <c:v>38,73</c:v>
                  </c:pt>
                  <c:pt idx="9">
                    <c:v>95,13</c:v>
                  </c:pt>
                  <c:pt idx="10">
                    <c:v>56,33</c:v>
                  </c:pt>
                  <c:pt idx="11">
                    <c:v>66,09</c:v>
                  </c:pt>
                  <c:pt idx="12">
                    <c:v>111,84</c:v>
                  </c:pt>
                  <c:pt idx="13">
                    <c:v>83,90</c:v>
                  </c:pt>
                  <c:pt idx="14">
                    <c:v>66,44</c:v>
                  </c:pt>
                  <c:pt idx="16">
                    <c:v>54,80</c:v>
                  </c:pt>
                  <c:pt idx="17">
                    <c:v>106,78</c:v>
                  </c:pt>
                  <c:pt idx="18">
                    <c:v>93,12</c:v>
                  </c:pt>
                  <c:pt idx="19">
                    <c:v>84,61</c:v>
                  </c:pt>
                  <c:pt idx="20">
                    <c:v>149,34</c:v>
                  </c:pt>
                  <c:pt idx="21">
                    <c:v>80,88</c:v>
                  </c:pt>
                  <c:pt idx="22">
                    <c:v>71,18</c:v>
                  </c:pt>
                  <c:pt idx="24">
                    <c:v>96,43</c:v>
                  </c:pt>
                  <c:pt idx="25">
                    <c:v>56,67</c:v>
                  </c:pt>
                  <c:pt idx="26">
                    <c:v>51,03</c:v>
                  </c:pt>
                  <c:pt idx="27">
                    <c:v>63,52</c:v>
                  </c:pt>
                  <c:pt idx="28">
                    <c:v>60,06</c:v>
                  </c:pt>
                  <c:pt idx="29">
                    <c:v>90,06</c:v>
                  </c:pt>
                  <c:pt idx="31">
                    <c:v>47,61</c:v>
                  </c:pt>
                  <c:pt idx="32">
                    <c:v>74,98</c:v>
                  </c:pt>
                </c:lvl>
                <c:lvl>
                  <c:pt idx="0">
                    <c:v>183,85</c:v>
                  </c:pt>
                  <c:pt idx="1">
                    <c:v>87,54</c:v>
                  </c:pt>
                  <c:pt idx="2">
                    <c:v>55,67</c:v>
                  </c:pt>
                  <c:pt idx="3">
                    <c:v>89,17</c:v>
                  </c:pt>
                  <c:pt idx="4">
                    <c:v>77,56</c:v>
                  </c:pt>
                  <c:pt idx="5">
                    <c:v>78,02</c:v>
                  </c:pt>
                  <c:pt idx="6">
                    <c:v>82,07</c:v>
                  </c:pt>
                  <c:pt idx="8">
                    <c:v>76,95</c:v>
                  </c:pt>
                  <c:pt idx="9">
                    <c:v>82,23</c:v>
                  </c:pt>
                  <c:pt idx="10">
                    <c:v>78,44</c:v>
                  </c:pt>
                  <c:pt idx="11">
                    <c:v>78,65</c:v>
                  </c:pt>
                  <c:pt idx="12">
                    <c:v>83,91</c:v>
                  </c:pt>
                  <c:pt idx="13">
                    <c:v>86,75</c:v>
                  </c:pt>
                  <c:pt idx="14">
                    <c:v>75,19</c:v>
                  </c:pt>
                  <c:pt idx="23">
                    <c:v>PM</c:v>
                  </c:pt>
                  <c:pt idx="24">
                    <c:v>69,24</c:v>
                  </c:pt>
                  <c:pt idx="25">
                    <c:v>85,39</c:v>
                  </c:pt>
                  <c:pt idx="26">
                    <c:v>91,09</c:v>
                  </c:pt>
                  <c:pt idx="27">
                    <c:v>101,77</c:v>
                  </c:pt>
                  <c:pt idx="28">
                    <c:v>58,79</c:v>
                  </c:pt>
                  <c:pt idx="29">
                    <c:v>75,51</c:v>
                  </c:pt>
                  <c:pt idx="30">
                    <c:v>69,12</c:v>
                  </c:pt>
                  <c:pt idx="31">
                    <c:v>84,09</c:v>
                  </c:pt>
                  <c:pt idx="32">
                    <c:v>78,71</c:v>
                  </c:pt>
                </c:lvl>
                <c:lvl>
                  <c:pt idx="0">
                    <c:v>87,73</c:v>
                  </c:pt>
                  <c:pt idx="1">
                    <c:v>78,89</c:v>
                  </c:pt>
                  <c:pt idx="2">
                    <c:v>47,73</c:v>
                  </c:pt>
                  <c:pt idx="3">
                    <c:v>77,33</c:v>
                  </c:pt>
                  <c:pt idx="4">
                    <c:v>46,27</c:v>
                  </c:pt>
                  <c:pt idx="5">
                    <c:v>77,53</c:v>
                  </c:pt>
                  <c:pt idx="6">
                    <c:v>72,95</c:v>
                  </c:pt>
                  <c:pt idx="8">
                    <c:v>54,93</c:v>
                  </c:pt>
                  <c:pt idx="9">
                    <c:v>80,61</c:v>
                  </c:pt>
                  <c:pt idx="10">
                    <c:v>60,08</c:v>
                  </c:pt>
                  <c:pt idx="11">
                    <c:v>68,84</c:v>
                  </c:pt>
                  <c:pt idx="12">
                    <c:v>73,26</c:v>
                  </c:pt>
                  <c:pt idx="13">
                    <c:v>83,14</c:v>
                  </c:pt>
                  <c:pt idx="14">
                    <c:v>71,26</c:v>
                  </c:pt>
                  <c:pt idx="16">
                    <c:v>91,08</c:v>
                  </c:pt>
                  <c:pt idx="17">
                    <c:v>85,07</c:v>
                  </c:pt>
                  <c:pt idx="18">
                    <c:v>90,18</c:v>
                  </c:pt>
                  <c:pt idx="19">
                    <c:v>84,95</c:v>
                  </c:pt>
                  <c:pt idx="20">
                    <c:v>71,98</c:v>
                  </c:pt>
                  <c:pt idx="21">
                    <c:v>84,20</c:v>
                  </c:pt>
                  <c:pt idx="22">
                    <c:v>97,00</c:v>
                  </c:pt>
                  <c:pt idx="25">
                    <c:v>117,39</c:v>
                  </c:pt>
                  <c:pt idx="26">
                    <c:v>79,07</c:v>
                  </c:pt>
                  <c:pt idx="27">
                    <c:v>82,65</c:v>
                  </c:pt>
                  <c:pt idx="28">
                    <c:v>78,82</c:v>
                  </c:pt>
                  <c:pt idx="29">
                    <c:v>81,23</c:v>
                  </c:pt>
                  <c:pt idx="30">
                    <c:v>76,75</c:v>
                  </c:pt>
                  <c:pt idx="31">
                    <c:v>62,69</c:v>
                  </c:pt>
                  <c:pt idx="32">
                    <c:v>75,41</c:v>
                  </c:pt>
                </c:lvl>
                <c:lvl>
                  <c:pt idx="0">
                    <c:v>146,97</c:v>
                  </c:pt>
                  <c:pt idx="1">
                    <c:v>102,95</c:v>
                  </c:pt>
                  <c:pt idx="3">
                    <c:v>39,43</c:v>
                  </c:pt>
                  <c:pt idx="4">
                    <c:v>39,21</c:v>
                  </c:pt>
                  <c:pt idx="5">
                    <c:v>114,60</c:v>
                  </c:pt>
                  <c:pt idx="6">
                    <c:v>90,08</c:v>
                  </c:pt>
                  <c:pt idx="8">
                    <c:v>77,79</c:v>
                  </c:pt>
                  <c:pt idx="9">
                    <c:v>90,04</c:v>
                  </c:pt>
                  <c:pt idx="10">
                    <c:v>88,25</c:v>
                  </c:pt>
                  <c:pt idx="11">
                    <c:v>86,79</c:v>
                  </c:pt>
                  <c:pt idx="13">
                    <c:v>58,84</c:v>
                  </c:pt>
                  <c:pt idx="14">
                    <c:v>87,18</c:v>
                  </c:pt>
                  <c:pt idx="16">
                    <c:v>52,12</c:v>
                  </c:pt>
                  <c:pt idx="17">
                    <c:v>75,91</c:v>
                  </c:pt>
                  <c:pt idx="18">
                    <c:v>21,04</c:v>
                  </c:pt>
                  <c:pt idx="19">
                    <c:v>77,97</c:v>
                  </c:pt>
                  <c:pt idx="20">
                    <c:v>51,61</c:v>
                  </c:pt>
                  <c:pt idx="21">
                    <c:v>90,73</c:v>
                  </c:pt>
                  <c:pt idx="22">
                    <c:v>115,72</c:v>
                  </c:pt>
                  <c:pt idx="24">
                    <c:v>70,52</c:v>
                  </c:pt>
                  <c:pt idx="25">
                    <c:v>48,80</c:v>
                  </c:pt>
                  <c:pt idx="26">
                    <c:v>52,41</c:v>
                  </c:pt>
                  <c:pt idx="27">
                    <c:v>77,42</c:v>
                  </c:pt>
                  <c:pt idx="28">
                    <c:v>65,54</c:v>
                  </c:pt>
                  <c:pt idx="29">
                    <c:v>64,56</c:v>
                  </c:pt>
                  <c:pt idx="30">
                    <c:v>57,80</c:v>
                  </c:pt>
                  <c:pt idx="31">
                    <c:v>165,60</c:v>
                  </c:pt>
                  <c:pt idx="32">
                    <c:v>89,09</c:v>
                  </c:pt>
                </c:lvl>
                <c:lvl>
                  <c:pt idx="1">
                    <c:v>134,42</c:v>
                  </c:pt>
                  <c:pt idx="8">
                    <c:v>103,47</c:v>
                  </c:pt>
                  <c:pt idx="10">
                    <c:v>41,81</c:v>
                  </c:pt>
                  <c:pt idx="12">
                    <c:v>29,15</c:v>
                  </c:pt>
                  <c:pt idx="16">
                    <c:v>85,27</c:v>
                  </c:pt>
                  <c:pt idx="18">
                    <c:v>82,45</c:v>
                  </c:pt>
                  <c:pt idx="25">
                    <c:v>196,66</c:v>
                  </c:pt>
                  <c:pt idx="26">
                    <c:v>30,86</c:v>
                  </c:pt>
                </c:lvl>
                <c:lvl>
                  <c:pt idx="0">
                    <c:v>96,91</c:v>
                  </c:pt>
                  <c:pt idx="2">
                    <c:v>65,34</c:v>
                  </c:pt>
                  <c:pt idx="3">
                    <c:v>79,58</c:v>
                  </c:pt>
                  <c:pt idx="4">
                    <c:v>70,57</c:v>
                  </c:pt>
                  <c:pt idx="5">
                    <c:v>56,23</c:v>
                  </c:pt>
                  <c:pt idx="6">
                    <c:v>126,32</c:v>
                  </c:pt>
                  <c:pt idx="8">
                    <c:v>77,40</c:v>
                  </c:pt>
                  <c:pt idx="9">
                    <c:v>55,81</c:v>
                  </c:pt>
                  <c:pt idx="10">
                    <c:v>44,01</c:v>
                  </c:pt>
                  <c:pt idx="11">
                    <c:v>143,07</c:v>
                  </c:pt>
                  <c:pt idx="12">
                    <c:v>78,43</c:v>
                  </c:pt>
                  <c:pt idx="13">
                    <c:v>68,51</c:v>
                  </c:pt>
                  <c:pt idx="14">
                    <c:v>72,63</c:v>
                  </c:pt>
                  <c:pt idx="16">
                    <c:v>131,35</c:v>
                  </c:pt>
                  <c:pt idx="17">
                    <c:v>83,03</c:v>
                  </c:pt>
                  <c:pt idx="18">
                    <c:v>84,81</c:v>
                  </c:pt>
                  <c:pt idx="19">
                    <c:v>71,86</c:v>
                  </c:pt>
                  <c:pt idx="20">
                    <c:v>78,52</c:v>
                  </c:pt>
                  <c:pt idx="21">
                    <c:v>71,09</c:v>
                  </c:pt>
                  <c:pt idx="22">
                    <c:v>85,08</c:v>
                  </c:pt>
                  <c:pt idx="24">
                    <c:v>111,49</c:v>
                  </c:pt>
                  <c:pt idx="25">
                    <c:v>105,34</c:v>
                  </c:pt>
                  <c:pt idx="26">
                    <c:v>84,41</c:v>
                  </c:pt>
                  <c:pt idx="27">
                    <c:v>67,97</c:v>
                  </c:pt>
                  <c:pt idx="28">
                    <c:v>95,36</c:v>
                  </c:pt>
                  <c:pt idx="29">
                    <c:v>101,59</c:v>
                  </c:pt>
                  <c:pt idx="30">
                    <c:v>80,12</c:v>
                  </c:pt>
                  <c:pt idx="31">
                    <c:v>70,31</c:v>
                  </c:pt>
                  <c:pt idx="32">
                    <c:v>90,96</c:v>
                  </c:pt>
                </c:lvl>
                <c:lvl>
                  <c:pt idx="0">
                    <c:v>87,99</c:v>
                  </c:pt>
                  <c:pt idx="1">
                    <c:v>82,39</c:v>
                  </c:pt>
                  <c:pt idx="2">
                    <c:v>66,15</c:v>
                  </c:pt>
                  <c:pt idx="3">
                    <c:v>77,75</c:v>
                  </c:pt>
                  <c:pt idx="4">
                    <c:v>55,75</c:v>
                  </c:pt>
                  <c:pt idx="9">
                    <c:v>53,91</c:v>
                  </c:pt>
                  <c:pt idx="10">
                    <c:v>66,25</c:v>
                  </c:pt>
                  <c:pt idx="11">
                    <c:v>76,22</c:v>
                  </c:pt>
                  <c:pt idx="12">
                    <c:v>67,59</c:v>
                  </c:pt>
                  <c:pt idx="13">
                    <c:v>86,00</c:v>
                  </c:pt>
                  <c:pt idx="14">
                    <c:v>74,05</c:v>
                  </c:pt>
                  <c:pt idx="16">
                    <c:v>92,74</c:v>
                  </c:pt>
                  <c:pt idx="17">
                    <c:v>92,52</c:v>
                  </c:pt>
                  <c:pt idx="18">
                    <c:v>87,84</c:v>
                  </c:pt>
                  <c:pt idx="19">
                    <c:v>95,48</c:v>
                  </c:pt>
                  <c:pt idx="20">
                    <c:v>49,33</c:v>
                  </c:pt>
                  <c:pt idx="21">
                    <c:v>75,12</c:v>
                  </c:pt>
                  <c:pt idx="22">
                    <c:v>77,94</c:v>
                  </c:pt>
                  <c:pt idx="24">
                    <c:v>78,21</c:v>
                  </c:pt>
                  <c:pt idx="25">
                    <c:v>91,09</c:v>
                  </c:pt>
                  <c:pt idx="26">
                    <c:v>68,80</c:v>
                  </c:pt>
                  <c:pt idx="27">
                    <c:v>79,71</c:v>
                  </c:pt>
                  <c:pt idx="28">
                    <c:v>79,86</c:v>
                  </c:pt>
                  <c:pt idx="29">
                    <c:v>61,66</c:v>
                  </c:pt>
                  <c:pt idx="31">
                    <c:v>82,89</c:v>
                  </c:pt>
                  <c:pt idx="32">
                    <c:v>79,74</c:v>
                  </c:pt>
                </c:lvl>
                <c:lvl>
                  <c:pt idx="7">
                    <c:v>PM</c:v>
                  </c:pt>
                  <c:pt idx="13">
                    <c:v>65,17</c:v>
                  </c:pt>
                  <c:pt idx="19">
                    <c:v>41,34</c:v>
                  </c:pt>
                  <c:pt idx="20">
                    <c:v>53,35</c:v>
                  </c:pt>
                  <c:pt idx="21">
                    <c:v>73,62</c:v>
                  </c:pt>
                  <c:pt idx="22">
                    <c:v>82,82</c:v>
                  </c:pt>
                  <c:pt idx="24">
                    <c:v>77,32</c:v>
                  </c:pt>
                  <c:pt idx="25">
                    <c:v>82,36</c:v>
                  </c:pt>
                  <c:pt idx="26">
                    <c:v>71,73</c:v>
                  </c:pt>
                  <c:pt idx="28">
                    <c:v>109,50</c:v>
                  </c:pt>
                  <c:pt idx="29">
                    <c:v>60,18</c:v>
                  </c:pt>
                  <c:pt idx="30">
                    <c:v>83,47</c:v>
                  </c:pt>
                  <c:pt idx="31">
                    <c:v>72,47</c:v>
                  </c:pt>
                  <c:pt idx="32">
                    <c:v>77,93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67,25</c:v>
                  </c:pt>
                  <c:pt idx="1">
                    <c:v>68,73</c:v>
                  </c:pt>
                  <c:pt idx="2">
                    <c:v>62,01</c:v>
                  </c:pt>
                  <c:pt idx="3">
                    <c:v>71,54</c:v>
                  </c:pt>
                  <c:pt idx="4">
                    <c:v>68,27</c:v>
                  </c:pt>
                  <c:pt idx="5">
                    <c:v>56,06</c:v>
                  </c:pt>
                  <c:pt idx="6">
                    <c:v>75,96</c:v>
                  </c:pt>
                  <c:pt idx="8">
                    <c:v>62,35</c:v>
                  </c:pt>
                  <c:pt idx="9">
                    <c:v>64,59</c:v>
                  </c:pt>
                  <c:pt idx="10">
                    <c:v>68,66</c:v>
                  </c:pt>
                  <c:pt idx="11">
                    <c:v>78,85</c:v>
                  </c:pt>
                  <c:pt idx="12">
                    <c:v>57,30</c:v>
                  </c:pt>
                  <c:pt idx="13">
                    <c:v>58,83</c:v>
                  </c:pt>
                  <c:pt idx="14">
                    <c:v>69,06</c:v>
                  </c:pt>
                  <c:pt idx="16">
                    <c:v>76,45</c:v>
                  </c:pt>
                  <c:pt idx="17">
                    <c:v>66,94</c:v>
                  </c:pt>
                  <c:pt idx="18">
                    <c:v>68,59</c:v>
                  </c:pt>
                  <c:pt idx="19">
                    <c:v>73,38</c:v>
                  </c:pt>
                  <c:pt idx="20">
                    <c:v>78,57</c:v>
                  </c:pt>
                  <c:pt idx="21">
                    <c:v>73,02</c:v>
                  </c:pt>
                  <c:pt idx="22">
                    <c:v>58,93</c:v>
                  </c:pt>
                  <c:pt idx="24">
                    <c:v>74,06</c:v>
                  </c:pt>
                  <c:pt idx="25">
                    <c:v>81,15</c:v>
                  </c:pt>
                  <c:pt idx="26">
                    <c:v>75,97</c:v>
                  </c:pt>
                  <c:pt idx="27">
                    <c:v>62,05</c:v>
                  </c:pt>
                  <c:pt idx="28">
                    <c:v>60,69</c:v>
                  </c:pt>
                  <c:pt idx="29">
                    <c:v>71,56</c:v>
                  </c:pt>
                  <c:pt idx="30">
                    <c:v>72,26</c:v>
                  </c:pt>
                  <c:pt idx="31">
                    <c:v>42,54</c:v>
                  </c:pt>
                  <c:pt idx="32">
                    <c:v>78,58</c:v>
                  </c:pt>
                  <c:pt idx="36">
                    <c:v>   </c:v>
                  </c:pt>
                </c:lvl>
                <c:lvl>
                  <c:pt idx="0">
                    <c:v>89,29</c:v>
                  </c:pt>
                  <c:pt idx="1">
                    <c:v>62,06</c:v>
                  </c:pt>
                  <c:pt idx="2">
                    <c:v>51,83</c:v>
                  </c:pt>
                  <c:pt idx="3">
                    <c:v>73,70</c:v>
                  </c:pt>
                  <c:pt idx="4">
                    <c:v>44,71</c:v>
                  </c:pt>
                  <c:pt idx="5">
                    <c:v>55,01</c:v>
                  </c:pt>
                  <c:pt idx="6">
                    <c:v>80,66</c:v>
                  </c:pt>
                  <c:pt idx="8">
                    <c:v>50,19</c:v>
                  </c:pt>
                  <c:pt idx="11">
                    <c:v>74,22</c:v>
                  </c:pt>
                  <c:pt idx="12">
                    <c:v>74,47</c:v>
                  </c:pt>
                  <c:pt idx="13">
                    <c:v>78,45</c:v>
                  </c:pt>
                  <c:pt idx="14">
                    <c:v>75,70</c:v>
                  </c:pt>
                  <c:pt idx="16">
                    <c:v>84,20</c:v>
                  </c:pt>
                  <c:pt idx="17">
                    <c:v>75,22</c:v>
                  </c:pt>
                  <c:pt idx="18">
                    <c:v>84,26</c:v>
                  </c:pt>
                  <c:pt idx="19">
                    <c:v>73,79</c:v>
                  </c:pt>
                  <c:pt idx="20">
                    <c:v>75,88</c:v>
                  </c:pt>
                  <c:pt idx="21">
                    <c:v>73,64</c:v>
                  </c:pt>
                  <c:pt idx="22">
                    <c:v>60,29</c:v>
                  </c:pt>
                  <c:pt idx="24">
                    <c:v>69,34</c:v>
                  </c:pt>
                  <c:pt idx="25">
                    <c:v>77,70</c:v>
                  </c:pt>
                  <c:pt idx="26">
                    <c:v>78,35</c:v>
                  </c:pt>
                  <c:pt idx="27">
                    <c:v>74,35</c:v>
                  </c:pt>
                  <c:pt idx="28">
                    <c:v>66,24</c:v>
                  </c:pt>
                  <c:pt idx="29">
                    <c:v>70,78</c:v>
                  </c:pt>
                  <c:pt idx="31">
                    <c:v>113,02</c:v>
                  </c:pt>
                  <c:pt idx="32">
                    <c:v>57,48</c:v>
                  </c:pt>
                  <c:pt idx="36">
                    <c:v>. HT 174 - 203, 190 Liter</c:v>
                  </c:pt>
                </c:lvl>
                <c:lvl>
                  <c:pt idx="7">
                    <c:v>PM</c:v>
                  </c:pt>
                  <c:pt idx="11">
                    <c:v>90,52</c:v>
                  </c:pt>
                  <c:pt idx="16">
                    <c:v>85,50</c:v>
                  </c:pt>
                  <c:pt idx="25">
                    <c:v>72,16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6">
                    <c:v>253,32</c:v>
                  </c:pt>
                  <c:pt idx="17">
                    <c:v>17,70</c:v>
                  </c:pt>
                  <c:pt idx="34">
                    <c:v>PM</c:v>
                  </c:pt>
                </c:lvl>
                <c:lvl>
                  <c:pt idx="0">
                    <c:v>73,89</c:v>
                  </c:pt>
                  <c:pt idx="1">
                    <c:v>89,87</c:v>
                  </c:pt>
                  <c:pt idx="2">
                    <c:v>79,28</c:v>
                  </c:pt>
                  <c:pt idx="3">
                    <c:v>89,54</c:v>
                  </c:pt>
                  <c:pt idx="4">
                    <c:v>78,38</c:v>
                  </c:pt>
                  <c:pt idx="5">
                    <c:v>73,28</c:v>
                  </c:pt>
                  <c:pt idx="6">
                    <c:v>82,93</c:v>
                  </c:pt>
                  <c:pt idx="8">
                    <c:v>66,43</c:v>
                  </c:pt>
                  <c:pt idx="9">
                    <c:v>89,12</c:v>
                  </c:pt>
                  <c:pt idx="10">
                    <c:v>78,59</c:v>
                  </c:pt>
                  <c:pt idx="11">
                    <c:v>81,48</c:v>
                  </c:pt>
                  <c:pt idx="12">
                    <c:v>71,47</c:v>
                  </c:pt>
                  <c:pt idx="13">
                    <c:v>92,19</c:v>
                  </c:pt>
                  <c:pt idx="14">
                    <c:v>91,57</c:v>
                  </c:pt>
                  <c:pt idx="17">
                    <c:v>189,35</c:v>
                  </c:pt>
                  <c:pt idx="18">
                    <c:v>99,38</c:v>
                  </c:pt>
                  <c:pt idx="19">
                    <c:v>84,31</c:v>
                  </c:pt>
                  <c:pt idx="20">
                    <c:v>69,15</c:v>
                  </c:pt>
                  <c:pt idx="21">
                    <c:v>66,47</c:v>
                  </c:pt>
                  <c:pt idx="22">
                    <c:v>110,82</c:v>
                  </c:pt>
                  <c:pt idx="24">
                    <c:v>97,98</c:v>
                  </c:pt>
                  <c:pt idx="25">
                    <c:v>77,40</c:v>
                  </c:pt>
                  <c:pt idx="27">
                    <c:v>64,20</c:v>
                  </c:pt>
                  <c:pt idx="28">
                    <c:v>110,34</c:v>
                  </c:pt>
                  <c:pt idx="29">
                    <c:v>49,29</c:v>
                  </c:pt>
                  <c:pt idx="30">
                    <c:v>102,71</c:v>
                  </c:pt>
                  <c:pt idx="31">
                    <c:v>151,81</c:v>
                  </c:pt>
                </c:lvl>
                <c:lvl>
                  <c:pt idx="0">
                    <c:v>115,43</c:v>
                  </c:pt>
                  <c:pt idx="1">
                    <c:v>84,01</c:v>
                  </c:pt>
                  <c:pt idx="2">
                    <c:v>68,57</c:v>
                  </c:pt>
                  <c:pt idx="3">
                    <c:v>94,62</c:v>
                  </c:pt>
                  <c:pt idx="4">
                    <c:v>93,43</c:v>
                  </c:pt>
                  <c:pt idx="5">
                    <c:v>85,68</c:v>
                  </c:pt>
                  <c:pt idx="6">
                    <c:v>83,89</c:v>
                  </c:pt>
                  <c:pt idx="8">
                    <c:v>83,87</c:v>
                  </c:pt>
                  <c:pt idx="9">
                    <c:v>93,11</c:v>
                  </c:pt>
                  <c:pt idx="10">
                    <c:v>115,05</c:v>
                  </c:pt>
                  <c:pt idx="11">
                    <c:v>103,49</c:v>
                  </c:pt>
                  <c:pt idx="12">
                    <c:v>85,14</c:v>
                  </c:pt>
                  <c:pt idx="13">
                    <c:v>80,66</c:v>
                  </c:pt>
                  <c:pt idx="14">
                    <c:v>83,47</c:v>
                  </c:pt>
                  <c:pt idx="16">
                    <c:v>92,45</c:v>
                  </c:pt>
                  <c:pt idx="17">
                    <c:v>95,21</c:v>
                  </c:pt>
                  <c:pt idx="18">
                    <c:v>98,97</c:v>
                  </c:pt>
                  <c:pt idx="19">
                    <c:v>82,77</c:v>
                  </c:pt>
                  <c:pt idx="20">
                    <c:v>94,74</c:v>
                  </c:pt>
                  <c:pt idx="21">
                    <c:v>80,41</c:v>
                  </c:pt>
                  <c:pt idx="22">
                    <c:v>88,98</c:v>
                  </c:pt>
                  <c:pt idx="24">
                    <c:v>88,07</c:v>
                  </c:pt>
                  <c:pt idx="25">
                    <c:v>85,72</c:v>
                  </c:pt>
                  <c:pt idx="26">
                    <c:v>69,27</c:v>
                  </c:pt>
                  <c:pt idx="27">
                    <c:v>85,07</c:v>
                  </c:pt>
                  <c:pt idx="28">
                    <c:v>100,66</c:v>
                  </c:pt>
                  <c:pt idx="29">
                    <c:v>106,18</c:v>
                  </c:pt>
                  <c:pt idx="30">
                    <c:v>87,73</c:v>
                  </c:pt>
                  <c:pt idx="31">
                    <c:v>92,23</c:v>
                  </c:pt>
                  <c:pt idx="32">
                    <c:v>83,91</c:v>
                  </c:pt>
                </c:lvl>
                <c:lvl>
                  <c:pt idx="0">
                    <c:v>87,91</c:v>
                  </c:pt>
                  <c:pt idx="1">
                    <c:v>72,51</c:v>
                  </c:pt>
                  <c:pt idx="2">
                    <c:v>66,19</c:v>
                  </c:pt>
                  <c:pt idx="12">
                    <c:v>58,56</c:v>
                  </c:pt>
                  <c:pt idx="13">
                    <c:v>84,14</c:v>
                  </c:pt>
                  <c:pt idx="14">
                    <c:v>93,38</c:v>
                  </c:pt>
                  <c:pt idx="16">
                    <c:v>93,22</c:v>
                  </c:pt>
                  <c:pt idx="17">
                    <c:v>94,94</c:v>
                  </c:pt>
                  <c:pt idx="18">
                    <c:v>76,73</c:v>
                  </c:pt>
                  <c:pt idx="19">
                    <c:v>92,52</c:v>
                  </c:pt>
                  <c:pt idx="20">
                    <c:v>99,44</c:v>
                  </c:pt>
                  <c:pt idx="21">
                    <c:v>85,29</c:v>
                  </c:pt>
                  <c:pt idx="22">
                    <c:v>108,37</c:v>
                  </c:pt>
                  <c:pt idx="24">
                    <c:v>85,61</c:v>
                  </c:pt>
                  <c:pt idx="25">
                    <c:v>92,18</c:v>
                  </c:pt>
                  <c:pt idx="26">
                    <c:v>88,55</c:v>
                  </c:pt>
                  <c:pt idx="27">
                    <c:v>65,18</c:v>
                  </c:pt>
                  <c:pt idx="28">
                    <c:v>92,70</c:v>
                  </c:pt>
                  <c:pt idx="29">
                    <c:v>84,01</c:v>
                  </c:pt>
                  <c:pt idx="30">
                    <c:v>91,21</c:v>
                  </c:pt>
                  <c:pt idx="31">
                    <c:v>108,86</c:v>
                  </c:pt>
                  <c:pt idx="32">
                    <c:v>69,30</c:v>
                  </c:pt>
                </c:lvl>
                <c:lvl>
                  <c:pt idx="0">
                    <c:v>72,69</c:v>
                  </c:pt>
                  <c:pt idx="1">
                    <c:v>80,03</c:v>
                  </c:pt>
                  <c:pt idx="2">
                    <c:v>74,79</c:v>
                  </c:pt>
                  <c:pt idx="3">
                    <c:v>61,85</c:v>
                  </c:pt>
                  <c:pt idx="4">
                    <c:v>71,41</c:v>
                  </c:pt>
                  <c:pt idx="5">
                    <c:v>77,16</c:v>
                  </c:pt>
                  <c:pt idx="6">
                    <c:v>89,96</c:v>
                  </c:pt>
                  <c:pt idx="8">
                    <c:v>53,90</c:v>
                  </c:pt>
                  <c:pt idx="9">
                    <c:v>84,11</c:v>
                  </c:pt>
                  <c:pt idx="10">
                    <c:v>70,94</c:v>
                  </c:pt>
                  <c:pt idx="11">
                    <c:v>90,81</c:v>
                  </c:pt>
                  <c:pt idx="12">
                    <c:v>76,83</c:v>
                  </c:pt>
                  <c:pt idx="13">
                    <c:v>70,09</c:v>
                  </c:pt>
                  <c:pt idx="14">
                    <c:v>77,18</c:v>
                  </c:pt>
                  <c:pt idx="16">
                    <c:v>91,02</c:v>
                  </c:pt>
                  <c:pt idx="17">
                    <c:v>68,44</c:v>
                  </c:pt>
                  <c:pt idx="18">
                    <c:v>77,60</c:v>
                  </c:pt>
                  <c:pt idx="19">
                    <c:v>79,39</c:v>
                  </c:pt>
                  <c:pt idx="20">
                    <c:v>119,49</c:v>
                  </c:pt>
                  <c:pt idx="21">
                    <c:v>93,48</c:v>
                  </c:pt>
                  <c:pt idx="22">
                    <c:v>90,30</c:v>
                  </c:pt>
                  <c:pt idx="24">
                    <c:v>82,40</c:v>
                  </c:pt>
                  <c:pt idx="25">
                    <c:v>101,08</c:v>
                  </c:pt>
                  <c:pt idx="26">
                    <c:v>90,46</c:v>
                  </c:pt>
                  <c:pt idx="27">
                    <c:v>62,48</c:v>
                  </c:pt>
                  <c:pt idx="28">
                    <c:v>83,34</c:v>
                  </c:pt>
                  <c:pt idx="29">
                    <c:v>87,14</c:v>
                  </c:pt>
                  <c:pt idx="30">
                    <c:v>108,94</c:v>
                  </c:pt>
                  <c:pt idx="31">
                    <c:v>72,40</c:v>
                  </c:pt>
                  <c:pt idx="32">
                    <c:v>88,30</c:v>
                  </c:pt>
                </c:lvl>
                <c:lvl>
                  <c:pt idx="0">
                    <c:v>112,36</c:v>
                  </c:pt>
                  <c:pt idx="1">
                    <c:v>84,49</c:v>
                  </c:pt>
                  <c:pt idx="3">
                    <c:v>72,24</c:v>
                  </c:pt>
                  <c:pt idx="4">
                    <c:v>76,00</c:v>
                  </c:pt>
                  <c:pt idx="5">
                    <c:v>52,10</c:v>
                  </c:pt>
                  <c:pt idx="6">
                    <c:v>91,47</c:v>
                  </c:pt>
                  <c:pt idx="8">
                    <c:v>79,84</c:v>
                  </c:pt>
                  <c:pt idx="9">
                    <c:v>71,92</c:v>
                  </c:pt>
                  <c:pt idx="11">
                    <c:v>56,25</c:v>
                  </c:pt>
                  <c:pt idx="12">
                    <c:v>53,45</c:v>
                  </c:pt>
                  <c:pt idx="14">
                    <c:v>44,88</c:v>
                  </c:pt>
                  <c:pt idx="16">
                    <c:v>31,41</c:v>
                  </c:pt>
                  <c:pt idx="17">
                    <c:v>24,36</c:v>
                  </c:pt>
                  <c:pt idx="18">
                    <c:v>68,83</c:v>
                  </c:pt>
                  <c:pt idx="19">
                    <c:v>77,35</c:v>
                  </c:pt>
                  <c:pt idx="20">
                    <c:v>100,63</c:v>
                  </c:pt>
                  <c:pt idx="21">
                    <c:v>46,39</c:v>
                  </c:pt>
                  <c:pt idx="22">
                    <c:v>86,19</c:v>
                  </c:pt>
                  <c:pt idx="24">
                    <c:v>116,55</c:v>
                  </c:pt>
                  <c:pt idx="25">
                    <c:v>104,71</c:v>
                  </c:pt>
                  <c:pt idx="26">
                    <c:v>86,38</c:v>
                  </c:pt>
                  <c:pt idx="27">
                    <c:v>64,53</c:v>
                  </c:pt>
                  <c:pt idx="28">
                    <c:v>128,19</c:v>
                  </c:pt>
                  <c:pt idx="29">
                    <c:v>78,95</c:v>
                  </c:pt>
                  <c:pt idx="30">
                    <c:v>105,20</c:v>
                  </c:pt>
                  <c:pt idx="31">
                    <c:v>61,44</c:v>
                  </c:pt>
                </c:lvl>
                <c:lvl>
                  <c:pt idx="0">
                    <c:v>79,06</c:v>
                  </c:pt>
                  <c:pt idx="1">
                    <c:v>73,66</c:v>
                  </c:pt>
                  <c:pt idx="2">
                    <c:v>61,32</c:v>
                  </c:pt>
                  <c:pt idx="3">
                    <c:v>67,77</c:v>
                  </c:pt>
                  <c:pt idx="4">
                    <c:v>69,93</c:v>
                  </c:pt>
                  <c:pt idx="5">
                    <c:v>65,94</c:v>
                  </c:pt>
                  <c:pt idx="6">
                    <c:v>62,07</c:v>
                  </c:pt>
                  <c:pt idx="8">
                    <c:v>45,54</c:v>
                  </c:pt>
                  <c:pt idx="9">
                    <c:v>71,13</c:v>
                  </c:pt>
                  <c:pt idx="10">
                    <c:v>74,87</c:v>
                  </c:pt>
                  <c:pt idx="11">
                    <c:v>69,28</c:v>
                  </c:pt>
                  <c:pt idx="12">
                    <c:v>84,17</c:v>
                  </c:pt>
                  <c:pt idx="13">
                    <c:v>82,70</c:v>
                  </c:pt>
                  <c:pt idx="14">
                    <c:v>70,60</c:v>
                  </c:pt>
                  <c:pt idx="16">
                    <c:v>83,86</c:v>
                  </c:pt>
                  <c:pt idx="17">
                    <c:v>85,65</c:v>
                  </c:pt>
                  <c:pt idx="18">
                    <c:v>64,74</c:v>
                  </c:pt>
                  <c:pt idx="19">
                    <c:v>83,53</c:v>
                  </c:pt>
                  <c:pt idx="20">
                    <c:v>71,05</c:v>
                  </c:pt>
                  <c:pt idx="21">
                    <c:v>74,19</c:v>
                  </c:pt>
                  <c:pt idx="22">
                    <c:v>82,24</c:v>
                  </c:pt>
                  <c:pt idx="24">
                    <c:v>97,62</c:v>
                  </c:pt>
                  <c:pt idx="25">
                    <c:v>76,05</c:v>
                  </c:pt>
                  <c:pt idx="26">
                    <c:v>70,26</c:v>
                  </c:pt>
                  <c:pt idx="27">
                    <c:v>60,08</c:v>
                  </c:pt>
                  <c:pt idx="28">
                    <c:v>77,06</c:v>
                  </c:pt>
                  <c:pt idx="29">
                    <c:v>68,08</c:v>
                  </c:pt>
                  <c:pt idx="30">
                    <c:v>87,05</c:v>
                  </c:pt>
                  <c:pt idx="31">
                    <c:v>59,28</c:v>
                  </c:pt>
                  <c:pt idx="32">
                    <c:v>76,36</c:v>
                  </c:pt>
                </c:lvl>
                <c:lvl>
                  <c:pt idx="0">
                    <c:v>80,41</c:v>
                  </c:pt>
                  <c:pt idx="1">
                    <c:v>92,81</c:v>
                  </c:pt>
                  <c:pt idx="2">
                    <c:v>70,01</c:v>
                  </c:pt>
                  <c:pt idx="3">
                    <c:v>61,52</c:v>
                  </c:pt>
                  <c:pt idx="4">
                    <c:v>116,47</c:v>
                  </c:pt>
                  <c:pt idx="5">
                    <c:v>71,69</c:v>
                  </c:pt>
                  <c:pt idx="6">
                    <c:v>91,45</c:v>
                  </c:pt>
                  <c:pt idx="8">
                    <c:v>67,44</c:v>
                  </c:pt>
                  <c:pt idx="9">
                    <c:v>76,31</c:v>
                  </c:pt>
                  <c:pt idx="10">
                    <c:v>64,26</c:v>
                  </c:pt>
                  <c:pt idx="11">
                    <c:v>94,38</c:v>
                  </c:pt>
                  <c:pt idx="12">
                    <c:v>84,97</c:v>
                  </c:pt>
                  <c:pt idx="13">
                    <c:v>68,59</c:v>
                  </c:pt>
                  <c:pt idx="14">
                    <c:v>81,63</c:v>
                  </c:pt>
                  <c:pt idx="17">
                    <c:v>99,13</c:v>
                  </c:pt>
                  <c:pt idx="18">
                    <c:v>133,94</c:v>
                  </c:pt>
                  <c:pt idx="19">
                    <c:v>68,68</c:v>
                  </c:pt>
                  <c:pt idx="20">
                    <c:v>85,04</c:v>
                  </c:pt>
                  <c:pt idx="21">
                    <c:v>81,31</c:v>
                  </c:pt>
                  <c:pt idx="22">
                    <c:v>82,70</c:v>
                  </c:pt>
                  <c:pt idx="24">
                    <c:v>69,98</c:v>
                  </c:pt>
                  <c:pt idx="25">
                    <c:v>106,92</c:v>
                  </c:pt>
                  <c:pt idx="26">
                    <c:v>102,81</c:v>
                  </c:pt>
                  <c:pt idx="27">
                    <c:v>58,06</c:v>
                  </c:pt>
                  <c:pt idx="28">
                    <c:v>48,84</c:v>
                  </c:pt>
                  <c:pt idx="29">
                    <c:v>85,67</c:v>
                  </c:pt>
                  <c:pt idx="30">
                    <c:v>80,25</c:v>
                  </c:pt>
                  <c:pt idx="31">
                    <c:v>72,47</c:v>
                  </c:pt>
                  <c:pt idx="32">
                    <c:v>73,68</c:v>
                  </c:pt>
                </c:lvl>
                <c:lvl>
                  <c:pt idx="0">
                    <c:v>67,44</c:v>
                  </c:pt>
                  <c:pt idx="1">
                    <c:v>79,16</c:v>
                  </c:pt>
                  <c:pt idx="2">
                    <c:v>61,79</c:v>
                  </c:pt>
                  <c:pt idx="3">
                    <c:v>48,02</c:v>
                  </c:pt>
                  <c:pt idx="4">
                    <c:v>71,21</c:v>
                  </c:pt>
                  <c:pt idx="5">
                    <c:v>76,98</c:v>
                  </c:pt>
                  <c:pt idx="6">
                    <c:v>89,35</c:v>
                  </c:pt>
                  <c:pt idx="8">
                    <c:v>70,04</c:v>
                  </c:pt>
                  <c:pt idx="9">
                    <c:v>83,48</c:v>
                  </c:pt>
                  <c:pt idx="10">
                    <c:v>51,74</c:v>
                  </c:pt>
                  <c:pt idx="11">
                    <c:v>102,20</c:v>
                  </c:pt>
                  <c:pt idx="12">
                    <c:v>76,17</c:v>
                  </c:pt>
                  <c:pt idx="13">
                    <c:v>63,59</c:v>
                  </c:pt>
                  <c:pt idx="14">
                    <c:v>85,66</c:v>
                  </c:pt>
                  <c:pt idx="16">
                    <c:v>83,04</c:v>
                  </c:pt>
                  <c:pt idx="17">
                    <c:v>84,85</c:v>
                  </c:pt>
                  <c:pt idx="18">
                    <c:v>81,32</c:v>
                  </c:pt>
                  <c:pt idx="19">
                    <c:v>59,65</c:v>
                  </c:pt>
                  <c:pt idx="20">
                    <c:v>96,49</c:v>
                  </c:pt>
                  <c:pt idx="21">
                    <c:v>66,98</c:v>
                  </c:pt>
                  <c:pt idx="22">
                    <c:v>91,88</c:v>
                  </c:pt>
                  <c:pt idx="24">
                    <c:v>112,89</c:v>
                  </c:pt>
                  <c:pt idx="25">
                    <c:v>93,04</c:v>
                  </c:pt>
                  <c:pt idx="26">
                    <c:v>80,24</c:v>
                  </c:pt>
                  <c:pt idx="27">
                    <c:v>60,07</c:v>
                  </c:pt>
                  <c:pt idx="28">
                    <c:v>84,94</c:v>
                  </c:pt>
                  <c:pt idx="29">
                    <c:v>75,58</c:v>
                  </c:pt>
                  <c:pt idx="30">
                    <c:v>87,74</c:v>
                  </c:pt>
                  <c:pt idx="31">
                    <c:v>58,46</c:v>
                  </c:pt>
                  <c:pt idx="32">
                    <c:v>86,14</c:v>
                  </c:pt>
                </c:lvl>
                <c:lvl>
                  <c:pt idx="0">
                    <c:v>81,90</c:v>
                  </c:pt>
                  <c:pt idx="1">
                    <c:v>79,69</c:v>
                  </c:pt>
                  <c:pt idx="2">
                    <c:v>58,21</c:v>
                  </c:pt>
                  <c:pt idx="3">
                    <c:v>67,35</c:v>
                  </c:pt>
                  <c:pt idx="4">
                    <c:v>65,81</c:v>
                  </c:pt>
                  <c:pt idx="5">
                    <c:v>74,69</c:v>
                  </c:pt>
                  <c:pt idx="6">
                    <c:v>109,95</c:v>
                  </c:pt>
                  <c:pt idx="8">
                    <c:v>80,24</c:v>
                  </c:pt>
                  <c:pt idx="9">
                    <c:v>82,95</c:v>
                  </c:pt>
                  <c:pt idx="10">
                    <c:v>87,65</c:v>
                  </c:pt>
                  <c:pt idx="11">
                    <c:v>107,50</c:v>
                  </c:pt>
                  <c:pt idx="12">
                    <c:v>83,03</c:v>
                  </c:pt>
                  <c:pt idx="13">
                    <c:v>62,26</c:v>
                  </c:pt>
                  <c:pt idx="14">
                    <c:v>100,43</c:v>
                  </c:pt>
                  <c:pt idx="16">
                    <c:v>116,43</c:v>
                  </c:pt>
                  <c:pt idx="17">
                    <c:v>99,85</c:v>
                  </c:pt>
                  <c:pt idx="18">
                    <c:v>73,53</c:v>
                  </c:pt>
                  <c:pt idx="19">
                    <c:v>67,37</c:v>
                  </c:pt>
                  <c:pt idx="20">
                    <c:v>88,90</c:v>
                  </c:pt>
                  <c:pt idx="21">
                    <c:v>83,12</c:v>
                  </c:pt>
                  <c:pt idx="22">
                    <c:v>85,57</c:v>
                  </c:pt>
                  <c:pt idx="24">
                    <c:v>100,28</c:v>
                  </c:pt>
                  <c:pt idx="25">
                    <c:v>105,02</c:v>
                  </c:pt>
                  <c:pt idx="26">
                    <c:v>94,38</c:v>
                  </c:pt>
                  <c:pt idx="27">
                    <c:v>75,46</c:v>
                  </c:pt>
                  <c:pt idx="28">
                    <c:v>68,72</c:v>
                  </c:pt>
                  <c:pt idx="29">
                    <c:v>91,76</c:v>
                  </c:pt>
                  <c:pt idx="30">
                    <c:v>100,96</c:v>
                  </c:pt>
                  <c:pt idx="31">
                    <c:v>44,11</c:v>
                  </c:pt>
                  <c:pt idx="32">
                    <c:v>103,13</c:v>
                  </c:pt>
                </c:lvl>
                <c:lvl>
                  <c:pt idx="0">
                    <c:v>97,88</c:v>
                  </c:pt>
                  <c:pt idx="1">
                    <c:v>66,01</c:v>
                  </c:pt>
                  <c:pt idx="2">
                    <c:v>58,79</c:v>
                  </c:pt>
                  <c:pt idx="3">
                    <c:v>72,41</c:v>
                  </c:pt>
                  <c:pt idx="4">
                    <c:v>60,05</c:v>
                  </c:pt>
                  <c:pt idx="5">
                    <c:v>68,88</c:v>
                  </c:pt>
                  <c:pt idx="6">
                    <c:v>75,65</c:v>
                  </c:pt>
                  <c:pt idx="8">
                    <c:v>56,31</c:v>
                  </c:pt>
                  <c:pt idx="9">
                    <c:v>81,41</c:v>
                  </c:pt>
                  <c:pt idx="10">
                    <c:v>76,28</c:v>
                  </c:pt>
                  <c:pt idx="11">
                    <c:v>80,75</c:v>
                  </c:pt>
                  <c:pt idx="12">
                    <c:v>96,57</c:v>
                  </c:pt>
                  <c:pt idx="13">
                    <c:v>65,62</c:v>
                  </c:pt>
                  <c:pt idx="14">
                    <c:v>78,58</c:v>
                  </c:pt>
                  <c:pt idx="17">
                    <c:v>137,73</c:v>
                  </c:pt>
                  <c:pt idx="19">
                    <c:v>71,37</c:v>
                  </c:pt>
                  <c:pt idx="20">
                    <c:v>46,93</c:v>
                  </c:pt>
                  <c:pt idx="21">
                    <c:v>85,45</c:v>
                  </c:pt>
                  <c:pt idx="22">
                    <c:v>101,49</c:v>
                  </c:pt>
                  <c:pt idx="24">
                    <c:v>66,28</c:v>
                  </c:pt>
                  <c:pt idx="25">
                    <c:v>77,47</c:v>
                  </c:pt>
                  <c:pt idx="26">
                    <c:v>76,39</c:v>
                  </c:pt>
                  <c:pt idx="27">
                    <c:v>54,72</c:v>
                  </c:pt>
                  <c:pt idx="28">
                    <c:v>87,66</c:v>
                  </c:pt>
                  <c:pt idx="29">
                    <c:v>77,43</c:v>
                  </c:pt>
                  <c:pt idx="30">
                    <c:v>87,91</c:v>
                  </c:pt>
                  <c:pt idx="31">
                    <c:v>66,72</c:v>
                  </c:pt>
                  <c:pt idx="32">
                    <c:v>83,81</c:v>
                  </c:pt>
                </c:lvl>
                <c:lvl>
                  <c:pt idx="0">
                    <c:v>81,69</c:v>
                  </c:pt>
                  <c:pt idx="1">
                    <c:v>92,71</c:v>
                  </c:pt>
                  <c:pt idx="2">
                    <c:v>78,02</c:v>
                  </c:pt>
                  <c:pt idx="3">
                    <c:v>97,74</c:v>
                  </c:pt>
                  <c:pt idx="4">
                    <c:v>77,63</c:v>
                  </c:pt>
                  <c:pt idx="5">
                    <c:v>67,53</c:v>
                  </c:pt>
                  <c:pt idx="6">
                    <c:v>78,52</c:v>
                  </c:pt>
                  <c:pt idx="8">
                    <c:v>76,07</c:v>
                  </c:pt>
                  <c:pt idx="9">
                    <c:v>82,02</c:v>
                  </c:pt>
                  <c:pt idx="10">
                    <c:v>67,47</c:v>
                  </c:pt>
                  <c:pt idx="11">
                    <c:v>80,58</c:v>
                  </c:pt>
                  <c:pt idx="12">
                    <c:v>66,12</c:v>
                  </c:pt>
                  <c:pt idx="13">
                    <c:v>94,07</c:v>
                  </c:pt>
                  <c:pt idx="14">
                    <c:v>75,93</c:v>
                  </c:pt>
                  <c:pt idx="16">
                    <c:v>85,37</c:v>
                  </c:pt>
                  <c:pt idx="17">
                    <c:v>84,52</c:v>
                  </c:pt>
                  <c:pt idx="18">
                    <c:v>68,71</c:v>
                  </c:pt>
                  <c:pt idx="19">
                    <c:v>72,18</c:v>
                  </c:pt>
                  <c:pt idx="20">
                    <c:v>87,98</c:v>
                  </c:pt>
                  <c:pt idx="21">
                    <c:v>71,21</c:v>
                  </c:pt>
                  <c:pt idx="22">
                    <c:v>77,89</c:v>
                  </c:pt>
                  <c:pt idx="24">
                    <c:v>85,37</c:v>
                  </c:pt>
                  <c:pt idx="25">
                    <c:v>86,13</c:v>
                  </c:pt>
                  <c:pt idx="26">
                    <c:v>90,25</c:v>
                  </c:pt>
                  <c:pt idx="27">
                    <c:v>56,32</c:v>
                  </c:pt>
                  <c:pt idx="28">
                    <c:v>73,03</c:v>
                  </c:pt>
                  <c:pt idx="29">
                    <c:v>80,67</c:v>
                  </c:pt>
                  <c:pt idx="30">
                    <c:v>78,26</c:v>
                  </c:pt>
                  <c:pt idx="31">
                    <c:v>78,42</c:v>
                  </c:pt>
                  <c:pt idx="32">
                    <c:v>75,73</c:v>
                  </c:pt>
                </c:lvl>
                <c:lvl>
                  <c:pt idx="7">
                    <c:v>PM</c:v>
                  </c:pt>
                  <c:pt idx="8">
                    <c:v>51,13</c:v>
                  </c:pt>
                  <c:pt idx="9">
                    <c:v>82,45</c:v>
                  </c:pt>
                  <c:pt idx="10">
                    <c:v>71,75</c:v>
                  </c:pt>
                  <c:pt idx="11">
                    <c:v>108,61</c:v>
                  </c:pt>
                  <c:pt idx="12">
                    <c:v>86,22</c:v>
                  </c:pt>
                  <c:pt idx="14">
                    <c:v>120,31</c:v>
                  </c:pt>
                  <c:pt idx="17">
                    <c:v>156,25</c:v>
                  </c:pt>
                  <c:pt idx="18">
                    <c:v>87,37</c:v>
                  </c:pt>
                  <c:pt idx="19">
                    <c:v>67,57</c:v>
                  </c:pt>
                  <c:pt idx="20">
                    <c:v>101,95</c:v>
                  </c:pt>
                  <c:pt idx="21">
                    <c:v>65,26</c:v>
                  </c:pt>
                  <c:pt idx="22">
                    <c:v>113,99</c:v>
                  </c:pt>
                  <c:pt idx="24">
                    <c:v>109,04</c:v>
                  </c:pt>
                  <c:pt idx="25">
                    <c:v>90,99</c:v>
                  </c:pt>
                  <c:pt idx="26">
                    <c:v>96,05</c:v>
                  </c:pt>
                  <c:pt idx="27">
                    <c:v>81,89</c:v>
                  </c:pt>
                  <c:pt idx="28">
                    <c:v>86,33</c:v>
                  </c:pt>
                  <c:pt idx="29">
                    <c:v>88,10</c:v>
                  </c:pt>
                  <c:pt idx="30">
                    <c:v>101,41</c:v>
                  </c:pt>
                  <c:pt idx="31">
                    <c:v>67,89</c:v>
                  </c:pt>
                  <c:pt idx="32">
                    <c:v>79,13</c:v>
                  </c:pt>
                </c:lvl>
                <c:lvl>
                  <c:pt idx="0">
                    <c:v>88,92</c:v>
                  </c:pt>
                  <c:pt idx="1">
                    <c:v>79,76</c:v>
                  </c:pt>
                  <c:pt idx="2">
                    <c:v>76,65</c:v>
                  </c:pt>
                  <c:pt idx="3">
                    <c:v>97,87</c:v>
                  </c:pt>
                  <c:pt idx="4">
                    <c:v>88,24</c:v>
                  </c:pt>
                  <c:pt idx="5">
                    <c:v>85,75</c:v>
                  </c:pt>
                  <c:pt idx="6">
                    <c:v>99,41</c:v>
                  </c:pt>
                  <c:pt idx="8">
                    <c:v>47,50</c:v>
                  </c:pt>
                  <c:pt idx="9">
                    <c:v>97,66</c:v>
                  </c:pt>
                  <c:pt idx="10">
                    <c:v>80,07</c:v>
                  </c:pt>
                  <c:pt idx="11">
                    <c:v>91,39</c:v>
                  </c:pt>
                  <c:pt idx="12">
                    <c:v>90,68</c:v>
                  </c:pt>
                  <c:pt idx="13">
                    <c:v>88,57</c:v>
                  </c:pt>
                  <c:pt idx="14">
                    <c:v>99,59</c:v>
                  </c:pt>
                  <c:pt idx="16">
                    <c:v>107,12</c:v>
                  </c:pt>
                  <c:pt idx="17">
                    <c:v>62,56</c:v>
                  </c:pt>
                  <c:pt idx="18">
                    <c:v>78,89</c:v>
                  </c:pt>
                  <c:pt idx="19">
                    <c:v>68,98</c:v>
                  </c:pt>
                  <c:pt idx="20">
                    <c:v>69,28</c:v>
                  </c:pt>
                  <c:pt idx="21">
                    <c:v>79,54</c:v>
                  </c:pt>
                  <c:pt idx="22">
                    <c:v>96,14</c:v>
                  </c:pt>
                  <c:pt idx="24">
                    <c:v>100,37</c:v>
                  </c:pt>
                  <c:pt idx="25">
                    <c:v>96,86</c:v>
                  </c:pt>
                  <c:pt idx="26">
                    <c:v>98,30</c:v>
                  </c:pt>
                  <c:pt idx="27">
                    <c:v>80,20</c:v>
                  </c:pt>
                  <c:pt idx="28">
                    <c:v>106,73</c:v>
                  </c:pt>
                  <c:pt idx="29">
                    <c:v>94,37</c:v>
                  </c:pt>
                  <c:pt idx="30">
                    <c:v>82,63</c:v>
                  </c:pt>
                  <c:pt idx="31">
                    <c:v>86,75</c:v>
                  </c:pt>
                  <c:pt idx="32">
                    <c:v>76,19</c:v>
                  </c:pt>
                </c:lvl>
                <c:lvl>
                  <c:pt idx="0">
                    <c:v>83,19</c:v>
                  </c:pt>
                  <c:pt idx="1">
                    <c:v>55,01</c:v>
                  </c:pt>
                  <c:pt idx="2">
                    <c:v>63,41</c:v>
                  </c:pt>
                  <c:pt idx="3">
                    <c:v>93,18</c:v>
                  </c:pt>
                  <c:pt idx="4">
                    <c:v>75,53</c:v>
                  </c:pt>
                  <c:pt idx="5">
                    <c:v>70,08</c:v>
                  </c:pt>
                  <c:pt idx="6">
                    <c:v>94,05</c:v>
                  </c:pt>
                  <c:pt idx="8">
                    <c:v>64,73</c:v>
                  </c:pt>
                  <c:pt idx="9">
                    <c:v>81,62</c:v>
                  </c:pt>
                  <c:pt idx="10">
                    <c:v>81,51</c:v>
                  </c:pt>
                  <c:pt idx="11">
                    <c:v>97,44</c:v>
                  </c:pt>
                  <c:pt idx="12">
                    <c:v>74,91</c:v>
                  </c:pt>
                  <c:pt idx="13">
                    <c:v>63,04</c:v>
                  </c:pt>
                  <c:pt idx="14">
                    <c:v>90,26</c:v>
                  </c:pt>
                  <c:pt idx="16">
                    <c:v>21,07</c:v>
                  </c:pt>
                  <c:pt idx="17">
                    <c:v>66,52</c:v>
                  </c:pt>
                  <c:pt idx="18">
                    <c:v>75,62</c:v>
                  </c:pt>
                  <c:pt idx="19">
                    <c:v>68,23</c:v>
                  </c:pt>
                  <c:pt idx="20">
                    <c:v>75,27</c:v>
                  </c:pt>
                  <c:pt idx="21">
                    <c:v>100,55</c:v>
                  </c:pt>
                  <c:pt idx="22">
                    <c:v>70,85</c:v>
                  </c:pt>
                  <c:pt idx="24">
                    <c:v>79,98</c:v>
                  </c:pt>
                  <c:pt idx="25">
                    <c:v>85,64</c:v>
                  </c:pt>
                  <c:pt idx="26">
                    <c:v>98,91</c:v>
                  </c:pt>
                  <c:pt idx="27">
                    <c:v>57,18</c:v>
                  </c:pt>
                  <c:pt idx="28">
                    <c:v>82,86</c:v>
                  </c:pt>
                  <c:pt idx="29">
                    <c:v>83,05</c:v>
                  </c:pt>
                  <c:pt idx="30">
                    <c:v>98,19</c:v>
                  </c:pt>
                  <c:pt idx="31">
                    <c:v>46,18</c:v>
                  </c:pt>
                  <c:pt idx="32">
                    <c:v>85,49</c:v>
                  </c:pt>
                </c:lvl>
                <c:lvl>
                  <c:pt idx="0">
                    <c:v>93,28</c:v>
                  </c:pt>
                  <c:pt idx="1">
                    <c:v>88,74</c:v>
                  </c:pt>
                  <c:pt idx="2">
                    <c:v>80,08</c:v>
                  </c:pt>
                  <c:pt idx="3">
                    <c:v>87,88</c:v>
                  </c:pt>
                  <c:pt idx="4">
                    <c:v>83,14</c:v>
                  </c:pt>
                  <c:pt idx="5">
                    <c:v>52,57</c:v>
                  </c:pt>
                  <c:pt idx="6">
                    <c:v>88,00</c:v>
                  </c:pt>
                  <c:pt idx="8">
                    <c:v>84,58</c:v>
                  </c:pt>
                  <c:pt idx="9">
                    <c:v>99,15</c:v>
                  </c:pt>
                  <c:pt idx="10">
                    <c:v>85,68</c:v>
                  </c:pt>
                  <c:pt idx="11">
                    <c:v>77,26</c:v>
                  </c:pt>
                  <c:pt idx="12">
                    <c:v>95,62</c:v>
                  </c:pt>
                  <c:pt idx="13">
                    <c:v>84,47</c:v>
                  </c:pt>
                  <c:pt idx="14">
                    <c:v>59,95</c:v>
                  </c:pt>
                  <c:pt idx="16">
                    <c:v>107,44</c:v>
                  </c:pt>
                  <c:pt idx="17">
                    <c:v>90,16</c:v>
                  </c:pt>
                  <c:pt idx="18">
                    <c:v>95,01</c:v>
                  </c:pt>
                  <c:pt idx="19">
                    <c:v>61,58</c:v>
                  </c:pt>
                  <c:pt idx="20">
                    <c:v>80,43</c:v>
                  </c:pt>
                  <c:pt idx="21">
                    <c:v>89,09</c:v>
                  </c:pt>
                  <c:pt idx="24">
                    <c:v>101,39</c:v>
                  </c:pt>
                  <c:pt idx="25">
                    <c:v>70,98</c:v>
                  </c:pt>
                  <c:pt idx="26">
                    <c:v>89,57</c:v>
                  </c:pt>
                  <c:pt idx="27">
                    <c:v>90,50</c:v>
                  </c:pt>
                  <c:pt idx="28">
                    <c:v>82,24</c:v>
                  </c:pt>
                  <c:pt idx="29">
                    <c:v>71,47</c:v>
                  </c:pt>
                  <c:pt idx="30">
                    <c:v>95,07</c:v>
                  </c:pt>
                  <c:pt idx="31">
                    <c:v>63,95</c:v>
                  </c:pt>
                  <c:pt idx="32">
                    <c:v>86,95</c:v>
                  </c:pt>
                </c:lvl>
                <c:lvl>
                  <c:pt idx="0">
                    <c:v>98,38</c:v>
                  </c:pt>
                  <c:pt idx="1">
                    <c:v>88,48</c:v>
                  </c:pt>
                  <c:pt idx="2">
                    <c:v>105,55</c:v>
                  </c:pt>
                  <c:pt idx="3">
                    <c:v>91,01</c:v>
                  </c:pt>
                  <c:pt idx="4">
                    <c:v>87,86</c:v>
                  </c:pt>
                  <c:pt idx="5">
                    <c:v>76,81</c:v>
                  </c:pt>
                  <c:pt idx="6">
                    <c:v>92,60</c:v>
                  </c:pt>
                  <c:pt idx="15">
                    <c:v>PM</c:v>
                  </c:pt>
                  <c:pt idx="19">
                    <c:v>84,94</c:v>
                  </c:pt>
                  <c:pt idx="34">
                    <c:v>PM</c:v>
                  </c:pt>
                </c:lvl>
                <c:lvl>
                  <c:pt idx="0">
                    <c:v>65,41</c:v>
                  </c:pt>
                  <c:pt idx="1">
                    <c:v>71,25</c:v>
                  </c:pt>
                  <c:pt idx="2">
                    <c:v>78,41</c:v>
                  </c:pt>
                  <c:pt idx="3">
                    <c:v>57,37</c:v>
                  </c:pt>
                  <c:pt idx="4">
                    <c:v>77,24</c:v>
                  </c:pt>
                  <c:pt idx="5">
                    <c:v>70,40</c:v>
                  </c:pt>
                  <c:pt idx="6">
                    <c:v>73,43</c:v>
                  </c:pt>
                  <c:pt idx="8">
                    <c:v>43,20</c:v>
                  </c:pt>
                  <c:pt idx="9">
                    <c:v>75,78</c:v>
                  </c:pt>
                  <c:pt idx="10">
                    <c:v>51,72</c:v>
                  </c:pt>
                  <c:pt idx="11">
                    <c:v>89,51</c:v>
                  </c:pt>
                  <c:pt idx="12">
                    <c:v>80,31</c:v>
                  </c:pt>
                  <c:pt idx="13">
                    <c:v>83,04</c:v>
                  </c:pt>
                  <c:pt idx="14">
                    <c:v>79,31</c:v>
                  </c:pt>
                  <c:pt idx="16">
                    <c:v>95,94</c:v>
                  </c:pt>
                  <c:pt idx="17">
                    <c:v>95,65</c:v>
                  </c:pt>
                  <c:pt idx="18">
                    <c:v>67,36</c:v>
                  </c:pt>
                  <c:pt idx="20">
                    <c:v>80,21</c:v>
                  </c:pt>
                  <c:pt idx="21">
                    <c:v>84,14</c:v>
                  </c:pt>
                  <c:pt idx="22">
                    <c:v>84,32</c:v>
                  </c:pt>
                  <c:pt idx="24">
                    <c:v>96,15</c:v>
                  </c:pt>
                  <c:pt idx="25">
                    <c:v>86,23</c:v>
                  </c:pt>
                  <c:pt idx="26">
                    <c:v>79,73</c:v>
                  </c:pt>
                  <c:pt idx="27">
                    <c:v>72,26</c:v>
                  </c:pt>
                  <c:pt idx="28">
                    <c:v>85,67</c:v>
                  </c:pt>
                  <c:pt idx="29">
                    <c:v>97,10</c:v>
                  </c:pt>
                  <c:pt idx="30">
                    <c:v>86,95</c:v>
                  </c:pt>
                  <c:pt idx="31">
                    <c:v>62,13</c:v>
                  </c:pt>
                  <c:pt idx="32">
                    <c:v>74,15</c:v>
                  </c:pt>
                </c:lvl>
                <c:lvl>
                  <c:pt idx="0">
                    <c:v>96,87</c:v>
                  </c:pt>
                  <c:pt idx="1">
                    <c:v>80,99</c:v>
                  </c:pt>
                  <c:pt idx="2">
                    <c:v>82,57</c:v>
                  </c:pt>
                  <c:pt idx="3">
                    <c:v>65,64</c:v>
                  </c:pt>
                  <c:pt idx="4">
                    <c:v>51,43</c:v>
                  </c:pt>
                  <c:pt idx="5">
                    <c:v>56,40</c:v>
                  </c:pt>
                  <c:pt idx="6">
                    <c:v>81,85</c:v>
                  </c:pt>
                  <c:pt idx="8">
                    <c:v>58,57</c:v>
                  </c:pt>
                  <c:pt idx="9">
                    <c:v>69,01</c:v>
                  </c:pt>
                  <c:pt idx="10">
                    <c:v>64,42</c:v>
                  </c:pt>
                  <c:pt idx="11">
                    <c:v>107,46</c:v>
                  </c:pt>
                  <c:pt idx="12">
                    <c:v>90,81</c:v>
                  </c:pt>
                  <c:pt idx="13">
                    <c:v>70,14</c:v>
                  </c:pt>
                  <c:pt idx="14">
                    <c:v>70,46</c:v>
                  </c:pt>
                  <c:pt idx="16">
                    <c:v>83,14</c:v>
                  </c:pt>
                  <c:pt idx="17">
                    <c:v>94,84</c:v>
                  </c:pt>
                  <c:pt idx="18">
                    <c:v>55,34</c:v>
                  </c:pt>
                  <c:pt idx="19">
                    <c:v>75,03</c:v>
                  </c:pt>
                  <c:pt idx="20">
                    <c:v>83,71</c:v>
                  </c:pt>
                  <c:pt idx="21">
                    <c:v>78,81</c:v>
                  </c:pt>
                  <c:pt idx="22">
                    <c:v>63,13</c:v>
                  </c:pt>
                  <c:pt idx="24">
                    <c:v>82,15</c:v>
                  </c:pt>
                  <c:pt idx="25">
                    <c:v>95,85</c:v>
                  </c:pt>
                  <c:pt idx="26">
                    <c:v>71,07</c:v>
                  </c:pt>
                  <c:pt idx="27">
                    <c:v>72,56</c:v>
                  </c:pt>
                  <c:pt idx="28">
                    <c:v>90,28</c:v>
                  </c:pt>
                  <c:pt idx="29">
                    <c:v>100,99</c:v>
                  </c:pt>
                  <c:pt idx="30">
                    <c:v>68,52</c:v>
                  </c:pt>
                  <c:pt idx="31">
                    <c:v>71,39</c:v>
                  </c:pt>
                  <c:pt idx="32">
                    <c:v>76,90</c:v>
                  </c:pt>
                </c:lvl>
                <c:lvl>
                  <c:pt idx="0">
                    <c:v>64,82</c:v>
                  </c:pt>
                  <c:pt idx="1">
                    <c:v>91,72</c:v>
                  </c:pt>
                  <c:pt idx="2">
                    <c:v>74,92</c:v>
                  </c:pt>
                  <c:pt idx="3">
                    <c:v>86,05</c:v>
                  </c:pt>
                  <c:pt idx="4">
                    <c:v>68,64</c:v>
                  </c:pt>
                  <c:pt idx="5">
                    <c:v>66,38</c:v>
                  </c:pt>
                  <c:pt idx="6">
                    <c:v>91,48</c:v>
                  </c:pt>
                  <c:pt idx="8">
                    <c:v>86,70</c:v>
                  </c:pt>
                  <c:pt idx="9">
                    <c:v>85,41</c:v>
                  </c:pt>
                  <c:pt idx="10">
                    <c:v>73,91</c:v>
                  </c:pt>
                  <c:pt idx="11">
                    <c:v>55,03</c:v>
                  </c:pt>
                  <c:pt idx="12">
                    <c:v>102,40</c:v>
                  </c:pt>
                  <c:pt idx="13">
                    <c:v>80,63</c:v>
                  </c:pt>
                  <c:pt idx="14">
                    <c:v>101,05</c:v>
                  </c:pt>
                  <c:pt idx="16">
                    <c:v>102,53</c:v>
                  </c:pt>
                  <c:pt idx="17">
                    <c:v>71,94</c:v>
                  </c:pt>
                  <c:pt idx="18">
                    <c:v>92,71</c:v>
                  </c:pt>
                  <c:pt idx="19">
                    <c:v>73,72</c:v>
                  </c:pt>
                  <c:pt idx="20">
                    <c:v>92,64</c:v>
                  </c:pt>
                  <c:pt idx="21">
                    <c:v>83,17</c:v>
                  </c:pt>
                  <c:pt idx="22">
                    <c:v>85,26</c:v>
                  </c:pt>
                  <c:pt idx="24">
                    <c:v>101,99</c:v>
                  </c:pt>
                  <c:pt idx="25">
                    <c:v>95,32</c:v>
                  </c:pt>
                  <c:pt idx="26">
                    <c:v>102,19</c:v>
                  </c:pt>
                  <c:pt idx="27">
                    <c:v>69,80</c:v>
                  </c:pt>
                  <c:pt idx="28">
                    <c:v>106,37</c:v>
                  </c:pt>
                  <c:pt idx="29">
                    <c:v>86,05</c:v>
                  </c:pt>
                  <c:pt idx="30">
                    <c:v>97,07</c:v>
                  </c:pt>
                  <c:pt idx="31">
                    <c:v>78,74</c:v>
                  </c:pt>
                  <c:pt idx="32">
                    <c:v>93,73</c:v>
                  </c:pt>
                </c:lvl>
                <c:lvl>
                  <c:pt idx="0">
                    <c:v>84,02</c:v>
                  </c:pt>
                  <c:pt idx="1">
                    <c:v>80,44</c:v>
                  </c:pt>
                  <c:pt idx="2">
                    <c:v>77,28</c:v>
                  </c:pt>
                  <c:pt idx="3">
                    <c:v>74,48</c:v>
                  </c:pt>
                  <c:pt idx="4">
                    <c:v>54,82</c:v>
                  </c:pt>
                  <c:pt idx="5">
                    <c:v>76,25</c:v>
                  </c:pt>
                  <c:pt idx="6">
                    <c:v>72,30</c:v>
                  </c:pt>
                  <c:pt idx="8">
                    <c:v>93,65</c:v>
                  </c:pt>
                  <c:pt idx="9">
                    <c:v>72,51</c:v>
                  </c:pt>
                  <c:pt idx="10">
                    <c:v>73,49</c:v>
                  </c:pt>
                  <c:pt idx="11">
                    <c:v>88,90</c:v>
                  </c:pt>
                  <c:pt idx="12">
                    <c:v>85,43</c:v>
                  </c:pt>
                  <c:pt idx="13">
                    <c:v>80,09</c:v>
                  </c:pt>
                  <c:pt idx="14">
                    <c:v>93,75</c:v>
                  </c:pt>
                  <c:pt idx="16">
                    <c:v>83,40</c:v>
                  </c:pt>
                  <c:pt idx="17">
                    <c:v>127,41</c:v>
                  </c:pt>
                  <c:pt idx="18">
                    <c:v>79,18</c:v>
                  </c:pt>
                  <c:pt idx="19">
                    <c:v>55,27</c:v>
                  </c:pt>
                  <c:pt idx="20">
                    <c:v>85,74</c:v>
                  </c:pt>
                  <c:pt idx="21">
                    <c:v>85,29</c:v>
                  </c:pt>
                  <c:pt idx="22">
                    <c:v>78,90</c:v>
                  </c:pt>
                  <c:pt idx="24">
                    <c:v>78,93</c:v>
                  </c:pt>
                  <c:pt idx="25">
                    <c:v>96,46</c:v>
                  </c:pt>
                  <c:pt idx="26">
                    <c:v>74,97</c:v>
                  </c:pt>
                  <c:pt idx="27">
                    <c:v>90,19</c:v>
                  </c:pt>
                  <c:pt idx="28">
                    <c:v>79,06</c:v>
                  </c:pt>
                  <c:pt idx="29">
                    <c:v>87,56</c:v>
                  </c:pt>
                  <c:pt idx="30">
                    <c:v>75,25</c:v>
                  </c:pt>
                  <c:pt idx="31">
                    <c:v>67,22</c:v>
                  </c:pt>
                  <c:pt idx="32">
                    <c:v>80,16</c:v>
                  </c:pt>
                </c:lvl>
                <c:lvl>
                  <c:pt idx="0">
                    <c:v>59,98</c:v>
                  </c:pt>
                  <c:pt idx="1">
                    <c:v>83,64</c:v>
                  </c:pt>
                  <c:pt idx="2">
                    <c:v>79,14</c:v>
                  </c:pt>
                  <c:pt idx="3">
                    <c:v>75,29</c:v>
                  </c:pt>
                  <c:pt idx="4">
                    <c:v>66,88</c:v>
                  </c:pt>
                  <c:pt idx="5">
                    <c:v>62,66</c:v>
                  </c:pt>
                  <c:pt idx="6">
                    <c:v>101,81</c:v>
                  </c:pt>
                  <c:pt idx="8">
                    <c:v>69,43</c:v>
                  </c:pt>
                  <c:pt idx="9">
                    <c:v>52,42</c:v>
                  </c:pt>
                  <c:pt idx="10">
                    <c:v>73,67</c:v>
                  </c:pt>
                  <c:pt idx="11">
                    <c:v>104,57</c:v>
                  </c:pt>
                  <c:pt idx="12">
                    <c:v>95,40</c:v>
                  </c:pt>
                  <c:pt idx="13">
                    <c:v>80,31</c:v>
                  </c:pt>
                  <c:pt idx="14">
                    <c:v>85,40</c:v>
                  </c:pt>
                  <c:pt idx="16">
                    <c:v>84,14</c:v>
                  </c:pt>
                  <c:pt idx="17">
                    <c:v>123,28</c:v>
                  </c:pt>
                  <c:pt idx="18">
                    <c:v>63,88</c:v>
                  </c:pt>
                  <c:pt idx="19">
                    <c:v>83,67</c:v>
                  </c:pt>
                  <c:pt idx="20">
                    <c:v>95,24</c:v>
                  </c:pt>
                  <c:pt idx="21">
                    <c:v>80,63</c:v>
                  </c:pt>
                  <c:pt idx="22">
                    <c:v>93,77</c:v>
                  </c:pt>
                  <c:pt idx="24">
                    <c:v>88,74</c:v>
                  </c:pt>
                  <c:pt idx="25">
                    <c:v>67,15</c:v>
                  </c:pt>
                  <c:pt idx="26">
                    <c:v>92,09</c:v>
                  </c:pt>
                  <c:pt idx="27">
                    <c:v>82,55</c:v>
                  </c:pt>
                  <c:pt idx="28">
                    <c:v>96,43</c:v>
                  </c:pt>
                  <c:pt idx="29">
                    <c:v>97,90</c:v>
                  </c:pt>
                  <c:pt idx="30">
                    <c:v>79,63</c:v>
                  </c:pt>
                  <c:pt idx="31">
                    <c:v>78,66</c:v>
                  </c:pt>
                  <c:pt idx="32">
                    <c:v>88,75</c:v>
                  </c:pt>
                </c:lvl>
                <c:lvl>
                  <c:pt idx="0">
                    <c:v>89,79</c:v>
                  </c:pt>
                  <c:pt idx="1">
                    <c:v>71,87</c:v>
                  </c:pt>
                  <c:pt idx="2">
                    <c:v>67,88</c:v>
                  </c:pt>
                  <c:pt idx="3">
                    <c:v>87,49</c:v>
                  </c:pt>
                  <c:pt idx="4">
                    <c:v>80,51</c:v>
                  </c:pt>
                  <c:pt idx="5">
                    <c:v>67,94</c:v>
                  </c:pt>
                  <c:pt idx="6">
                    <c:v>85,45</c:v>
                  </c:pt>
                  <c:pt idx="8">
                    <c:v>49,71</c:v>
                  </c:pt>
                  <c:pt idx="9">
                    <c:v>86,55</c:v>
                  </c:pt>
                  <c:pt idx="10">
                    <c:v>80,24</c:v>
                  </c:pt>
                  <c:pt idx="11">
                    <c:v>93,32</c:v>
                  </c:pt>
                  <c:pt idx="12">
                    <c:v>65,19</c:v>
                  </c:pt>
                  <c:pt idx="13">
                    <c:v>77,26</c:v>
                  </c:pt>
                  <c:pt idx="14">
                    <c:v>106,68</c:v>
                  </c:pt>
                  <c:pt idx="17">
                    <c:v>119,31</c:v>
                  </c:pt>
                  <c:pt idx="18">
                    <c:v>100,30</c:v>
                  </c:pt>
                  <c:pt idx="19">
                    <c:v>78,54</c:v>
                  </c:pt>
                  <c:pt idx="20">
                    <c:v>75,04</c:v>
                  </c:pt>
                  <c:pt idx="21">
                    <c:v>87,06</c:v>
                  </c:pt>
                  <c:pt idx="22">
                    <c:v>66,52</c:v>
                  </c:pt>
                  <c:pt idx="24">
                    <c:v>78,53</c:v>
                  </c:pt>
                  <c:pt idx="25">
                    <c:v>118,42</c:v>
                  </c:pt>
                  <c:pt idx="26">
                    <c:v>67,16</c:v>
                  </c:pt>
                  <c:pt idx="28">
                    <c:v>84,27</c:v>
                  </c:pt>
                  <c:pt idx="29">
                    <c:v>73,10</c:v>
                  </c:pt>
                  <c:pt idx="30">
                    <c:v>91,28</c:v>
                  </c:pt>
                  <c:pt idx="31">
                    <c:v>68,97</c:v>
                  </c:pt>
                  <c:pt idx="32">
                    <c:v>77,88</c:v>
                  </c:pt>
                </c:lvl>
                <c:lvl>
                  <c:pt idx="0">
                    <c:v>60,45</c:v>
                  </c:pt>
                  <c:pt idx="1">
                    <c:v>93,51</c:v>
                  </c:pt>
                  <c:pt idx="2">
                    <c:v>61,97</c:v>
                  </c:pt>
                  <c:pt idx="3">
                    <c:v>83,16</c:v>
                  </c:pt>
                  <c:pt idx="4">
                    <c:v>66,74</c:v>
                  </c:pt>
                  <c:pt idx="5">
                    <c:v>72,58</c:v>
                  </c:pt>
                  <c:pt idx="6">
                    <c:v>83,46</c:v>
                  </c:pt>
                  <c:pt idx="8">
                    <c:v>47,22</c:v>
                  </c:pt>
                  <c:pt idx="9">
                    <c:v>70,81</c:v>
                  </c:pt>
                  <c:pt idx="10">
                    <c:v>66,16</c:v>
                  </c:pt>
                  <c:pt idx="11">
                    <c:v>81,52</c:v>
                  </c:pt>
                  <c:pt idx="12">
                    <c:v>80,55</c:v>
                  </c:pt>
                  <c:pt idx="13">
                    <c:v>63,90</c:v>
                  </c:pt>
                  <c:pt idx="14">
                    <c:v>83,92</c:v>
                  </c:pt>
                  <c:pt idx="16">
                    <c:v>101,68</c:v>
                  </c:pt>
                  <c:pt idx="17">
                    <c:v>91,98</c:v>
                  </c:pt>
                  <c:pt idx="18">
                    <c:v>52,53</c:v>
                  </c:pt>
                  <c:pt idx="19">
                    <c:v>89,14</c:v>
                  </c:pt>
                  <c:pt idx="20">
                    <c:v>92,64</c:v>
                  </c:pt>
                  <c:pt idx="21">
                    <c:v>49,41</c:v>
                  </c:pt>
                  <c:pt idx="34">
                    <c:v>PM</c:v>
                  </c:pt>
                </c:lvl>
                <c:lvl>
                  <c:pt idx="0">
                    <c:v>104,65</c:v>
                  </c:pt>
                  <c:pt idx="1">
                    <c:v>97,57</c:v>
                  </c:pt>
                  <c:pt idx="2">
                    <c:v>89,55</c:v>
                  </c:pt>
                  <c:pt idx="3">
                    <c:v>103,32</c:v>
                  </c:pt>
                  <c:pt idx="4">
                    <c:v>77,33</c:v>
                  </c:pt>
                  <c:pt idx="5">
                    <c:v>89,49</c:v>
                  </c:pt>
                  <c:pt idx="6">
                    <c:v>105,43</c:v>
                  </c:pt>
                  <c:pt idx="8">
                    <c:v>88,21</c:v>
                  </c:pt>
                  <c:pt idx="9">
                    <c:v>114,38</c:v>
                  </c:pt>
                  <c:pt idx="10">
                    <c:v>55,68</c:v>
                  </c:pt>
                  <c:pt idx="11">
                    <c:v>124,85</c:v>
                  </c:pt>
                  <c:pt idx="14">
                    <c:v>111,90</c:v>
                  </c:pt>
                  <c:pt idx="16">
                    <c:v>90,41</c:v>
                  </c:pt>
                  <c:pt idx="17">
                    <c:v>32,11</c:v>
                  </c:pt>
                  <c:pt idx="18">
                    <c:v>72,49</c:v>
                  </c:pt>
                  <c:pt idx="20">
                    <c:v>179,98</c:v>
                  </c:pt>
                  <c:pt idx="21">
                    <c:v>99,97</c:v>
                  </c:pt>
                  <c:pt idx="22">
                    <c:v>84,79</c:v>
                  </c:pt>
                  <c:pt idx="24">
                    <c:v>64,33</c:v>
                  </c:pt>
                  <c:pt idx="25">
                    <c:v>91,99</c:v>
                  </c:pt>
                  <c:pt idx="26">
                    <c:v>107,22</c:v>
                  </c:pt>
                  <c:pt idx="27">
                    <c:v>27,60</c:v>
                  </c:pt>
                  <c:pt idx="28">
                    <c:v>91,75</c:v>
                  </c:pt>
                  <c:pt idx="29">
                    <c:v>87,55</c:v>
                  </c:pt>
                  <c:pt idx="30">
                    <c:v>117,90</c:v>
                  </c:pt>
                  <c:pt idx="31">
                    <c:v>42,91</c:v>
                  </c:pt>
                  <c:pt idx="32">
                    <c:v>113,92</c:v>
                  </c:pt>
                </c:lvl>
                <c:lvl>
                  <c:pt idx="0">
                    <c:v>65,38</c:v>
                  </c:pt>
                  <c:pt idx="1">
                    <c:v>106,02</c:v>
                  </c:pt>
                  <c:pt idx="2">
                    <c:v>78,31</c:v>
                  </c:pt>
                  <c:pt idx="3">
                    <c:v>60,92</c:v>
                  </c:pt>
                  <c:pt idx="4">
                    <c:v>75,80</c:v>
                  </c:pt>
                  <c:pt idx="5">
                    <c:v>57,63</c:v>
                  </c:pt>
                  <c:pt idx="6">
                    <c:v>133,01</c:v>
                  </c:pt>
                  <c:pt idx="8">
                    <c:v>61,28</c:v>
                  </c:pt>
                  <c:pt idx="9">
                    <c:v>58,57</c:v>
                  </c:pt>
                  <c:pt idx="10">
                    <c:v>76,40</c:v>
                  </c:pt>
                  <c:pt idx="11">
                    <c:v>100,88</c:v>
                  </c:pt>
                  <c:pt idx="12">
                    <c:v>63,33</c:v>
                  </c:pt>
                  <c:pt idx="13">
                    <c:v>95,33</c:v>
                  </c:pt>
                  <c:pt idx="14">
                    <c:v>88,49</c:v>
                  </c:pt>
                  <c:pt idx="16">
                    <c:v>80,07</c:v>
                  </c:pt>
                  <c:pt idx="18">
                    <c:v>132,15</c:v>
                  </c:pt>
                  <c:pt idx="19">
                    <c:v>78,85</c:v>
                  </c:pt>
                  <c:pt idx="20">
                    <c:v>100,83</c:v>
                  </c:pt>
                  <c:pt idx="21">
                    <c:v>80,37</c:v>
                  </c:pt>
                  <c:pt idx="22">
                    <c:v>98,10</c:v>
                  </c:pt>
                  <c:pt idx="24">
                    <c:v>103,88</c:v>
                  </c:pt>
                  <c:pt idx="25">
                    <c:v>120,42</c:v>
                  </c:pt>
                  <c:pt idx="26">
                    <c:v>80,33</c:v>
                  </c:pt>
                  <c:pt idx="27">
                    <c:v>90,18</c:v>
                  </c:pt>
                  <c:pt idx="28">
                    <c:v>90,45</c:v>
                  </c:pt>
                  <c:pt idx="29">
                    <c:v>99,45</c:v>
                  </c:pt>
                  <c:pt idx="30">
                    <c:v>85,79</c:v>
                  </c:pt>
                  <c:pt idx="31">
                    <c:v>62,55</c:v>
                  </c:pt>
                  <c:pt idx="32">
                    <c:v>88,16</c:v>
                  </c:pt>
                </c:lvl>
                <c:lvl>
                  <c:pt idx="0">
                    <c:v>74,59</c:v>
                  </c:pt>
                  <c:pt idx="1">
                    <c:v>76,94</c:v>
                  </c:pt>
                  <c:pt idx="2">
                    <c:v>74,04</c:v>
                  </c:pt>
                  <c:pt idx="4">
                    <c:v>54,52</c:v>
                  </c:pt>
                  <c:pt idx="5">
                    <c:v>53,48</c:v>
                  </c:pt>
                  <c:pt idx="6">
                    <c:v>82,91</c:v>
                  </c:pt>
                  <c:pt idx="9">
                    <c:v>120,44</c:v>
                  </c:pt>
                  <c:pt idx="10">
                    <c:v>76,61</c:v>
                  </c:pt>
                  <c:pt idx="11">
                    <c:v>84,83</c:v>
                  </c:pt>
                  <c:pt idx="12">
                    <c:v>76,93</c:v>
                  </c:pt>
                  <c:pt idx="13">
                    <c:v>73,82</c:v>
                  </c:pt>
                  <c:pt idx="14">
                    <c:v>75,78</c:v>
                  </c:pt>
                  <c:pt idx="16">
                    <c:v>100,56</c:v>
                  </c:pt>
                  <c:pt idx="17">
                    <c:v>70,56</c:v>
                  </c:pt>
                  <c:pt idx="18">
                    <c:v>78,24</c:v>
                  </c:pt>
                  <c:pt idx="19">
                    <c:v>77,61</c:v>
                  </c:pt>
                  <c:pt idx="20">
                    <c:v>88,67</c:v>
                  </c:pt>
                  <c:pt idx="21">
                    <c:v>91,02</c:v>
                  </c:pt>
                  <c:pt idx="22">
                    <c:v>106,43</c:v>
                  </c:pt>
                  <c:pt idx="24">
                    <c:v>80,19</c:v>
                  </c:pt>
                  <c:pt idx="25">
                    <c:v>84,61</c:v>
                  </c:pt>
                  <c:pt idx="26">
                    <c:v>83,22</c:v>
                  </c:pt>
                  <c:pt idx="27">
                    <c:v>81,53</c:v>
                  </c:pt>
                  <c:pt idx="28">
                    <c:v>75,89</c:v>
                  </c:pt>
                  <c:pt idx="29">
                    <c:v>77,98</c:v>
                  </c:pt>
                  <c:pt idx="30">
                    <c:v>72,39</c:v>
                  </c:pt>
                  <c:pt idx="31">
                    <c:v>57,88</c:v>
                  </c:pt>
                  <c:pt idx="32">
                    <c:v>80,70</c:v>
                  </c:pt>
                </c:lvl>
                <c:lvl>
                  <c:pt idx="0">
                    <c:v>88,44</c:v>
                  </c:pt>
                  <c:pt idx="1">
                    <c:v>91,28</c:v>
                  </c:pt>
                  <c:pt idx="2">
                    <c:v>91,94</c:v>
                  </c:pt>
                  <c:pt idx="3">
                    <c:v>93,60</c:v>
                  </c:pt>
                  <c:pt idx="4">
                    <c:v>61,64</c:v>
                  </c:pt>
                  <c:pt idx="6">
                    <c:v>94,64</c:v>
                  </c:pt>
                  <c:pt idx="8">
                    <c:v>67,23</c:v>
                  </c:pt>
                  <c:pt idx="9">
                    <c:v>94,09</c:v>
                  </c:pt>
                  <c:pt idx="10">
                    <c:v>77,74</c:v>
                  </c:pt>
                  <c:pt idx="11">
                    <c:v>91,29</c:v>
                  </c:pt>
                  <c:pt idx="12">
                    <c:v>102,72</c:v>
                  </c:pt>
                  <c:pt idx="14">
                    <c:v>87,74</c:v>
                  </c:pt>
                  <c:pt idx="16">
                    <c:v>108,17</c:v>
                  </c:pt>
                  <c:pt idx="18">
                    <c:v>127,84</c:v>
                  </c:pt>
                  <c:pt idx="19">
                    <c:v>91,63</c:v>
                  </c:pt>
                  <c:pt idx="20">
                    <c:v>82,33</c:v>
                  </c:pt>
                  <c:pt idx="21">
                    <c:v>99,79</c:v>
                  </c:pt>
                  <c:pt idx="22">
                    <c:v>85,30</c:v>
                  </c:pt>
                  <c:pt idx="24">
                    <c:v>100,82</c:v>
                  </c:pt>
                  <c:pt idx="25">
                    <c:v>79,58</c:v>
                  </c:pt>
                  <c:pt idx="26">
                    <c:v>78,67</c:v>
                  </c:pt>
                  <c:pt idx="27">
                    <c:v>91,10</c:v>
                  </c:pt>
                  <c:pt idx="28">
                    <c:v>95,97</c:v>
                  </c:pt>
                  <c:pt idx="29">
                    <c:v>95,97</c:v>
                  </c:pt>
                  <c:pt idx="30">
                    <c:v>101,31</c:v>
                  </c:pt>
                  <c:pt idx="31">
                    <c:v>67,10</c:v>
                  </c:pt>
                  <c:pt idx="32">
                    <c:v>73,94</c:v>
                  </c:pt>
                  <c:pt idx="36">
                    <c:v> 92 Unit</c:v>
                  </c:pt>
                </c:lvl>
                <c:lvl>
                  <c:pt idx="0">
                    <c:v>57,60</c:v>
                  </c:pt>
                  <c:pt idx="1">
                    <c:v>81,11</c:v>
                  </c:pt>
                  <c:pt idx="2">
                    <c:v>62,92</c:v>
                  </c:pt>
                  <c:pt idx="3">
                    <c:v>81,36</c:v>
                  </c:pt>
                  <c:pt idx="4">
                    <c:v>82,47</c:v>
                  </c:pt>
                  <c:pt idx="5">
                    <c:v>75,78</c:v>
                  </c:pt>
                  <c:pt idx="6">
                    <c:v>100,60</c:v>
                  </c:pt>
                  <c:pt idx="8">
                    <c:v>88,15</c:v>
                  </c:pt>
                  <c:pt idx="9">
                    <c:v>67,51</c:v>
                  </c:pt>
                  <c:pt idx="10">
                    <c:v>81,38</c:v>
                  </c:pt>
                  <c:pt idx="11">
                    <c:v>123,11</c:v>
                  </c:pt>
                  <c:pt idx="12">
                    <c:v>93,16</c:v>
                  </c:pt>
                  <c:pt idx="13">
                    <c:v>83,44</c:v>
                  </c:pt>
                  <c:pt idx="14">
                    <c:v>66,41</c:v>
                  </c:pt>
                  <c:pt idx="16">
                    <c:v>86,28</c:v>
                  </c:pt>
                  <c:pt idx="17">
                    <c:v>102,25</c:v>
                  </c:pt>
                  <c:pt idx="18">
                    <c:v>71,34</c:v>
                  </c:pt>
                  <c:pt idx="19">
                    <c:v>70,59</c:v>
                  </c:pt>
                  <c:pt idx="20">
                    <c:v>89,22</c:v>
                  </c:pt>
                  <c:pt idx="21">
                    <c:v>66,20</c:v>
                  </c:pt>
                  <c:pt idx="22">
                    <c:v>70,79</c:v>
                  </c:pt>
                  <c:pt idx="24">
                    <c:v>78,27</c:v>
                  </c:pt>
                  <c:pt idx="25">
                    <c:v>89,01</c:v>
                  </c:pt>
                  <c:pt idx="26">
                    <c:v>86,61</c:v>
                  </c:pt>
                  <c:pt idx="27">
                    <c:v>76,98</c:v>
                  </c:pt>
                  <c:pt idx="28">
                    <c:v>79,52</c:v>
                  </c:pt>
                  <c:pt idx="29">
                    <c:v>95,27</c:v>
                  </c:pt>
                  <c:pt idx="30">
                    <c:v>82,10</c:v>
                  </c:pt>
                  <c:pt idx="31">
                    <c:v>85,14</c:v>
                  </c:pt>
                  <c:pt idx="32">
                    <c:v>65,10</c:v>
                  </c:pt>
                  <c:pt idx="36">
                    <c:v>Total HT utk OPS</c:v>
                  </c:pt>
                </c:lvl>
                <c:lvl>
                  <c:pt idx="0">
                    <c:v>99,58</c:v>
                  </c:pt>
                  <c:pt idx="1">
                    <c:v>90,09</c:v>
                  </c:pt>
                  <c:pt idx="2">
                    <c:v>98,19</c:v>
                  </c:pt>
                  <c:pt idx="3">
                    <c:v>55,97</c:v>
                  </c:pt>
                  <c:pt idx="4">
                    <c:v>76,98</c:v>
                  </c:pt>
                  <c:pt idx="5">
                    <c:v>78,96</c:v>
                  </c:pt>
                  <c:pt idx="6">
                    <c:v>106,11</c:v>
                  </c:pt>
                  <c:pt idx="10">
                    <c:v>110,37</c:v>
                  </c:pt>
                  <c:pt idx="11">
                    <c:v>109,73</c:v>
                  </c:pt>
                  <c:pt idx="12">
                    <c:v>89,31</c:v>
                  </c:pt>
                  <c:pt idx="13">
                    <c:v>69,14</c:v>
                  </c:pt>
                  <c:pt idx="14">
                    <c:v>83,31</c:v>
                  </c:pt>
                  <c:pt idx="16">
                    <c:v>101,08</c:v>
                  </c:pt>
                  <c:pt idx="17">
                    <c:v>96,73</c:v>
                  </c:pt>
                  <c:pt idx="18">
                    <c:v>96,43</c:v>
                  </c:pt>
                  <c:pt idx="19">
                    <c:v>92,85</c:v>
                  </c:pt>
                  <c:pt idx="20">
                    <c:v>93,72</c:v>
                  </c:pt>
                  <c:pt idx="21">
                    <c:v>99,19</c:v>
                  </c:pt>
                  <c:pt idx="22">
                    <c:v>84,05</c:v>
                  </c:pt>
                  <c:pt idx="24">
                    <c:v>101,55</c:v>
                  </c:pt>
                  <c:pt idx="25">
                    <c:v>105,54</c:v>
                  </c:pt>
                  <c:pt idx="26">
                    <c:v>97,02</c:v>
                  </c:pt>
                  <c:pt idx="27">
                    <c:v>102,30</c:v>
                  </c:pt>
                  <c:pt idx="28">
                    <c:v>90,48</c:v>
                  </c:pt>
                  <c:pt idx="29">
                    <c:v>92,22</c:v>
                  </c:pt>
                  <c:pt idx="30">
                    <c:v>103,79</c:v>
                  </c:pt>
                  <c:pt idx="31">
                    <c:v>63,36</c:v>
                  </c:pt>
                  <c:pt idx="32">
                    <c:v>89,92</c:v>
                  </c:pt>
                </c:lvl>
                <c:lvl>
                  <c:pt idx="0">
                    <c:v>73,66</c:v>
                  </c:pt>
                  <c:pt idx="1">
                    <c:v>56,95</c:v>
                  </c:pt>
                  <c:pt idx="2">
                    <c:v>57,20</c:v>
                  </c:pt>
                  <c:pt idx="3">
                    <c:v>63,32</c:v>
                  </c:pt>
                  <c:pt idx="4">
                    <c:v>75,76</c:v>
                  </c:pt>
                  <c:pt idx="5">
                    <c:v>93,19</c:v>
                  </c:pt>
                  <c:pt idx="6">
                    <c:v>94,10</c:v>
                  </c:pt>
                  <c:pt idx="8">
                    <c:v>45,77</c:v>
                  </c:pt>
                  <c:pt idx="9">
                    <c:v>90,19</c:v>
                  </c:pt>
                  <c:pt idx="10">
                    <c:v>88,84</c:v>
                  </c:pt>
                  <c:pt idx="11">
                    <c:v>80,47</c:v>
                  </c:pt>
                  <c:pt idx="12">
                    <c:v>78,52</c:v>
                  </c:pt>
                  <c:pt idx="13">
                    <c:v>69,41</c:v>
                  </c:pt>
                  <c:pt idx="14">
                    <c:v>75,45</c:v>
                  </c:pt>
                  <c:pt idx="16">
                    <c:v>88,27</c:v>
                  </c:pt>
                  <c:pt idx="17">
                    <c:v>96,61</c:v>
                  </c:pt>
                  <c:pt idx="19">
                    <c:v>93,55</c:v>
                  </c:pt>
                  <c:pt idx="20">
                    <c:v>86,20</c:v>
                  </c:pt>
                  <c:pt idx="21">
                    <c:v>68,93</c:v>
                  </c:pt>
                  <c:pt idx="22">
                    <c:v>99,04</c:v>
                  </c:pt>
                  <c:pt idx="24">
                    <c:v>100,15</c:v>
                  </c:pt>
                  <c:pt idx="25">
                    <c:v>103,81</c:v>
                  </c:pt>
                  <c:pt idx="26">
                    <c:v>80,74</c:v>
                  </c:pt>
                  <c:pt idx="27">
                    <c:v>76,73</c:v>
                  </c:pt>
                  <c:pt idx="28">
                    <c:v>89,65</c:v>
                  </c:pt>
                  <c:pt idx="29">
                    <c:v>89,08</c:v>
                  </c:pt>
                  <c:pt idx="30">
                    <c:v>105,83</c:v>
                  </c:pt>
                  <c:pt idx="31">
                    <c:v>83,11</c:v>
                  </c:pt>
                  <c:pt idx="32">
                    <c:v>105,86</c:v>
                  </c:pt>
                  <c:pt idx="36">
                    <c:v> Total  24 Unit di Scrub</c:v>
                  </c:pt>
                </c:lvl>
                <c:lvl>
                  <c:pt idx="0">
                    <c:v>69,50</c:v>
                  </c:pt>
                  <c:pt idx="1">
                    <c:v>74,53</c:v>
                  </c:pt>
                  <c:pt idx="2">
                    <c:v>69,74</c:v>
                  </c:pt>
                  <c:pt idx="3">
                    <c:v>79,11</c:v>
                  </c:pt>
                  <c:pt idx="4">
                    <c:v>65,53</c:v>
                  </c:pt>
                  <c:pt idx="5">
                    <c:v>63,10</c:v>
                  </c:pt>
                  <c:pt idx="6">
                    <c:v>75,12</c:v>
                  </c:pt>
                  <c:pt idx="8">
                    <c:v>59,27</c:v>
                  </c:pt>
                  <c:pt idx="9">
                    <c:v>84,68</c:v>
                  </c:pt>
                  <c:pt idx="10">
                    <c:v>71,10</c:v>
                  </c:pt>
                  <c:pt idx="11">
                    <c:v>84,36</c:v>
                  </c:pt>
                  <c:pt idx="12">
                    <c:v>73,77</c:v>
                  </c:pt>
                  <c:pt idx="13">
                    <c:v>83,65</c:v>
                  </c:pt>
                  <c:pt idx="14">
                    <c:v>61,41</c:v>
                  </c:pt>
                  <c:pt idx="17">
                    <c:v>43,01</c:v>
                  </c:pt>
                  <c:pt idx="18">
                    <c:v>87,73</c:v>
                  </c:pt>
                  <c:pt idx="19">
                    <c:v>63,01</c:v>
                  </c:pt>
                  <c:pt idx="20">
                    <c:v>86,39</c:v>
                  </c:pt>
                  <c:pt idx="21">
                    <c:v>67,70</c:v>
                  </c:pt>
                  <c:pt idx="22">
                    <c:v>76,43</c:v>
                  </c:pt>
                  <c:pt idx="24">
                    <c:v>91,72</c:v>
                  </c:pt>
                  <c:pt idx="25">
                    <c:v>61,44</c:v>
                  </c:pt>
                  <c:pt idx="26">
                    <c:v>83,19</c:v>
                  </c:pt>
                  <c:pt idx="27">
                    <c:v>91,69</c:v>
                  </c:pt>
                  <c:pt idx="28">
                    <c:v>78,46</c:v>
                  </c:pt>
                  <c:pt idx="29">
                    <c:v>62,68</c:v>
                  </c:pt>
                  <c:pt idx="30">
                    <c:v>102,45</c:v>
                  </c:pt>
                  <c:pt idx="31">
                    <c:v>65,29</c:v>
                  </c:pt>
                  <c:pt idx="32">
                    <c:v>74,51</c:v>
                  </c:pt>
                </c:lvl>
                <c:lvl>
                  <c:pt idx="0">
                    <c:v>82,40</c:v>
                  </c:pt>
                  <c:pt idx="1">
                    <c:v>77,93</c:v>
                  </c:pt>
                  <c:pt idx="2">
                    <c:v>80,82</c:v>
                  </c:pt>
                  <c:pt idx="3">
                    <c:v>74,10</c:v>
                  </c:pt>
                  <c:pt idx="4">
                    <c:v>74,30</c:v>
                  </c:pt>
                  <c:pt idx="5">
                    <c:v>73,75</c:v>
                  </c:pt>
                  <c:pt idx="6">
                    <c:v>78,94</c:v>
                  </c:pt>
                  <c:pt idx="8">
                    <c:v>73,85</c:v>
                  </c:pt>
                  <c:pt idx="9">
                    <c:v>85,28</c:v>
                  </c:pt>
                  <c:pt idx="10">
                    <c:v>80,53</c:v>
                  </c:pt>
                  <c:pt idx="11">
                    <c:v>89,55</c:v>
                  </c:pt>
                  <c:pt idx="12">
                    <c:v>80,53</c:v>
                  </c:pt>
                  <c:pt idx="13">
                    <c:v>86,75</c:v>
                  </c:pt>
                  <c:pt idx="14">
                    <c:v>65,85</c:v>
                  </c:pt>
                  <c:pt idx="17">
                    <c:v>112,99</c:v>
                  </c:pt>
                  <c:pt idx="18">
                    <c:v>75,57</c:v>
                  </c:pt>
                  <c:pt idx="19">
                    <c:v>67,32</c:v>
                  </c:pt>
                  <c:pt idx="20">
                    <c:v>93,74</c:v>
                  </c:pt>
                  <c:pt idx="21">
                    <c:v>67,26</c:v>
                  </c:pt>
                  <c:pt idx="22">
                    <c:v>86,53</c:v>
                  </c:pt>
                  <c:pt idx="24">
                    <c:v>72,84</c:v>
                  </c:pt>
                  <c:pt idx="25">
                    <c:v>81,37</c:v>
                  </c:pt>
                  <c:pt idx="26">
                    <c:v>91,93</c:v>
                  </c:pt>
                  <c:pt idx="27">
                    <c:v>49,00</c:v>
                  </c:pt>
                  <c:pt idx="28">
                    <c:v>70,63</c:v>
                  </c:pt>
                  <c:pt idx="29">
                    <c:v>95,76</c:v>
                  </c:pt>
                  <c:pt idx="30">
                    <c:v>94,38</c:v>
                  </c:pt>
                  <c:pt idx="31">
                    <c:v>72,48</c:v>
                  </c:pt>
                  <c:pt idx="32">
                    <c:v>87,11</c:v>
                  </c:pt>
                  <c:pt idx="36">
                    <c:v>  106,107 . Lelang srcub</c:v>
                  </c:pt>
                </c:lvl>
                <c:lvl>
                  <c:pt idx="0">
                    <c:v>84,28</c:v>
                  </c:pt>
                  <c:pt idx="1">
                    <c:v>90,50</c:v>
                  </c:pt>
                  <c:pt idx="3">
                    <c:v>91,55</c:v>
                  </c:pt>
                  <c:pt idx="4">
                    <c:v>87,61</c:v>
                  </c:pt>
                  <c:pt idx="5">
                    <c:v>61,45</c:v>
                  </c:pt>
                  <c:pt idx="6">
                    <c:v>92,95</c:v>
                  </c:pt>
                  <c:pt idx="8">
                    <c:v>65,26</c:v>
                  </c:pt>
                  <c:pt idx="9">
                    <c:v>107,61</c:v>
                  </c:pt>
                  <c:pt idx="10">
                    <c:v>106,40</c:v>
                  </c:pt>
                  <c:pt idx="11">
                    <c:v>74,57</c:v>
                  </c:pt>
                  <c:pt idx="12">
                    <c:v>87,76</c:v>
                  </c:pt>
                  <c:pt idx="13">
                    <c:v>89,21</c:v>
                  </c:pt>
                  <c:pt idx="14">
                    <c:v>85,08</c:v>
                  </c:pt>
                  <c:pt idx="16">
                    <c:v>81,20</c:v>
                  </c:pt>
                  <c:pt idx="17">
                    <c:v>96,58</c:v>
                  </c:pt>
                  <c:pt idx="18">
                    <c:v>97,36</c:v>
                  </c:pt>
                  <c:pt idx="19">
                    <c:v>106,18</c:v>
                  </c:pt>
                  <c:pt idx="20">
                    <c:v>71,93</c:v>
                  </c:pt>
                  <c:pt idx="21">
                    <c:v>90,31</c:v>
                  </c:pt>
                  <c:pt idx="25">
                    <c:v>150,41</c:v>
                  </c:pt>
                  <c:pt idx="26">
                    <c:v>78,82</c:v>
                  </c:pt>
                  <c:pt idx="27">
                    <c:v>89,92</c:v>
                  </c:pt>
                  <c:pt idx="28">
                    <c:v>114,13</c:v>
                  </c:pt>
                  <c:pt idx="29">
                    <c:v>58,00</c:v>
                  </c:pt>
                  <c:pt idx="30">
                    <c:v>87,75</c:v>
                  </c:pt>
                  <c:pt idx="31">
                    <c:v>86,64</c:v>
                  </c:pt>
                  <c:pt idx="32">
                    <c:v>101,31</c:v>
                  </c:pt>
                  <c:pt idx="36">
                    <c:v>   99, 101. 102, 103, 105,</c:v>
                  </c:pt>
                </c:lvl>
                <c:lvl>
                  <c:pt idx="0">
                    <c:v>83,69</c:v>
                  </c:pt>
                  <c:pt idx="1">
                    <c:v>77,52</c:v>
                  </c:pt>
                  <c:pt idx="2">
                    <c:v>72,94</c:v>
                  </c:pt>
                  <c:pt idx="3">
                    <c:v>81,88</c:v>
                  </c:pt>
                  <c:pt idx="4">
                    <c:v>92,15</c:v>
                  </c:pt>
                  <c:pt idx="5">
                    <c:v>75,05</c:v>
                  </c:pt>
                  <c:pt idx="6">
                    <c:v>79,70</c:v>
                  </c:pt>
                  <c:pt idx="8">
                    <c:v>75,18</c:v>
                  </c:pt>
                  <c:pt idx="9">
                    <c:v>81,91</c:v>
                  </c:pt>
                  <c:pt idx="10">
                    <c:v>76,57</c:v>
                  </c:pt>
                  <c:pt idx="11">
                    <c:v>74,98</c:v>
                  </c:pt>
                  <c:pt idx="12">
                    <c:v>52,46</c:v>
                  </c:pt>
                  <c:pt idx="13">
                    <c:v>80,17</c:v>
                  </c:pt>
                  <c:pt idx="14">
                    <c:v>64,75</c:v>
                  </c:pt>
                  <c:pt idx="16">
                    <c:v>91,34</c:v>
                  </c:pt>
                  <c:pt idx="17">
                    <c:v>81,11</c:v>
                  </c:pt>
                  <c:pt idx="18">
                    <c:v>83,38</c:v>
                  </c:pt>
                  <c:pt idx="19">
                    <c:v>75,04</c:v>
                  </c:pt>
                  <c:pt idx="20">
                    <c:v>85,26</c:v>
                  </c:pt>
                  <c:pt idx="21">
                    <c:v>72,78</c:v>
                  </c:pt>
                  <c:pt idx="22">
                    <c:v>77,69</c:v>
                  </c:pt>
                  <c:pt idx="24">
                    <c:v>83,09</c:v>
                  </c:pt>
                  <c:pt idx="25">
                    <c:v>83,97</c:v>
                  </c:pt>
                  <c:pt idx="26">
                    <c:v>68,51</c:v>
                  </c:pt>
                  <c:pt idx="27">
                    <c:v>80,24</c:v>
                  </c:pt>
                  <c:pt idx="28">
                    <c:v>87,23</c:v>
                  </c:pt>
                  <c:pt idx="29">
                    <c:v>70,46</c:v>
                  </c:pt>
                  <c:pt idx="30">
                    <c:v>85,58</c:v>
                  </c:pt>
                  <c:pt idx="31">
                    <c:v>73,97</c:v>
                  </c:pt>
                  <c:pt idx="32">
                    <c:v>78,67</c:v>
                  </c:pt>
                  <c:pt idx="36">
                    <c:v>   89, 91, 92, 94, 96, 97,</c:v>
                  </c:pt>
                </c:lvl>
                <c:lvl>
                  <c:pt idx="0">
                    <c:v>97,85</c:v>
                  </c:pt>
                  <c:pt idx="1">
                    <c:v>96,28</c:v>
                  </c:pt>
                  <c:pt idx="2">
                    <c:v>85,24</c:v>
                  </c:pt>
                  <c:pt idx="3">
                    <c:v>84,06</c:v>
                  </c:pt>
                  <c:pt idx="4">
                    <c:v>46,22</c:v>
                  </c:pt>
                  <c:pt idx="5">
                    <c:v>54,70</c:v>
                  </c:pt>
                  <c:pt idx="6">
                    <c:v>88,00</c:v>
                  </c:pt>
                  <c:pt idx="8">
                    <c:v>73,47</c:v>
                  </c:pt>
                  <c:pt idx="9">
                    <c:v>95,05</c:v>
                  </c:pt>
                  <c:pt idx="10">
                    <c:v>86,32</c:v>
                  </c:pt>
                  <c:pt idx="11">
                    <c:v>94,94</c:v>
                  </c:pt>
                  <c:pt idx="12">
                    <c:v>84,38</c:v>
                  </c:pt>
                  <c:pt idx="13">
                    <c:v>78,04</c:v>
                  </c:pt>
                  <c:pt idx="14">
                    <c:v>77,99</c:v>
                  </c:pt>
                  <c:pt idx="16">
                    <c:v>74,51</c:v>
                  </c:pt>
                  <c:pt idx="17">
                    <c:v>90,88</c:v>
                  </c:pt>
                  <c:pt idx="18">
                    <c:v>86,13</c:v>
                  </c:pt>
                  <c:pt idx="19">
                    <c:v>87,62</c:v>
                  </c:pt>
                  <c:pt idx="20">
                    <c:v>104,7</c:v>
                  </c:pt>
                  <c:pt idx="21">
                    <c:v>75,89</c:v>
                  </c:pt>
                  <c:pt idx="22">
                    <c:v>81,94</c:v>
                  </c:pt>
                  <c:pt idx="24">
                    <c:v>87,49</c:v>
                  </c:pt>
                  <c:pt idx="25">
                    <c:v>112,00</c:v>
                  </c:pt>
                  <c:pt idx="26">
                    <c:v>87,68</c:v>
                  </c:pt>
                  <c:pt idx="27">
                    <c:v>93,70</c:v>
                  </c:pt>
                  <c:pt idx="28">
                    <c:v>73,55</c:v>
                  </c:pt>
                  <c:pt idx="29">
                    <c:v>57,28</c:v>
                  </c:pt>
                  <c:pt idx="30">
                    <c:v>103,70</c:v>
                  </c:pt>
                  <c:pt idx="31">
                    <c:v>89,39</c:v>
                  </c:pt>
                  <c:pt idx="32">
                    <c:v>83,15</c:v>
                  </c:pt>
                  <c:pt idx="36">
                    <c:v>   82, 84, 85, 86, 87, 88, </c:v>
                  </c:pt>
                </c:lvl>
                <c:lvl>
                  <c:pt idx="0">
                    <c:v>110,23</c:v>
                  </c:pt>
                  <c:pt idx="1">
                    <c:v>94,25</c:v>
                  </c:pt>
                  <c:pt idx="2">
                    <c:v>23,23</c:v>
                  </c:pt>
                  <c:pt idx="3">
                    <c:v>78,50</c:v>
                  </c:pt>
                  <c:pt idx="4">
                    <c:v>100,68</c:v>
                  </c:pt>
                  <c:pt idx="5">
                    <c:v>62,78</c:v>
                  </c:pt>
                  <c:pt idx="6">
                    <c:v>89,48</c:v>
                  </c:pt>
                  <c:pt idx="8">
                    <c:v>77,35</c:v>
                  </c:pt>
                  <c:pt idx="9">
                    <c:v>88,52</c:v>
                  </c:pt>
                  <c:pt idx="10">
                    <c:v>95,13</c:v>
                  </c:pt>
                  <c:pt idx="11">
                    <c:v>102,15</c:v>
                  </c:pt>
                  <c:pt idx="12">
                    <c:v>100,10</c:v>
                  </c:pt>
                  <c:pt idx="13">
                    <c:v>76,09</c:v>
                  </c:pt>
                  <c:pt idx="14">
                    <c:v>99,20</c:v>
                  </c:pt>
                  <c:pt idx="16">
                    <c:v>112,17</c:v>
                  </c:pt>
                  <c:pt idx="17">
                    <c:v>90,67</c:v>
                  </c:pt>
                  <c:pt idx="18">
                    <c:v>82,95</c:v>
                  </c:pt>
                  <c:pt idx="19">
                    <c:v>105,57</c:v>
                  </c:pt>
                  <c:pt idx="20">
                    <c:v>85,01</c:v>
                  </c:pt>
                  <c:pt idx="21">
                    <c:v>86,31</c:v>
                  </c:pt>
                  <c:pt idx="22">
                    <c:v>101,83</c:v>
                  </c:pt>
                  <c:pt idx="24">
                    <c:v>86,67</c:v>
                  </c:pt>
                  <c:pt idx="25">
                    <c:v>73,16</c:v>
                  </c:pt>
                  <c:pt idx="28">
                    <c:v>78,47</c:v>
                  </c:pt>
                  <c:pt idx="29">
                    <c:v>78,61</c:v>
                  </c:pt>
                  <c:pt idx="30">
                    <c:v>68,95</c:v>
                  </c:pt>
                  <c:pt idx="31">
                    <c:v>81,53</c:v>
                  </c:pt>
                  <c:pt idx="32">
                    <c:v>93,07</c:v>
                  </c:pt>
                  <c:pt idx="36">
                    <c:v>. HT 129, 130, 146, 160, </c:v>
                  </c:pt>
                </c:lvl>
                <c:lvl>
                  <c:pt idx="0">
                    <c:v>78,99</c:v>
                  </c:pt>
                  <c:pt idx="1">
                    <c:v>78,99</c:v>
                  </c:pt>
                  <c:pt idx="2">
                    <c:v>64,39</c:v>
                  </c:pt>
                  <c:pt idx="3">
                    <c:v>105,05</c:v>
                  </c:pt>
                  <c:pt idx="4">
                    <c:v>86,22</c:v>
                  </c:pt>
                  <c:pt idx="5">
                    <c:v>83,68</c:v>
                  </c:pt>
                  <c:pt idx="6">
                    <c:v>107,81</c:v>
                  </c:pt>
                  <c:pt idx="8">
                    <c:v>58,66</c:v>
                  </c:pt>
                  <c:pt idx="9">
                    <c:v>82,64</c:v>
                  </c:pt>
                  <c:pt idx="10">
                    <c:v>70,99</c:v>
                  </c:pt>
                  <c:pt idx="11">
                    <c:v>73,94</c:v>
                  </c:pt>
                  <c:pt idx="12">
                    <c:v>100,04</c:v>
                  </c:pt>
                  <c:pt idx="13">
                    <c:v>69,40</c:v>
                  </c:pt>
                  <c:pt idx="14">
                    <c:v>76,05</c:v>
                  </c:pt>
                  <c:pt idx="16">
                    <c:v>101,61</c:v>
                  </c:pt>
                  <c:pt idx="17">
                    <c:v>71,20</c:v>
                  </c:pt>
                  <c:pt idx="18">
                    <c:v>110,72</c:v>
                  </c:pt>
                  <c:pt idx="19">
                    <c:v>80,20</c:v>
                  </c:pt>
                  <c:pt idx="20">
                    <c:v>73,49</c:v>
                  </c:pt>
                  <c:pt idx="21">
                    <c:v>99,71</c:v>
                  </c:pt>
                  <c:pt idx="22">
                    <c:v>80,69</c:v>
                  </c:pt>
                  <c:pt idx="24">
                    <c:v>119,94</c:v>
                  </c:pt>
                  <c:pt idx="25">
                    <c:v>77,09</c:v>
                  </c:pt>
                  <c:pt idx="27">
                    <c:v>77,87</c:v>
                  </c:pt>
                  <c:pt idx="28">
                    <c:v>96,62</c:v>
                  </c:pt>
                  <c:pt idx="29">
                    <c:v>114,82</c:v>
                  </c:pt>
                  <c:pt idx="30">
                    <c:v>117,07</c:v>
                  </c:pt>
                  <c:pt idx="31">
                    <c:v>60,91</c:v>
                  </c:pt>
                  <c:pt idx="32">
                    <c:v>102,82</c:v>
                  </c:pt>
                  <c:pt idx="36">
                    <c:v>  Hasil dilapangan</c:v>
                  </c:pt>
                </c:lvl>
                <c:lvl>
                  <c:pt idx="0">
                    <c:v>89,25</c:v>
                  </c:pt>
                  <c:pt idx="2">
                    <c:v>147,51</c:v>
                  </c:pt>
                  <c:pt idx="3">
                    <c:v>70,92</c:v>
                  </c:pt>
                  <c:pt idx="4">
                    <c:v>83,18</c:v>
                  </c:pt>
                  <c:pt idx="5">
                    <c:v>63,87</c:v>
                  </c:pt>
                  <c:pt idx="6">
                    <c:v>93,92</c:v>
                  </c:pt>
                  <c:pt idx="8">
                    <c:v>62,43</c:v>
                  </c:pt>
                  <c:pt idx="9">
                    <c:v>75,35</c:v>
                  </c:pt>
                  <c:pt idx="10">
                    <c:v>60,60</c:v>
                  </c:pt>
                  <c:pt idx="11">
                    <c:v>86,53</c:v>
                  </c:pt>
                  <c:pt idx="12">
                    <c:v>72,29</c:v>
                  </c:pt>
                  <c:pt idx="13">
                    <c:v>98,38</c:v>
                  </c:pt>
                  <c:pt idx="14">
                    <c:v>76,53</c:v>
                  </c:pt>
                  <c:pt idx="16">
                    <c:v>95,59</c:v>
                  </c:pt>
                  <c:pt idx="17">
                    <c:v>89,32</c:v>
                  </c:pt>
                  <c:pt idx="18">
                    <c:v>63,84</c:v>
                  </c:pt>
                  <c:pt idx="19">
                    <c:v>72,22</c:v>
                  </c:pt>
                  <c:pt idx="20">
                    <c:v>70,61</c:v>
                  </c:pt>
                  <c:pt idx="21">
                    <c:v>68,91</c:v>
                  </c:pt>
                  <c:pt idx="22">
                    <c:v>79,68</c:v>
                  </c:pt>
                  <c:pt idx="24">
                    <c:v>88,22</c:v>
                  </c:pt>
                  <c:pt idx="25">
                    <c:v>85,66</c:v>
                  </c:pt>
                  <c:pt idx="26">
                    <c:v>73,84</c:v>
                  </c:pt>
                  <c:pt idx="27">
                    <c:v>80,03</c:v>
                  </c:pt>
                  <c:pt idx="29">
                    <c:v>84,78</c:v>
                  </c:pt>
                  <c:pt idx="30">
                    <c:v>92,75</c:v>
                  </c:pt>
                  <c:pt idx="31">
                    <c:v>60,81</c:v>
                  </c:pt>
                  <c:pt idx="32">
                    <c:v>81,08</c:v>
                  </c:pt>
                </c:lvl>
                <c:lvl>
                  <c:pt idx="0">
                    <c:v>65,89</c:v>
                  </c:pt>
                  <c:pt idx="1">
                    <c:v>69,72</c:v>
                  </c:pt>
                  <c:pt idx="2">
                    <c:v>66,68</c:v>
                  </c:pt>
                  <c:pt idx="3">
                    <c:v>72,75</c:v>
                  </c:pt>
                  <c:pt idx="4">
                    <c:v>62,51</c:v>
                  </c:pt>
                  <c:pt idx="5">
                    <c:v>70,32</c:v>
                  </c:pt>
                  <c:pt idx="6">
                    <c:v>83,78</c:v>
                  </c:pt>
                  <c:pt idx="8">
                    <c:v>77,62</c:v>
                  </c:pt>
                  <c:pt idx="9">
                    <c:v>56,13</c:v>
                  </c:pt>
                  <c:pt idx="10">
                    <c:v>66,98</c:v>
                  </c:pt>
                  <c:pt idx="11">
                    <c:v>88,02</c:v>
                  </c:pt>
                  <c:pt idx="12">
                    <c:v>66,37</c:v>
                  </c:pt>
                  <c:pt idx="13">
                    <c:v>77,99</c:v>
                  </c:pt>
                  <c:pt idx="14">
                    <c:v>75,30</c:v>
                  </c:pt>
                  <c:pt idx="16">
                    <c:v>79,73</c:v>
                  </c:pt>
                  <c:pt idx="17">
                    <c:v>85,07</c:v>
                  </c:pt>
                  <c:pt idx="18">
                    <c:v>66,10</c:v>
                  </c:pt>
                  <c:pt idx="19">
                    <c:v>81,97</c:v>
                  </c:pt>
                  <c:pt idx="20">
                    <c:v>63,24</c:v>
                  </c:pt>
                  <c:pt idx="21">
                    <c:v>82,97</c:v>
                  </c:pt>
                  <c:pt idx="22">
                    <c:v>77,09</c:v>
                  </c:pt>
                  <c:pt idx="24">
                    <c:v>91,75</c:v>
                  </c:pt>
                  <c:pt idx="25">
                    <c:v>79,79</c:v>
                  </c:pt>
                  <c:pt idx="26">
                    <c:v>92,49</c:v>
                  </c:pt>
                  <c:pt idx="27">
                    <c:v>73,46</c:v>
                  </c:pt>
                  <c:pt idx="28">
                    <c:v>108,49</c:v>
                  </c:pt>
                  <c:pt idx="29">
                    <c:v>103,14</c:v>
                  </c:pt>
                  <c:pt idx="30">
                    <c:v>92,46</c:v>
                  </c:pt>
                  <c:pt idx="31">
                    <c:v>48,62</c:v>
                  </c:pt>
                  <c:pt idx="32">
                    <c:v>88,27</c:v>
                  </c:pt>
                  <c:pt idx="36">
                    <c:v>. HT 118 Utk Behandle</c:v>
                  </c:pt>
                </c:lvl>
                <c:lvl>
                  <c:pt idx="0">
                    <c:v>79,17</c:v>
                  </c:pt>
                  <c:pt idx="1">
                    <c:v>78,64</c:v>
                  </c:pt>
                  <c:pt idx="2">
                    <c:v>84,42</c:v>
                  </c:pt>
                  <c:pt idx="3">
                    <c:v>83,47</c:v>
                  </c:pt>
                  <c:pt idx="4">
                    <c:v>74,39</c:v>
                  </c:pt>
                  <c:pt idx="5">
                    <c:v>80,96</c:v>
                  </c:pt>
                  <c:pt idx="6">
                    <c:v>97,68</c:v>
                  </c:pt>
                  <c:pt idx="8">
                    <c:v>64,03</c:v>
                  </c:pt>
                  <c:pt idx="9">
                    <c:v>75,57</c:v>
                  </c:pt>
                  <c:pt idx="10">
                    <c:v>82,89</c:v>
                  </c:pt>
                  <c:pt idx="11">
                    <c:v>92,25</c:v>
                  </c:pt>
                  <c:pt idx="12">
                    <c:v>78,67</c:v>
                  </c:pt>
                  <c:pt idx="13">
                    <c:v>79,34</c:v>
                  </c:pt>
                  <c:pt idx="14">
                    <c:v>94,82</c:v>
                  </c:pt>
                  <c:pt idx="16">
                    <c:v>89,03</c:v>
                  </c:pt>
                  <c:pt idx="17">
                    <c:v>101,35</c:v>
                  </c:pt>
                  <c:pt idx="18">
                    <c:v>104,65</c:v>
                  </c:pt>
                  <c:pt idx="19">
                    <c:v>80,21</c:v>
                  </c:pt>
                  <c:pt idx="20">
                    <c:v>88,76</c:v>
                  </c:pt>
                  <c:pt idx="25">
                    <c:v>71,13</c:v>
                  </c:pt>
                  <c:pt idx="26">
                    <c:v>89,84</c:v>
                  </c:pt>
                  <c:pt idx="27">
                    <c:v>73,14</c:v>
                  </c:pt>
                  <c:pt idx="28">
                    <c:v>90,30</c:v>
                  </c:pt>
                  <c:pt idx="29">
                    <c:v>72,16</c:v>
                  </c:pt>
                  <c:pt idx="30">
                    <c:v>88,83</c:v>
                  </c:pt>
                  <c:pt idx="31">
                    <c:v>80,41</c:v>
                  </c:pt>
                  <c:pt idx="32">
                    <c:v>92,42</c:v>
                  </c:pt>
                  <c:pt idx="36">
                    <c:v>. HT 23 Utk Alban BM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8">
                    <c:v>137,32</c:v>
                  </c:pt>
                  <c:pt idx="34">
                    <c:v>PM</c:v>
                  </c:pt>
                  <c:pt idx="36">
                    <c:v>Khusus HT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Full tanki BBM Solar</c:v>
                  </c:pt>
                </c:lvl>
                <c:lvl>
                  <c:pt idx="0">
                    <c:v>109,42</c:v>
                  </c:pt>
                  <c:pt idx="1">
                    <c:v>91,66</c:v>
                  </c:pt>
                  <c:pt idx="2">
                    <c:v>70,13</c:v>
                  </c:pt>
                  <c:pt idx="3">
                    <c:v>103,25</c:v>
                  </c:pt>
                  <c:pt idx="4">
                    <c:v>71,80</c:v>
                  </c:pt>
                  <c:pt idx="5">
                    <c:v>109,43</c:v>
                  </c:pt>
                  <c:pt idx="6">
                    <c:v>107,39</c:v>
                  </c:pt>
                  <c:pt idx="10">
                    <c:v>68,32</c:v>
                  </c:pt>
                  <c:pt idx="11">
                    <c:v>106,23</c:v>
                  </c:pt>
                  <c:pt idx="12">
                    <c:v>25,76</c:v>
                  </c:pt>
                  <c:pt idx="13">
                    <c:v>84,46</c:v>
                  </c:pt>
                  <c:pt idx="14">
                    <c:v>88,00</c:v>
                  </c:pt>
                  <c:pt idx="16">
                    <c:v>136,40</c:v>
                  </c:pt>
                  <c:pt idx="17">
                    <c:v>98,86</c:v>
                  </c:pt>
                  <c:pt idx="18">
                    <c:v>103,51</c:v>
                  </c:pt>
                  <c:pt idx="19">
                    <c:v>103,58</c:v>
                  </c:pt>
                  <c:pt idx="20">
                    <c:v>100,03</c:v>
                  </c:pt>
                  <c:pt idx="21">
                    <c:v>98,34</c:v>
                  </c:pt>
                  <c:pt idx="22">
                    <c:v>50,88</c:v>
                  </c:pt>
                  <c:pt idx="24">
                    <c:v>93,57</c:v>
                  </c:pt>
                  <c:pt idx="25">
                    <c:v>72,39</c:v>
                  </c:pt>
                  <c:pt idx="26">
                    <c:v>89,62</c:v>
                  </c:pt>
                  <c:pt idx="27">
                    <c:v>109,66</c:v>
                  </c:pt>
                  <c:pt idx="28">
                    <c:v>99,85</c:v>
                  </c:pt>
                  <c:pt idx="30">
                    <c:v>88,28</c:v>
                  </c:pt>
                  <c:pt idx="31">
                    <c:v>77,64</c:v>
                  </c:pt>
                  <c:pt idx="32">
                    <c:v>134,47</c:v>
                  </c:pt>
                  <c:pt idx="36">
                    <c:v>semua Uni HT diisi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Tgl 14 Desember '25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83 - 104, 230 Liter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23, 230 Liter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  <c:lvl>
                  <c:pt idx="0">
                    <c:v>39.18.11</c:v>
                  </c:pt>
                  <c:pt idx="1">
                    <c:v>36.16.11</c:v>
                  </c:pt>
                  <c:pt idx="2">
                    <c:v>39.13.11</c:v>
                  </c:pt>
                  <c:pt idx="3">
                    <c:v>41.11.11</c:v>
                  </c:pt>
                  <c:pt idx="4">
                    <c:v>36.16.11</c:v>
                  </c:pt>
                  <c:pt idx="5">
                    <c:v>38.14.11</c:v>
                  </c:pt>
                  <c:pt idx="6">
                    <c:v>37.15.11</c:v>
                  </c:pt>
                  <c:pt idx="8">
                    <c:v>36.16.11</c:v>
                  </c:pt>
                  <c:pt idx="9">
                    <c:v>36.16.11</c:v>
                  </c:pt>
                  <c:pt idx="10">
                    <c:v>38.14.11</c:v>
                  </c:pt>
                  <c:pt idx="11">
                    <c:v>38.14.11</c:v>
                  </c:pt>
                  <c:pt idx="12">
                    <c:v>38.14.11</c:v>
                  </c:pt>
                  <c:pt idx="13">
                    <c:v>36.16.11</c:v>
                  </c:pt>
                  <c:pt idx="14">
                    <c:v>38.14.11</c:v>
                  </c:pt>
                  <c:pt idx="16">
                    <c:v>39.13.11</c:v>
                  </c:pt>
                  <c:pt idx="17">
                    <c:v>35.17.11</c:v>
                  </c:pt>
                  <c:pt idx="18">
                    <c:v>37.15.11</c:v>
                  </c:pt>
                  <c:pt idx="19">
                    <c:v>37.15.11</c:v>
                  </c:pt>
                  <c:pt idx="20">
                    <c:v>38.14.11</c:v>
                  </c:pt>
                  <c:pt idx="21">
                    <c:v>36.16.11</c:v>
                  </c:pt>
                  <c:pt idx="22">
                    <c:v>39.13.11</c:v>
                  </c:pt>
                  <c:pt idx="24">
                    <c:v>38.14.11</c:v>
                  </c:pt>
                  <c:pt idx="25">
                    <c:v>36.16.11</c:v>
                  </c:pt>
                  <c:pt idx="26">
                    <c:v>37.15.11</c:v>
                  </c:pt>
                  <c:pt idx="27">
                    <c:v>38.14.11</c:v>
                  </c:pt>
                  <c:pt idx="28">
                    <c:v>39.13.11</c:v>
                  </c:pt>
                  <c:pt idx="29">
                    <c:v>39.13.11</c:v>
                  </c:pt>
                  <c:pt idx="30">
                    <c:v>39.13.11</c:v>
                  </c:pt>
                  <c:pt idx="31">
                    <c:v>36.16.11</c:v>
                  </c:pt>
                  <c:pt idx="32">
                    <c:v>39.13.11</c:v>
                  </c:pt>
                </c:lvl>
                <c:lvl>
                  <c:pt idx="0">
                    <c:v>9895,89</c:v>
                  </c:pt>
                  <c:pt idx="1">
                    <c:v>9964,69</c:v>
                  </c:pt>
                  <c:pt idx="2">
                    <c:v>12307,57</c:v>
                  </c:pt>
                  <c:pt idx="3">
                    <c:v>12254,61</c:v>
                  </c:pt>
                  <c:pt idx="4">
                    <c:v>11498,34</c:v>
                  </c:pt>
                  <c:pt idx="5">
                    <c:v>13113,87</c:v>
                  </c:pt>
                  <c:pt idx="6">
                    <c:v>11218,15</c:v>
                  </c:pt>
                  <c:pt idx="7">
                    <c:v>80253,12</c:v>
                  </c:pt>
                  <c:pt idx="8">
                    <c:v>9399,98</c:v>
                  </c:pt>
                  <c:pt idx="9">
                    <c:v>9968,22</c:v>
                  </c:pt>
                  <c:pt idx="10">
                    <c:v>12174,80</c:v>
                  </c:pt>
                  <c:pt idx="11">
                    <c:v>11162,21</c:v>
                  </c:pt>
                  <c:pt idx="12">
                    <c:v>10601,86</c:v>
                  </c:pt>
                  <c:pt idx="13">
                    <c:v>10912,59</c:v>
                  </c:pt>
                  <c:pt idx="14">
                    <c:v>12360,61</c:v>
                  </c:pt>
                  <c:pt idx="15">
                    <c:v>76580,27</c:v>
                  </c:pt>
                  <c:pt idx="16">
                    <c:v>10272,45</c:v>
                  </c:pt>
                  <c:pt idx="17">
                    <c:v>9894,73</c:v>
                  </c:pt>
                  <c:pt idx="18">
                    <c:v>11561,29</c:v>
                  </c:pt>
                  <c:pt idx="19">
                    <c:v>10410,12</c:v>
                  </c:pt>
                  <c:pt idx="20">
                    <c:v>12458,33</c:v>
                  </c:pt>
                  <c:pt idx="21">
                    <c:v>11463,59</c:v>
                  </c:pt>
                  <c:pt idx="22">
                    <c:v>13208,32</c:v>
                  </c:pt>
                  <c:pt idx="23">
                    <c:v>79268,83</c:v>
                  </c:pt>
                  <c:pt idx="24">
                    <c:v>12417,02</c:v>
                  </c:pt>
                  <c:pt idx="25">
                    <c:v>11331,55</c:v>
                  </c:pt>
                  <c:pt idx="26">
                    <c:v>11398,18</c:v>
                  </c:pt>
                  <c:pt idx="27">
                    <c:v>11498,11</c:v>
                  </c:pt>
                  <c:pt idx="28">
                    <c:v>13013,03</c:v>
                  </c:pt>
                  <c:pt idx="29">
                    <c:v>11538,36</c:v>
                  </c:pt>
                  <c:pt idx="30">
                    <c:v>11894,62</c:v>
                  </c:pt>
                  <c:pt idx="31">
                    <c:v>10027,87</c:v>
                  </c:pt>
                  <c:pt idx="32">
                    <c:v>12099,92</c:v>
                  </c:pt>
                  <c:pt idx="34">
                    <c:v>105218,66</c:v>
                  </c:pt>
                  <c:pt idx="35">
                    <c:v>341320,88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202,24</c:v>
                  </c:pt>
                  <c:pt idx="1">
                    <c:v>199,91</c:v>
                  </c:pt>
                  <c:pt idx="2">
                    <c:v>250,86</c:v>
                  </c:pt>
                  <c:pt idx="3">
                    <c:v>250,30</c:v>
                  </c:pt>
                  <c:pt idx="4">
                    <c:v>251,22</c:v>
                  </c:pt>
                  <c:pt idx="5">
                    <c:v>300,21</c:v>
                  </c:pt>
                  <c:pt idx="6">
                    <c:v>200,48</c:v>
                  </c:pt>
                  <c:pt idx="8">
                    <c:v>200,31</c:v>
                  </c:pt>
                  <c:pt idx="9">
                    <c:v>200,20</c:v>
                  </c:pt>
                  <c:pt idx="10">
                    <c:v>300,21</c:v>
                  </c:pt>
                  <c:pt idx="11">
                    <c:v>200,18</c:v>
                  </c:pt>
                  <c:pt idx="12">
                    <c:v>250,14</c:v>
                  </c:pt>
                  <c:pt idx="13">
                    <c:v>137,68</c:v>
                  </c:pt>
                  <c:pt idx="14">
                    <c:v>300,36</c:v>
                  </c:pt>
                  <c:pt idx="16">
                    <c:v>200,58</c:v>
                  </c:pt>
                  <c:pt idx="17">
                    <c:v>250,31</c:v>
                  </c:pt>
                  <c:pt idx="18">
                    <c:v>199,75</c:v>
                  </c:pt>
                  <c:pt idx="19">
                    <c:v>200,53</c:v>
                  </c:pt>
                  <c:pt idx="20">
                    <c:v>250,48</c:v>
                  </c:pt>
                  <c:pt idx="21">
                    <c:v>299,85</c:v>
                  </c:pt>
                  <c:pt idx="22">
                    <c:v>451,65</c:v>
                  </c:pt>
                  <c:pt idx="24">
                    <c:v>300,19</c:v>
                  </c:pt>
                  <c:pt idx="25">
                    <c:v>200,76</c:v>
                  </c:pt>
                  <c:pt idx="26">
                    <c:v>250,72</c:v>
                  </c:pt>
                  <c:pt idx="27">
                    <c:v>200,51</c:v>
                  </c:pt>
                  <c:pt idx="28">
                    <c:v>250,43</c:v>
                  </c:pt>
                  <c:pt idx="29">
                    <c:v>200,42</c:v>
                  </c:pt>
                  <c:pt idx="30">
                    <c:v>200,33</c:v>
                  </c:pt>
                  <c:pt idx="31">
                    <c:v>200,13</c:v>
                  </c:pt>
                  <c:pt idx="32">
                    <c:v>200,25</c:v>
                  </c:pt>
                  <c:pt idx="35">
                    <c:v>105218,66</c:v>
                  </c:pt>
                </c:lvl>
                <c:lvl>
                  <c:pt idx="0">
                    <c:v>250,12</c:v>
                  </c:pt>
                  <c:pt idx="1">
                    <c:v>200,09</c:v>
                  </c:pt>
                  <c:pt idx="2">
                    <c:v>200,03</c:v>
                  </c:pt>
                  <c:pt idx="3">
                    <c:v>199,84</c:v>
                  </c:pt>
                  <c:pt idx="4">
                    <c:v>247,99</c:v>
                  </c:pt>
                  <c:pt idx="5">
                    <c:v>199,95</c:v>
                  </c:pt>
                  <c:pt idx="6">
                    <c:v>200,62</c:v>
                  </c:pt>
                  <c:pt idx="8">
                    <c:v>250,28</c:v>
                  </c:pt>
                  <c:pt idx="9">
                    <c:v>300,23</c:v>
                  </c:pt>
                  <c:pt idx="10">
                    <c:v>250,55</c:v>
                  </c:pt>
                  <c:pt idx="11">
                    <c:v>254,25</c:v>
                  </c:pt>
                  <c:pt idx="12">
                    <c:v>200,19</c:v>
                  </c:pt>
                  <c:pt idx="13">
                    <c:v>250,45</c:v>
                  </c:pt>
                  <c:pt idx="14">
                    <c:v>300,00</c:v>
                  </c:pt>
                  <c:pt idx="16">
                    <c:v>249,97</c:v>
                  </c:pt>
                  <c:pt idx="17">
                    <c:v>200,17</c:v>
                  </c:pt>
                  <c:pt idx="18">
                    <c:v>300,24</c:v>
                  </c:pt>
                  <c:pt idx="19">
                    <c:v>200,16</c:v>
                  </c:pt>
                  <c:pt idx="20">
                    <c:v>300,77</c:v>
                  </c:pt>
                  <c:pt idx="21">
                    <c:v>250,56</c:v>
                  </c:pt>
                  <c:pt idx="22">
                    <c:v>250,95</c:v>
                  </c:pt>
                  <c:pt idx="24">
                    <c:v>200,57</c:v>
                  </c:pt>
                  <c:pt idx="25">
                    <c:v>200,48</c:v>
                  </c:pt>
                  <c:pt idx="26">
                    <c:v>199,99</c:v>
                  </c:pt>
                  <c:pt idx="27">
                    <c:v>200,18</c:v>
                  </c:pt>
                  <c:pt idx="28">
                    <c:v>250,38</c:v>
                  </c:pt>
                  <c:pt idx="29">
                    <c:v>300,01</c:v>
                  </c:pt>
                  <c:pt idx="30">
                    <c:v>200,35</c:v>
                  </c:pt>
                  <c:pt idx="31">
                    <c:v>200,21</c:v>
                  </c:pt>
                  <c:pt idx="32">
                    <c:v>251,63</c:v>
                  </c:pt>
                  <c:pt idx="35">
                    <c:v>79268,83</c:v>
                  </c:pt>
                </c:lvl>
                <c:lvl>
                  <c:pt idx="0">
                    <c:v>321,22</c:v>
                  </c:pt>
                  <c:pt idx="1">
                    <c:v>150,02</c:v>
                  </c:pt>
                  <c:pt idx="2">
                    <c:v>201,08</c:v>
                  </c:pt>
                  <c:pt idx="3">
                    <c:v>250,28</c:v>
                  </c:pt>
                  <c:pt idx="4">
                    <c:v>250,85</c:v>
                  </c:pt>
                  <c:pt idx="5">
                    <c:v>300,04</c:v>
                  </c:pt>
                  <c:pt idx="6">
                    <c:v>200,64</c:v>
                  </c:pt>
                  <c:pt idx="8">
                    <c:v>200,65</c:v>
                  </c:pt>
                  <c:pt idx="9">
                    <c:v>250,15</c:v>
                  </c:pt>
                  <c:pt idx="10">
                    <c:v>300,36</c:v>
                  </c:pt>
                  <c:pt idx="11">
                    <c:v>200,26</c:v>
                  </c:pt>
                  <c:pt idx="12">
                    <c:v>250,35</c:v>
                  </c:pt>
                  <c:pt idx="13">
                    <c:v>200,41</c:v>
                  </c:pt>
                  <c:pt idx="14">
                    <c:v>350,57</c:v>
                  </c:pt>
                  <c:pt idx="16">
                    <c:v>200,28</c:v>
                  </c:pt>
                  <c:pt idx="17">
                    <c:v>250,27</c:v>
                  </c:pt>
                  <c:pt idx="18">
                    <c:v>250,01</c:v>
                  </c:pt>
                  <c:pt idx="19">
                    <c:v>250,31</c:v>
                  </c:pt>
                  <c:pt idx="20">
                    <c:v>250,28</c:v>
                  </c:pt>
                  <c:pt idx="21">
                    <c:v>200,65</c:v>
                  </c:pt>
                  <c:pt idx="22">
                    <c:v>200,14</c:v>
                  </c:pt>
                  <c:pt idx="24">
                    <c:v>300,34</c:v>
                  </c:pt>
                  <c:pt idx="25">
                    <c:v>203,09</c:v>
                  </c:pt>
                  <c:pt idx="26">
                    <c:v>299,90</c:v>
                  </c:pt>
                  <c:pt idx="27">
                    <c:v>250,34</c:v>
                  </c:pt>
                  <c:pt idx="28">
                    <c:v>250,47</c:v>
                  </c:pt>
                  <c:pt idx="29">
                    <c:v>250,94</c:v>
                  </c:pt>
                  <c:pt idx="30">
                    <c:v>350,33</c:v>
                  </c:pt>
                  <c:pt idx="31">
                    <c:v>300,30</c:v>
                  </c:pt>
                  <c:pt idx="32">
                    <c:v>250,16</c:v>
                  </c:pt>
                  <c:pt idx="35">
                    <c:v>76580,27</c:v>
                  </c:pt>
                </c:lvl>
                <c:lvl>
                  <c:pt idx="0">
                    <c:v>250,23</c:v>
                  </c:pt>
                  <c:pt idx="1">
                    <c:v>200,98</c:v>
                  </c:pt>
                  <c:pt idx="2">
                    <c:v>250,49</c:v>
                  </c:pt>
                  <c:pt idx="3">
                    <c:v>200,90</c:v>
                  </c:pt>
                  <c:pt idx="4">
                    <c:v>147,13</c:v>
                  </c:pt>
                  <c:pt idx="5">
                    <c:v>299,70</c:v>
                  </c:pt>
                  <c:pt idx="6">
                    <c:v>200,40</c:v>
                  </c:pt>
                  <c:pt idx="8">
                    <c:v>200,24</c:v>
                  </c:pt>
                  <c:pt idx="9">
                    <c:v>250,18</c:v>
                  </c:pt>
                  <c:pt idx="10">
                    <c:v>249,98</c:v>
                  </c:pt>
                  <c:pt idx="11">
                    <c:v>200,30</c:v>
                  </c:pt>
                  <c:pt idx="12">
                    <c:v>200,27</c:v>
                  </c:pt>
                  <c:pt idx="13">
                    <c:v>199,60</c:v>
                  </c:pt>
                  <c:pt idx="14">
                    <c:v>250,89</c:v>
                  </c:pt>
                  <c:pt idx="16">
                    <c:v>250,24</c:v>
                  </c:pt>
                  <c:pt idx="17">
                    <c:v>250,15</c:v>
                  </c:pt>
                  <c:pt idx="18">
                    <c:v>201,15</c:v>
                  </c:pt>
                  <c:pt idx="19">
                    <c:v>200,39</c:v>
                  </c:pt>
                  <c:pt idx="20">
                    <c:v>200,49</c:v>
                  </c:pt>
                  <c:pt idx="21">
                    <c:v>250,22</c:v>
                  </c:pt>
                  <c:pt idx="22">
                    <c:v>200,05</c:v>
                  </c:pt>
                  <c:pt idx="24">
                    <c:v>250,44</c:v>
                  </c:pt>
                  <c:pt idx="25">
                    <c:v>249,88</c:v>
                  </c:pt>
                  <c:pt idx="26">
                    <c:v>235,46</c:v>
                  </c:pt>
                  <c:pt idx="27">
                    <c:v>200,59</c:v>
                  </c:pt>
                  <c:pt idx="28">
                    <c:v>250,55</c:v>
                  </c:pt>
                  <c:pt idx="29">
                    <c:v>250,50</c:v>
                  </c:pt>
                  <c:pt idx="30">
                    <c:v>300,13</c:v>
                  </c:pt>
                  <c:pt idx="31">
                    <c:v>199,73</c:v>
                  </c:pt>
                  <c:pt idx="32">
                    <c:v>250,52</c:v>
                  </c:pt>
                  <c:pt idx="35">
                    <c:v>80253,12</c:v>
                  </c:pt>
                </c:lvl>
                <c:lvl>
                  <c:pt idx="0">
                    <c:v>150,16</c:v>
                  </c:pt>
                  <c:pt idx="1">
                    <c:v>99,82</c:v>
                  </c:pt>
                  <c:pt idx="2">
                    <c:v>146,00</c:v>
                  </c:pt>
                  <c:pt idx="3">
                    <c:v>100,63</c:v>
                  </c:pt>
                  <c:pt idx="4">
                    <c:v>FULL</c:v>
                  </c:pt>
                  <c:pt idx="5">
                    <c:v>199,68</c:v>
                  </c:pt>
                  <c:pt idx="6">
                    <c:v>200,35</c:v>
                  </c:pt>
                  <c:pt idx="8">
                    <c:v>250,31</c:v>
                  </c:pt>
                  <c:pt idx="9">
                    <c:v>200,22</c:v>
                  </c:pt>
                  <c:pt idx="10">
                    <c:v>200,19</c:v>
                  </c:pt>
                  <c:pt idx="11">
                    <c:v>250,56</c:v>
                  </c:pt>
                  <c:pt idx="12">
                    <c:v>200,27</c:v>
                  </c:pt>
                  <c:pt idx="13">
                    <c:v>201,22</c:v>
                  </c:pt>
                  <c:pt idx="14">
                    <c:v>250,70</c:v>
                  </c:pt>
                  <c:pt idx="16">
                    <c:v>200,39</c:v>
                  </c:pt>
                  <c:pt idx="17">
                    <c:v>200,48</c:v>
                  </c:pt>
                  <c:pt idx="18">
                    <c:v>249,98</c:v>
                  </c:pt>
                  <c:pt idx="19">
                    <c:v>200,20</c:v>
                  </c:pt>
                  <c:pt idx="20">
                    <c:v>250,12</c:v>
                  </c:pt>
                  <c:pt idx="21">
                    <c:v>250,24</c:v>
                  </c:pt>
                  <c:pt idx="22">
                    <c:v>250,95</c:v>
                  </c:pt>
                  <c:pt idx="24">
                    <c:v>250,37</c:v>
                  </c:pt>
                  <c:pt idx="25">
                    <c:v>199,71</c:v>
                  </c:pt>
                  <c:pt idx="26">
                    <c:v>200,43</c:v>
                  </c:pt>
                  <c:pt idx="27">
                    <c:v>201,39</c:v>
                  </c:pt>
                  <c:pt idx="28">
                    <c:v>250,03</c:v>
                  </c:pt>
                  <c:pt idx="29">
                    <c:v>250,80</c:v>
                  </c:pt>
                  <c:pt idx="30">
                    <c:v>200,15</c:v>
                  </c:pt>
                  <c:pt idx="31">
                    <c:v>250,14</c:v>
                  </c:pt>
                  <c:pt idx="32">
                    <c:v>301,03</c:v>
                  </c:pt>
                </c:lvl>
                <c:lvl>
                  <c:pt idx="0">
                    <c:v>254,05</c:v>
                  </c:pt>
                  <c:pt idx="1">
                    <c:v>250,44</c:v>
                  </c:pt>
                  <c:pt idx="2">
                    <c:v>299,86</c:v>
                  </c:pt>
                  <c:pt idx="3">
                    <c:v>250,79</c:v>
                  </c:pt>
                  <c:pt idx="4">
                    <c:v>296,47</c:v>
                  </c:pt>
                  <c:pt idx="5">
                    <c:v>300,12</c:v>
                  </c:pt>
                  <c:pt idx="6">
                    <c:v>200,30</c:v>
                  </c:pt>
                  <c:pt idx="8">
                    <c:v>211,77</c:v>
                  </c:pt>
                  <c:pt idx="9">
                    <c:v>300,05</c:v>
                  </c:pt>
                  <c:pt idx="10">
                    <c:v>200,33</c:v>
                  </c:pt>
                  <c:pt idx="11">
                    <c:v>250,25</c:v>
                  </c:pt>
                  <c:pt idx="12">
                    <c:v>250,40</c:v>
                  </c:pt>
                  <c:pt idx="13">
                    <c:v>201,70</c:v>
                  </c:pt>
                  <c:pt idx="14">
                    <c:v>350,80</c:v>
                  </c:pt>
                  <c:pt idx="16">
                    <c:v>200,44</c:v>
                  </c:pt>
                  <c:pt idx="17">
                    <c:v>200,28</c:v>
                  </c:pt>
                  <c:pt idx="18">
                    <c:v>248,76</c:v>
                  </c:pt>
                  <c:pt idx="19">
                    <c:v>200,21</c:v>
                  </c:pt>
                  <c:pt idx="20">
                    <c:v>251,36</c:v>
                  </c:pt>
                  <c:pt idx="21">
                    <c:v>300,12</c:v>
                  </c:pt>
                  <c:pt idx="22">
                    <c:v>251,00</c:v>
                  </c:pt>
                  <c:pt idx="24">
                    <c:v>200,18</c:v>
                  </c:pt>
                  <c:pt idx="25">
                    <c:v>199,79</c:v>
                  </c:pt>
                  <c:pt idx="26">
                    <c:v>299,76</c:v>
                  </c:pt>
                  <c:pt idx="27">
                    <c:v>200,39</c:v>
                  </c:pt>
                  <c:pt idx="28">
                    <c:v>300,13</c:v>
                  </c:pt>
                  <c:pt idx="29">
                    <c:v>250,21</c:v>
                  </c:pt>
                  <c:pt idx="30">
                    <c:v>250,51</c:v>
                  </c:pt>
                  <c:pt idx="31">
                    <c:v>200,26</c:v>
                  </c:pt>
                  <c:pt idx="32">
                    <c:v>250,35</c:v>
                  </c:pt>
                </c:lvl>
                <c:lvl>
                  <c:pt idx="0">
                    <c:v>250,53</c:v>
                  </c:pt>
                  <c:pt idx="1">
                    <c:v>150,08</c:v>
                  </c:pt>
                  <c:pt idx="2">
                    <c:v>250,09</c:v>
                  </c:pt>
                  <c:pt idx="3">
                    <c:v>250,30</c:v>
                  </c:pt>
                  <c:pt idx="4">
                    <c:v>300,45</c:v>
                  </c:pt>
                  <c:pt idx="5">
                    <c:v>250,49</c:v>
                  </c:pt>
                  <c:pt idx="6">
                    <c:v>200,45</c:v>
                  </c:pt>
                  <c:pt idx="8">
                    <c:v>251,09</c:v>
                  </c:pt>
                  <c:pt idx="9">
                    <c:v>250,76</c:v>
                  </c:pt>
                  <c:pt idx="10">
                    <c:v>200,29</c:v>
                  </c:pt>
                  <c:pt idx="11">
                    <c:v>200,12</c:v>
                  </c:pt>
                  <c:pt idx="12">
                    <c:v>200,13</c:v>
                  </c:pt>
                  <c:pt idx="13">
                    <c:v>200,59</c:v>
                  </c:pt>
                  <c:pt idx="14">
                    <c:v>249,99</c:v>
                  </c:pt>
                  <c:pt idx="16">
                    <c:v>203,48</c:v>
                  </c:pt>
                  <c:pt idx="17">
                    <c:v>300,12</c:v>
                  </c:pt>
                  <c:pt idx="18">
                    <c:v>200,00</c:v>
                  </c:pt>
                  <c:pt idx="19">
                    <c:v>250,67</c:v>
                  </c:pt>
                  <c:pt idx="20">
                    <c:v>250,40</c:v>
                  </c:pt>
                  <c:pt idx="21">
                    <c:v>350,26</c:v>
                  </c:pt>
                  <c:pt idx="22">
                    <c:v>200,24</c:v>
                  </c:pt>
                  <c:pt idx="24">
                    <c:v>250,33</c:v>
                  </c:pt>
                  <c:pt idx="25">
                    <c:v>199,50</c:v>
                  </c:pt>
                  <c:pt idx="26">
                    <c:v>250,71</c:v>
                  </c:pt>
                  <c:pt idx="27">
                    <c:v>200,25</c:v>
                  </c:pt>
                  <c:pt idx="28">
                    <c:v>250,50</c:v>
                  </c:pt>
                  <c:pt idx="29">
                    <c:v>200,51</c:v>
                  </c:pt>
                  <c:pt idx="30">
                    <c:v>150,41</c:v>
                  </c:pt>
                  <c:pt idx="31">
                    <c:v>FULL</c:v>
                  </c:pt>
                  <c:pt idx="32">
                    <c:v>250,90</c:v>
                  </c:pt>
                </c:lvl>
                <c:lvl>
                  <c:pt idx="0">
                    <c:v>160,45</c:v>
                  </c:pt>
                  <c:pt idx="1">
                    <c:v>101,31</c:v>
                  </c:pt>
                  <c:pt idx="2">
                    <c:v>250,39</c:v>
                  </c:pt>
                  <c:pt idx="3">
                    <c:v>200,29</c:v>
                  </c:pt>
                  <c:pt idx="4">
                    <c:v>248,85</c:v>
                  </c:pt>
                  <c:pt idx="5">
                    <c:v>250,32</c:v>
                  </c:pt>
                  <c:pt idx="6">
                    <c:v>350,14</c:v>
                  </c:pt>
                  <c:pt idx="8">
                    <c:v>100,09</c:v>
                  </c:pt>
                  <c:pt idx="9">
                    <c:v>200,49</c:v>
                  </c:pt>
                  <c:pt idx="10">
                    <c:v>200,64</c:v>
                  </c:pt>
                  <c:pt idx="11">
                    <c:v>200,49</c:v>
                  </c:pt>
                  <c:pt idx="12">
                    <c:v>250,38</c:v>
                  </c:pt>
                  <c:pt idx="13">
                    <c:v>200,60</c:v>
                  </c:pt>
                  <c:pt idx="14">
                    <c:v>300,58</c:v>
                  </c:pt>
                  <c:pt idx="16">
                    <c:v>200,41</c:v>
                  </c:pt>
                  <c:pt idx="17">
                    <c:v>300,01</c:v>
                  </c:pt>
                  <c:pt idx="18">
                    <c:v>235,89</c:v>
                  </c:pt>
                  <c:pt idx="19">
                    <c:v>150,72</c:v>
                  </c:pt>
                  <c:pt idx="20">
                    <c:v>FULL</c:v>
                  </c:pt>
                  <c:pt idx="21">
                    <c:v>200,41</c:v>
                  </c:pt>
                  <c:pt idx="22">
                    <c:v>200,43</c:v>
                  </c:pt>
                  <c:pt idx="24">
                    <c:v>250,14</c:v>
                  </c:pt>
                  <c:pt idx="25">
                    <c:v>251,10</c:v>
                  </c:pt>
                  <c:pt idx="26">
                    <c:v>251,38</c:v>
                  </c:pt>
                  <c:pt idx="27">
                    <c:v>250,41</c:v>
                  </c:pt>
                  <c:pt idx="28">
                    <c:v>200,20</c:v>
                  </c:pt>
                  <c:pt idx="29">
                    <c:v>251,27</c:v>
                  </c:pt>
                  <c:pt idx="30">
                    <c:v>250,44</c:v>
                  </c:pt>
                  <c:pt idx="31">
                    <c:v>130,35</c:v>
                  </c:pt>
                  <c:pt idx="32">
                    <c:v>250,50</c:v>
                  </c:pt>
                </c:lvl>
                <c:lvl>
                  <c:pt idx="0">
                    <c:v>200,46</c:v>
                  </c:pt>
                  <c:pt idx="1">
                    <c:v>149,95</c:v>
                  </c:pt>
                  <c:pt idx="2">
                    <c:v>200,14</c:v>
                  </c:pt>
                  <c:pt idx="3">
                    <c:v>250,99</c:v>
                  </c:pt>
                  <c:pt idx="4">
                    <c:v>251,25</c:v>
                  </c:pt>
                  <c:pt idx="5">
                    <c:v>200,20</c:v>
                  </c:pt>
                  <c:pt idx="6">
                    <c:v>200,30</c:v>
                  </c:pt>
                  <c:pt idx="8">
                    <c:v>250,86</c:v>
                  </c:pt>
                  <c:pt idx="9">
                    <c:v>200,32</c:v>
                  </c:pt>
                  <c:pt idx="10">
                    <c:v>300,37</c:v>
                  </c:pt>
                  <c:pt idx="11">
                    <c:v>250,19</c:v>
                  </c:pt>
                  <c:pt idx="12">
                    <c:v>100,38</c:v>
                  </c:pt>
                  <c:pt idx="13">
                    <c:v>245,49</c:v>
                  </c:pt>
                  <c:pt idx="14">
                    <c:v>200,80</c:v>
                  </c:pt>
                  <c:pt idx="16">
                    <c:v>200,18</c:v>
                  </c:pt>
                  <c:pt idx="17">
                    <c:v>211,39</c:v>
                  </c:pt>
                  <c:pt idx="18">
                    <c:v>299,54</c:v>
                  </c:pt>
                  <c:pt idx="19">
                    <c:v>200,18</c:v>
                  </c:pt>
                  <c:pt idx="20">
                    <c:v>201,06</c:v>
                  </c:pt>
                  <c:pt idx="21">
                    <c:v>300,26</c:v>
                  </c:pt>
                  <c:pt idx="22">
                    <c:v>200,05</c:v>
                  </c:pt>
                  <c:pt idx="24">
                    <c:v>250,26</c:v>
                  </c:pt>
                  <c:pt idx="25">
                    <c:v>200,26</c:v>
                  </c:pt>
                  <c:pt idx="26">
                    <c:v>250,27</c:v>
                  </c:pt>
                  <c:pt idx="27">
                    <c:v>200,22</c:v>
                  </c:pt>
                  <c:pt idx="28">
                    <c:v>250,26</c:v>
                  </c:pt>
                  <c:pt idx="29">
                    <c:v>250,44</c:v>
                  </c:pt>
                  <c:pt idx="30">
                    <c:v>247,65</c:v>
                  </c:pt>
                  <c:pt idx="31">
                    <c:v>200,73</c:v>
                  </c:pt>
                  <c:pt idx="32">
                    <c:v>200,35</c:v>
                  </c:pt>
                </c:lvl>
                <c:lvl>
                  <c:pt idx="0">
                    <c:v>189,48</c:v>
                  </c:pt>
                  <c:pt idx="1">
                    <c:v>250,20</c:v>
                  </c:pt>
                  <c:pt idx="2">
                    <c:v>300,21</c:v>
                  </c:pt>
                  <c:pt idx="3">
                    <c:v>250,28</c:v>
                  </c:pt>
                  <c:pt idx="4">
                    <c:v>242,01</c:v>
                  </c:pt>
                  <c:pt idx="5">
                    <c:v>201,12</c:v>
                  </c:pt>
                  <c:pt idx="6">
                    <c:v>200,21</c:v>
                  </c:pt>
                  <c:pt idx="8">
                    <c:v>150,63</c:v>
                  </c:pt>
                  <c:pt idx="9">
                    <c:v>200,16</c:v>
                  </c:pt>
                  <c:pt idx="10">
                    <c:v>250,50</c:v>
                  </c:pt>
                  <c:pt idx="11">
                    <c:v>200,42</c:v>
                  </c:pt>
                  <c:pt idx="12">
                    <c:v>150,47</c:v>
                  </c:pt>
                  <c:pt idx="13">
                    <c:v>200,39</c:v>
                  </c:pt>
                  <c:pt idx="14">
                    <c:v>200,19</c:v>
                  </c:pt>
                  <c:pt idx="16">
                    <c:v>199,58</c:v>
                  </c:pt>
                  <c:pt idx="17">
                    <c:v>250,47</c:v>
                  </c:pt>
                  <c:pt idx="18">
                    <c:v>200,46</c:v>
                  </c:pt>
                  <c:pt idx="19">
                    <c:v>200,22</c:v>
                  </c:pt>
                  <c:pt idx="20">
                    <c:v>200,48</c:v>
                  </c:pt>
                  <c:pt idx="21">
                    <c:v>250,29</c:v>
                  </c:pt>
                  <c:pt idx="22">
                    <c:v>320,17</c:v>
                  </c:pt>
                  <c:pt idx="24">
                    <c:v>250,36</c:v>
                  </c:pt>
                  <c:pt idx="25">
                    <c:v>250,91</c:v>
                  </c:pt>
                  <c:pt idx="26">
                    <c:v>250,68</c:v>
                  </c:pt>
                  <c:pt idx="27">
                    <c:v>200,46</c:v>
                  </c:pt>
                  <c:pt idx="28">
                    <c:v>250,40</c:v>
                  </c:pt>
                  <c:pt idx="29">
                    <c:v>300,66</c:v>
                  </c:pt>
                  <c:pt idx="30">
                    <c:v>200,53</c:v>
                  </c:pt>
                  <c:pt idx="31">
                    <c:v>FULL</c:v>
                  </c:pt>
                  <c:pt idx="32">
                    <c:v>250,31</c:v>
                  </c:pt>
                </c:lvl>
                <c:lvl>
                  <c:pt idx="0">
                    <c:v>200,34</c:v>
                  </c:pt>
                  <c:pt idx="1">
                    <c:v>350,00</c:v>
                  </c:pt>
                  <c:pt idx="2">
                    <c:v>200,46</c:v>
                  </c:pt>
                  <c:pt idx="3">
                    <c:v>200,90</c:v>
                  </c:pt>
                  <c:pt idx="4">
                    <c:v>200,17</c:v>
                  </c:pt>
                  <c:pt idx="5">
                    <c:v>300,03</c:v>
                  </c:pt>
                  <c:pt idx="6">
                    <c:v>200,52</c:v>
                  </c:pt>
                  <c:pt idx="8">
                    <c:v>200,53</c:v>
                  </c:pt>
                  <c:pt idx="9">
                    <c:v>250,42</c:v>
                  </c:pt>
                  <c:pt idx="10">
                    <c:v>200,34</c:v>
                  </c:pt>
                  <c:pt idx="11">
                    <c:v>200,49</c:v>
                  </c:pt>
                  <c:pt idx="12">
                    <c:v>200,52</c:v>
                  </c:pt>
                  <c:pt idx="13">
                    <c:v>200,26</c:v>
                  </c:pt>
                  <c:pt idx="14">
                    <c:v>151,08</c:v>
                  </c:pt>
                  <c:pt idx="16">
                    <c:v>200,66</c:v>
                  </c:pt>
                  <c:pt idx="17">
                    <c:v>FULL</c:v>
                  </c:pt>
                  <c:pt idx="18">
                    <c:v>207,88</c:v>
                  </c:pt>
                  <c:pt idx="19">
                    <c:v>200,96</c:v>
                  </c:pt>
                  <c:pt idx="20">
                    <c:v>200,32</c:v>
                  </c:pt>
                  <c:pt idx="21">
                    <c:v>200,88</c:v>
                  </c:pt>
                  <c:pt idx="22">
                    <c:v>265,65</c:v>
                  </c:pt>
                  <c:pt idx="24">
                    <c:v>208,85</c:v>
                  </c:pt>
                  <c:pt idx="25">
                    <c:v>200,30</c:v>
                  </c:pt>
                  <c:pt idx="26">
                    <c:v>200,22</c:v>
                  </c:pt>
                  <c:pt idx="27">
                    <c:v>199,99</c:v>
                  </c:pt>
                  <c:pt idx="28">
                    <c:v>200,35</c:v>
                  </c:pt>
                  <c:pt idx="29">
                    <c:v>200,36</c:v>
                  </c:pt>
                  <c:pt idx="30">
                    <c:v>149,93</c:v>
                  </c:pt>
                  <c:pt idx="31">
                    <c:v>200,27</c:v>
                  </c:pt>
                  <c:pt idx="32">
                    <c:v>238,26</c:v>
                  </c:pt>
                </c:lvl>
                <c:lvl>
                  <c:pt idx="0">
                    <c:v>300,25</c:v>
                  </c:pt>
                  <c:pt idx="1">
                    <c:v>250,14</c:v>
                  </c:pt>
                  <c:pt idx="2">
                    <c:v>450,23</c:v>
                  </c:pt>
                  <c:pt idx="3">
                    <c:v>300,44</c:v>
                  </c:pt>
                  <c:pt idx="4">
                    <c:v>298,90</c:v>
                  </c:pt>
                  <c:pt idx="5">
                    <c:v>300,21</c:v>
                  </c:pt>
                  <c:pt idx="6">
                    <c:v>300,28</c:v>
                  </c:pt>
                  <c:pt idx="8">
                    <c:v>300,21</c:v>
                  </c:pt>
                  <c:pt idx="9">
                    <c:v>150,94</c:v>
                  </c:pt>
                  <c:pt idx="10">
                    <c:v>400,57</c:v>
                  </c:pt>
                  <c:pt idx="11">
                    <c:v>300,44</c:v>
                  </c:pt>
                  <c:pt idx="12">
                    <c:v>201,26</c:v>
                  </c:pt>
                  <c:pt idx="13">
                    <c:v>300,62</c:v>
                  </c:pt>
                  <c:pt idx="14">
                    <c:v>300,44</c:v>
                  </c:pt>
                  <c:pt idx="16">
                    <c:v>250,18</c:v>
                  </c:pt>
                  <c:pt idx="17">
                    <c:v>300,26</c:v>
                  </c:pt>
                  <c:pt idx="18">
                    <c:v>352,34</c:v>
                  </c:pt>
                  <c:pt idx="19">
                    <c:v>300,52</c:v>
                  </c:pt>
                  <c:pt idx="20">
                    <c:v>286,78</c:v>
                  </c:pt>
                  <c:pt idx="21">
                    <c:v>300,24</c:v>
                  </c:pt>
                  <c:pt idx="22">
                    <c:v>312,18</c:v>
                  </c:pt>
                  <c:pt idx="24">
                    <c:v>400,00</c:v>
                  </c:pt>
                  <c:pt idx="25">
                    <c:v>302,09</c:v>
                  </c:pt>
                  <c:pt idx="26">
                    <c:v>399,93</c:v>
                  </c:pt>
                  <c:pt idx="27">
                    <c:v>300,55</c:v>
                  </c:pt>
                  <c:pt idx="28">
                    <c:v>299,78</c:v>
                  </c:pt>
                  <c:pt idx="29">
                    <c:v>400,03</c:v>
                  </c:pt>
                  <c:pt idx="30">
                    <c:v>350,33</c:v>
                  </c:pt>
                  <c:pt idx="31">
                    <c:v>300,15</c:v>
                  </c:pt>
                  <c:pt idx="32">
                    <c:v>300,23</c:v>
                  </c:pt>
                </c:lvl>
                <c:lvl>
                  <c:pt idx="0">
                    <c:v>289,32</c:v>
                  </c:pt>
                  <c:pt idx="1">
                    <c:v>301,93</c:v>
                  </c:pt>
                  <c:pt idx="2">
                    <c:v>299,50</c:v>
                  </c:pt>
                  <c:pt idx="3">
                    <c:v>299,90</c:v>
                  </c:pt>
                  <c:pt idx="4">
                    <c:v>300,29</c:v>
                  </c:pt>
                  <c:pt idx="5">
                    <c:v>400,89</c:v>
                  </c:pt>
                  <c:pt idx="6">
                    <c:v>300,00</c:v>
                  </c:pt>
                  <c:pt idx="8">
                    <c:v>300,01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356,96</c:v>
                  </c:pt>
                  <c:pt idx="31">
                    <c:v>132,87</c:v>
                  </c:pt>
                  <c:pt idx="32">
                    <c:v>282,61</c:v>
                  </c:pt>
                </c:lvl>
                <c:lvl>
                  <c:pt idx="0">
                    <c:v>15,24</c:v>
                  </c:pt>
                  <c:pt idx="1">
                    <c:v>170,95</c:v>
                  </c:pt>
                  <c:pt idx="2">
                    <c:v>300,06</c:v>
                  </c:pt>
                  <c:pt idx="3">
                    <c:v>299,90</c:v>
                  </c:pt>
                  <c:pt idx="4">
                    <c:v>271,39</c:v>
                  </c:pt>
                  <c:pt idx="5">
                    <c:v>200,33</c:v>
                  </c:pt>
                  <c:pt idx="6">
                    <c:v>300,39</c:v>
                  </c:pt>
                  <c:pt idx="8">
                    <c:v>275,77</c:v>
                  </c:pt>
                  <c:pt idx="9">
                    <c:v>350,84</c:v>
                  </c:pt>
                  <c:pt idx="10">
                    <c:v>316,31</c:v>
                  </c:pt>
                  <c:pt idx="11">
                    <c:v>250,32</c:v>
                  </c:pt>
                  <c:pt idx="12">
                    <c:v>300,76</c:v>
                  </c:pt>
                  <c:pt idx="13">
                    <c:v>317,46</c:v>
                  </c:pt>
                  <c:pt idx="14">
                    <c:v>296,90</c:v>
                  </c:pt>
                  <c:pt idx="16">
                    <c:v>279,43</c:v>
                  </c:pt>
                  <c:pt idx="17">
                    <c:v>262,75</c:v>
                  </c:pt>
                  <c:pt idx="18">
                    <c:v>303,69</c:v>
                  </c:pt>
                  <c:pt idx="19">
                    <c:v>299,91</c:v>
                  </c:pt>
                  <c:pt idx="20">
                    <c:v>320,74</c:v>
                  </c:pt>
                  <c:pt idx="21">
                    <c:v>300,12</c:v>
                  </c:pt>
                  <c:pt idx="22">
                    <c:v>300,24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499,41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263,45</c:v>
                  </c:pt>
                  <c:pt idx="4">
                    <c:v>293,16</c:v>
                  </c:pt>
                  <c:pt idx="5">
                    <c:v>350,37</c:v>
                  </c:pt>
                  <c:pt idx="6">
                    <c:v>300,75</c:v>
                  </c:pt>
                  <c:pt idx="8">
                    <c:v>300,02</c:v>
                  </c:pt>
                  <c:pt idx="9">
                    <c:v>300,65</c:v>
                  </c:pt>
                  <c:pt idx="10">
                    <c:v>381,17</c:v>
                  </c:pt>
                  <c:pt idx="11">
                    <c:v>274,23</c:v>
                  </c:pt>
                  <c:pt idx="12">
                    <c:v>300,95</c:v>
                  </c:pt>
                  <c:pt idx="13">
                    <c:v>310,59</c:v>
                  </c:pt>
                  <c:pt idx="14">
                    <c:v>239,48</c:v>
                  </c:pt>
                  <c:pt idx="16">
                    <c:v>318,34</c:v>
                  </c:pt>
                  <c:pt idx="17">
                    <c:v>300,27</c:v>
                  </c:pt>
                  <c:pt idx="18">
                    <c:v>287,59</c:v>
                  </c:pt>
                  <c:pt idx="19">
                    <c:v>235,38</c:v>
                  </c:pt>
                  <c:pt idx="20">
                    <c:v>299,88</c:v>
                  </c:pt>
                  <c:pt idx="21">
                    <c:v>313,83</c:v>
                  </c:pt>
                  <c:pt idx="22">
                    <c:v>301,01</c:v>
                  </c:pt>
                  <c:pt idx="24">
                    <c:v>295,99</c:v>
                  </c:pt>
                  <c:pt idx="25">
                    <c:v>283,18</c:v>
                  </c:pt>
                  <c:pt idx="26">
                    <c:v>250,45</c:v>
                  </c:pt>
                  <c:pt idx="27">
                    <c:v>391,60</c:v>
                  </c:pt>
                  <c:pt idx="28">
                    <c:v>269,42</c:v>
                  </c:pt>
                  <c:pt idx="29">
                    <c:v>297,84</c:v>
                  </c:pt>
                  <c:pt idx="30">
                    <c:v>246,25</c:v>
                  </c:pt>
                  <c:pt idx="31">
                    <c:v>236,30</c:v>
                  </c:pt>
                  <c:pt idx="32">
                    <c:v>282,40</c:v>
                  </c:pt>
                </c:lvl>
                <c:lvl>
                  <c:pt idx="0">
                    <c:v>329,28</c:v>
                  </c:pt>
                  <c:pt idx="1">
                    <c:v>299,99</c:v>
                  </c:pt>
                  <c:pt idx="2">
                    <c:v>267,65</c:v>
                  </c:pt>
                  <c:pt idx="3">
                    <c:v>300,54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471,60</c:v>
                  </c:pt>
                  <c:pt idx="21">
                    <c:v>202,95</c:v>
                  </c:pt>
                  <c:pt idx="22">
                    <c:v>268,66</c:v>
                  </c:pt>
                  <c:pt idx="24">
                    <c:v>400,50</c:v>
                  </c:pt>
                  <c:pt idx="25">
                    <c:v>327,97</c:v>
                  </c:pt>
                  <c:pt idx="26">
                    <c:v>218,34</c:v>
                  </c:pt>
                  <c:pt idx="27">
                    <c:v>280,29</c:v>
                  </c:pt>
                  <c:pt idx="28">
                    <c:v>250,07</c:v>
                  </c:pt>
                  <c:pt idx="29">
                    <c:v>250,22</c:v>
                  </c:pt>
                  <c:pt idx="30">
                    <c:v>399,98</c:v>
                  </c:pt>
                  <c:pt idx="31">
                    <c:v>242,84</c:v>
                  </c:pt>
                  <c:pt idx="32">
                    <c:v>309,72</c:v>
                  </c:pt>
                </c:lvl>
                <c:lvl>
                  <c:pt idx="0">
                    <c:v>269,19</c:v>
                  </c:pt>
                  <c:pt idx="1">
                    <c:v>261,76</c:v>
                  </c:pt>
                  <c:pt idx="2">
                    <c:v>190,88</c:v>
                  </c:pt>
                  <c:pt idx="3">
                    <c:v>273,66</c:v>
                  </c:pt>
                  <c:pt idx="4">
                    <c:v>281,89</c:v>
                  </c:pt>
                  <c:pt idx="5">
                    <c:v>255,39</c:v>
                  </c:pt>
                  <c:pt idx="6">
                    <c:v>272,28</c:v>
                  </c:pt>
                  <c:pt idx="8">
                    <c:v>247,13</c:v>
                  </c:pt>
                  <c:pt idx="9">
                    <c:v>256,05</c:v>
                  </c:pt>
                  <c:pt idx="10">
                    <c:v>260,53</c:v>
                  </c:pt>
                  <c:pt idx="11">
                    <c:v>255,44</c:v>
                  </c:pt>
                  <c:pt idx="12">
                    <c:v>244,99</c:v>
                  </c:pt>
                  <c:pt idx="13">
                    <c:v>283,96</c:v>
                  </c:pt>
                  <c:pt idx="14">
                    <c:v>243,27</c:v>
                  </c:pt>
                  <c:pt idx="16">
                    <c:v>243,42</c:v>
                  </c:pt>
                  <c:pt idx="17">
                    <c:v>272,97</c:v>
                  </c:pt>
                  <c:pt idx="18">
                    <c:v>273,68</c:v>
                  </c:pt>
                  <c:pt idx="19">
                    <c:v>251,90</c:v>
                  </c:pt>
                  <c:pt idx="20">
                    <c:v>269,94</c:v>
                  </c:pt>
                  <c:pt idx="21">
                    <c:v>257,13</c:v>
                  </c:pt>
                  <c:pt idx="22">
                    <c:v>241,13</c:v>
                  </c:pt>
                  <c:pt idx="24">
                    <c:v>400,37</c:v>
                  </c:pt>
                  <c:pt idx="25">
                    <c:v>269,33</c:v>
                  </c:pt>
                  <c:pt idx="26">
                    <c:v>250,07</c:v>
                  </c:pt>
                  <c:pt idx="27">
                    <c:v>285,47</c:v>
                  </c:pt>
                  <c:pt idx="28">
                    <c:v>271,12</c:v>
                  </c:pt>
                  <c:pt idx="29">
                    <c:v>248,97</c:v>
                  </c:pt>
                  <c:pt idx="30">
                    <c:v>249,99</c:v>
                  </c:pt>
                  <c:pt idx="31">
                    <c:v>266,40</c:v>
                  </c:pt>
                  <c:pt idx="32">
                    <c:v>280,49</c:v>
                  </c:pt>
                </c:lvl>
                <c:lvl>
                  <c:pt idx="0">
                    <c:v>323,06</c:v>
                  </c:pt>
                  <c:pt idx="1">
                    <c:v>227,24</c:v>
                  </c:pt>
                  <c:pt idx="2">
                    <c:v>321,28</c:v>
                  </c:pt>
                  <c:pt idx="3">
                    <c:v>300,49</c:v>
                  </c:pt>
                  <c:pt idx="4">
                    <c:v>417,27</c:v>
                  </c:pt>
                  <c:pt idx="5">
                    <c:v>252,97</c:v>
                  </c:pt>
                  <c:pt idx="6">
                    <c:v>217,63</c:v>
                  </c:pt>
                  <c:pt idx="8">
                    <c:v>227,02</c:v>
                  </c:pt>
                  <c:pt idx="9">
                    <c:v>300,31</c:v>
                  </c:pt>
                  <c:pt idx="10">
                    <c:v>328,04</c:v>
                  </c:pt>
                  <c:pt idx="11">
                    <c:v>334,07</c:v>
                  </c:pt>
                  <c:pt idx="12">
                    <c:v>337,05</c:v>
                  </c:pt>
                  <c:pt idx="13">
                    <c:v>306,72</c:v>
                  </c:pt>
                  <c:pt idx="14">
                    <c:v>377,90</c:v>
                  </c:pt>
                  <c:pt idx="16">
                    <c:v>374,38</c:v>
                  </c:pt>
                  <c:pt idx="17">
                    <c:v>258,53</c:v>
                  </c:pt>
                  <c:pt idx="18">
                    <c:v>308,15</c:v>
                  </c:pt>
                  <c:pt idx="19">
                    <c:v>339,92</c:v>
                  </c:pt>
                  <c:pt idx="20">
                    <c:v>350,48</c:v>
                  </c:pt>
                  <c:pt idx="21">
                    <c:v>322,15</c:v>
                  </c:pt>
                  <c:pt idx="22">
                    <c:v>345,03</c:v>
                  </c:pt>
                  <c:pt idx="24">
                    <c:v>300,22</c:v>
                  </c:pt>
                  <c:pt idx="25">
                    <c:v>316,54</c:v>
                  </c:pt>
                  <c:pt idx="26">
                    <c:v>54,58</c:v>
                  </c:pt>
                  <c:pt idx="27">
                    <c:v>284,87</c:v>
                  </c:pt>
                  <c:pt idx="28">
                    <c:v>352,01</c:v>
                  </c:pt>
                  <c:pt idx="29">
                    <c:v>300,02</c:v>
                  </c:pt>
                  <c:pt idx="30">
                    <c:v>350,27</c:v>
                  </c:pt>
                  <c:pt idx="31">
                    <c:v>249,30</c:v>
                  </c:pt>
                  <c:pt idx="32">
                    <c:v>88,29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400,20</c:v>
                  </c:pt>
                  <c:pt idx="1">
                    <c:v>379,81</c:v>
                  </c:pt>
                  <c:pt idx="2">
                    <c:v>420,92</c:v>
                  </c:pt>
                  <c:pt idx="3">
                    <c:v>351,52</c:v>
                  </c:pt>
                  <c:pt idx="4">
                    <c:v>352,22</c:v>
                  </c:pt>
                  <c:pt idx="5">
                    <c:v>400,01</c:v>
                  </c:pt>
                  <c:pt idx="6">
                    <c:v>400,05</c:v>
                  </c:pt>
                  <c:pt idx="8">
                    <c:v>250,02</c:v>
                  </c:pt>
                  <c:pt idx="9">
                    <c:v>FULL</c:v>
                  </c:pt>
                  <c:pt idx="10">
                    <c:v>150,26</c:v>
                  </c:pt>
                  <c:pt idx="11">
                    <c:v>FULL</c:v>
                  </c:pt>
                  <c:pt idx="12">
                    <c:v>349,92</c:v>
                  </c:pt>
                  <c:pt idx="13">
                    <c:v>FULL</c:v>
                  </c:pt>
                  <c:pt idx="14">
                    <c:v>250,26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97,07</c:v>
                  </c:pt>
                  <c:pt idx="19">
                    <c:v>130,06</c:v>
                  </c:pt>
                  <c:pt idx="20">
                    <c:v>500,18</c:v>
                  </c:pt>
                  <c:pt idx="21">
                    <c:v>500,02</c:v>
                  </c:pt>
                  <c:pt idx="22">
                    <c:v>400,39</c:v>
                  </c:pt>
                  <c:pt idx="24">
                    <c:v>400,48</c:v>
                  </c:pt>
                  <c:pt idx="25">
                    <c:v>500,53</c:v>
                  </c:pt>
                  <c:pt idx="26">
                    <c:v>500,25</c:v>
                  </c:pt>
                  <c:pt idx="27">
                    <c:v>399,51</c:v>
                  </c:pt>
                  <c:pt idx="28">
                    <c:v>500,23</c:v>
                  </c:pt>
                  <c:pt idx="29">
                    <c:v>500,47</c:v>
                  </c:pt>
                  <c:pt idx="30">
                    <c:v>365,65</c:v>
                  </c:pt>
                  <c:pt idx="31">
                    <c:v>334,00</c:v>
                  </c:pt>
                  <c:pt idx="32">
                    <c:v>500,65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400,79</c:v>
                  </c:pt>
                  <c:pt idx="1">
                    <c:v>131,06</c:v>
                  </c:pt>
                  <c:pt idx="2">
                    <c:v>320,69</c:v>
                  </c:pt>
                  <c:pt idx="3">
                    <c:v>456,08</c:v>
                  </c:pt>
                  <c:pt idx="4">
                    <c:v>FULL</c:v>
                  </c:pt>
                  <c:pt idx="5">
                    <c:v>400,14</c:v>
                  </c:pt>
                  <c:pt idx="6">
                    <c:v>350,22</c:v>
                  </c:pt>
                  <c:pt idx="8">
                    <c:v>450,36</c:v>
                  </c:pt>
                  <c:pt idx="9">
                    <c:v>400,60</c:v>
                  </c:pt>
                  <c:pt idx="10">
                    <c:v>500,23</c:v>
                  </c:pt>
                  <c:pt idx="11">
                    <c:v>400,54</c:v>
                  </c:pt>
                  <c:pt idx="12">
                    <c:v>350,67</c:v>
                  </c:pt>
                  <c:pt idx="13">
                    <c:v>300,71</c:v>
                  </c:pt>
                  <c:pt idx="14">
                    <c:v>503,25</c:v>
                  </c:pt>
                  <c:pt idx="16">
                    <c:v>300,24</c:v>
                  </c:pt>
                  <c:pt idx="17">
                    <c:v>300,19</c:v>
                  </c:pt>
                  <c:pt idx="18">
                    <c:v>273,45</c:v>
                  </c:pt>
                  <c:pt idx="19">
                    <c:v>300,07</c:v>
                  </c:pt>
                  <c:pt idx="20">
                    <c:v>350,33</c:v>
                  </c:pt>
                  <c:pt idx="21">
                    <c:v>350,34</c:v>
                  </c:pt>
                  <c:pt idx="22">
                    <c:v>300,13</c:v>
                  </c:pt>
                  <c:pt idx="24">
                    <c:v>200,21</c:v>
                  </c:pt>
                  <c:pt idx="25">
                    <c:v>351,07</c:v>
                  </c:pt>
                  <c:pt idx="26">
                    <c:v>350,46</c:v>
                  </c:pt>
                  <c:pt idx="27">
                    <c:v>400,06</c:v>
                  </c:pt>
                  <c:pt idx="28">
                    <c:v>400,10</c:v>
                  </c:pt>
                  <c:pt idx="29">
                    <c:v>350,22</c:v>
                  </c:pt>
                  <c:pt idx="30">
                    <c:v>350,20</c:v>
                  </c:pt>
                  <c:pt idx="31">
                    <c:v>300,37</c:v>
                  </c:pt>
                  <c:pt idx="32">
                    <c:v>300,25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299,94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250,88</c:v>
                  </c:pt>
                  <c:pt idx="10">
                    <c:v>400,21</c:v>
                  </c:pt>
                  <c:pt idx="11">
                    <c:v>300,58</c:v>
                  </c:pt>
                  <c:pt idx="12">
                    <c:v>268,81</c:v>
                  </c:pt>
                  <c:pt idx="13">
                    <c:v>310,58</c:v>
                  </c:pt>
                  <c:pt idx="14">
                    <c:v>380,46</c:v>
                  </c:pt>
                  <c:pt idx="16">
                    <c:v>199,95</c:v>
                  </c:pt>
                  <c:pt idx="17">
                    <c:v>300,86</c:v>
                  </c:pt>
                  <c:pt idx="18">
                    <c:v>168,72</c:v>
                  </c:pt>
                  <c:pt idx="19">
                    <c:v>FULL</c:v>
                  </c:pt>
                  <c:pt idx="20">
                    <c:v>250,01</c:v>
                  </c:pt>
                  <c:pt idx="21">
                    <c:v>FULL</c:v>
                  </c:pt>
                  <c:pt idx="22">
                    <c:v>352,67</c:v>
                  </c:pt>
                  <c:pt idx="24">
                    <c:v>150,62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300,10</c:v>
                  </c:pt>
                  <c:pt idx="29">
                    <c:v>100,01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400,46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300,34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350,81</c:v>
                  </c:pt>
                  <c:pt idx="10">
                    <c:v>350,48</c:v>
                  </c:pt>
                  <c:pt idx="11">
                    <c:v>269,22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299,88</c:v>
                  </c:pt>
                  <c:pt idx="1">
                    <c:v>230,78</c:v>
                  </c:pt>
                  <c:pt idx="2">
                    <c:v>333,84</c:v>
                  </c:pt>
                  <c:pt idx="3">
                    <c:v>278,99</c:v>
                  </c:pt>
                  <c:pt idx="4">
                    <c:v>89,87</c:v>
                  </c:pt>
                  <c:pt idx="5">
                    <c:v>401,11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10,83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299,97</c:v>
                  </c:pt>
                  <c:pt idx="26">
                    <c:v>301,29</c:v>
                  </c:pt>
                  <c:pt idx="27">
                    <c:v>258,15</c:v>
                  </c:pt>
                  <c:pt idx="28">
                    <c:v>400,22</c:v>
                  </c:pt>
                  <c:pt idx="29">
                    <c:v>117,26</c:v>
                  </c:pt>
                  <c:pt idx="30">
                    <c:v>300,13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323,06</c:v>
                  </c:pt>
                  <c:pt idx="1">
                    <c:v>299,98</c:v>
                  </c:pt>
                  <c:pt idx="2">
                    <c:v>200,74</c:v>
                  </c:pt>
                  <c:pt idx="3">
                    <c:v>192,08</c:v>
                  </c:pt>
                  <c:pt idx="4">
                    <c:v>226,39</c:v>
                  </c:pt>
                  <c:pt idx="5">
                    <c:v>399,85</c:v>
                  </c:pt>
                  <c:pt idx="6">
                    <c:v>350,18</c:v>
                  </c:pt>
                  <c:pt idx="8">
                    <c:v>200,39</c:v>
                  </c:pt>
                  <c:pt idx="9">
                    <c:v>251,86</c:v>
                  </c:pt>
                  <c:pt idx="10">
                    <c:v>250,32</c:v>
                  </c:pt>
                  <c:pt idx="11">
                    <c:v>249,98</c:v>
                  </c:pt>
                  <c:pt idx="12">
                    <c:v>200,22</c:v>
                  </c:pt>
                  <c:pt idx="13">
                    <c:v>200,91</c:v>
                  </c:pt>
                  <c:pt idx="14">
                    <c:v>251,15</c:v>
                  </c:pt>
                  <c:pt idx="16">
                    <c:v>250,31</c:v>
                  </c:pt>
                  <c:pt idx="17">
                    <c:v>250,23</c:v>
                  </c:pt>
                  <c:pt idx="18">
                    <c:v>250,46</c:v>
                  </c:pt>
                  <c:pt idx="19">
                    <c:v>200,29</c:v>
                  </c:pt>
                  <c:pt idx="20">
                    <c:v>300,44</c:v>
                  </c:pt>
                  <c:pt idx="21">
                    <c:v>150,65</c:v>
                  </c:pt>
                  <c:pt idx="22">
                    <c:v>249,94</c:v>
                  </c:pt>
                  <c:pt idx="24">
                    <c:v>250,37</c:v>
                  </c:pt>
                  <c:pt idx="25">
                    <c:v>200,14</c:v>
                  </c:pt>
                  <c:pt idx="26">
                    <c:v>150,69</c:v>
                  </c:pt>
                  <c:pt idx="27">
                    <c:v>250,55</c:v>
                  </c:pt>
                  <c:pt idx="28">
                    <c:v>250,14</c:v>
                  </c:pt>
                  <c:pt idx="29">
                    <c:v>250,46</c:v>
                  </c:pt>
                  <c:pt idx="30">
                    <c:v>200,51</c:v>
                  </c:pt>
                  <c:pt idx="31">
                    <c:v>199,78</c:v>
                  </c:pt>
                  <c:pt idx="32">
                    <c:v>300,39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500,51</c:v>
                  </c:pt>
                  <c:pt idx="4">
                    <c:v>338,26</c:v>
                  </c:pt>
                  <c:pt idx="5">
                    <c:v>400,01</c:v>
                  </c:pt>
                  <c:pt idx="6">
                    <c:v>400,09</c:v>
                  </c:pt>
                  <c:pt idx="8">
                    <c:v>200,59</c:v>
                  </c:pt>
                  <c:pt idx="9">
                    <c:v>269,98</c:v>
                  </c:pt>
                  <c:pt idx="10">
                    <c:v>239,05</c:v>
                  </c:pt>
                  <c:pt idx="11">
                    <c:v>240,66</c:v>
                  </c:pt>
                  <c:pt idx="12">
                    <c:v>100,47</c:v>
                  </c:pt>
                  <c:pt idx="13">
                    <c:v>150,27</c:v>
                  </c:pt>
                  <c:pt idx="14">
                    <c:v>249,33</c:v>
                  </c:pt>
                  <c:pt idx="16">
                    <c:v>264,13</c:v>
                  </c:pt>
                  <c:pt idx="17">
                    <c:v>161,54</c:v>
                  </c:pt>
                  <c:pt idx="18">
                    <c:v>329,41</c:v>
                  </c:pt>
                  <c:pt idx="19">
                    <c:v>150,26</c:v>
                  </c:pt>
                  <c:pt idx="20">
                    <c:v>250,55</c:v>
                  </c:pt>
                  <c:pt idx="21">
                    <c:v>FULL</c:v>
                  </c:pt>
                  <c:pt idx="22">
                    <c:v>359,62</c:v>
                  </c:pt>
                  <c:pt idx="24">
                    <c:v>250,50</c:v>
                  </c:pt>
                  <c:pt idx="25">
                    <c:v>402,85</c:v>
                  </c:pt>
                  <c:pt idx="26">
                    <c:v>300,33</c:v>
                  </c:pt>
                  <c:pt idx="27">
                    <c:v>277,28</c:v>
                  </c:pt>
                  <c:pt idx="28">
                    <c:v>400,24</c:v>
                  </c:pt>
                  <c:pt idx="29">
                    <c:v>237,32</c:v>
                  </c:pt>
                  <c:pt idx="30">
                    <c:v>400,65</c:v>
                  </c:pt>
                  <c:pt idx="31">
                    <c:v>385,22</c:v>
                  </c:pt>
                  <c:pt idx="32">
                    <c:v>156,17</c:v>
                  </c:pt>
                </c:lvl>
                <c:lvl>
                  <c:pt idx="0">
                    <c:v>199,93</c:v>
                  </c:pt>
                  <c:pt idx="1">
                    <c:v>300,06</c:v>
                  </c:pt>
                  <c:pt idx="2">
                    <c:v>300,13</c:v>
                  </c:pt>
                  <c:pt idx="3">
                    <c:v>250,74</c:v>
                  </c:pt>
                  <c:pt idx="4">
                    <c:v>209,70</c:v>
                  </c:pt>
                  <c:pt idx="5">
                    <c:v>FULL</c:v>
                  </c:pt>
                  <c:pt idx="6">
                    <c:v>400,05</c:v>
                  </c:pt>
                  <c:pt idx="8">
                    <c:v>150,38</c:v>
                  </c:pt>
                  <c:pt idx="9">
                    <c:v>299,91</c:v>
                  </c:pt>
                  <c:pt idx="10">
                    <c:v>500,35</c:v>
                  </c:pt>
                  <c:pt idx="11">
                    <c:v>400,54</c:v>
                  </c:pt>
                  <c:pt idx="12">
                    <c:v>150,28</c:v>
                  </c:pt>
                  <c:pt idx="13">
                    <c:v>350,97</c:v>
                  </c:pt>
                  <c:pt idx="14">
                    <c:v>250,73</c:v>
                  </c:pt>
                  <c:pt idx="16">
                    <c:v>FULL</c:v>
                  </c:pt>
                  <c:pt idx="17">
                    <c:v>300,16</c:v>
                  </c:pt>
                  <c:pt idx="18">
                    <c:v>351,43</c:v>
                  </c:pt>
                  <c:pt idx="19">
                    <c:v>250,39</c:v>
                  </c:pt>
                  <c:pt idx="20">
                    <c:v>350,34</c:v>
                  </c:pt>
                  <c:pt idx="21">
                    <c:v>250,14</c:v>
                  </c:pt>
                  <c:pt idx="22">
                    <c:v>248,77</c:v>
                  </c:pt>
                  <c:pt idx="24">
                    <c:v>400,83</c:v>
                  </c:pt>
                  <c:pt idx="25">
                    <c:v>214,45</c:v>
                  </c:pt>
                  <c:pt idx="26">
                    <c:v>200,19</c:v>
                  </c:pt>
                  <c:pt idx="27">
                    <c:v>299,79</c:v>
                  </c:pt>
                  <c:pt idx="28">
                    <c:v>250,34</c:v>
                  </c:pt>
                  <c:pt idx="29">
                    <c:v>250,55</c:v>
                  </c:pt>
                  <c:pt idx="30">
                    <c:v>250,42</c:v>
                  </c:pt>
                  <c:pt idx="31">
                    <c:v>249,51</c:v>
                  </c:pt>
                  <c:pt idx="32">
                    <c:v>251,06</c:v>
                  </c:pt>
                </c:lvl>
                <c:lvl>
                  <c:pt idx="0">
                    <c:v>299,87</c:v>
                  </c:pt>
                  <c:pt idx="1">
                    <c:v>300,08</c:v>
                  </c:pt>
                  <c:pt idx="2">
                    <c:v>299,94</c:v>
                  </c:pt>
                  <c:pt idx="3">
                    <c:v>200,94</c:v>
                  </c:pt>
                  <c:pt idx="4">
                    <c:v>278,18</c:v>
                  </c:pt>
                  <c:pt idx="5">
                    <c:v>399,99</c:v>
                  </c:pt>
                  <c:pt idx="6">
                    <c:v>349,98</c:v>
                  </c:pt>
                  <c:pt idx="8">
                    <c:v>300,01</c:v>
                  </c:pt>
                  <c:pt idx="9">
                    <c:v>299,93</c:v>
                  </c:pt>
                  <c:pt idx="10">
                    <c:v>300,19</c:v>
                  </c:pt>
                  <c:pt idx="11">
                    <c:v>300,17</c:v>
                  </c:pt>
                  <c:pt idx="12">
                    <c:v>300,08</c:v>
                  </c:pt>
                  <c:pt idx="13">
                    <c:v>300,15</c:v>
                  </c:pt>
                  <c:pt idx="14">
                    <c:v>250,24</c:v>
                  </c:pt>
                  <c:pt idx="16">
                    <c:v>187,27</c:v>
                  </c:pt>
                  <c:pt idx="17">
                    <c:v>112,21</c:v>
                  </c:pt>
                  <c:pt idx="18">
                    <c:v>79,38</c:v>
                  </c:pt>
                  <c:pt idx="19">
                    <c:v>300,33</c:v>
                  </c:pt>
                  <c:pt idx="20">
                    <c:v>319,98</c:v>
                  </c:pt>
                  <c:pt idx="21">
                    <c:v>250,05</c:v>
                  </c:pt>
                  <c:pt idx="22">
                    <c:v>357,35</c:v>
                  </c:pt>
                  <c:pt idx="24">
                    <c:v>250,13</c:v>
                  </c:pt>
                  <c:pt idx="25">
                    <c:v>402,92</c:v>
                  </c:pt>
                  <c:pt idx="26">
                    <c:v>200,36</c:v>
                  </c:pt>
                  <c:pt idx="27">
                    <c:v>93,11</c:v>
                  </c:pt>
                  <c:pt idx="28">
                    <c:v>400,10</c:v>
                  </c:pt>
                  <c:pt idx="29">
                    <c:v>106,41</c:v>
                  </c:pt>
                  <c:pt idx="30">
                    <c:v>FULL</c:v>
                  </c:pt>
                  <c:pt idx="31">
                    <c:v>199,52</c:v>
                  </c:pt>
                  <c:pt idx="32">
                    <c:v>333,21</c:v>
                  </c:pt>
                </c:lvl>
                <c:lvl>
                  <c:pt idx="0">
                    <c:v>300,48</c:v>
                  </c:pt>
                  <c:pt idx="1">
                    <c:v>300,05</c:v>
                  </c:pt>
                  <c:pt idx="2">
                    <c:v>250,28</c:v>
                  </c:pt>
                  <c:pt idx="3">
                    <c:v>266,16</c:v>
                  </c:pt>
                  <c:pt idx="4">
                    <c:v>306,31</c:v>
                  </c:pt>
                  <c:pt idx="5">
                    <c:v>350,10</c:v>
                  </c:pt>
                  <c:pt idx="6">
                    <c:v>250,35</c:v>
                  </c:pt>
                  <c:pt idx="8">
                    <c:v>250,35</c:v>
                  </c:pt>
                  <c:pt idx="9">
                    <c:v>150,76</c:v>
                  </c:pt>
                  <c:pt idx="10">
                    <c:v>250,16</c:v>
                  </c:pt>
                  <c:pt idx="11">
                    <c:v>350,34</c:v>
                  </c:pt>
                  <c:pt idx="12">
                    <c:v>200,83</c:v>
                  </c:pt>
                  <c:pt idx="13">
                    <c:v>300,81</c:v>
                  </c:pt>
                  <c:pt idx="14">
                    <c:v>350,33</c:v>
                  </c:pt>
                  <c:pt idx="16">
                    <c:v>292,91</c:v>
                  </c:pt>
                  <c:pt idx="17">
                    <c:v>200,11</c:v>
                  </c:pt>
                  <c:pt idx="18">
                    <c:v>351,09</c:v>
                  </c:pt>
                  <c:pt idx="19">
                    <c:v>200,68</c:v>
                  </c:pt>
                  <c:pt idx="20">
                    <c:v>400,18</c:v>
                  </c:pt>
                  <c:pt idx="21">
                    <c:v>250,27</c:v>
                  </c:pt>
                  <c:pt idx="22">
                    <c:v>320,17</c:v>
                  </c:pt>
                  <c:pt idx="24">
                    <c:v>300,00</c:v>
                  </c:pt>
                  <c:pt idx="25">
                    <c:v>299,96</c:v>
                  </c:pt>
                  <c:pt idx="26">
                    <c:v>352,12</c:v>
                  </c:pt>
                  <c:pt idx="27">
                    <c:v>349,98</c:v>
                  </c:pt>
                  <c:pt idx="28">
                    <c:v>400,14</c:v>
                  </c:pt>
                  <c:pt idx="29">
                    <c:v>200,44</c:v>
                  </c:pt>
                  <c:pt idx="30">
                    <c:v>250,64</c:v>
                  </c:pt>
                  <c:pt idx="31">
                    <c:v>299,74</c:v>
                  </c:pt>
                  <c:pt idx="32">
                    <c:v>300,59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299,55</c:v>
                  </c:pt>
                  <c:pt idx="2">
                    <c:v>299,87</c:v>
                  </c:pt>
                  <c:pt idx="3">
                    <c:v>200,89</c:v>
                  </c:pt>
                  <c:pt idx="4">
                    <c:v>386,22</c:v>
                  </c:pt>
                  <c:pt idx="5">
                    <c:v>350,10</c:v>
                  </c:pt>
                  <c:pt idx="6">
                    <c:v>350,18</c:v>
                  </c:pt>
                  <c:pt idx="8">
                    <c:v>120,23</c:v>
                  </c:pt>
                  <c:pt idx="9">
                    <c:v>250,17</c:v>
                  </c:pt>
                  <c:pt idx="10">
                    <c:v>250,30</c:v>
                  </c:pt>
                  <c:pt idx="11">
                    <c:v>300,12</c:v>
                  </c:pt>
                  <c:pt idx="12">
                    <c:v>200,35</c:v>
                  </c:pt>
                  <c:pt idx="13">
                    <c:v>300,78</c:v>
                  </c:pt>
                  <c:pt idx="14">
                    <c:v>300,40</c:v>
                  </c:pt>
                  <c:pt idx="16">
                    <c:v>199,94</c:v>
                  </c:pt>
                  <c:pt idx="17">
                    <c:v>200,21</c:v>
                  </c:pt>
                  <c:pt idx="18">
                    <c:v>351,86</c:v>
                  </c:pt>
                  <c:pt idx="19">
                    <c:v>200,18</c:v>
                  </c:pt>
                  <c:pt idx="20">
                    <c:v>250,57</c:v>
                  </c:pt>
                  <c:pt idx="21">
                    <c:v>FULL</c:v>
                  </c:pt>
                  <c:pt idx="22">
                    <c:v>451,09</c:v>
                  </c:pt>
                  <c:pt idx="24">
                    <c:v>400,43</c:v>
                  </c:pt>
                  <c:pt idx="25">
                    <c:v>300,21</c:v>
                  </c:pt>
                  <c:pt idx="26">
                    <c:v>250,98</c:v>
                  </c:pt>
                  <c:pt idx="27">
                    <c:v>165,78</c:v>
                  </c:pt>
                  <c:pt idx="28">
                    <c:v>200,43</c:v>
                  </c:pt>
                  <c:pt idx="29">
                    <c:v>250,06</c:v>
                  </c:pt>
                  <c:pt idx="30">
                    <c:v>350,33</c:v>
                  </c:pt>
                  <c:pt idx="31">
                    <c:v>199,76</c:v>
                  </c:pt>
                  <c:pt idx="32">
                    <c:v>200,35</c:v>
                  </c:pt>
                </c:lvl>
                <c:lvl>
                  <c:pt idx="0">
                    <c:v>400,20</c:v>
                  </c:pt>
                  <c:pt idx="1">
                    <c:v>349,90</c:v>
                  </c:pt>
                  <c:pt idx="2">
                    <c:v>350,19</c:v>
                  </c:pt>
                  <c:pt idx="3">
                    <c:v>250,85</c:v>
                  </c:pt>
                  <c:pt idx="4">
                    <c:v>208,67</c:v>
                  </c:pt>
                  <c:pt idx="5">
                    <c:v>400,18</c:v>
                  </c:pt>
                  <c:pt idx="6">
                    <c:v>300,18</c:v>
                  </c:pt>
                  <c:pt idx="8">
                    <c:v>200,26</c:v>
                  </c:pt>
                  <c:pt idx="9">
                    <c:v>FULL</c:v>
                  </c:pt>
                  <c:pt idx="10">
                    <c:v>400,24</c:v>
                  </c:pt>
                  <c:pt idx="11">
                    <c:v>250,51</c:v>
                  </c:pt>
                  <c:pt idx="12">
                    <c:v>200,37</c:v>
                  </c:pt>
                  <c:pt idx="13">
                    <c:v>300,61</c:v>
                  </c:pt>
                  <c:pt idx="14">
                    <c:v>303,09</c:v>
                  </c:pt>
                  <c:pt idx="16">
                    <c:v>200,63</c:v>
                  </c:pt>
                  <c:pt idx="17">
                    <c:v>207,86</c:v>
                  </c:pt>
                  <c:pt idx="18">
                    <c:v>270,84</c:v>
                  </c:pt>
                  <c:pt idx="19">
                    <c:v>200,49</c:v>
                  </c:pt>
                  <c:pt idx="20">
                    <c:v>250,35</c:v>
                  </c:pt>
                  <c:pt idx="21">
                    <c:v>250,56</c:v>
                  </c:pt>
                  <c:pt idx="22">
                    <c:v>357,35</c:v>
                  </c:pt>
                  <c:pt idx="24">
                    <c:v>300,05</c:v>
                  </c:pt>
                  <c:pt idx="25">
                    <c:v>200,82</c:v>
                  </c:pt>
                  <c:pt idx="26">
                    <c:v>249,94</c:v>
                  </c:pt>
                  <c:pt idx="27">
                    <c:v>250,78</c:v>
                  </c:pt>
                  <c:pt idx="28">
                    <c:v>250,78</c:v>
                  </c:pt>
                  <c:pt idx="29">
                    <c:v>250,52</c:v>
                  </c:pt>
                  <c:pt idx="30">
                    <c:v>250,13</c:v>
                  </c:pt>
                  <c:pt idx="31">
                    <c:v>305,44</c:v>
                  </c:pt>
                  <c:pt idx="32">
                    <c:v>251,46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270,61</c:v>
                  </c:pt>
                  <c:pt idx="3">
                    <c:v>269,87</c:v>
                  </c:pt>
                  <c:pt idx="4">
                    <c:v>FULL</c:v>
                  </c:pt>
                  <c:pt idx="5">
                    <c:v>500,18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121,42</c:v>
                  </c:pt>
                  <c:pt idx="10">
                    <c:v>FULL</c:v>
                  </c:pt>
                  <c:pt idx="11">
                    <c:v>370,62</c:v>
                  </c:pt>
                  <c:pt idx="12">
                    <c:v>350,25</c:v>
                  </c:pt>
                  <c:pt idx="13">
                    <c:v>400,69</c:v>
                  </c:pt>
                  <c:pt idx="14">
                    <c:v>500,12</c:v>
                  </c:pt>
                  <c:pt idx="16">
                    <c:v>200,62</c:v>
                  </c:pt>
                  <c:pt idx="17">
                    <c:v>FULL</c:v>
                  </c:pt>
                  <c:pt idx="18">
                    <c:v>452,92</c:v>
                  </c:pt>
                  <c:pt idx="19">
                    <c:v>399,94</c:v>
                  </c:pt>
                  <c:pt idx="20">
                    <c:v>400,00</c:v>
                  </c:pt>
                  <c:pt idx="21">
                    <c:v>499,94</c:v>
                  </c:pt>
                  <c:pt idx="22">
                    <c:v>415,63</c:v>
                  </c:pt>
                  <c:pt idx="24">
                    <c:v>500,27</c:v>
                  </c:pt>
                  <c:pt idx="25">
                    <c:v>251,18</c:v>
                  </c:pt>
                  <c:pt idx="26">
                    <c:v>FULL</c:v>
                  </c:pt>
                  <c:pt idx="27">
                    <c:v>400,30</c:v>
                  </c:pt>
                  <c:pt idx="28">
                    <c:v>400,09</c:v>
                  </c:pt>
                  <c:pt idx="29">
                    <c:v>400,13</c:v>
                  </c:pt>
                  <c:pt idx="30">
                    <c:v>400,14</c:v>
                  </c:pt>
                  <c:pt idx="31">
                    <c:v>499,62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71,76</c:v>
                  </c:pt>
                  <c:pt idx="2">
                    <c:v>380,46</c:v>
                  </c:pt>
                  <c:pt idx="3">
                    <c:v>323,93</c:v>
                  </c:pt>
                  <c:pt idx="4">
                    <c:v>391,29</c:v>
                  </c:pt>
                  <c:pt idx="5">
                    <c:v>400,18</c:v>
                  </c:pt>
                  <c:pt idx="6">
                    <c:v>400,26</c:v>
                  </c:pt>
                  <c:pt idx="8">
                    <c:v>500,16</c:v>
                  </c:pt>
                  <c:pt idx="9">
                    <c:v>270,49</c:v>
                  </c:pt>
                  <c:pt idx="10">
                    <c:v>450,20</c:v>
                  </c:pt>
                  <c:pt idx="11">
                    <c:v>500,34</c:v>
                  </c:pt>
                  <c:pt idx="12">
                    <c:v>400,09</c:v>
                  </c:pt>
                  <c:pt idx="13">
                    <c:v>400,84</c:v>
                  </c:pt>
                  <c:pt idx="14">
                    <c:v>283,81</c:v>
                  </c:pt>
                  <c:pt idx="16">
                    <c:v>350,19</c:v>
                  </c:pt>
                  <c:pt idx="17">
                    <c:v>350,43</c:v>
                  </c:pt>
                  <c:pt idx="18">
                    <c:v>119,49</c:v>
                  </c:pt>
                  <c:pt idx="19">
                    <c:v>500,19</c:v>
                  </c:pt>
                  <c:pt idx="20">
                    <c:v>400,51</c:v>
                  </c:pt>
                  <c:pt idx="21">
                    <c:v>400,23</c:v>
                  </c:pt>
                  <c:pt idx="22">
                    <c:v>419,57</c:v>
                  </c:pt>
                  <c:pt idx="24">
                    <c:v>300,50</c:v>
                  </c:pt>
                  <c:pt idx="25">
                    <c:v>312,27</c:v>
                  </c:pt>
                  <c:pt idx="26">
                    <c:v>450,83</c:v>
                  </c:pt>
                  <c:pt idx="27">
                    <c:v>369,96</c:v>
                  </c:pt>
                  <c:pt idx="28">
                    <c:v>400,19</c:v>
                  </c:pt>
                  <c:pt idx="29">
                    <c:v>399,92</c:v>
                  </c:pt>
                  <c:pt idx="30">
                    <c:v>400,22</c:v>
                  </c:pt>
                  <c:pt idx="31">
                    <c:v>299,92</c:v>
                  </c:pt>
                  <c:pt idx="32">
                    <c:v>450,55</c:v>
                  </c:pt>
                </c:lvl>
                <c:lvl>
                  <c:pt idx="7">
                    <c:v>GRAHA</c:v>
                  </c:pt>
                  <c:pt idx="15">
                    <c:v>GRAHA</c:v>
                  </c:pt>
                  <c:pt idx="23">
                    <c:v>GRAHA</c:v>
                  </c:pt>
                  <c:pt idx="34">
                    <c:v>GRAHA</c:v>
                  </c:pt>
                </c:lvl>
                <c:lvl>
                  <c:pt idx="0">
                    <c:v>57,69</c:v>
                  </c:pt>
                  <c:pt idx="1">
                    <c:v>67,25</c:v>
                  </c:pt>
                  <c:pt idx="2">
                    <c:v>418,37</c:v>
                  </c:pt>
                  <c:pt idx="3">
                    <c:v>293,43</c:v>
                  </c:pt>
                  <c:pt idx="4">
                    <c:v>490,71</c:v>
                  </c:pt>
                  <c:pt idx="5">
                    <c:v>399,99</c:v>
                  </c:pt>
                  <c:pt idx="6">
                    <c:v>352,83</c:v>
                  </c:pt>
                  <c:pt idx="8">
                    <c:v>200,39</c:v>
                  </c:pt>
                  <c:pt idx="9">
                    <c:v>232,41</c:v>
                  </c:pt>
                  <c:pt idx="10">
                    <c:v>35,71</c:v>
                  </c:pt>
                  <c:pt idx="11">
                    <c:v>50,04</c:v>
                  </c:pt>
                  <c:pt idx="12">
                    <c:v>89,06</c:v>
                  </c:pt>
                  <c:pt idx="13">
                    <c:v>412,37</c:v>
                  </c:pt>
                  <c:pt idx="14">
                    <c:v>334,29</c:v>
                  </c:pt>
                  <c:pt idx="16">
                    <c:v>502,21</c:v>
                  </c:pt>
                  <c:pt idx="17">
                    <c:v>400,31</c:v>
                  </c:pt>
                  <c:pt idx="18">
                    <c:v>434,69</c:v>
                  </c:pt>
                  <c:pt idx="19">
                    <c:v>355,10</c:v>
                  </c:pt>
                  <c:pt idx="20">
                    <c:v>267,25</c:v>
                  </c:pt>
                  <c:pt idx="21">
                    <c:v>209,37</c:v>
                  </c:pt>
                  <c:pt idx="22">
                    <c:v>500,42</c:v>
                  </c:pt>
                  <c:pt idx="24">
                    <c:v>268,41</c:v>
                  </c:pt>
                  <c:pt idx="25">
                    <c:v>FULL</c:v>
                  </c:pt>
                  <c:pt idx="26">
                    <c:v>173,75</c:v>
                  </c:pt>
                  <c:pt idx="27">
                    <c:v>486,51</c:v>
                  </c:pt>
                  <c:pt idx="28">
                    <c:v>400,40</c:v>
                  </c:pt>
                  <c:pt idx="29">
                    <c:v>68,68</c:v>
                  </c:pt>
                  <c:pt idx="30">
                    <c:v>400,04</c:v>
                  </c:pt>
                  <c:pt idx="31">
                    <c:v>65,22</c:v>
                  </c:pt>
                  <c:pt idx="32">
                    <c:v>16,90</c:v>
                  </c:pt>
                </c:lvl>
                <c:lvl>
                  <c:pt idx="0">
                    <c:v>450,81</c:v>
                  </c:pt>
                  <c:pt idx="1">
                    <c:v>403,52</c:v>
                  </c:pt>
                  <c:pt idx="2">
                    <c:v>450,90</c:v>
                  </c:pt>
                  <c:pt idx="3">
                    <c:v>355,16</c:v>
                  </c:pt>
                  <c:pt idx="4">
                    <c:v>483,87</c:v>
                  </c:pt>
                  <c:pt idx="5">
                    <c:v>500,17</c:v>
                  </c:pt>
                  <c:pt idx="6">
                    <c:v>350,48</c:v>
                  </c:pt>
                  <c:pt idx="8">
                    <c:v>350,32</c:v>
                  </c:pt>
                  <c:pt idx="9">
                    <c:v>353,28</c:v>
                  </c:pt>
                  <c:pt idx="10">
                    <c:v>300,46</c:v>
                  </c:pt>
                  <c:pt idx="11">
                    <c:v>205,25</c:v>
                  </c:pt>
                  <c:pt idx="12">
                    <c:v>500,08</c:v>
                  </c:pt>
                  <c:pt idx="13">
                    <c:v>463,80</c:v>
                  </c:pt>
                  <c:pt idx="14">
                    <c:v>480,25</c:v>
                  </c:pt>
                  <c:pt idx="16">
                    <c:v>400,36</c:v>
                  </c:pt>
                  <c:pt idx="17">
                    <c:v>400,75</c:v>
                  </c:pt>
                  <c:pt idx="18">
                    <c:v>450,36</c:v>
                  </c:pt>
                  <c:pt idx="19">
                    <c:v>399,85</c:v>
                  </c:pt>
                  <c:pt idx="20">
                    <c:v>400,47</c:v>
                  </c:pt>
                  <c:pt idx="21">
                    <c:v>500,19</c:v>
                  </c:pt>
                  <c:pt idx="22">
                    <c:v>499,97</c:v>
                  </c:pt>
                  <c:pt idx="24">
                    <c:v>500,15</c:v>
                  </c:pt>
                  <c:pt idx="25">
                    <c:v>500,06</c:v>
                  </c:pt>
                  <c:pt idx="26">
                    <c:v>500,33</c:v>
                  </c:pt>
                  <c:pt idx="27">
                    <c:v>499,61</c:v>
                  </c:pt>
                  <c:pt idx="28">
                    <c:v>500,60</c:v>
                  </c:pt>
                  <c:pt idx="29">
                    <c:v>500,34</c:v>
                  </c:pt>
                  <c:pt idx="30">
                    <c:v>500,18</c:v>
                  </c:pt>
                  <c:pt idx="31">
                    <c:v>477,14</c:v>
                  </c:pt>
                  <c:pt idx="32">
                    <c:v>500,13</c:v>
                  </c:pt>
                </c:lvl>
                <c:lvl>
                  <c:pt idx="0">
                    <c:v>399,71</c:v>
                  </c:pt>
                  <c:pt idx="1">
                    <c:v>501,49</c:v>
                  </c:pt>
                  <c:pt idx="2">
                    <c:v>500,28</c:v>
                  </c:pt>
                  <c:pt idx="3">
                    <c:v>500,45</c:v>
                  </c:pt>
                  <c:pt idx="4">
                    <c:v>415,33</c:v>
                  </c:pt>
                  <c:pt idx="5">
                    <c:v>399,85</c:v>
                  </c:pt>
                  <c:pt idx="6">
                    <c:v>400,40</c:v>
                  </c:pt>
                  <c:pt idx="8">
                    <c:v>457,89</c:v>
                  </c:pt>
                  <c:pt idx="9">
                    <c:v>372,57</c:v>
                  </c:pt>
                  <c:pt idx="10">
                    <c:v>454,62</c:v>
                  </c:pt>
                  <c:pt idx="11">
                    <c:v>400,39</c:v>
                  </c:pt>
                  <c:pt idx="12">
                    <c:v>500,25</c:v>
                  </c:pt>
                  <c:pt idx="13">
                    <c:v>497,85</c:v>
                  </c:pt>
                  <c:pt idx="14">
                    <c:v>462,09</c:v>
                  </c:pt>
                  <c:pt idx="16">
                    <c:v>457,14</c:v>
                  </c:pt>
                  <c:pt idx="17">
                    <c:v>400,12</c:v>
                  </c:pt>
                  <c:pt idx="18">
                    <c:v>499,69</c:v>
                  </c:pt>
                  <c:pt idx="19">
                    <c:v>400,11</c:v>
                  </c:pt>
                  <c:pt idx="20">
                    <c:v>500,49</c:v>
                  </c:pt>
                  <c:pt idx="21">
                    <c:v>499,98</c:v>
                  </c:pt>
                  <c:pt idx="22">
                    <c:v>498,80</c:v>
                  </c:pt>
                  <c:pt idx="24">
                    <c:v>432,69</c:v>
                  </c:pt>
                  <c:pt idx="25">
                    <c:v>465,73</c:v>
                  </c:pt>
                  <c:pt idx="26">
                    <c:v>451,69</c:v>
                  </c:pt>
                  <c:pt idx="27">
                    <c:v>499,91</c:v>
                  </c:pt>
                  <c:pt idx="28">
                    <c:v>494,90</c:v>
                  </c:pt>
                  <c:pt idx="29">
                    <c:v>400,16</c:v>
                  </c:pt>
                  <c:pt idx="30">
                    <c:v>FULL</c:v>
                  </c:pt>
                  <c:pt idx="31">
                    <c:v>500,56</c:v>
                  </c:pt>
                  <c:pt idx="32">
                    <c:v>498,26</c:v>
                  </c:pt>
                  <c:pt idx="36">
                    <c:v>05, 09,12,22,38, 43, 44.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 full BBM Solar -----------</c:v>
                  </c:pt>
                </c:lvl>
                <c:lvl>
                  <c:pt idx="0">
                    <c:v>400,23</c:v>
                  </c:pt>
                  <c:pt idx="1">
                    <c:v>499,41</c:v>
                  </c:pt>
                  <c:pt idx="2">
                    <c:v>400,19</c:v>
                  </c:pt>
                  <c:pt idx="3">
                    <c:v>500,51</c:v>
                  </c:pt>
                  <c:pt idx="4">
                    <c:v>500,52</c:v>
                  </c:pt>
                  <c:pt idx="5">
                    <c:v>400,01</c:v>
                  </c:pt>
                  <c:pt idx="6">
                    <c:v>265,71</c:v>
                  </c:pt>
                  <c:pt idx="8">
                    <c:v>FULL</c:v>
                  </c:pt>
                  <c:pt idx="9">
                    <c:v>331,44</c:v>
                  </c:pt>
                  <c:pt idx="10">
                    <c:v>500,19</c:v>
                  </c:pt>
                  <c:pt idx="11">
                    <c:v>500,15</c:v>
                  </c:pt>
                  <c:pt idx="12">
                    <c:v>500,08</c:v>
                  </c:pt>
                  <c:pt idx="13">
                    <c:v>500,31</c:v>
                  </c:pt>
                  <c:pt idx="14">
                    <c:v>470,21</c:v>
                  </c:pt>
                  <c:pt idx="16">
                    <c:v>400,34</c:v>
                  </c:pt>
                  <c:pt idx="17">
                    <c:v>400,09</c:v>
                  </c:pt>
                  <c:pt idx="18">
                    <c:v>500,96</c:v>
                  </c:pt>
                  <c:pt idx="19">
                    <c:v>500,19</c:v>
                  </c:pt>
                  <c:pt idx="20">
                    <c:v>500,09</c:v>
                  </c:pt>
                  <c:pt idx="21">
                    <c:v>450,06</c:v>
                  </c:pt>
                  <c:pt idx="22">
                    <c:v>500,03</c:v>
                  </c:pt>
                  <c:pt idx="24">
                    <c:v>500,73</c:v>
                  </c:pt>
                  <c:pt idx="25">
                    <c:v>499,84</c:v>
                  </c:pt>
                  <c:pt idx="26">
                    <c:v>500,81</c:v>
                  </c:pt>
                  <c:pt idx="27">
                    <c:v>500,05</c:v>
                  </c:pt>
                  <c:pt idx="28">
                    <c:v>500,41</c:v>
                  </c:pt>
                  <c:pt idx="29">
                    <c:v>500,27</c:v>
                  </c:pt>
                  <c:pt idx="30">
                    <c:v>500,57</c:v>
                  </c:pt>
                  <c:pt idx="31">
                    <c:v>499,95</c:v>
                  </c:pt>
                  <c:pt idx="32">
                    <c:v>500,41</c:v>
                  </c:pt>
                  <c:pt idx="36">
                    <c:v>. RTGC Standby status</c:v>
                  </c:pt>
                </c:lvl>
                <c:lvl>
                  <c:pt idx="0">
                    <c:v>500,07</c:v>
                  </c:pt>
                  <c:pt idx="1">
                    <c:v>450,04</c:v>
                  </c:pt>
                  <c:pt idx="2">
                    <c:v>400,17</c:v>
                  </c:pt>
                  <c:pt idx="3">
                    <c:v>500,17</c:v>
                  </c:pt>
                  <c:pt idx="4">
                    <c:v>500,72</c:v>
                  </c:pt>
                  <c:pt idx="5">
                    <c:v>499,88</c:v>
                  </c:pt>
                  <c:pt idx="6">
                    <c:v>400,09</c:v>
                  </c:pt>
                  <c:pt idx="8">
                    <c:v>450,21</c:v>
                  </c:pt>
                  <c:pt idx="9">
                    <c:v>400,82</c:v>
                  </c:pt>
                  <c:pt idx="10">
                    <c:v>500,12</c:v>
                  </c:pt>
                  <c:pt idx="11">
                    <c:v>500,36</c:v>
                  </c:pt>
                  <c:pt idx="12">
                    <c:v>500,13</c:v>
                  </c:pt>
                  <c:pt idx="13">
                    <c:v>500,51</c:v>
                  </c:pt>
                  <c:pt idx="14">
                    <c:v>450,23</c:v>
                  </c:pt>
                  <c:pt idx="16">
                    <c:v>450,21</c:v>
                  </c:pt>
                  <c:pt idx="17">
                    <c:v>400,33</c:v>
                  </c:pt>
                  <c:pt idx="18">
                    <c:v>500,02</c:v>
                  </c:pt>
                  <c:pt idx="19">
                    <c:v>400,08</c:v>
                  </c:pt>
                  <c:pt idx="20">
                    <c:v>500,61</c:v>
                  </c:pt>
                  <c:pt idx="21">
                    <c:v>500,68</c:v>
                  </c:pt>
                  <c:pt idx="22">
                    <c:v>500,80</c:v>
                  </c:pt>
                  <c:pt idx="24">
                    <c:v>400,10</c:v>
                  </c:pt>
                  <c:pt idx="25">
                    <c:v>500,16</c:v>
                  </c:pt>
                  <c:pt idx="26">
                    <c:v>500,22</c:v>
                  </c:pt>
                  <c:pt idx="27">
                    <c:v>400,20</c:v>
                  </c:pt>
                  <c:pt idx="28">
                    <c:v>502,68</c:v>
                  </c:pt>
                  <c:pt idx="29">
                    <c:v>500,23</c:v>
                  </c:pt>
                  <c:pt idx="30">
                    <c:v>500,10</c:v>
                  </c:pt>
                  <c:pt idx="31">
                    <c:v>300,61</c:v>
                  </c:pt>
                  <c:pt idx="32">
                    <c:v>400,50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21, 23, 24, 25.</c:v>
                  </c:pt>
                </c:lvl>
                <c:lvl>
                  <c:pt idx="0">
                    <c:v>400,56</c:v>
                  </c:pt>
                  <c:pt idx="1">
                    <c:v>344,71</c:v>
                  </c:pt>
                  <c:pt idx="2">
                    <c:v>449,99</c:v>
                  </c:pt>
                  <c:pt idx="3">
                    <c:v>361,62</c:v>
                  </c:pt>
                  <c:pt idx="4">
                    <c:v>432,63</c:v>
                  </c:pt>
                  <c:pt idx="5">
                    <c:v>350,37</c:v>
                  </c:pt>
                  <c:pt idx="6">
                    <c:v>400,55</c:v>
                  </c:pt>
                  <c:pt idx="8">
                    <c:v>201,31</c:v>
                  </c:pt>
                  <c:pt idx="9">
                    <c:v>FULL</c:v>
                  </c:pt>
                  <c:pt idx="10">
                    <c:v>300,53</c:v>
                  </c:pt>
                  <c:pt idx="11">
                    <c:v>400,47</c:v>
                  </c:pt>
                  <c:pt idx="12">
                    <c:v>450,27</c:v>
                  </c:pt>
                  <c:pt idx="13">
                    <c:v>400,55</c:v>
                  </c:pt>
                  <c:pt idx="14">
                    <c:v>354,76</c:v>
                  </c:pt>
                  <c:pt idx="16">
                    <c:v>386,71</c:v>
                  </c:pt>
                  <c:pt idx="17">
                    <c:v>399,97</c:v>
                  </c:pt>
                  <c:pt idx="18">
                    <c:v>307,37</c:v>
                  </c:pt>
                  <c:pt idx="19">
                    <c:v>400,32</c:v>
                  </c:pt>
                  <c:pt idx="20">
                    <c:v>260,40</c:v>
                  </c:pt>
                  <c:pt idx="21">
                    <c:v>399,63</c:v>
                  </c:pt>
                  <c:pt idx="22">
                    <c:v>420,22</c:v>
                  </c:pt>
                  <c:pt idx="24">
                    <c:v>450,52</c:v>
                  </c:pt>
                  <c:pt idx="25">
                    <c:v>350,01</c:v>
                  </c:pt>
                  <c:pt idx="26">
                    <c:v>500,55</c:v>
                  </c:pt>
                  <c:pt idx="27">
                    <c:v>349,87</c:v>
                  </c:pt>
                  <c:pt idx="28">
                    <c:v>412,66</c:v>
                  </c:pt>
                  <c:pt idx="29">
                    <c:v>400,38</c:v>
                  </c:pt>
                  <c:pt idx="30">
                    <c:v>418,29</c:v>
                  </c:pt>
                  <c:pt idx="31">
                    <c:v>398,94</c:v>
                  </c:pt>
                  <c:pt idx="32">
                    <c:v>400,33</c:v>
                  </c:pt>
                  <c:pt idx="36">
                    <c:v>. RTGC yg Dilelang Srucb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301,52</c:v>
                  </c:pt>
                  <c:pt idx="1">
                    <c:v>350,00</c:v>
                  </c:pt>
                  <c:pt idx="2">
                    <c:v>270,04</c:v>
                  </c:pt>
                  <c:pt idx="3">
                    <c:v>303,64</c:v>
                  </c:pt>
                  <c:pt idx="4">
                    <c:v>310,42</c:v>
                  </c:pt>
                  <c:pt idx="5">
                    <c:v>399,99</c:v>
                  </c:pt>
                  <c:pt idx="6">
                    <c:v>300,23</c:v>
                  </c:pt>
                  <c:pt idx="8">
                    <c:v>149,98</c:v>
                  </c:pt>
                  <c:pt idx="9">
                    <c:v>249,99</c:v>
                  </c:pt>
                  <c:pt idx="10">
                    <c:v>400,44</c:v>
                  </c:pt>
                  <c:pt idx="11">
                    <c:v>149,16</c:v>
                  </c:pt>
                  <c:pt idx="12">
                    <c:v>150,32</c:v>
                  </c:pt>
                  <c:pt idx="13">
                    <c:v>FULL</c:v>
                  </c:pt>
                  <c:pt idx="14">
                    <c:v>270,57</c:v>
                  </c:pt>
                  <c:pt idx="16">
                    <c:v>400,36</c:v>
                  </c:pt>
                  <c:pt idx="17">
                    <c:v>200,34</c:v>
                  </c:pt>
                  <c:pt idx="18">
                    <c:v>352,22</c:v>
                  </c:pt>
                  <c:pt idx="19">
                    <c:v>288,21</c:v>
                  </c:pt>
                  <c:pt idx="20">
                    <c:v>400,08</c:v>
                  </c:pt>
                  <c:pt idx="21">
                    <c:v>350,53</c:v>
                  </c:pt>
                  <c:pt idx="22">
                    <c:v>350,31</c:v>
                  </c:pt>
                  <c:pt idx="24">
                    <c:v>350,30</c:v>
                  </c:pt>
                  <c:pt idx="25">
                    <c:v>350,79</c:v>
                  </c:pt>
                  <c:pt idx="26">
                    <c:v>350,53</c:v>
                  </c:pt>
                  <c:pt idx="27">
                    <c:v>200,07</c:v>
                  </c:pt>
                  <c:pt idx="28">
                    <c:v>350,66</c:v>
                  </c:pt>
                  <c:pt idx="29">
                    <c:v>350,41</c:v>
                  </c:pt>
                  <c:pt idx="30">
                    <c:v>400,07</c:v>
                  </c:pt>
                  <c:pt idx="31">
                    <c:v>251,31</c:v>
                  </c:pt>
                  <c:pt idx="32">
                    <c:v>400,23</c:v>
                  </c:pt>
                  <c:pt idx="36">
                    <c:v>07, 26, 29, 35,36, 42, 63.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. RTGC PM ---------------</c:v>
                  </c:pt>
                </c:lvl>
                <c:lvl>
                  <c:pt idx="0">
                    <c:v>505,63</c:v>
                  </c:pt>
                  <c:pt idx="1">
                    <c:v>470,43</c:v>
                  </c:pt>
                  <c:pt idx="2">
                    <c:v>500,38</c:v>
                  </c:pt>
                  <c:pt idx="3">
                    <c:v>400,65</c:v>
                  </c:pt>
                  <c:pt idx="4">
                    <c:v>486,13</c:v>
                  </c:pt>
                  <c:pt idx="5">
                    <c:v>500,05</c:v>
                  </c:pt>
                  <c:pt idx="6">
                    <c:v>400,15</c:v>
                  </c:pt>
                  <c:pt idx="8">
                    <c:v>450,15</c:v>
                  </c:pt>
                  <c:pt idx="9">
                    <c:v>499,90</c:v>
                  </c:pt>
                  <c:pt idx="10">
                    <c:v>500,17</c:v>
                  </c:pt>
                  <c:pt idx="11">
                    <c:v>450,05</c:v>
                  </c:pt>
                  <c:pt idx="12">
                    <c:v>500,23</c:v>
                  </c:pt>
                  <c:pt idx="13">
                    <c:v>400,89</c:v>
                  </c:pt>
                  <c:pt idx="14">
                    <c:v>500,62</c:v>
                  </c:pt>
                  <c:pt idx="16">
                    <c:v>450,81</c:v>
                  </c:pt>
                  <c:pt idx="17">
                    <c:v>400,22</c:v>
                  </c:pt>
                  <c:pt idx="18">
                    <c:v>499,92</c:v>
                  </c:pt>
                  <c:pt idx="19">
                    <c:v>500,29</c:v>
                  </c:pt>
                  <c:pt idx="20">
                    <c:v>450,11</c:v>
                  </c:pt>
                  <c:pt idx="21">
                    <c:v>400,44</c:v>
                  </c:pt>
                  <c:pt idx="22">
                    <c:v>517,91</c:v>
                  </c:pt>
                  <c:pt idx="24">
                    <c:v>500,00</c:v>
                  </c:pt>
                  <c:pt idx="25">
                    <c:v>400,16</c:v>
                  </c:pt>
                  <c:pt idx="26">
                    <c:v>449,45</c:v>
                  </c:pt>
                  <c:pt idx="27">
                    <c:v>499,25</c:v>
                  </c:pt>
                  <c:pt idx="28">
                    <c:v>400,35</c:v>
                  </c:pt>
                  <c:pt idx="29">
                    <c:v>500,21</c:v>
                  </c:pt>
                  <c:pt idx="30">
                    <c:v>499,97</c:v>
                  </c:pt>
                  <c:pt idx="31">
                    <c:v>400,47</c:v>
                  </c:pt>
                  <c:pt idx="32">
                    <c:v>500,62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GraHa Segara</c:v>
                  </c:pt>
                </c:lvl>
                <c:lvl>
                  <c:pt idx="0">
                    <c:v>299,64</c:v>
                  </c:pt>
                  <c:pt idx="1">
                    <c:v>350,00</c:v>
                  </c:pt>
                  <c:pt idx="2">
                    <c:v>400,18</c:v>
                  </c:pt>
                  <c:pt idx="3">
                    <c:v>351,14</c:v>
                  </c:pt>
                  <c:pt idx="4">
                    <c:v>436,30</c:v>
                  </c:pt>
                  <c:pt idx="5">
                    <c:v>399,85</c:v>
                  </c:pt>
                  <c:pt idx="6">
                    <c:v>350,22</c:v>
                  </c:pt>
                  <c:pt idx="8">
                    <c:v>400,09</c:v>
                  </c:pt>
                  <c:pt idx="9">
                    <c:v>337,72</c:v>
                  </c:pt>
                  <c:pt idx="10">
                    <c:v>400,09</c:v>
                  </c:pt>
                  <c:pt idx="11">
                    <c:v>400,27</c:v>
                  </c:pt>
                  <c:pt idx="12">
                    <c:v>350,33</c:v>
                  </c:pt>
                  <c:pt idx="13">
                    <c:v>353,86</c:v>
                  </c:pt>
                  <c:pt idx="14">
                    <c:v>400,37</c:v>
                  </c:pt>
                  <c:pt idx="16">
                    <c:v>350,57</c:v>
                  </c:pt>
                  <c:pt idx="17">
                    <c:v>400,13</c:v>
                  </c:pt>
                  <c:pt idx="18">
                    <c:v>400,34</c:v>
                  </c:pt>
                  <c:pt idx="19">
                    <c:v>350,43</c:v>
                  </c:pt>
                  <c:pt idx="20">
                    <c:v>400,06</c:v>
                  </c:pt>
                  <c:pt idx="21">
                    <c:v>400,16</c:v>
                  </c:pt>
                  <c:pt idx="22">
                    <c:v>326,23</c:v>
                  </c:pt>
                  <c:pt idx="24">
                    <c:v>400,35</c:v>
                  </c:pt>
                  <c:pt idx="25">
                    <c:v>401,12</c:v>
                  </c:pt>
                  <c:pt idx="26">
                    <c:v>350,11</c:v>
                  </c:pt>
                  <c:pt idx="27">
                    <c:v>400,13</c:v>
                  </c:pt>
                  <c:pt idx="28">
                    <c:v>350,51</c:v>
                  </c:pt>
                  <c:pt idx="29">
                    <c:v>400,05</c:v>
                  </c:pt>
                  <c:pt idx="30">
                    <c:v>351,58</c:v>
                  </c:pt>
                  <c:pt idx="31">
                    <c:v>300,07</c:v>
                  </c:pt>
                  <c:pt idx="32">
                    <c:v>400,14</c:v>
                  </c:pt>
                  <c:pt idx="36">
                    <c:v>. RTGC 16 Disewakan ke</c:v>
                  </c:pt>
                </c:lvl>
                <c:lvl>
                  <c:pt idx="0">
                    <c:v>FULL</c:v>
                  </c:pt>
                  <c:pt idx="1">
                    <c:v>250,00</c:v>
                  </c:pt>
                  <c:pt idx="2">
                    <c:v>410,25</c:v>
                  </c:pt>
                  <c:pt idx="3">
                    <c:v>401,06</c:v>
                  </c:pt>
                  <c:pt idx="4">
                    <c:v>355,31</c:v>
                  </c:pt>
                  <c:pt idx="5">
                    <c:v>299,84</c:v>
                  </c:pt>
                  <c:pt idx="6">
                    <c:v>400,21</c:v>
                  </c:pt>
                  <c:pt idx="8">
                    <c:v>199,97</c:v>
                  </c:pt>
                  <c:pt idx="9">
                    <c:v>300,48</c:v>
                  </c:pt>
                  <c:pt idx="10">
                    <c:v>400,10</c:v>
                  </c:pt>
                  <c:pt idx="11">
                    <c:v>350,44</c:v>
                  </c:pt>
                  <c:pt idx="12">
                    <c:v>350,26</c:v>
                  </c:pt>
                  <c:pt idx="13">
                    <c:v>307,39</c:v>
                  </c:pt>
                  <c:pt idx="14">
                    <c:v>400,10</c:v>
                  </c:pt>
                  <c:pt idx="16">
                    <c:v>255,59</c:v>
                  </c:pt>
                  <c:pt idx="17">
                    <c:v>300,24</c:v>
                  </c:pt>
                  <c:pt idx="18">
                    <c:v>400,49</c:v>
                  </c:pt>
                  <c:pt idx="19">
                    <c:v>300,48</c:v>
                  </c:pt>
                  <c:pt idx="20">
                    <c:v>400,15</c:v>
                  </c:pt>
                  <c:pt idx="21">
                    <c:v>300,19</c:v>
                  </c:pt>
                  <c:pt idx="22">
                    <c:v>301,42</c:v>
                  </c:pt>
                  <c:pt idx="24">
                    <c:v>400,27</c:v>
                  </c:pt>
                  <c:pt idx="25">
                    <c:v>272,42</c:v>
                  </c:pt>
                  <c:pt idx="26">
                    <c:v>450,41</c:v>
                  </c:pt>
                  <c:pt idx="27">
                    <c:v>299,75</c:v>
                  </c:pt>
                  <c:pt idx="28">
                    <c:v>400,66</c:v>
                  </c:pt>
                  <c:pt idx="29">
                    <c:v>300,66</c:v>
                  </c:pt>
                  <c:pt idx="30">
                    <c:v>350,26</c:v>
                  </c:pt>
                  <c:pt idx="31">
                    <c:v>250,74</c:v>
                  </c:pt>
                  <c:pt idx="32">
                    <c:v>299,85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</c:multiLvlStrCache>
            </c:multiLvlStrRef>
          </c:cat>
          <c:val>
            <c:numRef>
              <c:f>'JUNI 2026'!$B$167:$AM$167</c:f>
              <c:numCache>
                <c:formatCode>0.00</c:formatCode>
                <c:ptCount val="37"/>
              </c:numCache>
            </c:numRef>
          </c:val>
        </c:ser>
        <c:ser>
          <c:idx val="1"/>
          <c:order val="1"/>
          <c:tx>
            <c:strRef>
              <c:f>'JUNI 2026'!$A$168</c:f>
              <c:strCache>
                <c:ptCount val="1"/>
                <c:pt idx="0">
                  <c:v>SL 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'JUNI 2026'!$B$1:$AM$166</c:f>
              <c:multiLvlStrCache>
                <c:ptCount val="3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6">
                    <c:v>Note</c:v>
                  </c:pt>
                </c:lvl>
                <c:lvl>
                  <c:pt idx="0">
                    <c:v>92.77</c:v>
                  </c:pt>
                  <c:pt idx="1">
                    <c:v>92.72</c:v>
                  </c:pt>
                  <c:pt idx="2">
                    <c:v>92.74</c:v>
                  </c:pt>
                  <c:pt idx="3">
                    <c:v>92.76</c:v>
                  </c:pt>
                  <c:pt idx="4">
                    <c:v>92.79</c:v>
                  </c:pt>
                  <c:pt idx="5">
                    <c:v>92.75</c:v>
                  </c:pt>
                  <c:pt idx="6">
                    <c:v>92.74</c:v>
                  </c:pt>
                  <c:pt idx="8">
                    <c:v>92.74</c:v>
                  </c:pt>
                  <c:pt idx="9">
                    <c:v>92.74</c:v>
                  </c:pt>
                  <c:pt idx="10">
                    <c:v>92.75</c:v>
                  </c:pt>
                  <c:pt idx="11">
                    <c:v>92.77</c:v>
                  </c:pt>
                  <c:pt idx="12">
                    <c:v>92.77</c:v>
                  </c:pt>
                  <c:pt idx="13">
                    <c:v>92.73</c:v>
                  </c:pt>
                  <c:pt idx="14">
                    <c:v>92.77</c:v>
                  </c:pt>
                  <c:pt idx="16">
                    <c:v>92.71</c:v>
                  </c:pt>
                  <c:pt idx="17">
                    <c:v>92.72</c:v>
                  </c:pt>
                  <c:pt idx="18">
                    <c:v>92.75</c:v>
                  </c:pt>
                  <c:pt idx="19">
                    <c:v>92.74</c:v>
                  </c:pt>
                  <c:pt idx="20">
                    <c:v>92.75</c:v>
                  </c:pt>
                  <c:pt idx="21">
                    <c:v>92.75</c:v>
                  </c:pt>
                  <c:pt idx="22">
                    <c:v>92.72</c:v>
                  </c:pt>
                  <c:pt idx="24">
                    <c:v>92.75</c:v>
                  </c:pt>
                  <c:pt idx="25">
                    <c:v>92.78</c:v>
                  </c:pt>
                  <c:pt idx="26">
                    <c:v>92.73</c:v>
                  </c:pt>
                  <c:pt idx="27">
                    <c:v>92.73</c:v>
                  </c:pt>
                  <c:pt idx="28">
                    <c:v>92.73</c:v>
                  </c:pt>
                  <c:pt idx="29">
                    <c:v>92.74</c:v>
                  </c:pt>
                  <c:pt idx="30">
                    <c:v>92.70</c:v>
                  </c:pt>
                  <c:pt idx="31">
                    <c:v>92.74</c:v>
                  </c:pt>
                  <c:pt idx="32">
                    <c:v>92.70</c:v>
                  </c:pt>
                </c:lvl>
                <c:lvl>
                  <c:pt idx="0">
                    <c:v>6662,40</c:v>
                  </c:pt>
                  <c:pt idx="1">
                    <c:v>6181,46</c:v>
                  </c:pt>
                  <c:pt idx="2">
                    <c:v>5449,10</c:v>
                  </c:pt>
                  <c:pt idx="3">
                    <c:v>5917,58</c:v>
                  </c:pt>
                  <c:pt idx="4">
                    <c:v>5481,75</c:v>
                  </c:pt>
                  <c:pt idx="5">
                    <c:v>5209,42</c:v>
                  </c:pt>
                  <c:pt idx="6">
                    <c:v>6470,01</c:v>
                  </c:pt>
                  <c:pt idx="7">
                    <c:v>41371,72</c:v>
                  </c:pt>
                  <c:pt idx="8">
                    <c:v>4919,99</c:v>
                  </c:pt>
                  <c:pt idx="9">
                    <c:v>6025,86</c:v>
                  </c:pt>
                  <c:pt idx="10">
                    <c:v>5631,71</c:v>
                  </c:pt>
                  <c:pt idx="11">
                    <c:v>6898,52</c:v>
                  </c:pt>
                  <c:pt idx="12">
                    <c:v>5969,85</c:v>
                  </c:pt>
                  <c:pt idx="13">
                    <c:v>5632,86</c:v>
                  </c:pt>
                  <c:pt idx="14">
                    <c:v>6170,18</c:v>
                  </c:pt>
                  <c:pt idx="15">
                    <c:v>41248,97</c:v>
                  </c:pt>
                  <c:pt idx="16">
                    <c:v>6556,14</c:v>
                  </c:pt>
                  <c:pt idx="17">
                    <c:v>6351,87</c:v>
                  </c:pt>
                  <c:pt idx="18">
                    <c:v>6159,44</c:v>
                  </c:pt>
                  <c:pt idx="19">
                    <c:v>5595,52</c:v>
                  </c:pt>
                  <c:pt idx="20">
                    <c:v>6263,54</c:v>
                  </c:pt>
                  <c:pt idx="21">
                    <c:v>5953,98</c:v>
                  </c:pt>
                  <c:pt idx="22">
                    <c:v>5971,14</c:v>
                  </c:pt>
                  <c:pt idx="23">
                    <c:v>42851,63</c:v>
                  </c:pt>
                  <c:pt idx="24">
                    <c:v>6694,38</c:v>
                  </c:pt>
                  <c:pt idx="25">
                    <c:v>6869,59</c:v>
                  </c:pt>
                  <c:pt idx="26">
                    <c:v>5926,68</c:v>
                  </c:pt>
                  <c:pt idx="27">
                    <c:v>5421,42</c:v>
                  </c:pt>
                  <c:pt idx="28">
                    <c:v>6222,84</c:v>
                  </c:pt>
                  <c:pt idx="29">
                    <c:v>5964,21</c:v>
                  </c:pt>
                  <c:pt idx="30">
                    <c:v>6111,90</c:v>
                  </c:pt>
                  <c:pt idx="31">
                    <c:v>5306,48</c:v>
                  </c:pt>
                  <c:pt idx="32">
                    <c:v>5897,44</c:v>
                  </c:pt>
                  <c:pt idx="34">
                    <c:v>54414,94</c:v>
                  </c:pt>
                  <c:pt idx="35">
                    <c:v>179884,26</c:v>
                  </c:pt>
                </c:lvl>
                <c:lvl>
                  <c:pt idx="0">
                    <c:v>69,87</c:v>
                  </c:pt>
                  <c:pt idx="1">
                    <c:v>85,55</c:v>
                  </c:pt>
                  <c:pt idx="2">
                    <c:v>40,04</c:v>
                  </c:pt>
                  <c:pt idx="3">
                    <c:v>89,88</c:v>
                  </c:pt>
                  <c:pt idx="4">
                    <c:v>51,52</c:v>
                  </c:pt>
                  <c:pt idx="5">
                    <c:v>76,86</c:v>
                  </c:pt>
                  <c:pt idx="6">
                    <c:v>95,85</c:v>
                  </c:pt>
                  <c:pt idx="8">
                    <c:v>66,97</c:v>
                  </c:pt>
                  <c:pt idx="9">
                    <c:v>73,35</c:v>
                  </c:pt>
                  <c:pt idx="10">
                    <c:v>57,55</c:v>
                  </c:pt>
                  <c:pt idx="11">
                    <c:v>77,65</c:v>
                  </c:pt>
                  <c:pt idx="12">
                    <c:v>75,78</c:v>
                  </c:pt>
                  <c:pt idx="13">
                    <c:v>62,34</c:v>
                  </c:pt>
                  <c:pt idx="14">
                    <c:v>74,62</c:v>
                  </c:pt>
                  <c:pt idx="16">
                    <c:v>105,49</c:v>
                  </c:pt>
                  <c:pt idx="17">
                    <c:v>103,53</c:v>
                  </c:pt>
                  <c:pt idx="18">
                    <c:v>84,69</c:v>
                  </c:pt>
                  <c:pt idx="19">
                    <c:v>46,34</c:v>
                  </c:pt>
                  <c:pt idx="20">
                    <c:v>92,17</c:v>
                  </c:pt>
                  <c:pt idx="21">
                    <c:v>62,58</c:v>
                  </c:pt>
                  <c:pt idx="22">
                    <c:v>68,39</c:v>
                  </c:pt>
                  <c:pt idx="24">
                    <c:v>86,57</c:v>
                  </c:pt>
                  <c:pt idx="25">
                    <c:v>82,13</c:v>
                  </c:pt>
                  <c:pt idx="26">
                    <c:v>88,08</c:v>
                  </c:pt>
                  <c:pt idx="27">
                    <c:v>70,33</c:v>
                  </c:pt>
                  <c:pt idx="28">
                    <c:v>65,48</c:v>
                  </c:pt>
                  <c:pt idx="29">
                    <c:v>64,07</c:v>
                  </c:pt>
                  <c:pt idx="30">
                    <c:v>85,37</c:v>
                  </c:pt>
                  <c:pt idx="31">
                    <c:v>76,35</c:v>
                  </c:pt>
                  <c:pt idx="32">
                    <c:v>68,54</c:v>
                  </c:pt>
                </c:lvl>
                <c:lvl>
                  <c:pt idx="0">
                    <c:v>94,88</c:v>
                  </c:pt>
                  <c:pt idx="1">
                    <c:v>94,75</c:v>
                  </c:pt>
                  <c:pt idx="2">
                    <c:v>70,80</c:v>
                  </c:pt>
                  <c:pt idx="3">
                    <c:v>25,54</c:v>
                  </c:pt>
                  <c:pt idx="4">
                    <c:v>49,63</c:v>
                  </c:pt>
                  <c:pt idx="5">
                    <c:v>87,58</c:v>
                  </c:pt>
                  <c:pt idx="6">
                    <c:v>93,40</c:v>
                  </c:pt>
                  <c:pt idx="8">
                    <c:v>72,07</c:v>
                  </c:pt>
                  <c:pt idx="9">
                    <c:v>93,76</c:v>
                  </c:pt>
                  <c:pt idx="10">
                    <c:v>74,24</c:v>
                  </c:pt>
                  <c:pt idx="11">
                    <c:v>109,58</c:v>
                  </c:pt>
                  <c:pt idx="12">
                    <c:v>85,04</c:v>
                  </c:pt>
                  <c:pt idx="13">
                    <c:v>90,95</c:v>
                  </c:pt>
                  <c:pt idx="14">
                    <c:v>84,75</c:v>
                  </c:pt>
                  <c:pt idx="16">
                    <c:v>84,80</c:v>
                  </c:pt>
                  <c:pt idx="17">
                    <c:v>72,30</c:v>
                  </c:pt>
                  <c:pt idx="18">
                    <c:v>112,35</c:v>
                  </c:pt>
                  <c:pt idx="19">
                    <c:v>95,67</c:v>
                  </c:pt>
                  <c:pt idx="20">
                    <c:v>84,10</c:v>
                  </c:pt>
                  <c:pt idx="21">
                    <c:v>77,54</c:v>
                  </c:pt>
                  <c:pt idx="22">
                    <c:v>51,38</c:v>
                  </c:pt>
                  <c:pt idx="24">
                    <c:v>114,77</c:v>
                  </c:pt>
                  <c:pt idx="25">
                    <c:v>96,62</c:v>
                  </c:pt>
                  <c:pt idx="26">
                    <c:v>93,24</c:v>
                  </c:pt>
                  <c:pt idx="27">
                    <c:v>88,30</c:v>
                  </c:pt>
                  <c:pt idx="28">
                    <c:v>98,59</c:v>
                  </c:pt>
                  <c:pt idx="29">
                    <c:v>101,45</c:v>
                  </c:pt>
                  <c:pt idx="30">
                    <c:v>87,19</c:v>
                  </c:pt>
                  <c:pt idx="31">
                    <c:v>79,44</c:v>
                  </c:pt>
                  <c:pt idx="32">
                    <c:v>93,48</c:v>
                  </c:pt>
                  <c:pt idx="35">
                    <c:v>54411,94</c:v>
                  </c:pt>
                </c:lvl>
                <c:lvl>
                  <c:pt idx="0">
                    <c:v>75,82</c:v>
                  </c:pt>
                  <c:pt idx="1">
                    <c:v>71,36</c:v>
                  </c:pt>
                  <c:pt idx="2">
                    <c:v>68,11</c:v>
                  </c:pt>
                  <c:pt idx="3">
                    <c:v>82,01</c:v>
                  </c:pt>
                  <c:pt idx="4">
                    <c:v>86,56</c:v>
                  </c:pt>
                  <c:pt idx="5">
                    <c:v>72,14</c:v>
                  </c:pt>
                  <c:pt idx="6">
                    <c:v>107,02</c:v>
                  </c:pt>
                  <c:pt idx="8">
                    <c:v>45,71</c:v>
                  </c:pt>
                  <c:pt idx="9">
                    <c:v>61,93</c:v>
                  </c:pt>
                  <c:pt idx="11">
                    <c:v>208,17</c:v>
                  </c:pt>
                  <c:pt idx="12">
                    <c:v>57,00</c:v>
                  </c:pt>
                  <c:pt idx="13">
                    <c:v>82,06</c:v>
                  </c:pt>
                  <c:pt idx="14">
                    <c:v>83,60</c:v>
                  </c:pt>
                  <c:pt idx="16">
                    <c:v>80,28</c:v>
                  </c:pt>
                  <c:pt idx="17">
                    <c:v>90,96</c:v>
                  </c:pt>
                  <c:pt idx="18">
                    <c:v>110,84</c:v>
                  </c:pt>
                  <c:pt idx="19">
                    <c:v>86,21</c:v>
                  </c:pt>
                  <c:pt idx="20">
                    <c:v>93,82</c:v>
                  </c:pt>
                  <c:pt idx="21">
                    <c:v>70,26</c:v>
                  </c:pt>
                  <c:pt idx="22">
                    <c:v>69,18</c:v>
                  </c:pt>
                  <c:pt idx="24">
                    <c:v>100,47</c:v>
                  </c:pt>
                  <c:pt idx="25">
                    <c:v>81,75</c:v>
                  </c:pt>
                  <c:pt idx="26">
                    <c:v>75,77</c:v>
                  </c:pt>
                  <c:pt idx="27">
                    <c:v>106,83</c:v>
                  </c:pt>
                  <c:pt idx="28">
                    <c:v>78,26</c:v>
                  </c:pt>
                  <c:pt idx="29">
                    <c:v>76,14</c:v>
                  </c:pt>
                  <c:pt idx="30">
                    <c:v>79,02</c:v>
                  </c:pt>
                  <c:pt idx="31">
                    <c:v>88,27</c:v>
                  </c:pt>
                  <c:pt idx="32">
                    <c:v>118,74</c:v>
                  </c:pt>
                  <c:pt idx="35">
                    <c:v>42851,63</c:v>
                  </c:pt>
                </c:lvl>
                <c:lvl>
                  <c:pt idx="0">
                    <c:v>83,22</c:v>
                  </c:pt>
                  <c:pt idx="1">
                    <c:v>88,58</c:v>
                  </c:pt>
                  <c:pt idx="2">
                    <c:v>75,59</c:v>
                  </c:pt>
                  <c:pt idx="3">
                    <c:v>73,95</c:v>
                  </c:pt>
                  <c:pt idx="4">
                    <c:v>97,83</c:v>
                  </c:pt>
                  <c:pt idx="5">
                    <c:v>86,42</c:v>
                  </c:pt>
                  <c:pt idx="6">
                    <c:v>79,55</c:v>
                  </c:pt>
                  <c:pt idx="8">
                    <c:v>79,73</c:v>
                  </c:pt>
                  <c:pt idx="9">
                    <c:v>92,33</c:v>
                  </c:pt>
                  <c:pt idx="10">
                    <c:v>72,43</c:v>
                  </c:pt>
                  <c:pt idx="11">
                    <c:v>94,35</c:v>
                  </c:pt>
                  <c:pt idx="12">
                    <c:v>63,14</c:v>
                  </c:pt>
                  <c:pt idx="13">
                    <c:v>98,05</c:v>
                  </c:pt>
                  <c:pt idx="14">
                    <c:v>69,22</c:v>
                  </c:pt>
                  <c:pt idx="16">
                    <c:v>101,45</c:v>
                  </c:pt>
                  <c:pt idx="17">
                    <c:v>96,95</c:v>
                  </c:pt>
                  <c:pt idx="18">
                    <c:v>89,41</c:v>
                  </c:pt>
                  <c:pt idx="19">
                    <c:v>87,28</c:v>
                  </c:pt>
                  <c:pt idx="20">
                    <c:v>68,28</c:v>
                  </c:pt>
                  <c:pt idx="21">
                    <c:v>68,95</c:v>
                  </c:pt>
                  <c:pt idx="22">
                    <c:v>92,22</c:v>
                  </c:pt>
                  <c:pt idx="24">
                    <c:v>99,83</c:v>
                  </c:pt>
                  <c:pt idx="25">
                    <c:v>76,17</c:v>
                  </c:pt>
                  <c:pt idx="26">
                    <c:v>86,33</c:v>
                  </c:pt>
                  <c:pt idx="27">
                    <c:v>79,07</c:v>
                  </c:pt>
                  <c:pt idx="28">
                    <c:v>95,91</c:v>
                  </c:pt>
                  <c:pt idx="29">
                    <c:v>68,55</c:v>
                  </c:pt>
                  <c:pt idx="32">
                    <c:v>55,67</c:v>
                  </c:pt>
                  <c:pt idx="35">
                    <c:v>41248,97</c:v>
                  </c:pt>
                </c:lvl>
                <c:lvl>
                  <c:pt idx="0">
                    <c:v>71,14</c:v>
                  </c:pt>
                  <c:pt idx="1">
                    <c:v>91,53</c:v>
                  </c:pt>
                  <c:pt idx="2">
                    <c:v>97,02</c:v>
                  </c:pt>
                  <c:pt idx="3">
                    <c:v>73,32</c:v>
                  </c:pt>
                  <c:pt idx="4">
                    <c:v>83,64</c:v>
                  </c:pt>
                  <c:pt idx="5">
                    <c:v>61,23</c:v>
                  </c:pt>
                  <c:pt idx="6">
                    <c:v>108,55</c:v>
                  </c:pt>
                  <c:pt idx="8">
                    <c:v>65,76</c:v>
                  </c:pt>
                  <c:pt idx="9">
                    <c:v>71,06</c:v>
                  </c:pt>
                  <c:pt idx="10">
                    <c:v>91,45</c:v>
                  </c:pt>
                  <c:pt idx="11">
                    <c:v>93,90</c:v>
                  </c:pt>
                  <c:pt idx="12">
                    <c:v>71,61</c:v>
                  </c:pt>
                  <c:pt idx="13">
                    <c:v>79,68</c:v>
                  </c:pt>
                  <c:pt idx="14">
                    <c:v>95,14</c:v>
                  </c:pt>
                  <c:pt idx="16">
                    <c:v>75,92</c:v>
                  </c:pt>
                  <c:pt idx="17">
                    <c:v>91,03</c:v>
                  </c:pt>
                  <c:pt idx="18">
                    <c:v>73,67</c:v>
                  </c:pt>
                  <c:pt idx="19">
                    <c:v>66,78</c:v>
                  </c:pt>
                  <c:pt idx="21">
                    <c:v>166,54</c:v>
                  </c:pt>
                  <c:pt idx="22">
                    <c:v>88,08</c:v>
                  </c:pt>
                  <c:pt idx="24">
                    <c:v>93,32</c:v>
                  </c:pt>
                  <c:pt idx="25">
                    <c:v>95,06</c:v>
                  </c:pt>
                  <c:pt idx="26">
                    <c:v>104,77</c:v>
                  </c:pt>
                  <c:pt idx="27">
                    <c:v>81,16</c:v>
                  </c:pt>
                  <c:pt idx="28">
                    <c:v>87,83</c:v>
                  </c:pt>
                  <c:pt idx="29">
                    <c:v>87,67</c:v>
                  </c:pt>
                  <c:pt idx="30">
                    <c:v>86,01</c:v>
                  </c:pt>
                  <c:pt idx="31">
                    <c:v>71,07</c:v>
                  </c:pt>
                  <c:pt idx="32">
                    <c:v>81,96</c:v>
                  </c:pt>
                  <c:pt idx="35">
                    <c:v>41371,72</c:v>
                  </c:pt>
                </c:lvl>
                <c:lvl>
                  <c:pt idx="0">
                    <c:v>73,25</c:v>
                  </c:pt>
                  <c:pt idx="1">
                    <c:v>55,04</c:v>
                  </c:pt>
                  <c:pt idx="2">
                    <c:v>93,73</c:v>
                  </c:pt>
                  <c:pt idx="3">
                    <c:v>81,04</c:v>
                  </c:pt>
                  <c:pt idx="4">
                    <c:v>77,13</c:v>
                  </c:pt>
                  <c:pt idx="5">
                    <c:v>94,58</c:v>
                  </c:pt>
                  <c:pt idx="6">
                    <c:v>109,16</c:v>
                  </c:pt>
                  <c:pt idx="8">
                    <c:v>119,34</c:v>
                  </c:pt>
                  <c:pt idx="9">
                    <c:v>55,48</c:v>
                  </c:pt>
                  <c:pt idx="10">
                    <c:v>76,91</c:v>
                  </c:pt>
                  <c:pt idx="11">
                    <c:v>109,88</c:v>
                  </c:pt>
                  <c:pt idx="12">
                    <c:v>92,36</c:v>
                  </c:pt>
                  <c:pt idx="13">
                    <c:v>66,60</c:v>
                  </c:pt>
                  <c:pt idx="14">
                    <c:v>109,70</c:v>
                  </c:pt>
                  <c:pt idx="16">
                    <c:v>114,44</c:v>
                  </c:pt>
                  <c:pt idx="18">
                    <c:v>104,75</c:v>
                  </c:pt>
                  <c:pt idx="19">
                    <c:v>67,51</c:v>
                  </c:pt>
                  <c:pt idx="20">
                    <c:v>111,04</c:v>
                  </c:pt>
                  <c:pt idx="21">
                    <c:v>79,73</c:v>
                  </c:pt>
                  <c:pt idx="22">
                    <c:v>68,97</c:v>
                  </c:pt>
                  <c:pt idx="24">
                    <c:v>89,93</c:v>
                  </c:pt>
                  <c:pt idx="25">
                    <c:v>103,39</c:v>
                  </c:pt>
                  <c:pt idx="26">
                    <c:v>81,32</c:v>
                  </c:pt>
                  <c:pt idx="27">
                    <c:v>58,79</c:v>
                  </c:pt>
                  <c:pt idx="28">
                    <c:v>85,94</c:v>
                  </c:pt>
                  <c:pt idx="29">
                    <c:v>72,27</c:v>
                  </c:pt>
                  <c:pt idx="30">
                    <c:v>78,67</c:v>
                  </c:pt>
                  <c:pt idx="31">
                    <c:v>74,98</c:v>
                  </c:pt>
                  <c:pt idx="32">
                    <c:v>79,81</c:v>
                  </c:pt>
                </c:lvl>
                <c:lvl>
                  <c:pt idx="0">
                    <c:v>92,89</c:v>
                  </c:pt>
                  <c:pt idx="1">
                    <c:v>84,31</c:v>
                  </c:pt>
                  <c:pt idx="3">
                    <c:v>147,73</c:v>
                  </c:pt>
                  <c:pt idx="4">
                    <c:v>94,66</c:v>
                  </c:pt>
                  <c:pt idx="5">
                    <c:v>80,83</c:v>
                  </c:pt>
                  <c:pt idx="6">
                    <c:v>66,35</c:v>
                  </c:pt>
                  <c:pt idx="8">
                    <c:v>64,10</c:v>
                  </c:pt>
                  <c:pt idx="9">
                    <c:v>85,22</c:v>
                  </c:pt>
                  <c:pt idx="10">
                    <c:v>68,05</c:v>
                  </c:pt>
                  <c:pt idx="11">
                    <c:v>56,92</c:v>
                  </c:pt>
                  <c:pt idx="12">
                    <c:v>84,95</c:v>
                  </c:pt>
                  <c:pt idx="13">
                    <c:v>85,46</c:v>
                  </c:pt>
                  <c:pt idx="14">
                    <c:v>74,70</c:v>
                  </c:pt>
                  <c:pt idx="16">
                    <c:v>103,31</c:v>
                  </c:pt>
                  <c:pt idx="17">
                    <c:v>77,21</c:v>
                  </c:pt>
                  <c:pt idx="18">
                    <c:v>79,33</c:v>
                  </c:pt>
                  <c:pt idx="19">
                    <c:v>70,44</c:v>
                  </c:pt>
                  <c:pt idx="20">
                    <c:v>88,74</c:v>
                  </c:pt>
                  <c:pt idx="21">
                    <c:v>67,04</c:v>
                  </c:pt>
                  <c:pt idx="22">
                    <c:v>80,56</c:v>
                  </c:pt>
                  <c:pt idx="24">
                    <c:v>91,29</c:v>
                  </c:pt>
                  <c:pt idx="25">
                    <c:v>87,01</c:v>
                  </c:pt>
                  <c:pt idx="26">
                    <c:v>66,10</c:v>
                  </c:pt>
                  <c:pt idx="27">
                    <c:v>70,86</c:v>
                  </c:pt>
                  <c:pt idx="28">
                    <c:v>83,31</c:v>
                  </c:pt>
                  <c:pt idx="29">
                    <c:v>71,50</c:v>
                  </c:pt>
                  <c:pt idx="30">
                    <c:v>84,84</c:v>
                  </c:pt>
                  <c:pt idx="31">
                    <c:v>117,15</c:v>
                  </c:pt>
                  <c:pt idx="32">
                    <c:v>70,71</c:v>
                  </c:pt>
                </c:lvl>
                <c:lvl>
                  <c:pt idx="0">
                    <c:v>99,05</c:v>
                  </c:pt>
                  <c:pt idx="1">
                    <c:v>88,36</c:v>
                  </c:pt>
                  <c:pt idx="2">
                    <c:v>86,32</c:v>
                  </c:pt>
                  <c:pt idx="3">
                    <c:v>82,26</c:v>
                  </c:pt>
                  <c:pt idx="4">
                    <c:v>81,09</c:v>
                  </c:pt>
                  <c:pt idx="5">
                    <c:v>67,51</c:v>
                  </c:pt>
                  <c:pt idx="6">
                    <c:v>118,29</c:v>
                  </c:pt>
                  <c:pt idx="8">
                    <c:v>77,87</c:v>
                  </c:pt>
                  <c:pt idx="9">
                    <c:v>93,74</c:v>
                  </c:pt>
                  <c:pt idx="10">
                    <c:v>69,90</c:v>
                  </c:pt>
                  <c:pt idx="11">
                    <c:v>126,30</c:v>
                  </c:pt>
                  <c:pt idx="12">
                    <c:v>72,96</c:v>
                  </c:pt>
                  <c:pt idx="13">
                    <c:v>97,78</c:v>
                  </c:pt>
                  <c:pt idx="14">
                    <c:v>99,16</c:v>
                  </c:pt>
                  <c:pt idx="16">
                    <c:v>104,64</c:v>
                  </c:pt>
                  <c:pt idx="17">
                    <c:v>77,16</c:v>
                  </c:pt>
                  <c:pt idx="18">
                    <c:v>73,22</c:v>
                  </c:pt>
                  <c:pt idx="21">
                    <c:v>124,93</c:v>
                  </c:pt>
                  <c:pt idx="22">
                    <c:v>100,04</c:v>
                  </c:pt>
                  <c:pt idx="24">
                    <c:v>73,88</c:v>
                  </c:pt>
                  <c:pt idx="25">
                    <c:v>90,92</c:v>
                  </c:pt>
                  <c:pt idx="26">
                    <c:v>97,25</c:v>
                  </c:pt>
                  <c:pt idx="27">
                    <c:v>93,86</c:v>
                  </c:pt>
                  <c:pt idx="28">
                    <c:v>90,08</c:v>
                  </c:pt>
                  <c:pt idx="29">
                    <c:v>86,73</c:v>
                  </c:pt>
                  <c:pt idx="30">
                    <c:v>100,07</c:v>
                  </c:pt>
                  <c:pt idx="31">
                    <c:v>90,25</c:v>
                  </c:pt>
                  <c:pt idx="32">
                    <c:v>82,02</c:v>
                  </c:pt>
                </c:lvl>
                <c:lvl>
                  <c:pt idx="0">
                    <c:v>75,15</c:v>
                  </c:pt>
                  <c:pt idx="1">
                    <c:v>90,26</c:v>
                  </c:pt>
                  <c:pt idx="2">
                    <c:v>62,29</c:v>
                  </c:pt>
                  <c:pt idx="3">
                    <c:v>69,72</c:v>
                  </c:pt>
                  <c:pt idx="4">
                    <c:v>64,88</c:v>
                  </c:pt>
                  <c:pt idx="5">
                    <c:v>70,23</c:v>
                  </c:pt>
                  <c:pt idx="6">
                    <c:v>72,94</c:v>
                  </c:pt>
                  <c:pt idx="8">
                    <c:v>64,22</c:v>
                  </c:pt>
                  <c:pt idx="9">
                    <c:v>74,55</c:v>
                  </c:pt>
                  <c:pt idx="10">
                    <c:v>71,92</c:v>
                  </c:pt>
                  <c:pt idx="11">
                    <c:v>76,72</c:v>
                  </c:pt>
                  <c:pt idx="12">
                    <c:v>82,02</c:v>
                  </c:pt>
                  <c:pt idx="13">
                    <c:v>59,58</c:v>
                  </c:pt>
                  <c:pt idx="14">
                    <c:v>60,07</c:v>
                  </c:pt>
                  <c:pt idx="16">
                    <c:v>93,00</c:v>
                  </c:pt>
                  <c:pt idx="17">
                    <c:v>89,43</c:v>
                  </c:pt>
                  <c:pt idx="18">
                    <c:v>74,49</c:v>
                  </c:pt>
                  <c:pt idx="19">
                    <c:v>68,50</c:v>
                  </c:pt>
                  <c:pt idx="20">
                    <c:v>83,91</c:v>
                  </c:pt>
                  <c:pt idx="21">
                    <c:v>54,01</c:v>
                  </c:pt>
                  <c:pt idx="22">
                    <c:v>73,88</c:v>
                  </c:pt>
                  <c:pt idx="24">
                    <c:v>110,53</c:v>
                  </c:pt>
                  <c:pt idx="25">
                    <c:v>56,49</c:v>
                  </c:pt>
                  <c:pt idx="26">
                    <c:v>68,71</c:v>
                  </c:pt>
                  <c:pt idx="27">
                    <c:v>32,45</c:v>
                  </c:pt>
                  <c:pt idx="28">
                    <c:v>89,78</c:v>
                  </c:pt>
                  <c:pt idx="29">
                    <c:v>78,64</c:v>
                  </c:pt>
                  <c:pt idx="30">
                    <c:v>77,70</c:v>
                  </c:pt>
                  <c:pt idx="31">
                    <c:v>77,65</c:v>
                  </c:pt>
                  <c:pt idx="32">
                    <c:v>68,72</c:v>
                  </c:pt>
                </c:lvl>
                <c:lvl>
                  <c:pt idx="0">
                    <c:v>93,20</c:v>
                  </c:pt>
                  <c:pt idx="1">
                    <c:v>65,52</c:v>
                  </c:pt>
                  <c:pt idx="2">
                    <c:v>94,15</c:v>
                  </c:pt>
                  <c:pt idx="3">
                    <c:v>72,57</c:v>
                  </c:pt>
                  <c:pt idx="4">
                    <c:v>78,98</c:v>
                  </c:pt>
                  <c:pt idx="5">
                    <c:v>82,10</c:v>
                  </c:pt>
                  <c:pt idx="6">
                    <c:v>71,42</c:v>
                  </c:pt>
                  <c:pt idx="8">
                    <c:v>60,46</c:v>
                  </c:pt>
                  <c:pt idx="9">
                    <c:v>70,40</c:v>
                  </c:pt>
                  <c:pt idx="10">
                    <c:v>84,01</c:v>
                  </c:pt>
                  <c:pt idx="11">
                    <c:v>101,32</c:v>
                  </c:pt>
                  <c:pt idx="12">
                    <c:v>87,07</c:v>
                  </c:pt>
                  <c:pt idx="13">
                    <c:v>80,92</c:v>
                  </c:pt>
                  <c:pt idx="14">
                    <c:v>25,75</c:v>
                  </c:pt>
                  <c:pt idx="16">
                    <c:v>40,02</c:v>
                  </c:pt>
                  <c:pt idx="17">
                    <c:v>99,48</c:v>
                  </c:pt>
                  <c:pt idx="18">
                    <c:v>47,40</c:v>
                  </c:pt>
                  <c:pt idx="19">
                    <c:v>67,32</c:v>
                  </c:pt>
                  <c:pt idx="20">
                    <c:v>91,77</c:v>
                  </c:pt>
                  <c:pt idx="21">
                    <c:v>85,95</c:v>
                  </c:pt>
                  <c:pt idx="22">
                    <c:v>79,78</c:v>
                  </c:pt>
                  <c:pt idx="24">
                    <c:v>101,61</c:v>
                  </c:pt>
                  <c:pt idx="25">
                    <c:v>105,49</c:v>
                  </c:pt>
                  <c:pt idx="26">
                    <c:v>56,11</c:v>
                  </c:pt>
                  <c:pt idx="27">
                    <c:v>72,05</c:v>
                  </c:pt>
                  <c:pt idx="28">
                    <c:v>89,39</c:v>
                  </c:pt>
                  <c:pt idx="29">
                    <c:v>100,5</c:v>
                  </c:pt>
                  <c:pt idx="30">
                    <c:v>98,67</c:v>
                  </c:pt>
                  <c:pt idx="31">
                    <c:v>63,65</c:v>
                  </c:pt>
                  <c:pt idx="32">
                    <c:v>74,31</c:v>
                  </c:pt>
                </c:lvl>
                <c:lvl>
                  <c:pt idx="0">
                    <c:v>82,75</c:v>
                  </c:pt>
                  <c:pt idx="1">
                    <c:v>84,04</c:v>
                  </c:pt>
                  <c:pt idx="2">
                    <c:v>117,67</c:v>
                  </c:pt>
                  <c:pt idx="3">
                    <c:v>70,62</c:v>
                  </c:pt>
                  <c:pt idx="4">
                    <c:v>76,00</c:v>
                  </c:pt>
                  <c:pt idx="5">
                    <c:v>51,44</c:v>
                  </c:pt>
                  <c:pt idx="6">
                    <c:v>96,46</c:v>
                  </c:pt>
                  <c:pt idx="8">
                    <c:v>61,04</c:v>
                  </c:pt>
                  <c:pt idx="9">
                    <c:v>115,77</c:v>
                  </c:pt>
                  <c:pt idx="10">
                    <c:v>58,51</c:v>
                  </c:pt>
                  <c:pt idx="11">
                    <c:v>110,18</c:v>
                  </c:pt>
                  <c:pt idx="12">
                    <c:v>56,91</c:v>
                  </c:pt>
                  <c:pt idx="13">
                    <c:v>71,18</c:v>
                  </c:pt>
                  <c:pt idx="14">
                    <c:v>100,92</c:v>
                  </c:pt>
                  <c:pt idx="16">
                    <c:v>99,33</c:v>
                  </c:pt>
                  <c:pt idx="19">
                    <c:v>78,58</c:v>
                  </c:pt>
                  <c:pt idx="20">
                    <c:v>124,02</c:v>
                  </c:pt>
                  <c:pt idx="21">
                    <c:v>69,26</c:v>
                  </c:pt>
                  <c:pt idx="22">
                    <c:v>88,41</c:v>
                  </c:pt>
                  <c:pt idx="24">
                    <c:v>101,71</c:v>
                  </c:pt>
                  <c:pt idx="25">
                    <c:v>101,78</c:v>
                  </c:pt>
                  <c:pt idx="26">
                    <c:v>95,57</c:v>
                  </c:pt>
                  <c:pt idx="27">
                    <c:v>58,05</c:v>
                  </c:pt>
                  <c:pt idx="28">
                    <c:v>103,57</c:v>
                  </c:pt>
                  <c:pt idx="29">
                    <c:v>67,07</c:v>
                  </c:pt>
                  <c:pt idx="30">
                    <c:v>85,80</c:v>
                  </c:pt>
                  <c:pt idx="31">
                    <c:v>70,53</c:v>
                  </c:pt>
                  <c:pt idx="32">
                    <c:v>137,15</c:v>
                  </c:pt>
                </c:lvl>
                <c:lvl>
                  <c:pt idx="0">
                    <c:v>85,16</c:v>
                  </c:pt>
                  <c:pt idx="1">
                    <c:v>95,79</c:v>
                  </c:pt>
                  <c:pt idx="2">
                    <c:v>69,40</c:v>
                  </c:pt>
                  <c:pt idx="3">
                    <c:v>61,82</c:v>
                  </c:pt>
                  <c:pt idx="4">
                    <c:v>115,15</c:v>
                  </c:pt>
                  <c:pt idx="5">
                    <c:v>80,05</c:v>
                  </c:pt>
                  <c:pt idx="6">
                    <c:v>92,17</c:v>
                  </c:pt>
                  <c:pt idx="8">
                    <c:v>52,20</c:v>
                  </c:pt>
                  <c:pt idx="9">
                    <c:v>104,08</c:v>
                  </c:pt>
                  <c:pt idx="10">
                    <c:v>100,60</c:v>
                  </c:pt>
                  <c:pt idx="11">
                    <c:v>99,49</c:v>
                  </c:pt>
                  <c:pt idx="12">
                    <c:v>77,75</c:v>
                  </c:pt>
                  <c:pt idx="13">
                    <c:v>86,00</c:v>
                  </c:pt>
                  <c:pt idx="14">
                    <c:v>103,32</c:v>
                  </c:pt>
                  <c:pt idx="16">
                    <c:v>117,08</c:v>
                  </c:pt>
                  <c:pt idx="17">
                    <c:v>81,14</c:v>
                  </c:pt>
                  <c:pt idx="18">
                    <c:v>99,79</c:v>
                  </c:pt>
                  <c:pt idx="19">
                    <c:v>85,97</c:v>
                  </c:pt>
                  <c:pt idx="20">
                    <c:v>80,34</c:v>
                  </c:pt>
                  <c:pt idx="21">
                    <c:v>96,73</c:v>
                  </c:pt>
                  <c:pt idx="22">
                    <c:v>88,02</c:v>
                  </c:pt>
                  <c:pt idx="24">
                    <c:v>109,33</c:v>
                  </c:pt>
                  <c:pt idx="25">
                    <c:v>80,54</c:v>
                  </c:pt>
                  <c:pt idx="26">
                    <c:v>80,04</c:v>
                  </c:pt>
                  <c:pt idx="27">
                    <c:v>92,43</c:v>
                  </c:pt>
                  <c:pt idx="28">
                    <c:v>101,64</c:v>
                  </c:pt>
                  <c:pt idx="29">
                    <c:v>108,68</c:v>
                  </c:pt>
                  <c:pt idx="30">
                    <c:v>97,76</c:v>
                  </c:pt>
                  <c:pt idx="31">
                    <c:v>73,82</c:v>
                  </c:pt>
                  <c:pt idx="32">
                    <c:v>118,55</c:v>
                  </c:pt>
                </c:lvl>
                <c:lvl>
                  <c:pt idx="0">
                    <c:v>68,97</c:v>
                  </c:pt>
                  <c:pt idx="1">
                    <c:v>69,15</c:v>
                  </c:pt>
                  <c:pt idx="2">
                    <c:v>87,42</c:v>
                  </c:pt>
                  <c:pt idx="3">
                    <c:v>67,64</c:v>
                  </c:pt>
                  <c:pt idx="4">
                    <c:v>54,71</c:v>
                  </c:pt>
                  <c:pt idx="5">
                    <c:v>52,97</c:v>
                  </c:pt>
                  <c:pt idx="6">
                    <c:v>78,70</c:v>
                  </c:pt>
                  <c:pt idx="8">
                    <c:v>66,39</c:v>
                  </c:pt>
                  <c:pt idx="9">
                    <c:v>93,62</c:v>
                  </c:pt>
                  <c:pt idx="10">
                    <c:v>65,94</c:v>
                  </c:pt>
                  <c:pt idx="11">
                    <c:v>65,00</c:v>
                  </c:pt>
                  <c:pt idx="12">
                    <c:v>74,89</c:v>
                  </c:pt>
                  <c:pt idx="13">
                    <c:v>74,79</c:v>
                  </c:pt>
                  <c:pt idx="14">
                    <c:v>76,22</c:v>
                  </c:pt>
                  <c:pt idx="16">
                    <c:v>85,89</c:v>
                  </c:pt>
                  <c:pt idx="17">
                    <c:v>78,49</c:v>
                  </c:pt>
                  <c:pt idx="18">
                    <c:v>83,99</c:v>
                  </c:pt>
                  <c:pt idx="19">
                    <c:v>50,91</c:v>
                  </c:pt>
                  <c:pt idx="20">
                    <c:v>58,61</c:v>
                  </c:pt>
                  <c:pt idx="21">
                    <c:v>54,78</c:v>
                  </c:pt>
                  <c:pt idx="22">
                    <c:v>66,80</c:v>
                  </c:pt>
                  <c:pt idx="24">
                    <c:v>87,48</c:v>
                  </c:pt>
                  <c:pt idx="25">
                    <c:v>80,38</c:v>
                  </c:pt>
                  <c:pt idx="26">
                    <c:v>72,12</c:v>
                  </c:pt>
                  <c:pt idx="27">
                    <c:v>61,93</c:v>
                  </c:pt>
                  <c:pt idx="28">
                    <c:v>55,95</c:v>
                  </c:pt>
                  <c:pt idx="29">
                    <c:v>84,29</c:v>
                  </c:pt>
                  <c:pt idx="30">
                    <c:v>96,81</c:v>
                  </c:pt>
                  <c:pt idx="31">
                    <c:v>67,32</c:v>
                  </c:pt>
                  <c:pt idx="32">
                    <c:v>69,39</c:v>
                  </c:pt>
                  <c:pt idx="36">
                    <c:v>. HT 204 - 216, 230 Liter</c:v>
                  </c:pt>
                </c:lvl>
                <c:lvl>
                  <c:pt idx="0">
                    <c:v>97,21</c:v>
                  </c:pt>
                  <c:pt idx="1">
                    <c:v>92,37</c:v>
                  </c:pt>
                  <c:pt idx="2">
                    <c:v>61,16</c:v>
                  </c:pt>
                  <c:pt idx="3">
                    <c:v>68,80</c:v>
                  </c:pt>
                  <c:pt idx="4">
                    <c:v>53,87</c:v>
                  </c:pt>
                  <c:pt idx="5">
                    <c:v>65,60</c:v>
                  </c:pt>
                  <c:pt idx="6">
                    <c:v>59,99</c:v>
                  </c:pt>
                  <c:pt idx="8">
                    <c:v>70,85</c:v>
                  </c:pt>
                  <c:pt idx="9">
                    <c:v>73,91</c:v>
                  </c:pt>
                  <c:pt idx="10">
                    <c:v>77,92</c:v>
                  </c:pt>
                  <c:pt idx="11">
                    <c:v>62,11</c:v>
                  </c:pt>
                  <c:pt idx="12">
                    <c:v>63,19</c:v>
                  </c:pt>
                  <c:pt idx="13">
                    <c:v>60,43</c:v>
                  </c:pt>
                  <c:pt idx="14">
                    <c:v>81,71</c:v>
                  </c:pt>
                  <c:pt idx="16">
                    <c:v>79,41</c:v>
                  </c:pt>
                  <c:pt idx="17">
                    <c:v>84,77</c:v>
                  </c:pt>
                  <c:pt idx="18">
                    <c:v>64,93</c:v>
                  </c:pt>
                  <c:pt idx="19">
                    <c:v>71,54</c:v>
                  </c:pt>
                  <c:pt idx="20">
                    <c:v>72,53</c:v>
                  </c:pt>
                  <c:pt idx="21">
                    <c:v>70,48</c:v>
                  </c:pt>
                  <c:pt idx="22">
                    <c:v>69,68</c:v>
                  </c:pt>
                  <c:pt idx="24">
                    <c:v>74,47</c:v>
                  </c:pt>
                  <c:pt idx="25">
                    <c:v>81,72</c:v>
                  </c:pt>
                  <c:pt idx="26">
                    <c:v>65,13</c:v>
                  </c:pt>
                  <c:pt idx="27">
                    <c:v>82,61</c:v>
                  </c:pt>
                  <c:pt idx="28">
                    <c:v>78,99</c:v>
                  </c:pt>
                  <c:pt idx="29">
                    <c:v>68,72</c:v>
                  </c:pt>
                  <c:pt idx="30">
                    <c:v>73,10</c:v>
                  </c:pt>
                  <c:pt idx="31">
                    <c:v>16,93</c:v>
                  </c:pt>
                  <c:pt idx="32">
                    <c:v>43,96</c:v>
                  </c:pt>
                </c:lvl>
                <c:lvl>
                  <c:pt idx="0">
                    <c:v>74,48</c:v>
                  </c:pt>
                  <c:pt idx="1">
                    <c:v>57,38</c:v>
                  </c:pt>
                  <c:pt idx="2">
                    <c:v>50,97</c:v>
                  </c:pt>
                  <c:pt idx="3">
                    <c:v>68,85</c:v>
                  </c:pt>
                  <c:pt idx="4">
                    <c:v>87,90</c:v>
                  </c:pt>
                  <c:pt idx="5">
                    <c:v>54,86</c:v>
                  </c:pt>
                  <c:pt idx="6">
                    <c:v>68,65</c:v>
                  </c:pt>
                  <c:pt idx="8">
                    <c:v>50,80</c:v>
                  </c:pt>
                  <c:pt idx="9">
                    <c:v>66,89</c:v>
                  </c:pt>
                  <c:pt idx="10">
                    <c:v>50,13</c:v>
                  </c:pt>
                  <c:pt idx="11">
                    <c:v>74,61</c:v>
                  </c:pt>
                  <c:pt idx="12">
                    <c:v>77,51</c:v>
                  </c:pt>
                  <c:pt idx="13">
                    <c:v>77,75</c:v>
                  </c:pt>
                  <c:pt idx="14">
                    <c:v>90,87</c:v>
                  </c:pt>
                  <c:pt idx="16">
                    <c:v>82,76</c:v>
                  </c:pt>
                  <c:pt idx="17">
                    <c:v>91,06</c:v>
                  </c:pt>
                  <c:pt idx="18">
                    <c:v>78,70</c:v>
                  </c:pt>
                  <c:pt idx="19">
                    <c:v>85,10</c:v>
                  </c:pt>
                  <c:pt idx="20">
                    <c:v>66,28</c:v>
                  </c:pt>
                  <c:pt idx="21">
                    <c:v>70,62</c:v>
                  </c:pt>
                  <c:pt idx="22">
                    <c:v>84,26</c:v>
                  </c:pt>
                  <c:pt idx="24">
                    <c:v>80,96</c:v>
                  </c:pt>
                  <c:pt idx="25">
                    <c:v>96,53</c:v>
                  </c:pt>
                  <c:pt idx="26">
                    <c:v>63,91</c:v>
                  </c:pt>
                  <c:pt idx="27">
                    <c:v>68,97</c:v>
                  </c:pt>
                  <c:pt idx="28">
                    <c:v>78,55</c:v>
                  </c:pt>
                  <c:pt idx="29">
                    <c:v>54,59</c:v>
                  </c:pt>
                  <c:pt idx="30">
                    <c:v>78,69</c:v>
                  </c:pt>
                  <c:pt idx="31">
                    <c:v>61,34</c:v>
                  </c:pt>
                  <c:pt idx="32">
                    <c:v>75,85</c:v>
                  </c:pt>
                </c:lvl>
                <c:lvl>
                  <c:pt idx="0">
                    <c:v>77,73</c:v>
                  </c:pt>
                  <c:pt idx="1">
                    <c:v>71,14</c:v>
                  </c:pt>
                  <c:pt idx="2">
                    <c:v>73,86</c:v>
                  </c:pt>
                  <c:pt idx="3">
                    <c:v>88,48</c:v>
                  </c:pt>
                  <c:pt idx="4">
                    <c:v>70,15</c:v>
                  </c:pt>
                  <c:pt idx="5">
                    <c:v>59,67</c:v>
                  </c:pt>
                  <c:pt idx="6">
                    <c:v>85,29</c:v>
                  </c:pt>
                  <c:pt idx="8">
                    <c:v>60,32</c:v>
                  </c:pt>
                  <c:pt idx="9">
                    <c:v>74,05</c:v>
                  </c:pt>
                  <c:pt idx="10">
                    <c:v>84,71</c:v>
                  </c:pt>
                  <c:pt idx="11">
                    <c:v>80,83</c:v>
                  </c:pt>
                  <c:pt idx="12">
                    <c:v>83,74</c:v>
                  </c:pt>
                  <c:pt idx="13">
                    <c:v>82,17</c:v>
                  </c:pt>
                  <c:pt idx="14">
                    <c:v>84,70</c:v>
                  </c:pt>
                  <c:pt idx="16">
                    <c:v>97,47</c:v>
                  </c:pt>
                  <c:pt idx="17">
                    <c:v>114,55</c:v>
                  </c:pt>
                  <c:pt idx="18">
                    <c:v>53,37</c:v>
                  </c:pt>
                  <c:pt idx="19">
                    <c:v>65,01</c:v>
                  </c:pt>
                  <c:pt idx="20">
                    <c:v>69,88</c:v>
                  </c:pt>
                  <c:pt idx="21">
                    <c:v>65,82</c:v>
                  </c:pt>
                  <c:pt idx="22">
                    <c:v>96,47</c:v>
                  </c:pt>
                  <c:pt idx="24">
                    <c:v>75,44</c:v>
                  </c:pt>
                  <c:pt idx="25">
                    <c:v>78,89</c:v>
                  </c:pt>
                  <c:pt idx="26">
                    <c:v>68,56</c:v>
                  </c:pt>
                  <c:pt idx="27">
                    <c:v>72,66</c:v>
                  </c:pt>
                  <c:pt idx="28">
                    <c:v>83,22</c:v>
                  </c:pt>
                  <c:pt idx="29">
                    <c:v>76,11</c:v>
                  </c:pt>
                  <c:pt idx="30">
                    <c:v>87,74</c:v>
                  </c:pt>
                  <c:pt idx="31">
                    <c:v>65,48</c:v>
                  </c:pt>
                  <c:pt idx="32">
                    <c:v>74,19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74,99</c:v>
                  </c:pt>
                  <c:pt idx="1">
                    <c:v>62,39</c:v>
                  </c:pt>
                  <c:pt idx="2">
                    <c:v>61,34</c:v>
                  </c:pt>
                  <c:pt idx="3">
                    <c:v>59,79</c:v>
                  </c:pt>
                  <c:pt idx="4">
                    <c:v>54,93</c:v>
                  </c:pt>
                  <c:pt idx="5">
                    <c:v>56,69</c:v>
                  </c:pt>
                  <c:pt idx="6">
                    <c:v>64,03</c:v>
                  </c:pt>
                  <c:pt idx="8">
                    <c:v>58,99</c:v>
                  </c:pt>
                  <c:pt idx="9">
                    <c:v>75,37</c:v>
                  </c:pt>
                  <c:pt idx="10">
                    <c:v>76,72</c:v>
                  </c:pt>
                  <c:pt idx="11">
                    <c:v>73,40</c:v>
                  </c:pt>
                  <c:pt idx="12">
                    <c:v>67,65</c:v>
                  </c:pt>
                  <c:pt idx="13">
                    <c:v>55,00</c:v>
                  </c:pt>
                  <c:pt idx="14">
                    <c:v>69,87</c:v>
                  </c:pt>
                  <c:pt idx="16">
                    <c:v>84,42</c:v>
                  </c:pt>
                  <c:pt idx="17">
                    <c:v>58,19</c:v>
                  </c:pt>
                  <c:pt idx="18">
                    <c:v>70,23</c:v>
                  </c:pt>
                  <c:pt idx="19">
                    <c:v>55,11</c:v>
                  </c:pt>
                  <c:pt idx="20">
                    <c:v>75,18</c:v>
                  </c:pt>
                  <c:pt idx="21">
                    <c:v>65,18</c:v>
                  </c:pt>
                  <c:pt idx="22">
                    <c:v>70,81</c:v>
                  </c:pt>
                  <c:pt idx="24">
                    <c:v>71,20</c:v>
                  </c:pt>
                  <c:pt idx="25">
                    <c:v>74,04</c:v>
                  </c:pt>
                  <c:pt idx="26">
                    <c:v>61,91</c:v>
                  </c:pt>
                  <c:pt idx="27">
                    <c:v>78,69</c:v>
                  </c:pt>
                  <c:pt idx="28">
                    <c:v>66,47</c:v>
                  </c:pt>
                  <c:pt idx="29">
                    <c:v>75,08</c:v>
                  </c:pt>
                  <c:pt idx="30">
                    <c:v>71,44</c:v>
                  </c:pt>
                  <c:pt idx="31">
                    <c:v>73,81</c:v>
                  </c:pt>
                  <c:pt idx="32">
                    <c:v>78,07</c:v>
                  </c:pt>
                </c:lvl>
                <c:lvl>
                  <c:pt idx="0">
                    <c:v>108,56</c:v>
                  </c:pt>
                  <c:pt idx="1">
                    <c:v>104,74</c:v>
                  </c:pt>
                  <c:pt idx="2">
                    <c:v>96,37</c:v>
                  </c:pt>
                  <c:pt idx="3">
                    <c:v>86,22</c:v>
                  </c:pt>
                  <c:pt idx="4">
                    <c:v>82,19</c:v>
                  </c:pt>
                  <c:pt idx="5">
                    <c:v>83,37</c:v>
                  </c:pt>
                  <c:pt idx="6">
                    <c:v>81,25</c:v>
                  </c:pt>
                  <c:pt idx="8">
                    <c:v>102,31</c:v>
                  </c:pt>
                  <c:pt idx="9">
                    <c:v>99,87</c:v>
                  </c:pt>
                  <c:pt idx="10">
                    <c:v>92,46</c:v>
                  </c:pt>
                  <c:pt idx="11">
                    <c:v>102,75</c:v>
                  </c:pt>
                  <c:pt idx="12">
                    <c:v>76,33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69,83</c:v>
                  </c:pt>
                  <c:pt idx="1">
                    <c:v>74,23</c:v>
                  </c:pt>
                  <c:pt idx="2">
                    <c:v>73,72</c:v>
                  </c:pt>
                  <c:pt idx="3">
                    <c:v>65,74</c:v>
                  </c:pt>
                  <c:pt idx="4">
                    <c:v>59,91</c:v>
                  </c:pt>
                  <c:pt idx="5">
                    <c:v>74,53</c:v>
                  </c:pt>
                  <c:pt idx="6">
                    <c:v>67,65</c:v>
                  </c:pt>
                  <c:pt idx="8">
                    <c:v>49,85</c:v>
                  </c:pt>
                  <c:pt idx="9">
                    <c:v>72,69</c:v>
                  </c:pt>
                  <c:pt idx="10">
                    <c:v>65,45</c:v>
                  </c:pt>
                  <c:pt idx="11">
                    <c:v>75,78</c:v>
                  </c:pt>
                  <c:pt idx="12">
                    <c:v>70,73</c:v>
                  </c:pt>
                  <c:pt idx="13">
                    <c:v>76,04</c:v>
                  </c:pt>
                  <c:pt idx="14">
                    <c:v>65,83</c:v>
                  </c:pt>
                  <c:pt idx="16">
                    <c:v>86,63</c:v>
                  </c:pt>
                  <c:pt idx="17">
                    <c:v>80,43</c:v>
                  </c:pt>
                  <c:pt idx="18">
                    <c:v>70,40</c:v>
                  </c:pt>
                  <c:pt idx="20">
                    <c:v>66,48</c:v>
                  </c:pt>
                  <c:pt idx="21">
                    <c:v>68,75</c:v>
                  </c:pt>
                  <c:pt idx="22">
                    <c:v>75,21</c:v>
                  </c:pt>
                  <c:pt idx="24">
                    <c:v>99,14</c:v>
                  </c:pt>
                  <c:pt idx="25">
                    <c:v>76,46</c:v>
                  </c:pt>
                  <c:pt idx="26">
                    <c:v>66,65</c:v>
                  </c:pt>
                  <c:pt idx="27">
                    <c:v>43,46</c:v>
                  </c:pt>
                  <c:pt idx="28">
                    <c:v>80,36</c:v>
                  </c:pt>
                  <c:pt idx="29">
                    <c:v>66,98</c:v>
                  </c:pt>
                  <c:pt idx="30">
                    <c:v>87,00</c:v>
                  </c:pt>
                  <c:pt idx="31">
                    <c:v>73,52</c:v>
                  </c:pt>
                  <c:pt idx="32">
                    <c:v>82,27</c:v>
                  </c:pt>
                </c:lvl>
                <c:lvl>
                  <c:pt idx="0">
                    <c:v>87,02</c:v>
                  </c:pt>
                  <c:pt idx="1">
                    <c:v>69,61</c:v>
                  </c:pt>
                  <c:pt idx="2">
                    <c:v>95,97</c:v>
                  </c:pt>
                  <c:pt idx="3">
                    <c:v>88,96</c:v>
                  </c:pt>
                  <c:pt idx="4">
                    <c:v>66,97</c:v>
                  </c:pt>
                  <c:pt idx="5">
                    <c:v>81,11</c:v>
                  </c:pt>
                  <c:pt idx="6">
                    <c:v>79,28</c:v>
                  </c:pt>
                  <c:pt idx="8">
                    <c:v>70,37</c:v>
                  </c:pt>
                  <c:pt idx="9">
                    <c:v>90,54</c:v>
                  </c:pt>
                  <c:pt idx="10">
                    <c:v>73,13</c:v>
                  </c:pt>
                  <c:pt idx="12">
                    <c:v>129,99</c:v>
                  </c:pt>
                  <c:pt idx="13">
                    <c:v>78,30</c:v>
                  </c:pt>
                  <c:pt idx="14">
                    <c:v>90,69</c:v>
                  </c:pt>
                  <c:pt idx="16">
                    <c:v>107,10</c:v>
                  </c:pt>
                  <c:pt idx="17">
                    <c:v>94,25</c:v>
                  </c:pt>
                  <c:pt idx="18">
                    <c:v>89,24</c:v>
                  </c:pt>
                  <c:pt idx="19">
                    <c:v>80,86</c:v>
                  </c:pt>
                  <c:pt idx="20">
                    <c:v>76,66</c:v>
                  </c:pt>
                  <c:pt idx="21">
                    <c:v>102,29</c:v>
                  </c:pt>
                  <c:pt idx="22">
                    <c:v>90,62</c:v>
                  </c:pt>
                  <c:pt idx="24">
                    <c:v>97,63</c:v>
                  </c:pt>
                  <c:pt idx="25">
                    <c:v>100,68</c:v>
                  </c:pt>
                  <c:pt idx="26">
                    <c:v>77,06</c:v>
                  </c:pt>
                  <c:pt idx="27">
                    <c:v>74,12</c:v>
                  </c:pt>
                  <c:pt idx="28">
                    <c:v>100,53</c:v>
                  </c:pt>
                  <c:pt idx="29">
                    <c:v>88,32</c:v>
                  </c:pt>
                  <c:pt idx="30">
                    <c:v>25,14</c:v>
                  </c:pt>
                  <c:pt idx="31">
                    <c:v>55,86</c:v>
                  </c:pt>
                  <c:pt idx="32">
                    <c:v>87,61</c:v>
                  </c:pt>
                </c:lvl>
                <c:lvl>
                  <c:pt idx="0">
                    <c:v>75,35</c:v>
                  </c:pt>
                  <c:pt idx="1">
                    <c:v>70,68</c:v>
                  </c:pt>
                  <c:pt idx="2">
                    <c:v>81,70</c:v>
                  </c:pt>
                  <c:pt idx="3">
                    <c:v>98,85</c:v>
                  </c:pt>
                  <c:pt idx="4">
                    <c:v>48,46</c:v>
                  </c:pt>
                  <c:pt idx="5">
                    <c:v>3,87</c:v>
                  </c:pt>
                  <c:pt idx="6">
                    <c:v>69,30</c:v>
                  </c:pt>
                  <c:pt idx="8">
                    <c:v>57,61</c:v>
                  </c:pt>
                  <c:pt idx="9">
                    <c:v>81,47</c:v>
                  </c:pt>
                  <c:pt idx="10">
                    <c:v>85,20</c:v>
                  </c:pt>
                  <c:pt idx="11">
                    <c:v>87,57</c:v>
                  </c:pt>
                  <c:pt idx="12">
                    <c:v>66,61</c:v>
                  </c:pt>
                  <c:pt idx="13">
                    <c:v>77,86</c:v>
                  </c:pt>
                  <c:pt idx="14">
                    <c:v>81,37</c:v>
                  </c:pt>
                  <c:pt idx="16">
                    <c:v>87,75</c:v>
                  </c:pt>
                  <c:pt idx="17">
                    <c:v>92,59</c:v>
                  </c:pt>
                  <c:pt idx="18">
                    <c:v>73,39</c:v>
                  </c:pt>
                  <c:pt idx="19">
                    <c:v>79,19</c:v>
                  </c:pt>
                  <c:pt idx="20">
                    <c:v>85,19</c:v>
                  </c:pt>
                  <c:pt idx="21">
                    <c:v>77,15</c:v>
                  </c:pt>
                  <c:pt idx="22">
                    <c:v>88,22</c:v>
                  </c:pt>
                  <c:pt idx="24">
                    <c:v>89,01</c:v>
                  </c:pt>
                  <c:pt idx="25">
                    <c:v>72,14</c:v>
                  </c:pt>
                  <c:pt idx="26">
                    <c:v>87,79</c:v>
                  </c:pt>
                  <c:pt idx="27">
                    <c:v>119,59</c:v>
                  </c:pt>
                  <c:pt idx="28">
                    <c:v>93,15</c:v>
                  </c:pt>
                  <c:pt idx="29">
                    <c:v>69,65</c:v>
                  </c:pt>
                  <c:pt idx="30">
                    <c:v>108,13</c:v>
                  </c:pt>
                  <c:pt idx="31">
                    <c:v>57,78</c:v>
                  </c:pt>
                  <c:pt idx="32">
                    <c:v>86,51</c:v>
                  </c:pt>
                </c:lvl>
                <c:lvl>
                  <c:pt idx="0">
                    <c:v>76,22</c:v>
                  </c:pt>
                  <c:pt idx="1">
                    <c:v>83,13</c:v>
                  </c:pt>
                  <c:pt idx="2">
                    <c:v>71,11</c:v>
                  </c:pt>
                  <c:pt idx="3">
                    <c:v>75,42</c:v>
                  </c:pt>
                  <c:pt idx="4">
                    <c:v>68,93</c:v>
                  </c:pt>
                  <c:pt idx="5">
                    <c:v>70,64</c:v>
                  </c:pt>
                  <c:pt idx="6">
                    <c:v>83,44</c:v>
                  </c:pt>
                  <c:pt idx="8">
                    <c:v>70,48</c:v>
                  </c:pt>
                  <c:pt idx="9">
                    <c:v>85,35</c:v>
                  </c:pt>
                  <c:pt idx="10">
                    <c:v>94,85</c:v>
                  </c:pt>
                  <c:pt idx="11">
                    <c:v>81,38</c:v>
                  </c:pt>
                  <c:pt idx="12">
                    <c:v>79,76</c:v>
                  </c:pt>
                  <c:pt idx="13">
                    <c:v>76,84</c:v>
                  </c:pt>
                  <c:pt idx="14">
                    <c:v>68,37</c:v>
                  </c:pt>
                  <c:pt idx="16">
                    <c:v>97,82</c:v>
                  </c:pt>
                  <c:pt idx="17">
                    <c:v>76,49</c:v>
                  </c:pt>
                  <c:pt idx="18">
                    <c:v>71,75</c:v>
                  </c:pt>
                  <c:pt idx="19">
                    <c:v>97,51</c:v>
                  </c:pt>
                  <c:pt idx="20">
                    <c:v>82,36</c:v>
                  </c:pt>
                  <c:pt idx="21">
                    <c:v>76,44</c:v>
                  </c:pt>
                  <c:pt idx="22">
                    <c:v>82,17</c:v>
                  </c:pt>
                  <c:pt idx="24">
                    <c:v>93,95</c:v>
                  </c:pt>
                  <c:pt idx="25">
                    <c:v>85,99</c:v>
                  </c:pt>
                  <c:pt idx="26">
                    <c:v>66,34</c:v>
                  </c:pt>
                  <c:pt idx="27">
                    <c:v>65,13</c:v>
                  </c:pt>
                  <c:pt idx="28">
                    <c:v>92,59</c:v>
                  </c:pt>
                  <c:pt idx="29">
                    <c:v>71,62</c:v>
                  </c:pt>
                  <c:pt idx="30">
                    <c:v>94,73</c:v>
                  </c:pt>
                  <c:pt idx="31">
                    <c:v>62,48</c:v>
                  </c:pt>
                  <c:pt idx="32">
                    <c:v>84,82</c:v>
                  </c:pt>
                </c:lvl>
                <c:lvl>
                  <c:pt idx="0">
                    <c:v>75,98</c:v>
                  </c:pt>
                  <c:pt idx="1">
                    <c:v>86,42</c:v>
                  </c:pt>
                  <c:pt idx="2">
                    <c:v>70,74</c:v>
                  </c:pt>
                  <c:pt idx="3">
                    <c:v>66,66</c:v>
                  </c:pt>
                  <c:pt idx="4">
                    <c:v>76,39</c:v>
                  </c:pt>
                  <c:pt idx="5">
                    <c:v>66,95</c:v>
                  </c:pt>
                  <c:pt idx="6">
                    <c:v>76,41</c:v>
                  </c:pt>
                  <c:pt idx="8">
                    <c:v>68,83</c:v>
                  </c:pt>
                  <c:pt idx="9">
                    <c:v>80,94</c:v>
                  </c:pt>
                  <c:pt idx="10">
                    <c:v>66,48</c:v>
                  </c:pt>
                  <c:pt idx="11">
                    <c:v>78,66</c:v>
                  </c:pt>
                  <c:pt idx="12">
                    <c:v>71,02</c:v>
                  </c:pt>
                  <c:pt idx="13">
                    <c:v>64,75</c:v>
                  </c:pt>
                  <c:pt idx="14">
                    <c:v>81,53</c:v>
                  </c:pt>
                  <c:pt idx="16">
                    <c:v>91,39</c:v>
                  </c:pt>
                  <c:pt idx="17">
                    <c:v>89,37</c:v>
                  </c:pt>
                  <c:pt idx="18">
                    <c:v>91,17</c:v>
                  </c:pt>
                  <c:pt idx="19">
                    <c:v>77,60</c:v>
                  </c:pt>
                  <c:pt idx="20">
                    <c:v>75,55</c:v>
                  </c:pt>
                  <c:pt idx="21">
                    <c:v>75,30</c:v>
                  </c:pt>
                  <c:pt idx="22">
                    <c:v>84,20</c:v>
                  </c:pt>
                  <c:pt idx="24">
                    <c:v>88,45</c:v>
                  </c:pt>
                  <c:pt idx="25">
                    <c:v>80,17</c:v>
                  </c:pt>
                  <c:pt idx="26">
                    <c:v>80,12</c:v>
                  </c:pt>
                  <c:pt idx="27">
                    <c:v>57,31</c:v>
                  </c:pt>
                  <c:pt idx="28">
                    <c:v>58,31</c:v>
                  </c:pt>
                </c:lvl>
                <c:lvl>
                  <c:pt idx="0">
                    <c:v>76,23</c:v>
                  </c:pt>
                  <c:pt idx="1">
                    <c:v>78,95</c:v>
                  </c:pt>
                  <c:pt idx="2">
                    <c:v>43,03</c:v>
                  </c:pt>
                  <c:pt idx="3">
                    <c:v>89,27</c:v>
                  </c:pt>
                  <c:pt idx="4">
                    <c:v>61,53</c:v>
                  </c:pt>
                  <c:pt idx="5">
                    <c:v>41,99</c:v>
                  </c:pt>
                  <c:pt idx="6">
                    <c:v>82,37</c:v>
                  </c:pt>
                  <c:pt idx="8">
                    <c:v>60,84</c:v>
                  </c:pt>
                  <c:pt idx="9">
                    <c:v>71,25</c:v>
                  </c:pt>
                  <c:pt idx="10">
                    <c:v>90,58</c:v>
                  </c:pt>
                  <c:pt idx="11">
                    <c:v>78,95</c:v>
                  </c:pt>
                  <c:pt idx="12">
                    <c:v>77,94</c:v>
                  </c:pt>
                  <c:pt idx="13">
                    <c:v>80,88</c:v>
                  </c:pt>
                  <c:pt idx="14">
                    <c:v>76,39</c:v>
                  </c:pt>
                  <c:pt idx="16">
                    <c:v>85,08</c:v>
                  </c:pt>
                  <c:pt idx="17">
                    <c:v>101,07</c:v>
                  </c:pt>
                  <c:pt idx="18">
                    <c:v>64,61</c:v>
                  </c:pt>
                  <c:pt idx="19">
                    <c:v>70,57</c:v>
                  </c:pt>
                  <c:pt idx="20">
                    <c:v>66,33</c:v>
                  </c:pt>
                  <c:pt idx="22">
                    <c:v>116,51</c:v>
                  </c:pt>
                  <c:pt idx="24">
                    <c:v>72,60</c:v>
                  </c:pt>
                  <c:pt idx="25">
                    <c:v>88,93</c:v>
                  </c:pt>
                  <c:pt idx="27">
                    <c:v>48,35</c:v>
                  </c:pt>
                  <c:pt idx="28">
                    <c:v>75,30</c:v>
                  </c:pt>
                  <c:pt idx="29">
                    <c:v>72,34</c:v>
                  </c:pt>
                  <c:pt idx="30">
                    <c:v>87,71</c:v>
                  </c:pt>
                  <c:pt idx="31">
                    <c:v>66,90</c:v>
                  </c:pt>
                  <c:pt idx="32">
                    <c:v>87,51</c:v>
                  </c:pt>
                </c:lvl>
                <c:lvl>
                  <c:pt idx="0">
                    <c:v>92,58</c:v>
                  </c:pt>
                  <c:pt idx="1">
                    <c:v>78,93</c:v>
                  </c:pt>
                  <c:pt idx="2">
                    <c:v>64,34</c:v>
                  </c:pt>
                  <c:pt idx="3">
                    <c:v>70,15</c:v>
                  </c:pt>
                  <c:pt idx="4">
                    <c:v>84,40</c:v>
                  </c:pt>
                  <c:pt idx="5">
                    <c:v>66,36</c:v>
                  </c:pt>
                  <c:pt idx="6">
                    <c:v>74,53</c:v>
                  </c:pt>
                  <c:pt idx="8">
                    <c:v>54,36</c:v>
                  </c:pt>
                  <c:pt idx="9">
                    <c:v>86,41</c:v>
                  </c:pt>
                  <c:pt idx="10">
                    <c:v>87,61</c:v>
                  </c:pt>
                  <c:pt idx="11">
                    <c:v>65,03</c:v>
                  </c:pt>
                  <c:pt idx="12">
                    <c:v>73,94</c:v>
                  </c:pt>
                  <c:pt idx="13">
                    <c:v>78,62</c:v>
                  </c:pt>
                  <c:pt idx="14">
                    <c:v>70,96</c:v>
                  </c:pt>
                  <c:pt idx="16">
                    <c:v>92,35</c:v>
                  </c:pt>
                  <c:pt idx="17">
                    <c:v>93,40</c:v>
                  </c:pt>
                  <c:pt idx="18">
                    <c:v>84,86</c:v>
                  </c:pt>
                  <c:pt idx="19">
                    <c:v>72,84</c:v>
                  </c:pt>
                  <c:pt idx="20">
                    <c:v>54,86</c:v>
                  </c:pt>
                  <c:pt idx="21">
                    <c:v>81,55</c:v>
                  </c:pt>
                  <c:pt idx="22">
                    <c:v>77,26</c:v>
                  </c:pt>
                  <c:pt idx="24">
                    <c:v>82,90</c:v>
                  </c:pt>
                  <c:pt idx="25">
                    <c:v>71,74</c:v>
                  </c:pt>
                  <c:pt idx="26">
                    <c:v>85,01</c:v>
                  </c:pt>
                  <c:pt idx="27">
                    <c:v>86,37</c:v>
                  </c:pt>
                  <c:pt idx="28">
                    <c:v>92,56</c:v>
                  </c:pt>
                  <c:pt idx="29">
                    <c:v>66,32</c:v>
                  </c:pt>
                  <c:pt idx="30">
                    <c:v>72,22</c:v>
                  </c:pt>
                </c:lvl>
                <c:lvl>
                  <c:pt idx="0">
                    <c:v>69,56</c:v>
                  </c:pt>
                  <c:pt idx="1">
                    <c:v>39,42</c:v>
                  </c:pt>
                  <c:pt idx="2">
                    <c:v>81,50</c:v>
                  </c:pt>
                  <c:pt idx="3">
                    <c:v>86,14</c:v>
                  </c:pt>
                  <c:pt idx="4">
                    <c:v>58,31</c:v>
                  </c:pt>
                  <c:pt idx="5">
                    <c:v>73,76</c:v>
                  </c:pt>
                  <c:pt idx="8">
                    <c:v>87,56</c:v>
                  </c:pt>
                  <c:pt idx="9">
                    <c:v>82,90</c:v>
                  </c:pt>
                  <c:pt idx="10">
                    <c:v>78,18</c:v>
                  </c:pt>
                  <c:pt idx="11">
                    <c:v>61,05</c:v>
                  </c:pt>
                  <c:pt idx="12">
                    <c:v>66,59</c:v>
                  </c:pt>
                  <c:pt idx="14">
                    <c:v>30,08</c:v>
                  </c:pt>
                  <c:pt idx="18">
                    <c:v>41,00</c:v>
                  </c:pt>
                  <c:pt idx="19">
                    <c:v>15,07</c:v>
                  </c:pt>
                  <c:pt idx="20">
                    <c:v>73,08</c:v>
                  </c:pt>
                  <c:pt idx="21">
                    <c:v>66,52</c:v>
                  </c:pt>
                  <c:pt idx="22">
                    <c:v>69,91</c:v>
                  </c:pt>
                  <c:pt idx="24">
                    <c:v>111,07</c:v>
                  </c:pt>
                  <c:pt idx="25">
                    <c:v>60,83</c:v>
                  </c:pt>
                  <c:pt idx="27">
                    <c:v>95,72</c:v>
                  </c:pt>
                  <c:pt idx="29">
                    <c:v>62,53</c:v>
                  </c:pt>
                  <c:pt idx="30">
                    <c:v>82,15</c:v>
                  </c:pt>
                  <c:pt idx="31">
                    <c:v>86,28</c:v>
                  </c:pt>
                </c:lvl>
                <c:lvl>
                  <c:pt idx="0">
                    <c:v>97,27</c:v>
                  </c:pt>
                  <c:pt idx="1">
                    <c:v>80,43</c:v>
                  </c:pt>
                  <c:pt idx="2">
                    <c:v>62,21</c:v>
                  </c:pt>
                  <c:pt idx="3">
                    <c:v>90,58</c:v>
                  </c:pt>
                  <c:pt idx="4">
                    <c:v>49,73</c:v>
                  </c:pt>
                  <c:pt idx="5">
                    <c:v>67,11</c:v>
                  </c:pt>
                  <c:pt idx="6">
                    <c:v>96,93</c:v>
                  </c:pt>
                  <c:pt idx="8">
                    <c:v>60,80</c:v>
                  </c:pt>
                  <c:pt idx="9">
                    <c:v>90,43</c:v>
                  </c:pt>
                  <c:pt idx="10">
                    <c:v>67,70</c:v>
                  </c:pt>
                  <c:pt idx="11">
                    <c:v>67,19</c:v>
                  </c:pt>
                  <c:pt idx="12">
                    <c:v>89,45</c:v>
                  </c:pt>
                  <c:pt idx="13">
                    <c:v>63,89</c:v>
                  </c:pt>
                  <c:pt idx="14">
                    <c:v>65,89</c:v>
                  </c:pt>
                  <c:pt idx="16">
                    <c:v>91,85</c:v>
                  </c:pt>
                  <c:pt idx="17">
                    <c:v>94,45</c:v>
                  </c:pt>
                  <c:pt idx="18">
                    <c:v>87,57</c:v>
                  </c:pt>
                  <c:pt idx="19">
                    <c:v>76,77</c:v>
                  </c:pt>
                  <c:pt idx="20">
                    <c:v>68,11</c:v>
                  </c:pt>
                  <c:pt idx="21">
                    <c:v>81,09</c:v>
                  </c:pt>
                  <c:pt idx="22">
                    <c:v>74,07</c:v>
                  </c:pt>
                  <c:pt idx="24">
                    <c:v>74,93</c:v>
                  </c:pt>
                  <c:pt idx="26">
                    <c:v>138,97</c:v>
                  </c:pt>
                  <c:pt idx="27">
                    <c:v>43,38</c:v>
                  </c:pt>
                  <c:pt idx="29">
                    <c:v>100,66</c:v>
                  </c:pt>
                  <c:pt idx="30">
                    <c:v>84,43</c:v>
                  </c:pt>
                  <c:pt idx="31">
                    <c:v>71,78</c:v>
                  </c:pt>
                </c:lvl>
                <c:lvl>
                  <c:pt idx="0">
                    <c:v>76,46</c:v>
                  </c:pt>
                  <c:pt idx="1">
                    <c:v>42,89</c:v>
                  </c:pt>
                  <c:pt idx="2">
                    <c:v>78,79</c:v>
                  </c:pt>
                  <c:pt idx="3">
                    <c:v>72,21</c:v>
                  </c:pt>
                  <c:pt idx="4">
                    <c:v>47,30</c:v>
                  </c:pt>
                  <c:pt idx="5">
                    <c:v>49,50</c:v>
                  </c:pt>
                  <c:pt idx="8">
                    <c:v>13,06</c:v>
                  </c:pt>
                  <c:pt idx="9">
                    <c:v>67,91</c:v>
                  </c:pt>
                  <c:pt idx="10">
                    <c:v>70,45</c:v>
                  </c:pt>
                  <c:pt idx="11">
                    <c:v>109,44</c:v>
                  </c:pt>
                  <c:pt idx="12">
                    <c:v>52,89</c:v>
                  </c:pt>
                  <c:pt idx="13">
                    <c:v>71,24</c:v>
                  </c:pt>
                  <c:pt idx="14">
                    <c:v>95,92</c:v>
                  </c:pt>
                  <c:pt idx="16">
                    <c:v>111,92</c:v>
                  </c:pt>
                  <c:pt idx="17">
                    <c:v>62,30</c:v>
                  </c:pt>
                  <c:pt idx="18">
                    <c:v>81,23</c:v>
                  </c:pt>
                  <c:pt idx="19">
                    <c:v>87,58</c:v>
                  </c:pt>
                  <c:pt idx="20">
                    <c:v>84,78</c:v>
                  </c:pt>
                  <c:pt idx="21">
                    <c:v>77,57</c:v>
                  </c:pt>
                  <c:pt idx="24">
                    <c:v>91,17</c:v>
                  </c:pt>
                  <c:pt idx="25">
                    <c:v>86,40</c:v>
                  </c:pt>
                  <c:pt idx="26">
                    <c:v>78,22</c:v>
                  </c:pt>
                  <c:pt idx="27">
                    <c:v>73,24</c:v>
                  </c:pt>
                  <c:pt idx="28">
                    <c:v>63,96</c:v>
                  </c:pt>
                  <c:pt idx="29">
                    <c:v>61,70</c:v>
                  </c:pt>
                  <c:pt idx="31">
                    <c:v>35,57</c:v>
                  </c:pt>
                  <c:pt idx="32">
                    <c:v>87,32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94,35</c:v>
                  </c:pt>
                  <c:pt idx="1">
                    <c:v>59,74</c:v>
                  </c:pt>
                  <c:pt idx="2">
                    <c:v>81,91</c:v>
                  </c:pt>
                  <c:pt idx="3">
                    <c:v>71,16</c:v>
                  </c:pt>
                  <c:pt idx="4">
                    <c:v>40,01</c:v>
                  </c:pt>
                  <c:pt idx="5">
                    <c:v>66,38</c:v>
                  </c:pt>
                  <c:pt idx="6">
                    <c:v>87,00</c:v>
                  </c:pt>
                  <c:pt idx="8">
                    <c:v>62,03</c:v>
                  </c:pt>
                  <c:pt idx="9">
                    <c:v>81,03</c:v>
                  </c:pt>
                  <c:pt idx="10">
                    <c:v>76,29</c:v>
                  </c:pt>
                  <c:pt idx="11">
                    <c:v>82,95</c:v>
                  </c:pt>
                  <c:pt idx="12">
                    <c:v>80,21</c:v>
                  </c:pt>
                  <c:pt idx="13">
                    <c:v>71,35</c:v>
                  </c:pt>
                  <c:pt idx="14">
                    <c:v>67,35</c:v>
                  </c:pt>
                  <c:pt idx="16">
                    <c:v>76,59</c:v>
                  </c:pt>
                  <c:pt idx="17">
                    <c:v>65,78</c:v>
                  </c:pt>
                  <c:pt idx="18">
                    <c:v>56,07</c:v>
                  </c:pt>
                  <c:pt idx="19">
                    <c:v>71,92</c:v>
                  </c:pt>
                  <c:pt idx="20">
                    <c:v>75,96</c:v>
                  </c:pt>
                  <c:pt idx="21">
                    <c:v>58,95</c:v>
                  </c:pt>
                  <c:pt idx="22">
                    <c:v>66,21</c:v>
                  </c:pt>
                  <c:pt idx="24">
                    <c:v>135,00</c:v>
                  </c:pt>
                  <c:pt idx="25">
                    <c:v>76,09</c:v>
                  </c:pt>
                  <c:pt idx="26">
                    <c:v>77,09</c:v>
                  </c:pt>
                </c:lvl>
                <c:lvl>
                  <c:pt idx="0">
                    <c:v>71,96</c:v>
                  </c:pt>
                  <c:pt idx="1">
                    <c:v>79,02</c:v>
                  </c:pt>
                  <c:pt idx="2">
                    <c:v>64,51</c:v>
                  </c:pt>
                  <c:pt idx="3">
                    <c:v>84,47</c:v>
                  </c:pt>
                  <c:pt idx="4">
                    <c:v>75,25</c:v>
                  </c:pt>
                  <c:pt idx="5">
                    <c:v>49,48</c:v>
                  </c:pt>
                  <c:pt idx="6">
                    <c:v>70,06</c:v>
                  </c:pt>
                  <c:pt idx="8">
                    <c:v>69,40</c:v>
                  </c:pt>
                  <c:pt idx="9">
                    <c:v>70,39</c:v>
                  </c:pt>
                  <c:pt idx="10">
                    <c:v>76,19</c:v>
                  </c:pt>
                  <c:pt idx="11">
                    <c:v>79,70</c:v>
                  </c:pt>
                  <c:pt idx="12">
                    <c:v>74,77</c:v>
                  </c:pt>
                  <c:pt idx="13">
                    <c:v>82,78</c:v>
                  </c:pt>
                  <c:pt idx="14">
                    <c:v>71,92</c:v>
                  </c:pt>
                  <c:pt idx="16">
                    <c:v>91,44</c:v>
                  </c:pt>
                  <c:pt idx="17">
                    <c:v>69,09</c:v>
                  </c:pt>
                  <c:pt idx="18">
                    <c:v>65,01</c:v>
                  </c:pt>
                  <c:pt idx="19">
                    <c:v>40,17</c:v>
                  </c:pt>
                  <c:pt idx="20">
                    <c:v>48,83</c:v>
                  </c:pt>
                  <c:pt idx="21">
                    <c:v>82,77</c:v>
                  </c:pt>
                  <c:pt idx="22">
                    <c:v>60,30</c:v>
                  </c:pt>
                  <c:pt idx="24">
                    <c:v>84,35</c:v>
                  </c:pt>
                  <c:pt idx="25">
                    <c:v>53,55</c:v>
                  </c:pt>
                  <c:pt idx="26">
                    <c:v>72,03</c:v>
                  </c:pt>
                  <c:pt idx="27">
                    <c:v>67,84</c:v>
                  </c:pt>
                  <c:pt idx="28">
                    <c:v>91,10</c:v>
                  </c:pt>
                  <c:pt idx="29">
                    <c:v>85,24</c:v>
                  </c:pt>
                  <c:pt idx="30">
                    <c:v>76,72</c:v>
                  </c:pt>
                  <c:pt idx="31">
                    <c:v>69,23</c:v>
                  </c:pt>
                  <c:pt idx="32">
                    <c:v>93,23</c:v>
                  </c:pt>
                </c:lvl>
                <c:lvl>
                  <c:pt idx="0">
                    <c:v>90,94</c:v>
                  </c:pt>
                  <c:pt idx="1">
                    <c:v>58,43</c:v>
                  </c:pt>
                  <c:pt idx="2">
                    <c:v>82,52</c:v>
                  </c:pt>
                  <c:pt idx="3">
                    <c:v>63,62</c:v>
                  </c:pt>
                  <c:pt idx="4">
                    <c:v>50,96</c:v>
                  </c:pt>
                  <c:pt idx="5">
                    <c:v>56,79</c:v>
                  </c:pt>
                  <c:pt idx="6">
                    <c:v>75,28</c:v>
                  </c:pt>
                  <c:pt idx="8">
                    <c:v>38,73</c:v>
                  </c:pt>
                  <c:pt idx="9">
                    <c:v>95,13</c:v>
                  </c:pt>
                  <c:pt idx="10">
                    <c:v>56,33</c:v>
                  </c:pt>
                  <c:pt idx="11">
                    <c:v>66,09</c:v>
                  </c:pt>
                  <c:pt idx="12">
                    <c:v>111,84</c:v>
                  </c:pt>
                  <c:pt idx="13">
                    <c:v>83,90</c:v>
                  </c:pt>
                  <c:pt idx="14">
                    <c:v>66,44</c:v>
                  </c:pt>
                  <c:pt idx="16">
                    <c:v>54,80</c:v>
                  </c:pt>
                  <c:pt idx="17">
                    <c:v>106,78</c:v>
                  </c:pt>
                  <c:pt idx="18">
                    <c:v>93,12</c:v>
                  </c:pt>
                  <c:pt idx="19">
                    <c:v>84,61</c:v>
                  </c:pt>
                  <c:pt idx="20">
                    <c:v>149,34</c:v>
                  </c:pt>
                  <c:pt idx="21">
                    <c:v>80,88</c:v>
                  </c:pt>
                  <c:pt idx="22">
                    <c:v>71,18</c:v>
                  </c:pt>
                  <c:pt idx="24">
                    <c:v>96,43</c:v>
                  </c:pt>
                  <c:pt idx="25">
                    <c:v>56,67</c:v>
                  </c:pt>
                  <c:pt idx="26">
                    <c:v>51,03</c:v>
                  </c:pt>
                  <c:pt idx="27">
                    <c:v>63,52</c:v>
                  </c:pt>
                  <c:pt idx="28">
                    <c:v>60,06</c:v>
                  </c:pt>
                  <c:pt idx="29">
                    <c:v>90,06</c:v>
                  </c:pt>
                  <c:pt idx="31">
                    <c:v>47,61</c:v>
                  </c:pt>
                  <c:pt idx="32">
                    <c:v>74,98</c:v>
                  </c:pt>
                </c:lvl>
                <c:lvl>
                  <c:pt idx="0">
                    <c:v>183,85</c:v>
                  </c:pt>
                  <c:pt idx="1">
                    <c:v>87,54</c:v>
                  </c:pt>
                  <c:pt idx="2">
                    <c:v>55,67</c:v>
                  </c:pt>
                  <c:pt idx="3">
                    <c:v>89,17</c:v>
                  </c:pt>
                  <c:pt idx="4">
                    <c:v>77,56</c:v>
                  </c:pt>
                  <c:pt idx="5">
                    <c:v>78,02</c:v>
                  </c:pt>
                  <c:pt idx="6">
                    <c:v>82,07</c:v>
                  </c:pt>
                  <c:pt idx="8">
                    <c:v>76,95</c:v>
                  </c:pt>
                  <c:pt idx="9">
                    <c:v>82,23</c:v>
                  </c:pt>
                  <c:pt idx="10">
                    <c:v>78,44</c:v>
                  </c:pt>
                  <c:pt idx="11">
                    <c:v>78,65</c:v>
                  </c:pt>
                  <c:pt idx="12">
                    <c:v>83,91</c:v>
                  </c:pt>
                  <c:pt idx="13">
                    <c:v>86,75</c:v>
                  </c:pt>
                  <c:pt idx="14">
                    <c:v>75,19</c:v>
                  </c:pt>
                  <c:pt idx="23">
                    <c:v>PM</c:v>
                  </c:pt>
                  <c:pt idx="24">
                    <c:v>69,24</c:v>
                  </c:pt>
                  <c:pt idx="25">
                    <c:v>85,39</c:v>
                  </c:pt>
                  <c:pt idx="26">
                    <c:v>91,09</c:v>
                  </c:pt>
                  <c:pt idx="27">
                    <c:v>101,77</c:v>
                  </c:pt>
                  <c:pt idx="28">
                    <c:v>58,79</c:v>
                  </c:pt>
                  <c:pt idx="29">
                    <c:v>75,51</c:v>
                  </c:pt>
                  <c:pt idx="30">
                    <c:v>69,12</c:v>
                  </c:pt>
                  <c:pt idx="31">
                    <c:v>84,09</c:v>
                  </c:pt>
                  <c:pt idx="32">
                    <c:v>78,71</c:v>
                  </c:pt>
                </c:lvl>
                <c:lvl>
                  <c:pt idx="0">
                    <c:v>87,73</c:v>
                  </c:pt>
                  <c:pt idx="1">
                    <c:v>78,89</c:v>
                  </c:pt>
                  <c:pt idx="2">
                    <c:v>47,73</c:v>
                  </c:pt>
                  <c:pt idx="3">
                    <c:v>77,33</c:v>
                  </c:pt>
                  <c:pt idx="4">
                    <c:v>46,27</c:v>
                  </c:pt>
                  <c:pt idx="5">
                    <c:v>77,53</c:v>
                  </c:pt>
                  <c:pt idx="6">
                    <c:v>72,95</c:v>
                  </c:pt>
                  <c:pt idx="8">
                    <c:v>54,93</c:v>
                  </c:pt>
                  <c:pt idx="9">
                    <c:v>80,61</c:v>
                  </c:pt>
                  <c:pt idx="10">
                    <c:v>60,08</c:v>
                  </c:pt>
                  <c:pt idx="11">
                    <c:v>68,84</c:v>
                  </c:pt>
                  <c:pt idx="12">
                    <c:v>73,26</c:v>
                  </c:pt>
                  <c:pt idx="13">
                    <c:v>83,14</c:v>
                  </c:pt>
                  <c:pt idx="14">
                    <c:v>71,26</c:v>
                  </c:pt>
                  <c:pt idx="16">
                    <c:v>91,08</c:v>
                  </c:pt>
                  <c:pt idx="17">
                    <c:v>85,07</c:v>
                  </c:pt>
                  <c:pt idx="18">
                    <c:v>90,18</c:v>
                  </c:pt>
                  <c:pt idx="19">
                    <c:v>84,95</c:v>
                  </c:pt>
                  <c:pt idx="20">
                    <c:v>71,98</c:v>
                  </c:pt>
                  <c:pt idx="21">
                    <c:v>84,20</c:v>
                  </c:pt>
                  <c:pt idx="22">
                    <c:v>97,00</c:v>
                  </c:pt>
                  <c:pt idx="25">
                    <c:v>117,39</c:v>
                  </c:pt>
                  <c:pt idx="26">
                    <c:v>79,07</c:v>
                  </c:pt>
                  <c:pt idx="27">
                    <c:v>82,65</c:v>
                  </c:pt>
                  <c:pt idx="28">
                    <c:v>78,82</c:v>
                  </c:pt>
                  <c:pt idx="29">
                    <c:v>81,23</c:v>
                  </c:pt>
                  <c:pt idx="30">
                    <c:v>76,75</c:v>
                  </c:pt>
                  <c:pt idx="31">
                    <c:v>62,69</c:v>
                  </c:pt>
                  <c:pt idx="32">
                    <c:v>75,41</c:v>
                  </c:pt>
                </c:lvl>
                <c:lvl>
                  <c:pt idx="0">
                    <c:v>146,97</c:v>
                  </c:pt>
                  <c:pt idx="1">
                    <c:v>102,95</c:v>
                  </c:pt>
                  <c:pt idx="3">
                    <c:v>39,43</c:v>
                  </c:pt>
                  <c:pt idx="4">
                    <c:v>39,21</c:v>
                  </c:pt>
                  <c:pt idx="5">
                    <c:v>114,60</c:v>
                  </c:pt>
                  <c:pt idx="6">
                    <c:v>90,08</c:v>
                  </c:pt>
                  <c:pt idx="8">
                    <c:v>77,79</c:v>
                  </c:pt>
                  <c:pt idx="9">
                    <c:v>90,04</c:v>
                  </c:pt>
                  <c:pt idx="10">
                    <c:v>88,25</c:v>
                  </c:pt>
                  <c:pt idx="11">
                    <c:v>86,79</c:v>
                  </c:pt>
                  <c:pt idx="13">
                    <c:v>58,84</c:v>
                  </c:pt>
                  <c:pt idx="14">
                    <c:v>87,18</c:v>
                  </c:pt>
                  <c:pt idx="16">
                    <c:v>52,12</c:v>
                  </c:pt>
                  <c:pt idx="17">
                    <c:v>75,91</c:v>
                  </c:pt>
                  <c:pt idx="18">
                    <c:v>21,04</c:v>
                  </c:pt>
                  <c:pt idx="19">
                    <c:v>77,97</c:v>
                  </c:pt>
                  <c:pt idx="20">
                    <c:v>51,61</c:v>
                  </c:pt>
                  <c:pt idx="21">
                    <c:v>90,73</c:v>
                  </c:pt>
                  <c:pt idx="22">
                    <c:v>115,72</c:v>
                  </c:pt>
                  <c:pt idx="24">
                    <c:v>70,52</c:v>
                  </c:pt>
                  <c:pt idx="25">
                    <c:v>48,80</c:v>
                  </c:pt>
                  <c:pt idx="26">
                    <c:v>52,41</c:v>
                  </c:pt>
                  <c:pt idx="27">
                    <c:v>77,42</c:v>
                  </c:pt>
                  <c:pt idx="28">
                    <c:v>65,54</c:v>
                  </c:pt>
                  <c:pt idx="29">
                    <c:v>64,56</c:v>
                  </c:pt>
                  <c:pt idx="30">
                    <c:v>57,80</c:v>
                  </c:pt>
                  <c:pt idx="31">
                    <c:v>165,60</c:v>
                  </c:pt>
                  <c:pt idx="32">
                    <c:v>89,09</c:v>
                  </c:pt>
                </c:lvl>
                <c:lvl>
                  <c:pt idx="1">
                    <c:v>134,42</c:v>
                  </c:pt>
                  <c:pt idx="8">
                    <c:v>103,47</c:v>
                  </c:pt>
                  <c:pt idx="10">
                    <c:v>41,81</c:v>
                  </c:pt>
                  <c:pt idx="12">
                    <c:v>29,15</c:v>
                  </c:pt>
                  <c:pt idx="16">
                    <c:v>85,27</c:v>
                  </c:pt>
                  <c:pt idx="18">
                    <c:v>82,45</c:v>
                  </c:pt>
                  <c:pt idx="25">
                    <c:v>196,66</c:v>
                  </c:pt>
                  <c:pt idx="26">
                    <c:v>30,86</c:v>
                  </c:pt>
                </c:lvl>
                <c:lvl>
                  <c:pt idx="0">
                    <c:v>96,91</c:v>
                  </c:pt>
                  <c:pt idx="2">
                    <c:v>65,34</c:v>
                  </c:pt>
                  <c:pt idx="3">
                    <c:v>79,58</c:v>
                  </c:pt>
                  <c:pt idx="4">
                    <c:v>70,57</c:v>
                  </c:pt>
                  <c:pt idx="5">
                    <c:v>56,23</c:v>
                  </c:pt>
                  <c:pt idx="6">
                    <c:v>126,32</c:v>
                  </c:pt>
                  <c:pt idx="8">
                    <c:v>77,40</c:v>
                  </c:pt>
                  <c:pt idx="9">
                    <c:v>55,81</c:v>
                  </c:pt>
                  <c:pt idx="10">
                    <c:v>44,01</c:v>
                  </c:pt>
                  <c:pt idx="11">
                    <c:v>143,07</c:v>
                  </c:pt>
                  <c:pt idx="12">
                    <c:v>78,43</c:v>
                  </c:pt>
                  <c:pt idx="13">
                    <c:v>68,51</c:v>
                  </c:pt>
                  <c:pt idx="14">
                    <c:v>72,63</c:v>
                  </c:pt>
                  <c:pt idx="16">
                    <c:v>131,35</c:v>
                  </c:pt>
                  <c:pt idx="17">
                    <c:v>83,03</c:v>
                  </c:pt>
                  <c:pt idx="18">
                    <c:v>84,81</c:v>
                  </c:pt>
                  <c:pt idx="19">
                    <c:v>71,86</c:v>
                  </c:pt>
                  <c:pt idx="20">
                    <c:v>78,52</c:v>
                  </c:pt>
                  <c:pt idx="21">
                    <c:v>71,09</c:v>
                  </c:pt>
                  <c:pt idx="22">
                    <c:v>85,08</c:v>
                  </c:pt>
                  <c:pt idx="24">
                    <c:v>111,49</c:v>
                  </c:pt>
                  <c:pt idx="25">
                    <c:v>105,34</c:v>
                  </c:pt>
                  <c:pt idx="26">
                    <c:v>84,41</c:v>
                  </c:pt>
                  <c:pt idx="27">
                    <c:v>67,97</c:v>
                  </c:pt>
                  <c:pt idx="28">
                    <c:v>95,36</c:v>
                  </c:pt>
                  <c:pt idx="29">
                    <c:v>101,59</c:v>
                  </c:pt>
                  <c:pt idx="30">
                    <c:v>80,12</c:v>
                  </c:pt>
                  <c:pt idx="31">
                    <c:v>70,31</c:v>
                  </c:pt>
                  <c:pt idx="32">
                    <c:v>90,96</c:v>
                  </c:pt>
                </c:lvl>
                <c:lvl>
                  <c:pt idx="0">
                    <c:v>87,99</c:v>
                  </c:pt>
                  <c:pt idx="1">
                    <c:v>82,39</c:v>
                  </c:pt>
                  <c:pt idx="2">
                    <c:v>66,15</c:v>
                  </c:pt>
                  <c:pt idx="3">
                    <c:v>77,75</c:v>
                  </c:pt>
                  <c:pt idx="4">
                    <c:v>55,75</c:v>
                  </c:pt>
                  <c:pt idx="9">
                    <c:v>53,91</c:v>
                  </c:pt>
                  <c:pt idx="10">
                    <c:v>66,25</c:v>
                  </c:pt>
                  <c:pt idx="11">
                    <c:v>76,22</c:v>
                  </c:pt>
                  <c:pt idx="12">
                    <c:v>67,59</c:v>
                  </c:pt>
                  <c:pt idx="13">
                    <c:v>86,00</c:v>
                  </c:pt>
                  <c:pt idx="14">
                    <c:v>74,05</c:v>
                  </c:pt>
                  <c:pt idx="16">
                    <c:v>92,74</c:v>
                  </c:pt>
                  <c:pt idx="17">
                    <c:v>92,52</c:v>
                  </c:pt>
                  <c:pt idx="18">
                    <c:v>87,84</c:v>
                  </c:pt>
                  <c:pt idx="19">
                    <c:v>95,48</c:v>
                  </c:pt>
                  <c:pt idx="20">
                    <c:v>49,33</c:v>
                  </c:pt>
                  <c:pt idx="21">
                    <c:v>75,12</c:v>
                  </c:pt>
                  <c:pt idx="22">
                    <c:v>77,94</c:v>
                  </c:pt>
                  <c:pt idx="24">
                    <c:v>78,21</c:v>
                  </c:pt>
                  <c:pt idx="25">
                    <c:v>91,09</c:v>
                  </c:pt>
                  <c:pt idx="26">
                    <c:v>68,80</c:v>
                  </c:pt>
                  <c:pt idx="27">
                    <c:v>79,71</c:v>
                  </c:pt>
                  <c:pt idx="28">
                    <c:v>79,86</c:v>
                  </c:pt>
                  <c:pt idx="29">
                    <c:v>61,66</c:v>
                  </c:pt>
                  <c:pt idx="31">
                    <c:v>82,89</c:v>
                  </c:pt>
                  <c:pt idx="32">
                    <c:v>79,74</c:v>
                  </c:pt>
                </c:lvl>
                <c:lvl>
                  <c:pt idx="7">
                    <c:v>PM</c:v>
                  </c:pt>
                  <c:pt idx="13">
                    <c:v>65,17</c:v>
                  </c:pt>
                  <c:pt idx="19">
                    <c:v>41,34</c:v>
                  </c:pt>
                  <c:pt idx="20">
                    <c:v>53,35</c:v>
                  </c:pt>
                  <c:pt idx="21">
                    <c:v>73,62</c:v>
                  </c:pt>
                  <c:pt idx="22">
                    <c:v>82,82</c:v>
                  </c:pt>
                  <c:pt idx="24">
                    <c:v>77,32</c:v>
                  </c:pt>
                  <c:pt idx="25">
                    <c:v>82,36</c:v>
                  </c:pt>
                  <c:pt idx="26">
                    <c:v>71,73</c:v>
                  </c:pt>
                  <c:pt idx="28">
                    <c:v>109,50</c:v>
                  </c:pt>
                  <c:pt idx="29">
                    <c:v>60,18</c:v>
                  </c:pt>
                  <c:pt idx="30">
                    <c:v>83,47</c:v>
                  </c:pt>
                  <c:pt idx="31">
                    <c:v>72,47</c:v>
                  </c:pt>
                  <c:pt idx="32">
                    <c:v>77,93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67,25</c:v>
                  </c:pt>
                  <c:pt idx="1">
                    <c:v>68,73</c:v>
                  </c:pt>
                  <c:pt idx="2">
                    <c:v>62,01</c:v>
                  </c:pt>
                  <c:pt idx="3">
                    <c:v>71,54</c:v>
                  </c:pt>
                  <c:pt idx="4">
                    <c:v>68,27</c:v>
                  </c:pt>
                  <c:pt idx="5">
                    <c:v>56,06</c:v>
                  </c:pt>
                  <c:pt idx="6">
                    <c:v>75,96</c:v>
                  </c:pt>
                  <c:pt idx="8">
                    <c:v>62,35</c:v>
                  </c:pt>
                  <c:pt idx="9">
                    <c:v>64,59</c:v>
                  </c:pt>
                  <c:pt idx="10">
                    <c:v>68,66</c:v>
                  </c:pt>
                  <c:pt idx="11">
                    <c:v>78,85</c:v>
                  </c:pt>
                  <c:pt idx="12">
                    <c:v>57,30</c:v>
                  </c:pt>
                  <c:pt idx="13">
                    <c:v>58,83</c:v>
                  </c:pt>
                  <c:pt idx="14">
                    <c:v>69,06</c:v>
                  </c:pt>
                  <c:pt idx="16">
                    <c:v>76,45</c:v>
                  </c:pt>
                  <c:pt idx="17">
                    <c:v>66,94</c:v>
                  </c:pt>
                  <c:pt idx="18">
                    <c:v>68,59</c:v>
                  </c:pt>
                  <c:pt idx="19">
                    <c:v>73,38</c:v>
                  </c:pt>
                  <c:pt idx="20">
                    <c:v>78,57</c:v>
                  </c:pt>
                  <c:pt idx="21">
                    <c:v>73,02</c:v>
                  </c:pt>
                  <c:pt idx="22">
                    <c:v>58,93</c:v>
                  </c:pt>
                  <c:pt idx="24">
                    <c:v>74,06</c:v>
                  </c:pt>
                  <c:pt idx="25">
                    <c:v>81,15</c:v>
                  </c:pt>
                  <c:pt idx="26">
                    <c:v>75,97</c:v>
                  </c:pt>
                  <c:pt idx="27">
                    <c:v>62,05</c:v>
                  </c:pt>
                  <c:pt idx="28">
                    <c:v>60,69</c:v>
                  </c:pt>
                  <c:pt idx="29">
                    <c:v>71,56</c:v>
                  </c:pt>
                  <c:pt idx="30">
                    <c:v>72,26</c:v>
                  </c:pt>
                  <c:pt idx="31">
                    <c:v>42,54</c:v>
                  </c:pt>
                  <c:pt idx="32">
                    <c:v>78,58</c:v>
                  </c:pt>
                  <c:pt idx="36">
                    <c:v>   </c:v>
                  </c:pt>
                </c:lvl>
                <c:lvl>
                  <c:pt idx="0">
                    <c:v>89,29</c:v>
                  </c:pt>
                  <c:pt idx="1">
                    <c:v>62,06</c:v>
                  </c:pt>
                  <c:pt idx="2">
                    <c:v>51,83</c:v>
                  </c:pt>
                  <c:pt idx="3">
                    <c:v>73,70</c:v>
                  </c:pt>
                  <c:pt idx="4">
                    <c:v>44,71</c:v>
                  </c:pt>
                  <c:pt idx="5">
                    <c:v>55,01</c:v>
                  </c:pt>
                  <c:pt idx="6">
                    <c:v>80,66</c:v>
                  </c:pt>
                  <c:pt idx="8">
                    <c:v>50,19</c:v>
                  </c:pt>
                  <c:pt idx="11">
                    <c:v>74,22</c:v>
                  </c:pt>
                  <c:pt idx="12">
                    <c:v>74,47</c:v>
                  </c:pt>
                  <c:pt idx="13">
                    <c:v>78,45</c:v>
                  </c:pt>
                  <c:pt idx="14">
                    <c:v>75,70</c:v>
                  </c:pt>
                  <c:pt idx="16">
                    <c:v>84,20</c:v>
                  </c:pt>
                  <c:pt idx="17">
                    <c:v>75,22</c:v>
                  </c:pt>
                  <c:pt idx="18">
                    <c:v>84,26</c:v>
                  </c:pt>
                  <c:pt idx="19">
                    <c:v>73,79</c:v>
                  </c:pt>
                  <c:pt idx="20">
                    <c:v>75,88</c:v>
                  </c:pt>
                  <c:pt idx="21">
                    <c:v>73,64</c:v>
                  </c:pt>
                  <c:pt idx="22">
                    <c:v>60,29</c:v>
                  </c:pt>
                  <c:pt idx="24">
                    <c:v>69,34</c:v>
                  </c:pt>
                  <c:pt idx="25">
                    <c:v>77,70</c:v>
                  </c:pt>
                  <c:pt idx="26">
                    <c:v>78,35</c:v>
                  </c:pt>
                  <c:pt idx="27">
                    <c:v>74,35</c:v>
                  </c:pt>
                  <c:pt idx="28">
                    <c:v>66,24</c:v>
                  </c:pt>
                  <c:pt idx="29">
                    <c:v>70,78</c:v>
                  </c:pt>
                  <c:pt idx="31">
                    <c:v>113,02</c:v>
                  </c:pt>
                  <c:pt idx="32">
                    <c:v>57,48</c:v>
                  </c:pt>
                  <c:pt idx="36">
                    <c:v>. HT 174 - 203, 190 Liter</c:v>
                  </c:pt>
                </c:lvl>
                <c:lvl>
                  <c:pt idx="7">
                    <c:v>PM</c:v>
                  </c:pt>
                  <c:pt idx="11">
                    <c:v>90,52</c:v>
                  </c:pt>
                  <c:pt idx="16">
                    <c:v>85,50</c:v>
                  </c:pt>
                  <c:pt idx="25">
                    <c:v>72,16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6">
                    <c:v>253,32</c:v>
                  </c:pt>
                  <c:pt idx="17">
                    <c:v>17,70</c:v>
                  </c:pt>
                  <c:pt idx="34">
                    <c:v>PM</c:v>
                  </c:pt>
                </c:lvl>
                <c:lvl>
                  <c:pt idx="0">
                    <c:v>73,89</c:v>
                  </c:pt>
                  <c:pt idx="1">
                    <c:v>89,87</c:v>
                  </c:pt>
                  <c:pt idx="2">
                    <c:v>79,28</c:v>
                  </c:pt>
                  <c:pt idx="3">
                    <c:v>89,54</c:v>
                  </c:pt>
                  <c:pt idx="4">
                    <c:v>78,38</c:v>
                  </c:pt>
                  <c:pt idx="5">
                    <c:v>73,28</c:v>
                  </c:pt>
                  <c:pt idx="6">
                    <c:v>82,93</c:v>
                  </c:pt>
                  <c:pt idx="8">
                    <c:v>66,43</c:v>
                  </c:pt>
                  <c:pt idx="9">
                    <c:v>89,12</c:v>
                  </c:pt>
                  <c:pt idx="10">
                    <c:v>78,59</c:v>
                  </c:pt>
                  <c:pt idx="11">
                    <c:v>81,48</c:v>
                  </c:pt>
                  <c:pt idx="12">
                    <c:v>71,47</c:v>
                  </c:pt>
                  <c:pt idx="13">
                    <c:v>92,19</c:v>
                  </c:pt>
                  <c:pt idx="14">
                    <c:v>91,57</c:v>
                  </c:pt>
                  <c:pt idx="17">
                    <c:v>189,35</c:v>
                  </c:pt>
                  <c:pt idx="18">
                    <c:v>99,38</c:v>
                  </c:pt>
                  <c:pt idx="19">
                    <c:v>84,31</c:v>
                  </c:pt>
                  <c:pt idx="20">
                    <c:v>69,15</c:v>
                  </c:pt>
                  <c:pt idx="21">
                    <c:v>66,47</c:v>
                  </c:pt>
                  <c:pt idx="22">
                    <c:v>110,82</c:v>
                  </c:pt>
                  <c:pt idx="24">
                    <c:v>97,98</c:v>
                  </c:pt>
                  <c:pt idx="25">
                    <c:v>77,40</c:v>
                  </c:pt>
                  <c:pt idx="27">
                    <c:v>64,20</c:v>
                  </c:pt>
                  <c:pt idx="28">
                    <c:v>110,34</c:v>
                  </c:pt>
                  <c:pt idx="29">
                    <c:v>49,29</c:v>
                  </c:pt>
                  <c:pt idx="30">
                    <c:v>102,71</c:v>
                  </c:pt>
                  <c:pt idx="31">
                    <c:v>151,81</c:v>
                  </c:pt>
                </c:lvl>
                <c:lvl>
                  <c:pt idx="0">
                    <c:v>115,43</c:v>
                  </c:pt>
                  <c:pt idx="1">
                    <c:v>84,01</c:v>
                  </c:pt>
                  <c:pt idx="2">
                    <c:v>68,57</c:v>
                  </c:pt>
                  <c:pt idx="3">
                    <c:v>94,62</c:v>
                  </c:pt>
                  <c:pt idx="4">
                    <c:v>93,43</c:v>
                  </c:pt>
                  <c:pt idx="5">
                    <c:v>85,68</c:v>
                  </c:pt>
                  <c:pt idx="6">
                    <c:v>83,89</c:v>
                  </c:pt>
                  <c:pt idx="8">
                    <c:v>83,87</c:v>
                  </c:pt>
                  <c:pt idx="9">
                    <c:v>93,11</c:v>
                  </c:pt>
                  <c:pt idx="10">
                    <c:v>115,05</c:v>
                  </c:pt>
                  <c:pt idx="11">
                    <c:v>103,49</c:v>
                  </c:pt>
                  <c:pt idx="12">
                    <c:v>85,14</c:v>
                  </c:pt>
                  <c:pt idx="13">
                    <c:v>80,66</c:v>
                  </c:pt>
                  <c:pt idx="14">
                    <c:v>83,47</c:v>
                  </c:pt>
                  <c:pt idx="16">
                    <c:v>92,45</c:v>
                  </c:pt>
                  <c:pt idx="17">
                    <c:v>95,21</c:v>
                  </c:pt>
                  <c:pt idx="18">
                    <c:v>98,97</c:v>
                  </c:pt>
                  <c:pt idx="19">
                    <c:v>82,77</c:v>
                  </c:pt>
                  <c:pt idx="20">
                    <c:v>94,74</c:v>
                  </c:pt>
                  <c:pt idx="21">
                    <c:v>80,41</c:v>
                  </c:pt>
                  <c:pt idx="22">
                    <c:v>88,98</c:v>
                  </c:pt>
                  <c:pt idx="24">
                    <c:v>88,07</c:v>
                  </c:pt>
                  <c:pt idx="25">
                    <c:v>85,72</c:v>
                  </c:pt>
                  <c:pt idx="26">
                    <c:v>69,27</c:v>
                  </c:pt>
                  <c:pt idx="27">
                    <c:v>85,07</c:v>
                  </c:pt>
                  <c:pt idx="28">
                    <c:v>100,66</c:v>
                  </c:pt>
                  <c:pt idx="29">
                    <c:v>106,18</c:v>
                  </c:pt>
                  <c:pt idx="30">
                    <c:v>87,73</c:v>
                  </c:pt>
                  <c:pt idx="31">
                    <c:v>92,23</c:v>
                  </c:pt>
                  <c:pt idx="32">
                    <c:v>83,91</c:v>
                  </c:pt>
                </c:lvl>
                <c:lvl>
                  <c:pt idx="0">
                    <c:v>87,91</c:v>
                  </c:pt>
                  <c:pt idx="1">
                    <c:v>72,51</c:v>
                  </c:pt>
                  <c:pt idx="2">
                    <c:v>66,19</c:v>
                  </c:pt>
                  <c:pt idx="12">
                    <c:v>58,56</c:v>
                  </c:pt>
                  <c:pt idx="13">
                    <c:v>84,14</c:v>
                  </c:pt>
                  <c:pt idx="14">
                    <c:v>93,38</c:v>
                  </c:pt>
                  <c:pt idx="16">
                    <c:v>93,22</c:v>
                  </c:pt>
                  <c:pt idx="17">
                    <c:v>94,94</c:v>
                  </c:pt>
                  <c:pt idx="18">
                    <c:v>76,73</c:v>
                  </c:pt>
                  <c:pt idx="19">
                    <c:v>92,52</c:v>
                  </c:pt>
                  <c:pt idx="20">
                    <c:v>99,44</c:v>
                  </c:pt>
                  <c:pt idx="21">
                    <c:v>85,29</c:v>
                  </c:pt>
                  <c:pt idx="22">
                    <c:v>108,37</c:v>
                  </c:pt>
                  <c:pt idx="24">
                    <c:v>85,61</c:v>
                  </c:pt>
                  <c:pt idx="25">
                    <c:v>92,18</c:v>
                  </c:pt>
                  <c:pt idx="26">
                    <c:v>88,55</c:v>
                  </c:pt>
                  <c:pt idx="27">
                    <c:v>65,18</c:v>
                  </c:pt>
                  <c:pt idx="28">
                    <c:v>92,70</c:v>
                  </c:pt>
                  <c:pt idx="29">
                    <c:v>84,01</c:v>
                  </c:pt>
                  <c:pt idx="30">
                    <c:v>91,21</c:v>
                  </c:pt>
                  <c:pt idx="31">
                    <c:v>108,86</c:v>
                  </c:pt>
                  <c:pt idx="32">
                    <c:v>69,30</c:v>
                  </c:pt>
                </c:lvl>
                <c:lvl>
                  <c:pt idx="0">
                    <c:v>72,69</c:v>
                  </c:pt>
                  <c:pt idx="1">
                    <c:v>80,03</c:v>
                  </c:pt>
                  <c:pt idx="2">
                    <c:v>74,79</c:v>
                  </c:pt>
                  <c:pt idx="3">
                    <c:v>61,85</c:v>
                  </c:pt>
                  <c:pt idx="4">
                    <c:v>71,41</c:v>
                  </c:pt>
                  <c:pt idx="5">
                    <c:v>77,16</c:v>
                  </c:pt>
                  <c:pt idx="6">
                    <c:v>89,96</c:v>
                  </c:pt>
                  <c:pt idx="8">
                    <c:v>53,90</c:v>
                  </c:pt>
                  <c:pt idx="9">
                    <c:v>84,11</c:v>
                  </c:pt>
                  <c:pt idx="10">
                    <c:v>70,94</c:v>
                  </c:pt>
                  <c:pt idx="11">
                    <c:v>90,81</c:v>
                  </c:pt>
                  <c:pt idx="12">
                    <c:v>76,83</c:v>
                  </c:pt>
                  <c:pt idx="13">
                    <c:v>70,09</c:v>
                  </c:pt>
                  <c:pt idx="14">
                    <c:v>77,18</c:v>
                  </c:pt>
                  <c:pt idx="16">
                    <c:v>91,02</c:v>
                  </c:pt>
                  <c:pt idx="17">
                    <c:v>68,44</c:v>
                  </c:pt>
                  <c:pt idx="18">
                    <c:v>77,60</c:v>
                  </c:pt>
                  <c:pt idx="19">
                    <c:v>79,39</c:v>
                  </c:pt>
                  <c:pt idx="20">
                    <c:v>119,49</c:v>
                  </c:pt>
                  <c:pt idx="21">
                    <c:v>93,48</c:v>
                  </c:pt>
                  <c:pt idx="22">
                    <c:v>90,30</c:v>
                  </c:pt>
                  <c:pt idx="24">
                    <c:v>82,40</c:v>
                  </c:pt>
                  <c:pt idx="25">
                    <c:v>101,08</c:v>
                  </c:pt>
                  <c:pt idx="26">
                    <c:v>90,46</c:v>
                  </c:pt>
                  <c:pt idx="27">
                    <c:v>62,48</c:v>
                  </c:pt>
                  <c:pt idx="28">
                    <c:v>83,34</c:v>
                  </c:pt>
                  <c:pt idx="29">
                    <c:v>87,14</c:v>
                  </c:pt>
                  <c:pt idx="30">
                    <c:v>108,94</c:v>
                  </c:pt>
                  <c:pt idx="31">
                    <c:v>72,40</c:v>
                  </c:pt>
                  <c:pt idx="32">
                    <c:v>88,30</c:v>
                  </c:pt>
                </c:lvl>
                <c:lvl>
                  <c:pt idx="0">
                    <c:v>112,36</c:v>
                  </c:pt>
                  <c:pt idx="1">
                    <c:v>84,49</c:v>
                  </c:pt>
                  <c:pt idx="3">
                    <c:v>72,24</c:v>
                  </c:pt>
                  <c:pt idx="4">
                    <c:v>76,00</c:v>
                  </c:pt>
                  <c:pt idx="5">
                    <c:v>52,10</c:v>
                  </c:pt>
                  <c:pt idx="6">
                    <c:v>91,47</c:v>
                  </c:pt>
                  <c:pt idx="8">
                    <c:v>79,84</c:v>
                  </c:pt>
                  <c:pt idx="9">
                    <c:v>71,92</c:v>
                  </c:pt>
                  <c:pt idx="11">
                    <c:v>56,25</c:v>
                  </c:pt>
                  <c:pt idx="12">
                    <c:v>53,45</c:v>
                  </c:pt>
                  <c:pt idx="14">
                    <c:v>44,88</c:v>
                  </c:pt>
                  <c:pt idx="16">
                    <c:v>31,41</c:v>
                  </c:pt>
                  <c:pt idx="17">
                    <c:v>24,36</c:v>
                  </c:pt>
                  <c:pt idx="18">
                    <c:v>68,83</c:v>
                  </c:pt>
                  <c:pt idx="19">
                    <c:v>77,35</c:v>
                  </c:pt>
                  <c:pt idx="20">
                    <c:v>100,63</c:v>
                  </c:pt>
                  <c:pt idx="21">
                    <c:v>46,39</c:v>
                  </c:pt>
                  <c:pt idx="22">
                    <c:v>86,19</c:v>
                  </c:pt>
                  <c:pt idx="24">
                    <c:v>116,55</c:v>
                  </c:pt>
                  <c:pt idx="25">
                    <c:v>104,71</c:v>
                  </c:pt>
                  <c:pt idx="26">
                    <c:v>86,38</c:v>
                  </c:pt>
                  <c:pt idx="27">
                    <c:v>64,53</c:v>
                  </c:pt>
                  <c:pt idx="28">
                    <c:v>128,19</c:v>
                  </c:pt>
                  <c:pt idx="29">
                    <c:v>78,95</c:v>
                  </c:pt>
                  <c:pt idx="30">
                    <c:v>105,20</c:v>
                  </c:pt>
                  <c:pt idx="31">
                    <c:v>61,44</c:v>
                  </c:pt>
                </c:lvl>
                <c:lvl>
                  <c:pt idx="0">
                    <c:v>79,06</c:v>
                  </c:pt>
                  <c:pt idx="1">
                    <c:v>73,66</c:v>
                  </c:pt>
                  <c:pt idx="2">
                    <c:v>61,32</c:v>
                  </c:pt>
                  <c:pt idx="3">
                    <c:v>67,77</c:v>
                  </c:pt>
                  <c:pt idx="4">
                    <c:v>69,93</c:v>
                  </c:pt>
                  <c:pt idx="5">
                    <c:v>65,94</c:v>
                  </c:pt>
                  <c:pt idx="6">
                    <c:v>62,07</c:v>
                  </c:pt>
                  <c:pt idx="8">
                    <c:v>45,54</c:v>
                  </c:pt>
                  <c:pt idx="9">
                    <c:v>71,13</c:v>
                  </c:pt>
                  <c:pt idx="10">
                    <c:v>74,87</c:v>
                  </c:pt>
                  <c:pt idx="11">
                    <c:v>69,28</c:v>
                  </c:pt>
                  <c:pt idx="12">
                    <c:v>84,17</c:v>
                  </c:pt>
                  <c:pt idx="13">
                    <c:v>82,70</c:v>
                  </c:pt>
                  <c:pt idx="14">
                    <c:v>70,60</c:v>
                  </c:pt>
                  <c:pt idx="16">
                    <c:v>83,86</c:v>
                  </c:pt>
                  <c:pt idx="17">
                    <c:v>85,65</c:v>
                  </c:pt>
                  <c:pt idx="18">
                    <c:v>64,74</c:v>
                  </c:pt>
                  <c:pt idx="19">
                    <c:v>83,53</c:v>
                  </c:pt>
                  <c:pt idx="20">
                    <c:v>71,05</c:v>
                  </c:pt>
                  <c:pt idx="21">
                    <c:v>74,19</c:v>
                  </c:pt>
                  <c:pt idx="22">
                    <c:v>82,24</c:v>
                  </c:pt>
                  <c:pt idx="24">
                    <c:v>97,62</c:v>
                  </c:pt>
                  <c:pt idx="25">
                    <c:v>76,05</c:v>
                  </c:pt>
                  <c:pt idx="26">
                    <c:v>70,26</c:v>
                  </c:pt>
                  <c:pt idx="27">
                    <c:v>60,08</c:v>
                  </c:pt>
                  <c:pt idx="28">
                    <c:v>77,06</c:v>
                  </c:pt>
                  <c:pt idx="29">
                    <c:v>68,08</c:v>
                  </c:pt>
                  <c:pt idx="30">
                    <c:v>87,05</c:v>
                  </c:pt>
                  <c:pt idx="31">
                    <c:v>59,28</c:v>
                  </c:pt>
                  <c:pt idx="32">
                    <c:v>76,36</c:v>
                  </c:pt>
                </c:lvl>
                <c:lvl>
                  <c:pt idx="0">
                    <c:v>80,41</c:v>
                  </c:pt>
                  <c:pt idx="1">
                    <c:v>92,81</c:v>
                  </c:pt>
                  <c:pt idx="2">
                    <c:v>70,01</c:v>
                  </c:pt>
                  <c:pt idx="3">
                    <c:v>61,52</c:v>
                  </c:pt>
                  <c:pt idx="4">
                    <c:v>116,47</c:v>
                  </c:pt>
                  <c:pt idx="5">
                    <c:v>71,69</c:v>
                  </c:pt>
                  <c:pt idx="6">
                    <c:v>91,45</c:v>
                  </c:pt>
                  <c:pt idx="8">
                    <c:v>67,44</c:v>
                  </c:pt>
                  <c:pt idx="9">
                    <c:v>76,31</c:v>
                  </c:pt>
                  <c:pt idx="10">
                    <c:v>64,26</c:v>
                  </c:pt>
                  <c:pt idx="11">
                    <c:v>94,38</c:v>
                  </c:pt>
                  <c:pt idx="12">
                    <c:v>84,97</c:v>
                  </c:pt>
                  <c:pt idx="13">
                    <c:v>68,59</c:v>
                  </c:pt>
                  <c:pt idx="14">
                    <c:v>81,63</c:v>
                  </c:pt>
                  <c:pt idx="17">
                    <c:v>99,13</c:v>
                  </c:pt>
                  <c:pt idx="18">
                    <c:v>133,94</c:v>
                  </c:pt>
                  <c:pt idx="19">
                    <c:v>68,68</c:v>
                  </c:pt>
                  <c:pt idx="20">
                    <c:v>85,04</c:v>
                  </c:pt>
                  <c:pt idx="21">
                    <c:v>81,31</c:v>
                  </c:pt>
                  <c:pt idx="22">
                    <c:v>82,70</c:v>
                  </c:pt>
                  <c:pt idx="24">
                    <c:v>69,98</c:v>
                  </c:pt>
                  <c:pt idx="25">
                    <c:v>106,92</c:v>
                  </c:pt>
                  <c:pt idx="26">
                    <c:v>102,81</c:v>
                  </c:pt>
                  <c:pt idx="27">
                    <c:v>58,06</c:v>
                  </c:pt>
                  <c:pt idx="28">
                    <c:v>48,84</c:v>
                  </c:pt>
                  <c:pt idx="29">
                    <c:v>85,67</c:v>
                  </c:pt>
                  <c:pt idx="30">
                    <c:v>80,25</c:v>
                  </c:pt>
                  <c:pt idx="31">
                    <c:v>72,47</c:v>
                  </c:pt>
                  <c:pt idx="32">
                    <c:v>73,68</c:v>
                  </c:pt>
                </c:lvl>
                <c:lvl>
                  <c:pt idx="0">
                    <c:v>67,44</c:v>
                  </c:pt>
                  <c:pt idx="1">
                    <c:v>79,16</c:v>
                  </c:pt>
                  <c:pt idx="2">
                    <c:v>61,79</c:v>
                  </c:pt>
                  <c:pt idx="3">
                    <c:v>48,02</c:v>
                  </c:pt>
                  <c:pt idx="4">
                    <c:v>71,21</c:v>
                  </c:pt>
                  <c:pt idx="5">
                    <c:v>76,98</c:v>
                  </c:pt>
                  <c:pt idx="6">
                    <c:v>89,35</c:v>
                  </c:pt>
                  <c:pt idx="8">
                    <c:v>70,04</c:v>
                  </c:pt>
                  <c:pt idx="9">
                    <c:v>83,48</c:v>
                  </c:pt>
                  <c:pt idx="10">
                    <c:v>51,74</c:v>
                  </c:pt>
                  <c:pt idx="11">
                    <c:v>102,20</c:v>
                  </c:pt>
                  <c:pt idx="12">
                    <c:v>76,17</c:v>
                  </c:pt>
                  <c:pt idx="13">
                    <c:v>63,59</c:v>
                  </c:pt>
                  <c:pt idx="14">
                    <c:v>85,66</c:v>
                  </c:pt>
                  <c:pt idx="16">
                    <c:v>83,04</c:v>
                  </c:pt>
                  <c:pt idx="17">
                    <c:v>84,85</c:v>
                  </c:pt>
                  <c:pt idx="18">
                    <c:v>81,32</c:v>
                  </c:pt>
                  <c:pt idx="19">
                    <c:v>59,65</c:v>
                  </c:pt>
                  <c:pt idx="20">
                    <c:v>96,49</c:v>
                  </c:pt>
                  <c:pt idx="21">
                    <c:v>66,98</c:v>
                  </c:pt>
                  <c:pt idx="22">
                    <c:v>91,88</c:v>
                  </c:pt>
                  <c:pt idx="24">
                    <c:v>112,89</c:v>
                  </c:pt>
                  <c:pt idx="25">
                    <c:v>93,04</c:v>
                  </c:pt>
                  <c:pt idx="26">
                    <c:v>80,24</c:v>
                  </c:pt>
                  <c:pt idx="27">
                    <c:v>60,07</c:v>
                  </c:pt>
                  <c:pt idx="28">
                    <c:v>84,94</c:v>
                  </c:pt>
                  <c:pt idx="29">
                    <c:v>75,58</c:v>
                  </c:pt>
                  <c:pt idx="30">
                    <c:v>87,74</c:v>
                  </c:pt>
                  <c:pt idx="31">
                    <c:v>58,46</c:v>
                  </c:pt>
                  <c:pt idx="32">
                    <c:v>86,14</c:v>
                  </c:pt>
                </c:lvl>
                <c:lvl>
                  <c:pt idx="0">
                    <c:v>81,90</c:v>
                  </c:pt>
                  <c:pt idx="1">
                    <c:v>79,69</c:v>
                  </c:pt>
                  <c:pt idx="2">
                    <c:v>58,21</c:v>
                  </c:pt>
                  <c:pt idx="3">
                    <c:v>67,35</c:v>
                  </c:pt>
                  <c:pt idx="4">
                    <c:v>65,81</c:v>
                  </c:pt>
                  <c:pt idx="5">
                    <c:v>74,69</c:v>
                  </c:pt>
                  <c:pt idx="6">
                    <c:v>109,95</c:v>
                  </c:pt>
                  <c:pt idx="8">
                    <c:v>80,24</c:v>
                  </c:pt>
                  <c:pt idx="9">
                    <c:v>82,95</c:v>
                  </c:pt>
                  <c:pt idx="10">
                    <c:v>87,65</c:v>
                  </c:pt>
                  <c:pt idx="11">
                    <c:v>107,50</c:v>
                  </c:pt>
                  <c:pt idx="12">
                    <c:v>83,03</c:v>
                  </c:pt>
                  <c:pt idx="13">
                    <c:v>62,26</c:v>
                  </c:pt>
                  <c:pt idx="14">
                    <c:v>100,43</c:v>
                  </c:pt>
                  <c:pt idx="16">
                    <c:v>116,43</c:v>
                  </c:pt>
                  <c:pt idx="17">
                    <c:v>99,85</c:v>
                  </c:pt>
                  <c:pt idx="18">
                    <c:v>73,53</c:v>
                  </c:pt>
                  <c:pt idx="19">
                    <c:v>67,37</c:v>
                  </c:pt>
                  <c:pt idx="20">
                    <c:v>88,90</c:v>
                  </c:pt>
                  <c:pt idx="21">
                    <c:v>83,12</c:v>
                  </c:pt>
                  <c:pt idx="22">
                    <c:v>85,57</c:v>
                  </c:pt>
                  <c:pt idx="24">
                    <c:v>100,28</c:v>
                  </c:pt>
                  <c:pt idx="25">
                    <c:v>105,02</c:v>
                  </c:pt>
                  <c:pt idx="26">
                    <c:v>94,38</c:v>
                  </c:pt>
                  <c:pt idx="27">
                    <c:v>75,46</c:v>
                  </c:pt>
                  <c:pt idx="28">
                    <c:v>68,72</c:v>
                  </c:pt>
                  <c:pt idx="29">
                    <c:v>91,76</c:v>
                  </c:pt>
                  <c:pt idx="30">
                    <c:v>100,96</c:v>
                  </c:pt>
                  <c:pt idx="31">
                    <c:v>44,11</c:v>
                  </c:pt>
                  <c:pt idx="32">
                    <c:v>103,13</c:v>
                  </c:pt>
                </c:lvl>
                <c:lvl>
                  <c:pt idx="0">
                    <c:v>97,88</c:v>
                  </c:pt>
                  <c:pt idx="1">
                    <c:v>66,01</c:v>
                  </c:pt>
                  <c:pt idx="2">
                    <c:v>58,79</c:v>
                  </c:pt>
                  <c:pt idx="3">
                    <c:v>72,41</c:v>
                  </c:pt>
                  <c:pt idx="4">
                    <c:v>60,05</c:v>
                  </c:pt>
                  <c:pt idx="5">
                    <c:v>68,88</c:v>
                  </c:pt>
                  <c:pt idx="6">
                    <c:v>75,65</c:v>
                  </c:pt>
                  <c:pt idx="8">
                    <c:v>56,31</c:v>
                  </c:pt>
                  <c:pt idx="9">
                    <c:v>81,41</c:v>
                  </c:pt>
                  <c:pt idx="10">
                    <c:v>76,28</c:v>
                  </c:pt>
                  <c:pt idx="11">
                    <c:v>80,75</c:v>
                  </c:pt>
                  <c:pt idx="12">
                    <c:v>96,57</c:v>
                  </c:pt>
                  <c:pt idx="13">
                    <c:v>65,62</c:v>
                  </c:pt>
                  <c:pt idx="14">
                    <c:v>78,58</c:v>
                  </c:pt>
                  <c:pt idx="17">
                    <c:v>137,73</c:v>
                  </c:pt>
                  <c:pt idx="19">
                    <c:v>71,37</c:v>
                  </c:pt>
                  <c:pt idx="20">
                    <c:v>46,93</c:v>
                  </c:pt>
                  <c:pt idx="21">
                    <c:v>85,45</c:v>
                  </c:pt>
                  <c:pt idx="22">
                    <c:v>101,49</c:v>
                  </c:pt>
                  <c:pt idx="24">
                    <c:v>66,28</c:v>
                  </c:pt>
                  <c:pt idx="25">
                    <c:v>77,47</c:v>
                  </c:pt>
                  <c:pt idx="26">
                    <c:v>76,39</c:v>
                  </c:pt>
                  <c:pt idx="27">
                    <c:v>54,72</c:v>
                  </c:pt>
                  <c:pt idx="28">
                    <c:v>87,66</c:v>
                  </c:pt>
                  <c:pt idx="29">
                    <c:v>77,43</c:v>
                  </c:pt>
                  <c:pt idx="30">
                    <c:v>87,91</c:v>
                  </c:pt>
                  <c:pt idx="31">
                    <c:v>66,72</c:v>
                  </c:pt>
                  <c:pt idx="32">
                    <c:v>83,81</c:v>
                  </c:pt>
                </c:lvl>
                <c:lvl>
                  <c:pt idx="0">
                    <c:v>81,69</c:v>
                  </c:pt>
                  <c:pt idx="1">
                    <c:v>92,71</c:v>
                  </c:pt>
                  <c:pt idx="2">
                    <c:v>78,02</c:v>
                  </c:pt>
                  <c:pt idx="3">
                    <c:v>97,74</c:v>
                  </c:pt>
                  <c:pt idx="4">
                    <c:v>77,63</c:v>
                  </c:pt>
                  <c:pt idx="5">
                    <c:v>67,53</c:v>
                  </c:pt>
                  <c:pt idx="6">
                    <c:v>78,52</c:v>
                  </c:pt>
                  <c:pt idx="8">
                    <c:v>76,07</c:v>
                  </c:pt>
                  <c:pt idx="9">
                    <c:v>82,02</c:v>
                  </c:pt>
                  <c:pt idx="10">
                    <c:v>67,47</c:v>
                  </c:pt>
                  <c:pt idx="11">
                    <c:v>80,58</c:v>
                  </c:pt>
                  <c:pt idx="12">
                    <c:v>66,12</c:v>
                  </c:pt>
                  <c:pt idx="13">
                    <c:v>94,07</c:v>
                  </c:pt>
                  <c:pt idx="14">
                    <c:v>75,93</c:v>
                  </c:pt>
                  <c:pt idx="16">
                    <c:v>85,37</c:v>
                  </c:pt>
                  <c:pt idx="17">
                    <c:v>84,52</c:v>
                  </c:pt>
                  <c:pt idx="18">
                    <c:v>68,71</c:v>
                  </c:pt>
                  <c:pt idx="19">
                    <c:v>72,18</c:v>
                  </c:pt>
                  <c:pt idx="20">
                    <c:v>87,98</c:v>
                  </c:pt>
                  <c:pt idx="21">
                    <c:v>71,21</c:v>
                  </c:pt>
                  <c:pt idx="22">
                    <c:v>77,89</c:v>
                  </c:pt>
                  <c:pt idx="24">
                    <c:v>85,37</c:v>
                  </c:pt>
                  <c:pt idx="25">
                    <c:v>86,13</c:v>
                  </c:pt>
                  <c:pt idx="26">
                    <c:v>90,25</c:v>
                  </c:pt>
                  <c:pt idx="27">
                    <c:v>56,32</c:v>
                  </c:pt>
                  <c:pt idx="28">
                    <c:v>73,03</c:v>
                  </c:pt>
                  <c:pt idx="29">
                    <c:v>80,67</c:v>
                  </c:pt>
                  <c:pt idx="30">
                    <c:v>78,26</c:v>
                  </c:pt>
                  <c:pt idx="31">
                    <c:v>78,42</c:v>
                  </c:pt>
                  <c:pt idx="32">
                    <c:v>75,73</c:v>
                  </c:pt>
                </c:lvl>
                <c:lvl>
                  <c:pt idx="7">
                    <c:v>PM</c:v>
                  </c:pt>
                  <c:pt idx="8">
                    <c:v>51,13</c:v>
                  </c:pt>
                  <c:pt idx="9">
                    <c:v>82,45</c:v>
                  </c:pt>
                  <c:pt idx="10">
                    <c:v>71,75</c:v>
                  </c:pt>
                  <c:pt idx="11">
                    <c:v>108,61</c:v>
                  </c:pt>
                  <c:pt idx="12">
                    <c:v>86,22</c:v>
                  </c:pt>
                  <c:pt idx="14">
                    <c:v>120,31</c:v>
                  </c:pt>
                  <c:pt idx="17">
                    <c:v>156,25</c:v>
                  </c:pt>
                  <c:pt idx="18">
                    <c:v>87,37</c:v>
                  </c:pt>
                  <c:pt idx="19">
                    <c:v>67,57</c:v>
                  </c:pt>
                  <c:pt idx="20">
                    <c:v>101,95</c:v>
                  </c:pt>
                  <c:pt idx="21">
                    <c:v>65,26</c:v>
                  </c:pt>
                  <c:pt idx="22">
                    <c:v>113,99</c:v>
                  </c:pt>
                  <c:pt idx="24">
                    <c:v>109,04</c:v>
                  </c:pt>
                  <c:pt idx="25">
                    <c:v>90,99</c:v>
                  </c:pt>
                  <c:pt idx="26">
                    <c:v>96,05</c:v>
                  </c:pt>
                  <c:pt idx="27">
                    <c:v>81,89</c:v>
                  </c:pt>
                  <c:pt idx="28">
                    <c:v>86,33</c:v>
                  </c:pt>
                  <c:pt idx="29">
                    <c:v>88,10</c:v>
                  </c:pt>
                  <c:pt idx="30">
                    <c:v>101,41</c:v>
                  </c:pt>
                  <c:pt idx="31">
                    <c:v>67,89</c:v>
                  </c:pt>
                  <c:pt idx="32">
                    <c:v>79,13</c:v>
                  </c:pt>
                </c:lvl>
                <c:lvl>
                  <c:pt idx="0">
                    <c:v>88,92</c:v>
                  </c:pt>
                  <c:pt idx="1">
                    <c:v>79,76</c:v>
                  </c:pt>
                  <c:pt idx="2">
                    <c:v>76,65</c:v>
                  </c:pt>
                  <c:pt idx="3">
                    <c:v>97,87</c:v>
                  </c:pt>
                  <c:pt idx="4">
                    <c:v>88,24</c:v>
                  </c:pt>
                  <c:pt idx="5">
                    <c:v>85,75</c:v>
                  </c:pt>
                  <c:pt idx="6">
                    <c:v>99,41</c:v>
                  </c:pt>
                  <c:pt idx="8">
                    <c:v>47,50</c:v>
                  </c:pt>
                  <c:pt idx="9">
                    <c:v>97,66</c:v>
                  </c:pt>
                  <c:pt idx="10">
                    <c:v>80,07</c:v>
                  </c:pt>
                  <c:pt idx="11">
                    <c:v>91,39</c:v>
                  </c:pt>
                  <c:pt idx="12">
                    <c:v>90,68</c:v>
                  </c:pt>
                  <c:pt idx="13">
                    <c:v>88,57</c:v>
                  </c:pt>
                  <c:pt idx="14">
                    <c:v>99,59</c:v>
                  </c:pt>
                  <c:pt idx="16">
                    <c:v>107,12</c:v>
                  </c:pt>
                  <c:pt idx="17">
                    <c:v>62,56</c:v>
                  </c:pt>
                  <c:pt idx="18">
                    <c:v>78,89</c:v>
                  </c:pt>
                  <c:pt idx="19">
                    <c:v>68,98</c:v>
                  </c:pt>
                  <c:pt idx="20">
                    <c:v>69,28</c:v>
                  </c:pt>
                  <c:pt idx="21">
                    <c:v>79,54</c:v>
                  </c:pt>
                  <c:pt idx="22">
                    <c:v>96,14</c:v>
                  </c:pt>
                  <c:pt idx="24">
                    <c:v>100,37</c:v>
                  </c:pt>
                  <c:pt idx="25">
                    <c:v>96,86</c:v>
                  </c:pt>
                  <c:pt idx="26">
                    <c:v>98,30</c:v>
                  </c:pt>
                  <c:pt idx="27">
                    <c:v>80,20</c:v>
                  </c:pt>
                  <c:pt idx="28">
                    <c:v>106,73</c:v>
                  </c:pt>
                  <c:pt idx="29">
                    <c:v>94,37</c:v>
                  </c:pt>
                  <c:pt idx="30">
                    <c:v>82,63</c:v>
                  </c:pt>
                  <c:pt idx="31">
                    <c:v>86,75</c:v>
                  </c:pt>
                  <c:pt idx="32">
                    <c:v>76,19</c:v>
                  </c:pt>
                </c:lvl>
                <c:lvl>
                  <c:pt idx="0">
                    <c:v>83,19</c:v>
                  </c:pt>
                  <c:pt idx="1">
                    <c:v>55,01</c:v>
                  </c:pt>
                  <c:pt idx="2">
                    <c:v>63,41</c:v>
                  </c:pt>
                  <c:pt idx="3">
                    <c:v>93,18</c:v>
                  </c:pt>
                  <c:pt idx="4">
                    <c:v>75,53</c:v>
                  </c:pt>
                  <c:pt idx="5">
                    <c:v>70,08</c:v>
                  </c:pt>
                  <c:pt idx="6">
                    <c:v>94,05</c:v>
                  </c:pt>
                  <c:pt idx="8">
                    <c:v>64,73</c:v>
                  </c:pt>
                  <c:pt idx="9">
                    <c:v>81,62</c:v>
                  </c:pt>
                  <c:pt idx="10">
                    <c:v>81,51</c:v>
                  </c:pt>
                  <c:pt idx="11">
                    <c:v>97,44</c:v>
                  </c:pt>
                  <c:pt idx="12">
                    <c:v>74,91</c:v>
                  </c:pt>
                  <c:pt idx="13">
                    <c:v>63,04</c:v>
                  </c:pt>
                  <c:pt idx="14">
                    <c:v>90,26</c:v>
                  </c:pt>
                  <c:pt idx="16">
                    <c:v>21,07</c:v>
                  </c:pt>
                  <c:pt idx="17">
                    <c:v>66,52</c:v>
                  </c:pt>
                  <c:pt idx="18">
                    <c:v>75,62</c:v>
                  </c:pt>
                  <c:pt idx="19">
                    <c:v>68,23</c:v>
                  </c:pt>
                  <c:pt idx="20">
                    <c:v>75,27</c:v>
                  </c:pt>
                  <c:pt idx="21">
                    <c:v>100,55</c:v>
                  </c:pt>
                  <c:pt idx="22">
                    <c:v>70,85</c:v>
                  </c:pt>
                  <c:pt idx="24">
                    <c:v>79,98</c:v>
                  </c:pt>
                  <c:pt idx="25">
                    <c:v>85,64</c:v>
                  </c:pt>
                  <c:pt idx="26">
                    <c:v>98,91</c:v>
                  </c:pt>
                  <c:pt idx="27">
                    <c:v>57,18</c:v>
                  </c:pt>
                  <c:pt idx="28">
                    <c:v>82,86</c:v>
                  </c:pt>
                  <c:pt idx="29">
                    <c:v>83,05</c:v>
                  </c:pt>
                  <c:pt idx="30">
                    <c:v>98,19</c:v>
                  </c:pt>
                  <c:pt idx="31">
                    <c:v>46,18</c:v>
                  </c:pt>
                  <c:pt idx="32">
                    <c:v>85,49</c:v>
                  </c:pt>
                </c:lvl>
                <c:lvl>
                  <c:pt idx="0">
                    <c:v>93,28</c:v>
                  </c:pt>
                  <c:pt idx="1">
                    <c:v>88,74</c:v>
                  </c:pt>
                  <c:pt idx="2">
                    <c:v>80,08</c:v>
                  </c:pt>
                  <c:pt idx="3">
                    <c:v>87,88</c:v>
                  </c:pt>
                  <c:pt idx="4">
                    <c:v>83,14</c:v>
                  </c:pt>
                  <c:pt idx="5">
                    <c:v>52,57</c:v>
                  </c:pt>
                  <c:pt idx="6">
                    <c:v>88,00</c:v>
                  </c:pt>
                  <c:pt idx="8">
                    <c:v>84,58</c:v>
                  </c:pt>
                  <c:pt idx="9">
                    <c:v>99,15</c:v>
                  </c:pt>
                  <c:pt idx="10">
                    <c:v>85,68</c:v>
                  </c:pt>
                  <c:pt idx="11">
                    <c:v>77,26</c:v>
                  </c:pt>
                  <c:pt idx="12">
                    <c:v>95,62</c:v>
                  </c:pt>
                  <c:pt idx="13">
                    <c:v>84,47</c:v>
                  </c:pt>
                  <c:pt idx="14">
                    <c:v>59,95</c:v>
                  </c:pt>
                  <c:pt idx="16">
                    <c:v>107,44</c:v>
                  </c:pt>
                  <c:pt idx="17">
                    <c:v>90,16</c:v>
                  </c:pt>
                  <c:pt idx="18">
                    <c:v>95,01</c:v>
                  </c:pt>
                  <c:pt idx="19">
                    <c:v>61,58</c:v>
                  </c:pt>
                  <c:pt idx="20">
                    <c:v>80,43</c:v>
                  </c:pt>
                  <c:pt idx="21">
                    <c:v>89,09</c:v>
                  </c:pt>
                  <c:pt idx="24">
                    <c:v>101,39</c:v>
                  </c:pt>
                  <c:pt idx="25">
                    <c:v>70,98</c:v>
                  </c:pt>
                  <c:pt idx="26">
                    <c:v>89,57</c:v>
                  </c:pt>
                  <c:pt idx="27">
                    <c:v>90,50</c:v>
                  </c:pt>
                  <c:pt idx="28">
                    <c:v>82,24</c:v>
                  </c:pt>
                  <c:pt idx="29">
                    <c:v>71,47</c:v>
                  </c:pt>
                  <c:pt idx="30">
                    <c:v>95,07</c:v>
                  </c:pt>
                  <c:pt idx="31">
                    <c:v>63,95</c:v>
                  </c:pt>
                  <c:pt idx="32">
                    <c:v>86,95</c:v>
                  </c:pt>
                </c:lvl>
                <c:lvl>
                  <c:pt idx="0">
                    <c:v>98,38</c:v>
                  </c:pt>
                  <c:pt idx="1">
                    <c:v>88,48</c:v>
                  </c:pt>
                  <c:pt idx="2">
                    <c:v>105,55</c:v>
                  </c:pt>
                  <c:pt idx="3">
                    <c:v>91,01</c:v>
                  </c:pt>
                  <c:pt idx="4">
                    <c:v>87,86</c:v>
                  </c:pt>
                  <c:pt idx="5">
                    <c:v>76,81</c:v>
                  </c:pt>
                  <c:pt idx="6">
                    <c:v>92,60</c:v>
                  </c:pt>
                  <c:pt idx="15">
                    <c:v>PM</c:v>
                  </c:pt>
                  <c:pt idx="19">
                    <c:v>84,94</c:v>
                  </c:pt>
                  <c:pt idx="34">
                    <c:v>PM</c:v>
                  </c:pt>
                </c:lvl>
                <c:lvl>
                  <c:pt idx="0">
                    <c:v>65,41</c:v>
                  </c:pt>
                  <c:pt idx="1">
                    <c:v>71,25</c:v>
                  </c:pt>
                  <c:pt idx="2">
                    <c:v>78,41</c:v>
                  </c:pt>
                  <c:pt idx="3">
                    <c:v>57,37</c:v>
                  </c:pt>
                  <c:pt idx="4">
                    <c:v>77,24</c:v>
                  </c:pt>
                  <c:pt idx="5">
                    <c:v>70,40</c:v>
                  </c:pt>
                  <c:pt idx="6">
                    <c:v>73,43</c:v>
                  </c:pt>
                  <c:pt idx="8">
                    <c:v>43,20</c:v>
                  </c:pt>
                  <c:pt idx="9">
                    <c:v>75,78</c:v>
                  </c:pt>
                  <c:pt idx="10">
                    <c:v>51,72</c:v>
                  </c:pt>
                  <c:pt idx="11">
                    <c:v>89,51</c:v>
                  </c:pt>
                  <c:pt idx="12">
                    <c:v>80,31</c:v>
                  </c:pt>
                  <c:pt idx="13">
                    <c:v>83,04</c:v>
                  </c:pt>
                  <c:pt idx="14">
                    <c:v>79,31</c:v>
                  </c:pt>
                  <c:pt idx="16">
                    <c:v>95,94</c:v>
                  </c:pt>
                  <c:pt idx="17">
                    <c:v>95,65</c:v>
                  </c:pt>
                  <c:pt idx="18">
                    <c:v>67,36</c:v>
                  </c:pt>
                  <c:pt idx="20">
                    <c:v>80,21</c:v>
                  </c:pt>
                  <c:pt idx="21">
                    <c:v>84,14</c:v>
                  </c:pt>
                  <c:pt idx="22">
                    <c:v>84,32</c:v>
                  </c:pt>
                  <c:pt idx="24">
                    <c:v>96,15</c:v>
                  </c:pt>
                  <c:pt idx="25">
                    <c:v>86,23</c:v>
                  </c:pt>
                  <c:pt idx="26">
                    <c:v>79,73</c:v>
                  </c:pt>
                  <c:pt idx="27">
                    <c:v>72,26</c:v>
                  </c:pt>
                  <c:pt idx="28">
                    <c:v>85,67</c:v>
                  </c:pt>
                  <c:pt idx="29">
                    <c:v>97,10</c:v>
                  </c:pt>
                  <c:pt idx="30">
                    <c:v>86,95</c:v>
                  </c:pt>
                  <c:pt idx="31">
                    <c:v>62,13</c:v>
                  </c:pt>
                  <c:pt idx="32">
                    <c:v>74,15</c:v>
                  </c:pt>
                </c:lvl>
                <c:lvl>
                  <c:pt idx="0">
                    <c:v>96,87</c:v>
                  </c:pt>
                  <c:pt idx="1">
                    <c:v>80,99</c:v>
                  </c:pt>
                  <c:pt idx="2">
                    <c:v>82,57</c:v>
                  </c:pt>
                  <c:pt idx="3">
                    <c:v>65,64</c:v>
                  </c:pt>
                  <c:pt idx="4">
                    <c:v>51,43</c:v>
                  </c:pt>
                  <c:pt idx="5">
                    <c:v>56,40</c:v>
                  </c:pt>
                  <c:pt idx="6">
                    <c:v>81,85</c:v>
                  </c:pt>
                  <c:pt idx="8">
                    <c:v>58,57</c:v>
                  </c:pt>
                  <c:pt idx="9">
                    <c:v>69,01</c:v>
                  </c:pt>
                  <c:pt idx="10">
                    <c:v>64,42</c:v>
                  </c:pt>
                  <c:pt idx="11">
                    <c:v>107,46</c:v>
                  </c:pt>
                  <c:pt idx="12">
                    <c:v>90,81</c:v>
                  </c:pt>
                  <c:pt idx="13">
                    <c:v>70,14</c:v>
                  </c:pt>
                  <c:pt idx="14">
                    <c:v>70,46</c:v>
                  </c:pt>
                  <c:pt idx="16">
                    <c:v>83,14</c:v>
                  </c:pt>
                  <c:pt idx="17">
                    <c:v>94,84</c:v>
                  </c:pt>
                  <c:pt idx="18">
                    <c:v>55,34</c:v>
                  </c:pt>
                  <c:pt idx="19">
                    <c:v>75,03</c:v>
                  </c:pt>
                  <c:pt idx="20">
                    <c:v>83,71</c:v>
                  </c:pt>
                  <c:pt idx="21">
                    <c:v>78,81</c:v>
                  </c:pt>
                  <c:pt idx="22">
                    <c:v>63,13</c:v>
                  </c:pt>
                  <c:pt idx="24">
                    <c:v>82,15</c:v>
                  </c:pt>
                  <c:pt idx="25">
                    <c:v>95,85</c:v>
                  </c:pt>
                  <c:pt idx="26">
                    <c:v>71,07</c:v>
                  </c:pt>
                  <c:pt idx="27">
                    <c:v>72,56</c:v>
                  </c:pt>
                  <c:pt idx="28">
                    <c:v>90,28</c:v>
                  </c:pt>
                  <c:pt idx="29">
                    <c:v>100,99</c:v>
                  </c:pt>
                  <c:pt idx="30">
                    <c:v>68,52</c:v>
                  </c:pt>
                  <c:pt idx="31">
                    <c:v>71,39</c:v>
                  </c:pt>
                  <c:pt idx="32">
                    <c:v>76,90</c:v>
                  </c:pt>
                </c:lvl>
                <c:lvl>
                  <c:pt idx="0">
                    <c:v>64,82</c:v>
                  </c:pt>
                  <c:pt idx="1">
                    <c:v>91,72</c:v>
                  </c:pt>
                  <c:pt idx="2">
                    <c:v>74,92</c:v>
                  </c:pt>
                  <c:pt idx="3">
                    <c:v>86,05</c:v>
                  </c:pt>
                  <c:pt idx="4">
                    <c:v>68,64</c:v>
                  </c:pt>
                  <c:pt idx="5">
                    <c:v>66,38</c:v>
                  </c:pt>
                  <c:pt idx="6">
                    <c:v>91,48</c:v>
                  </c:pt>
                  <c:pt idx="8">
                    <c:v>86,70</c:v>
                  </c:pt>
                  <c:pt idx="9">
                    <c:v>85,41</c:v>
                  </c:pt>
                  <c:pt idx="10">
                    <c:v>73,91</c:v>
                  </c:pt>
                  <c:pt idx="11">
                    <c:v>55,03</c:v>
                  </c:pt>
                  <c:pt idx="12">
                    <c:v>102,40</c:v>
                  </c:pt>
                  <c:pt idx="13">
                    <c:v>80,63</c:v>
                  </c:pt>
                  <c:pt idx="14">
                    <c:v>101,05</c:v>
                  </c:pt>
                  <c:pt idx="16">
                    <c:v>102,53</c:v>
                  </c:pt>
                  <c:pt idx="17">
                    <c:v>71,94</c:v>
                  </c:pt>
                  <c:pt idx="18">
                    <c:v>92,71</c:v>
                  </c:pt>
                  <c:pt idx="19">
                    <c:v>73,72</c:v>
                  </c:pt>
                  <c:pt idx="20">
                    <c:v>92,64</c:v>
                  </c:pt>
                  <c:pt idx="21">
                    <c:v>83,17</c:v>
                  </c:pt>
                  <c:pt idx="22">
                    <c:v>85,26</c:v>
                  </c:pt>
                  <c:pt idx="24">
                    <c:v>101,99</c:v>
                  </c:pt>
                  <c:pt idx="25">
                    <c:v>95,32</c:v>
                  </c:pt>
                  <c:pt idx="26">
                    <c:v>102,19</c:v>
                  </c:pt>
                  <c:pt idx="27">
                    <c:v>69,80</c:v>
                  </c:pt>
                  <c:pt idx="28">
                    <c:v>106,37</c:v>
                  </c:pt>
                  <c:pt idx="29">
                    <c:v>86,05</c:v>
                  </c:pt>
                  <c:pt idx="30">
                    <c:v>97,07</c:v>
                  </c:pt>
                  <c:pt idx="31">
                    <c:v>78,74</c:v>
                  </c:pt>
                  <c:pt idx="32">
                    <c:v>93,73</c:v>
                  </c:pt>
                </c:lvl>
                <c:lvl>
                  <c:pt idx="0">
                    <c:v>84,02</c:v>
                  </c:pt>
                  <c:pt idx="1">
                    <c:v>80,44</c:v>
                  </c:pt>
                  <c:pt idx="2">
                    <c:v>77,28</c:v>
                  </c:pt>
                  <c:pt idx="3">
                    <c:v>74,48</c:v>
                  </c:pt>
                  <c:pt idx="4">
                    <c:v>54,82</c:v>
                  </c:pt>
                  <c:pt idx="5">
                    <c:v>76,25</c:v>
                  </c:pt>
                  <c:pt idx="6">
                    <c:v>72,30</c:v>
                  </c:pt>
                  <c:pt idx="8">
                    <c:v>93,65</c:v>
                  </c:pt>
                  <c:pt idx="9">
                    <c:v>72,51</c:v>
                  </c:pt>
                  <c:pt idx="10">
                    <c:v>73,49</c:v>
                  </c:pt>
                  <c:pt idx="11">
                    <c:v>88,90</c:v>
                  </c:pt>
                  <c:pt idx="12">
                    <c:v>85,43</c:v>
                  </c:pt>
                  <c:pt idx="13">
                    <c:v>80,09</c:v>
                  </c:pt>
                  <c:pt idx="14">
                    <c:v>93,75</c:v>
                  </c:pt>
                  <c:pt idx="16">
                    <c:v>83,40</c:v>
                  </c:pt>
                  <c:pt idx="17">
                    <c:v>127,41</c:v>
                  </c:pt>
                  <c:pt idx="18">
                    <c:v>79,18</c:v>
                  </c:pt>
                  <c:pt idx="19">
                    <c:v>55,27</c:v>
                  </c:pt>
                  <c:pt idx="20">
                    <c:v>85,74</c:v>
                  </c:pt>
                  <c:pt idx="21">
                    <c:v>85,29</c:v>
                  </c:pt>
                  <c:pt idx="22">
                    <c:v>78,90</c:v>
                  </c:pt>
                  <c:pt idx="24">
                    <c:v>78,93</c:v>
                  </c:pt>
                  <c:pt idx="25">
                    <c:v>96,46</c:v>
                  </c:pt>
                  <c:pt idx="26">
                    <c:v>74,97</c:v>
                  </c:pt>
                  <c:pt idx="27">
                    <c:v>90,19</c:v>
                  </c:pt>
                  <c:pt idx="28">
                    <c:v>79,06</c:v>
                  </c:pt>
                  <c:pt idx="29">
                    <c:v>87,56</c:v>
                  </c:pt>
                  <c:pt idx="30">
                    <c:v>75,25</c:v>
                  </c:pt>
                  <c:pt idx="31">
                    <c:v>67,22</c:v>
                  </c:pt>
                  <c:pt idx="32">
                    <c:v>80,16</c:v>
                  </c:pt>
                </c:lvl>
                <c:lvl>
                  <c:pt idx="0">
                    <c:v>59,98</c:v>
                  </c:pt>
                  <c:pt idx="1">
                    <c:v>83,64</c:v>
                  </c:pt>
                  <c:pt idx="2">
                    <c:v>79,14</c:v>
                  </c:pt>
                  <c:pt idx="3">
                    <c:v>75,29</c:v>
                  </c:pt>
                  <c:pt idx="4">
                    <c:v>66,88</c:v>
                  </c:pt>
                  <c:pt idx="5">
                    <c:v>62,66</c:v>
                  </c:pt>
                  <c:pt idx="6">
                    <c:v>101,81</c:v>
                  </c:pt>
                  <c:pt idx="8">
                    <c:v>69,43</c:v>
                  </c:pt>
                  <c:pt idx="9">
                    <c:v>52,42</c:v>
                  </c:pt>
                  <c:pt idx="10">
                    <c:v>73,67</c:v>
                  </c:pt>
                  <c:pt idx="11">
                    <c:v>104,57</c:v>
                  </c:pt>
                  <c:pt idx="12">
                    <c:v>95,40</c:v>
                  </c:pt>
                  <c:pt idx="13">
                    <c:v>80,31</c:v>
                  </c:pt>
                  <c:pt idx="14">
                    <c:v>85,40</c:v>
                  </c:pt>
                  <c:pt idx="16">
                    <c:v>84,14</c:v>
                  </c:pt>
                  <c:pt idx="17">
                    <c:v>123,28</c:v>
                  </c:pt>
                  <c:pt idx="18">
                    <c:v>63,88</c:v>
                  </c:pt>
                  <c:pt idx="19">
                    <c:v>83,67</c:v>
                  </c:pt>
                  <c:pt idx="20">
                    <c:v>95,24</c:v>
                  </c:pt>
                  <c:pt idx="21">
                    <c:v>80,63</c:v>
                  </c:pt>
                  <c:pt idx="22">
                    <c:v>93,77</c:v>
                  </c:pt>
                  <c:pt idx="24">
                    <c:v>88,74</c:v>
                  </c:pt>
                  <c:pt idx="25">
                    <c:v>67,15</c:v>
                  </c:pt>
                  <c:pt idx="26">
                    <c:v>92,09</c:v>
                  </c:pt>
                  <c:pt idx="27">
                    <c:v>82,55</c:v>
                  </c:pt>
                  <c:pt idx="28">
                    <c:v>96,43</c:v>
                  </c:pt>
                  <c:pt idx="29">
                    <c:v>97,90</c:v>
                  </c:pt>
                  <c:pt idx="30">
                    <c:v>79,63</c:v>
                  </c:pt>
                  <c:pt idx="31">
                    <c:v>78,66</c:v>
                  </c:pt>
                  <c:pt idx="32">
                    <c:v>88,75</c:v>
                  </c:pt>
                </c:lvl>
                <c:lvl>
                  <c:pt idx="0">
                    <c:v>89,79</c:v>
                  </c:pt>
                  <c:pt idx="1">
                    <c:v>71,87</c:v>
                  </c:pt>
                  <c:pt idx="2">
                    <c:v>67,88</c:v>
                  </c:pt>
                  <c:pt idx="3">
                    <c:v>87,49</c:v>
                  </c:pt>
                  <c:pt idx="4">
                    <c:v>80,51</c:v>
                  </c:pt>
                  <c:pt idx="5">
                    <c:v>67,94</c:v>
                  </c:pt>
                  <c:pt idx="6">
                    <c:v>85,45</c:v>
                  </c:pt>
                  <c:pt idx="8">
                    <c:v>49,71</c:v>
                  </c:pt>
                  <c:pt idx="9">
                    <c:v>86,55</c:v>
                  </c:pt>
                  <c:pt idx="10">
                    <c:v>80,24</c:v>
                  </c:pt>
                  <c:pt idx="11">
                    <c:v>93,32</c:v>
                  </c:pt>
                  <c:pt idx="12">
                    <c:v>65,19</c:v>
                  </c:pt>
                  <c:pt idx="13">
                    <c:v>77,26</c:v>
                  </c:pt>
                  <c:pt idx="14">
                    <c:v>106,68</c:v>
                  </c:pt>
                  <c:pt idx="17">
                    <c:v>119,31</c:v>
                  </c:pt>
                  <c:pt idx="18">
                    <c:v>100,30</c:v>
                  </c:pt>
                  <c:pt idx="19">
                    <c:v>78,54</c:v>
                  </c:pt>
                  <c:pt idx="20">
                    <c:v>75,04</c:v>
                  </c:pt>
                  <c:pt idx="21">
                    <c:v>87,06</c:v>
                  </c:pt>
                  <c:pt idx="22">
                    <c:v>66,52</c:v>
                  </c:pt>
                  <c:pt idx="24">
                    <c:v>78,53</c:v>
                  </c:pt>
                  <c:pt idx="25">
                    <c:v>118,42</c:v>
                  </c:pt>
                  <c:pt idx="26">
                    <c:v>67,16</c:v>
                  </c:pt>
                  <c:pt idx="28">
                    <c:v>84,27</c:v>
                  </c:pt>
                  <c:pt idx="29">
                    <c:v>73,10</c:v>
                  </c:pt>
                  <c:pt idx="30">
                    <c:v>91,28</c:v>
                  </c:pt>
                  <c:pt idx="31">
                    <c:v>68,97</c:v>
                  </c:pt>
                  <c:pt idx="32">
                    <c:v>77,88</c:v>
                  </c:pt>
                </c:lvl>
                <c:lvl>
                  <c:pt idx="0">
                    <c:v>60,45</c:v>
                  </c:pt>
                  <c:pt idx="1">
                    <c:v>93,51</c:v>
                  </c:pt>
                  <c:pt idx="2">
                    <c:v>61,97</c:v>
                  </c:pt>
                  <c:pt idx="3">
                    <c:v>83,16</c:v>
                  </c:pt>
                  <c:pt idx="4">
                    <c:v>66,74</c:v>
                  </c:pt>
                  <c:pt idx="5">
                    <c:v>72,58</c:v>
                  </c:pt>
                  <c:pt idx="6">
                    <c:v>83,46</c:v>
                  </c:pt>
                  <c:pt idx="8">
                    <c:v>47,22</c:v>
                  </c:pt>
                  <c:pt idx="9">
                    <c:v>70,81</c:v>
                  </c:pt>
                  <c:pt idx="10">
                    <c:v>66,16</c:v>
                  </c:pt>
                  <c:pt idx="11">
                    <c:v>81,52</c:v>
                  </c:pt>
                  <c:pt idx="12">
                    <c:v>80,55</c:v>
                  </c:pt>
                  <c:pt idx="13">
                    <c:v>63,90</c:v>
                  </c:pt>
                  <c:pt idx="14">
                    <c:v>83,92</c:v>
                  </c:pt>
                  <c:pt idx="16">
                    <c:v>101,68</c:v>
                  </c:pt>
                  <c:pt idx="17">
                    <c:v>91,98</c:v>
                  </c:pt>
                  <c:pt idx="18">
                    <c:v>52,53</c:v>
                  </c:pt>
                  <c:pt idx="19">
                    <c:v>89,14</c:v>
                  </c:pt>
                  <c:pt idx="20">
                    <c:v>92,64</c:v>
                  </c:pt>
                  <c:pt idx="21">
                    <c:v>49,41</c:v>
                  </c:pt>
                  <c:pt idx="34">
                    <c:v>PM</c:v>
                  </c:pt>
                </c:lvl>
                <c:lvl>
                  <c:pt idx="0">
                    <c:v>104,65</c:v>
                  </c:pt>
                  <c:pt idx="1">
                    <c:v>97,57</c:v>
                  </c:pt>
                  <c:pt idx="2">
                    <c:v>89,55</c:v>
                  </c:pt>
                  <c:pt idx="3">
                    <c:v>103,32</c:v>
                  </c:pt>
                  <c:pt idx="4">
                    <c:v>77,33</c:v>
                  </c:pt>
                  <c:pt idx="5">
                    <c:v>89,49</c:v>
                  </c:pt>
                  <c:pt idx="6">
                    <c:v>105,43</c:v>
                  </c:pt>
                  <c:pt idx="8">
                    <c:v>88,21</c:v>
                  </c:pt>
                  <c:pt idx="9">
                    <c:v>114,38</c:v>
                  </c:pt>
                  <c:pt idx="10">
                    <c:v>55,68</c:v>
                  </c:pt>
                  <c:pt idx="11">
                    <c:v>124,85</c:v>
                  </c:pt>
                  <c:pt idx="14">
                    <c:v>111,90</c:v>
                  </c:pt>
                  <c:pt idx="16">
                    <c:v>90,41</c:v>
                  </c:pt>
                  <c:pt idx="17">
                    <c:v>32,11</c:v>
                  </c:pt>
                  <c:pt idx="18">
                    <c:v>72,49</c:v>
                  </c:pt>
                  <c:pt idx="20">
                    <c:v>179,98</c:v>
                  </c:pt>
                  <c:pt idx="21">
                    <c:v>99,97</c:v>
                  </c:pt>
                  <c:pt idx="22">
                    <c:v>84,79</c:v>
                  </c:pt>
                  <c:pt idx="24">
                    <c:v>64,33</c:v>
                  </c:pt>
                  <c:pt idx="25">
                    <c:v>91,99</c:v>
                  </c:pt>
                  <c:pt idx="26">
                    <c:v>107,22</c:v>
                  </c:pt>
                  <c:pt idx="27">
                    <c:v>27,60</c:v>
                  </c:pt>
                  <c:pt idx="28">
                    <c:v>91,75</c:v>
                  </c:pt>
                  <c:pt idx="29">
                    <c:v>87,55</c:v>
                  </c:pt>
                  <c:pt idx="30">
                    <c:v>117,90</c:v>
                  </c:pt>
                  <c:pt idx="31">
                    <c:v>42,91</c:v>
                  </c:pt>
                  <c:pt idx="32">
                    <c:v>113,92</c:v>
                  </c:pt>
                </c:lvl>
                <c:lvl>
                  <c:pt idx="0">
                    <c:v>65,38</c:v>
                  </c:pt>
                  <c:pt idx="1">
                    <c:v>106,02</c:v>
                  </c:pt>
                  <c:pt idx="2">
                    <c:v>78,31</c:v>
                  </c:pt>
                  <c:pt idx="3">
                    <c:v>60,92</c:v>
                  </c:pt>
                  <c:pt idx="4">
                    <c:v>75,80</c:v>
                  </c:pt>
                  <c:pt idx="5">
                    <c:v>57,63</c:v>
                  </c:pt>
                  <c:pt idx="6">
                    <c:v>133,01</c:v>
                  </c:pt>
                  <c:pt idx="8">
                    <c:v>61,28</c:v>
                  </c:pt>
                  <c:pt idx="9">
                    <c:v>58,57</c:v>
                  </c:pt>
                  <c:pt idx="10">
                    <c:v>76,40</c:v>
                  </c:pt>
                  <c:pt idx="11">
                    <c:v>100,88</c:v>
                  </c:pt>
                  <c:pt idx="12">
                    <c:v>63,33</c:v>
                  </c:pt>
                  <c:pt idx="13">
                    <c:v>95,33</c:v>
                  </c:pt>
                  <c:pt idx="14">
                    <c:v>88,49</c:v>
                  </c:pt>
                  <c:pt idx="16">
                    <c:v>80,07</c:v>
                  </c:pt>
                  <c:pt idx="18">
                    <c:v>132,15</c:v>
                  </c:pt>
                  <c:pt idx="19">
                    <c:v>78,85</c:v>
                  </c:pt>
                  <c:pt idx="20">
                    <c:v>100,83</c:v>
                  </c:pt>
                  <c:pt idx="21">
                    <c:v>80,37</c:v>
                  </c:pt>
                  <c:pt idx="22">
                    <c:v>98,10</c:v>
                  </c:pt>
                  <c:pt idx="24">
                    <c:v>103,88</c:v>
                  </c:pt>
                  <c:pt idx="25">
                    <c:v>120,42</c:v>
                  </c:pt>
                  <c:pt idx="26">
                    <c:v>80,33</c:v>
                  </c:pt>
                  <c:pt idx="27">
                    <c:v>90,18</c:v>
                  </c:pt>
                  <c:pt idx="28">
                    <c:v>90,45</c:v>
                  </c:pt>
                  <c:pt idx="29">
                    <c:v>99,45</c:v>
                  </c:pt>
                  <c:pt idx="30">
                    <c:v>85,79</c:v>
                  </c:pt>
                  <c:pt idx="31">
                    <c:v>62,55</c:v>
                  </c:pt>
                  <c:pt idx="32">
                    <c:v>88,16</c:v>
                  </c:pt>
                </c:lvl>
                <c:lvl>
                  <c:pt idx="0">
                    <c:v>74,59</c:v>
                  </c:pt>
                  <c:pt idx="1">
                    <c:v>76,94</c:v>
                  </c:pt>
                  <c:pt idx="2">
                    <c:v>74,04</c:v>
                  </c:pt>
                  <c:pt idx="4">
                    <c:v>54,52</c:v>
                  </c:pt>
                  <c:pt idx="5">
                    <c:v>53,48</c:v>
                  </c:pt>
                  <c:pt idx="6">
                    <c:v>82,91</c:v>
                  </c:pt>
                  <c:pt idx="9">
                    <c:v>120,44</c:v>
                  </c:pt>
                  <c:pt idx="10">
                    <c:v>76,61</c:v>
                  </c:pt>
                  <c:pt idx="11">
                    <c:v>84,83</c:v>
                  </c:pt>
                  <c:pt idx="12">
                    <c:v>76,93</c:v>
                  </c:pt>
                  <c:pt idx="13">
                    <c:v>73,82</c:v>
                  </c:pt>
                  <c:pt idx="14">
                    <c:v>75,78</c:v>
                  </c:pt>
                  <c:pt idx="16">
                    <c:v>100,56</c:v>
                  </c:pt>
                  <c:pt idx="17">
                    <c:v>70,56</c:v>
                  </c:pt>
                  <c:pt idx="18">
                    <c:v>78,24</c:v>
                  </c:pt>
                  <c:pt idx="19">
                    <c:v>77,61</c:v>
                  </c:pt>
                  <c:pt idx="20">
                    <c:v>88,67</c:v>
                  </c:pt>
                  <c:pt idx="21">
                    <c:v>91,02</c:v>
                  </c:pt>
                  <c:pt idx="22">
                    <c:v>106,43</c:v>
                  </c:pt>
                  <c:pt idx="24">
                    <c:v>80,19</c:v>
                  </c:pt>
                  <c:pt idx="25">
                    <c:v>84,61</c:v>
                  </c:pt>
                  <c:pt idx="26">
                    <c:v>83,22</c:v>
                  </c:pt>
                  <c:pt idx="27">
                    <c:v>81,53</c:v>
                  </c:pt>
                  <c:pt idx="28">
                    <c:v>75,89</c:v>
                  </c:pt>
                  <c:pt idx="29">
                    <c:v>77,98</c:v>
                  </c:pt>
                  <c:pt idx="30">
                    <c:v>72,39</c:v>
                  </c:pt>
                  <c:pt idx="31">
                    <c:v>57,88</c:v>
                  </c:pt>
                  <c:pt idx="32">
                    <c:v>80,70</c:v>
                  </c:pt>
                </c:lvl>
                <c:lvl>
                  <c:pt idx="0">
                    <c:v>88,44</c:v>
                  </c:pt>
                  <c:pt idx="1">
                    <c:v>91,28</c:v>
                  </c:pt>
                  <c:pt idx="2">
                    <c:v>91,94</c:v>
                  </c:pt>
                  <c:pt idx="3">
                    <c:v>93,60</c:v>
                  </c:pt>
                  <c:pt idx="4">
                    <c:v>61,64</c:v>
                  </c:pt>
                  <c:pt idx="6">
                    <c:v>94,64</c:v>
                  </c:pt>
                  <c:pt idx="8">
                    <c:v>67,23</c:v>
                  </c:pt>
                  <c:pt idx="9">
                    <c:v>94,09</c:v>
                  </c:pt>
                  <c:pt idx="10">
                    <c:v>77,74</c:v>
                  </c:pt>
                  <c:pt idx="11">
                    <c:v>91,29</c:v>
                  </c:pt>
                  <c:pt idx="12">
                    <c:v>102,72</c:v>
                  </c:pt>
                  <c:pt idx="14">
                    <c:v>87,74</c:v>
                  </c:pt>
                  <c:pt idx="16">
                    <c:v>108,17</c:v>
                  </c:pt>
                  <c:pt idx="18">
                    <c:v>127,84</c:v>
                  </c:pt>
                  <c:pt idx="19">
                    <c:v>91,63</c:v>
                  </c:pt>
                  <c:pt idx="20">
                    <c:v>82,33</c:v>
                  </c:pt>
                  <c:pt idx="21">
                    <c:v>99,79</c:v>
                  </c:pt>
                  <c:pt idx="22">
                    <c:v>85,30</c:v>
                  </c:pt>
                  <c:pt idx="24">
                    <c:v>100,82</c:v>
                  </c:pt>
                  <c:pt idx="25">
                    <c:v>79,58</c:v>
                  </c:pt>
                  <c:pt idx="26">
                    <c:v>78,67</c:v>
                  </c:pt>
                  <c:pt idx="27">
                    <c:v>91,10</c:v>
                  </c:pt>
                  <c:pt idx="28">
                    <c:v>95,97</c:v>
                  </c:pt>
                  <c:pt idx="29">
                    <c:v>95,97</c:v>
                  </c:pt>
                  <c:pt idx="30">
                    <c:v>101,31</c:v>
                  </c:pt>
                  <c:pt idx="31">
                    <c:v>67,10</c:v>
                  </c:pt>
                  <c:pt idx="32">
                    <c:v>73,94</c:v>
                  </c:pt>
                  <c:pt idx="36">
                    <c:v> 92 Unit</c:v>
                  </c:pt>
                </c:lvl>
                <c:lvl>
                  <c:pt idx="0">
                    <c:v>57,60</c:v>
                  </c:pt>
                  <c:pt idx="1">
                    <c:v>81,11</c:v>
                  </c:pt>
                  <c:pt idx="2">
                    <c:v>62,92</c:v>
                  </c:pt>
                  <c:pt idx="3">
                    <c:v>81,36</c:v>
                  </c:pt>
                  <c:pt idx="4">
                    <c:v>82,47</c:v>
                  </c:pt>
                  <c:pt idx="5">
                    <c:v>75,78</c:v>
                  </c:pt>
                  <c:pt idx="6">
                    <c:v>100,60</c:v>
                  </c:pt>
                  <c:pt idx="8">
                    <c:v>88,15</c:v>
                  </c:pt>
                  <c:pt idx="9">
                    <c:v>67,51</c:v>
                  </c:pt>
                  <c:pt idx="10">
                    <c:v>81,38</c:v>
                  </c:pt>
                  <c:pt idx="11">
                    <c:v>123,11</c:v>
                  </c:pt>
                  <c:pt idx="12">
                    <c:v>93,16</c:v>
                  </c:pt>
                  <c:pt idx="13">
                    <c:v>83,44</c:v>
                  </c:pt>
                  <c:pt idx="14">
                    <c:v>66,41</c:v>
                  </c:pt>
                  <c:pt idx="16">
                    <c:v>86,28</c:v>
                  </c:pt>
                  <c:pt idx="17">
                    <c:v>102,25</c:v>
                  </c:pt>
                  <c:pt idx="18">
                    <c:v>71,34</c:v>
                  </c:pt>
                  <c:pt idx="19">
                    <c:v>70,59</c:v>
                  </c:pt>
                  <c:pt idx="20">
                    <c:v>89,22</c:v>
                  </c:pt>
                  <c:pt idx="21">
                    <c:v>66,20</c:v>
                  </c:pt>
                  <c:pt idx="22">
                    <c:v>70,79</c:v>
                  </c:pt>
                  <c:pt idx="24">
                    <c:v>78,27</c:v>
                  </c:pt>
                  <c:pt idx="25">
                    <c:v>89,01</c:v>
                  </c:pt>
                  <c:pt idx="26">
                    <c:v>86,61</c:v>
                  </c:pt>
                  <c:pt idx="27">
                    <c:v>76,98</c:v>
                  </c:pt>
                  <c:pt idx="28">
                    <c:v>79,52</c:v>
                  </c:pt>
                  <c:pt idx="29">
                    <c:v>95,27</c:v>
                  </c:pt>
                  <c:pt idx="30">
                    <c:v>82,10</c:v>
                  </c:pt>
                  <c:pt idx="31">
                    <c:v>85,14</c:v>
                  </c:pt>
                  <c:pt idx="32">
                    <c:v>65,10</c:v>
                  </c:pt>
                  <c:pt idx="36">
                    <c:v>Total HT utk OPS</c:v>
                  </c:pt>
                </c:lvl>
                <c:lvl>
                  <c:pt idx="0">
                    <c:v>99,58</c:v>
                  </c:pt>
                  <c:pt idx="1">
                    <c:v>90,09</c:v>
                  </c:pt>
                  <c:pt idx="2">
                    <c:v>98,19</c:v>
                  </c:pt>
                  <c:pt idx="3">
                    <c:v>55,97</c:v>
                  </c:pt>
                  <c:pt idx="4">
                    <c:v>76,98</c:v>
                  </c:pt>
                  <c:pt idx="5">
                    <c:v>78,96</c:v>
                  </c:pt>
                  <c:pt idx="6">
                    <c:v>106,11</c:v>
                  </c:pt>
                  <c:pt idx="10">
                    <c:v>110,37</c:v>
                  </c:pt>
                  <c:pt idx="11">
                    <c:v>109,73</c:v>
                  </c:pt>
                  <c:pt idx="12">
                    <c:v>89,31</c:v>
                  </c:pt>
                  <c:pt idx="13">
                    <c:v>69,14</c:v>
                  </c:pt>
                  <c:pt idx="14">
                    <c:v>83,31</c:v>
                  </c:pt>
                  <c:pt idx="16">
                    <c:v>101,08</c:v>
                  </c:pt>
                  <c:pt idx="17">
                    <c:v>96,73</c:v>
                  </c:pt>
                  <c:pt idx="18">
                    <c:v>96,43</c:v>
                  </c:pt>
                  <c:pt idx="19">
                    <c:v>92,85</c:v>
                  </c:pt>
                  <c:pt idx="20">
                    <c:v>93,72</c:v>
                  </c:pt>
                  <c:pt idx="21">
                    <c:v>99,19</c:v>
                  </c:pt>
                  <c:pt idx="22">
                    <c:v>84,05</c:v>
                  </c:pt>
                  <c:pt idx="24">
                    <c:v>101,55</c:v>
                  </c:pt>
                  <c:pt idx="25">
                    <c:v>105,54</c:v>
                  </c:pt>
                  <c:pt idx="26">
                    <c:v>97,02</c:v>
                  </c:pt>
                  <c:pt idx="27">
                    <c:v>102,30</c:v>
                  </c:pt>
                  <c:pt idx="28">
                    <c:v>90,48</c:v>
                  </c:pt>
                  <c:pt idx="29">
                    <c:v>92,22</c:v>
                  </c:pt>
                  <c:pt idx="30">
                    <c:v>103,79</c:v>
                  </c:pt>
                  <c:pt idx="31">
                    <c:v>63,36</c:v>
                  </c:pt>
                  <c:pt idx="32">
                    <c:v>89,92</c:v>
                  </c:pt>
                </c:lvl>
                <c:lvl>
                  <c:pt idx="0">
                    <c:v>73,66</c:v>
                  </c:pt>
                  <c:pt idx="1">
                    <c:v>56,95</c:v>
                  </c:pt>
                  <c:pt idx="2">
                    <c:v>57,20</c:v>
                  </c:pt>
                  <c:pt idx="3">
                    <c:v>63,32</c:v>
                  </c:pt>
                  <c:pt idx="4">
                    <c:v>75,76</c:v>
                  </c:pt>
                  <c:pt idx="5">
                    <c:v>93,19</c:v>
                  </c:pt>
                  <c:pt idx="6">
                    <c:v>94,10</c:v>
                  </c:pt>
                  <c:pt idx="8">
                    <c:v>45,77</c:v>
                  </c:pt>
                  <c:pt idx="9">
                    <c:v>90,19</c:v>
                  </c:pt>
                  <c:pt idx="10">
                    <c:v>88,84</c:v>
                  </c:pt>
                  <c:pt idx="11">
                    <c:v>80,47</c:v>
                  </c:pt>
                  <c:pt idx="12">
                    <c:v>78,52</c:v>
                  </c:pt>
                  <c:pt idx="13">
                    <c:v>69,41</c:v>
                  </c:pt>
                  <c:pt idx="14">
                    <c:v>75,45</c:v>
                  </c:pt>
                  <c:pt idx="16">
                    <c:v>88,27</c:v>
                  </c:pt>
                  <c:pt idx="17">
                    <c:v>96,61</c:v>
                  </c:pt>
                  <c:pt idx="19">
                    <c:v>93,55</c:v>
                  </c:pt>
                  <c:pt idx="20">
                    <c:v>86,20</c:v>
                  </c:pt>
                  <c:pt idx="21">
                    <c:v>68,93</c:v>
                  </c:pt>
                  <c:pt idx="22">
                    <c:v>99,04</c:v>
                  </c:pt>
                  <c:pt idx="24">
                    <c:v>100,15</c:v>
                  </c:pt>
                  <c:pt idx="25">
                    <c:v>103,81</c:v>
                  </c:pt>
                  <c:pt idx="26">
                    <c:v>80,74</c:v>
                  </c:pt>
                  <c:pt idx="27">
                    <c:v>76,73</c:v>
                  </c:pt>
                  <c:pt idx="28">
                    <c:v>89,65</c:v>
                  </c:pt>
                  <c:pt idx="29">
                    <c:v>89,08</c:v>
                  </c:pt>
                  <c:pt idx="30">
                    <c:v>105,83</c:v>
                  </c:pt>
                  <c:pt idx="31">
                    <c:v>83,11</c:v>
                  </c:pt>
                  <c:pt idx="32">
                    <c:v>105,86</c:v>
                  </c:pt>
                  <c:pt idx="36">
                    <c:v> Total  24 Unit di Scrub</c:v>
                  </c:pt>
                </c:lvl>
                <c:lvl>
                  <c:pt idx="0">
                    <c:v>69,50</c:v>
                  </c:pt>
                  <c:pt idx="1">
                    <c:v>74,53</c:v>
                  </c:pt>
                  <c:pt idx="2">
                    <c:v>69,74</c:v>
                  </c:pt>
                  <c:pt idx="3">
                    <c:v>79,11</c:v>
                  </c:pt>
                  <c:pt idx="4">
                    <c:v>65,53</c:v>
                  </c:pt>
                  <c:pt idx="5">
                    <c:v>63,10</c:v>
                  </c:pt>
                  <c:pt idx="6">
                    <c:v>75,12</c:v>
                  </c:pt>
                  <c:pt idx="8">
                    <c:v>59,27</c:v>
                  </c:pt>
                  <c:pt idx="9">
                    <c:v>84,68</c:v>
                  </c:pt>
                  <c:pt idx="10">
                    <c:v>71,10</c:v>
                  </c:pt>
                  <c:pt idx="11">
                    <c:v>84,36</c:v>
                  </c:pt>
                  <c:pt idx="12">
                    <c:v>73,77</c:v>
                  </c:pt>
                  <c:pt idx="13">
                    <c:v>83,65</c:v>
                  </c:pt>
                  <c:pt idx="14">
                    <c:v>61,41</c:v>
                  </c:pt>
                  <c:pt idx="17">
                    <c:v>43,01</c:v>
                  </c:pt>
                  <c:pt idx="18">
                    <c:v>87,73</c:v>
                  </c:pt>
                  <c:pt idx="19">
                    <c:v>63,01</c:v>
                  </c:pt>
                  <c:pt idx="20">
                    <c:v>86,39</c:v>
                  </c:pt>
                  <c:pt idx="21">
                    <c:v>67,70</c:v>
                  </c:pt>
                  <c:pt idx="22">
                    <c:v>76,43</c:v>
                  </c:pt>
                  <c:pt idx="24">
                    <c:v>91,72</c:v>
                  </c:pt>
                  <c:pt idx="25">
                    <c:v>61,44</c:v>
                  </c:pt>
                  <c:pt idx="26">
                    <c:v>83,19</c:v>
                  </c:pt>
                  <c:pt idx="27">
                    <c:v>91,69</c:v>
                  </c:pt>
                  <c:pt idx="28">
                    <c:v>78,46</c:v>
                  </c:pt>
                  <c:pt idx="29">
                    <c:v>62,68</c:v>
                  </c:pt>
                  <c:pt idx="30">
                    <c:v>102,45</c:v>
                  </c:pt>
                  <c:pt idx="31">
                    <c:v>65,29</c:v>
                  </c:pt>
                  <c:pt idx="32">
                    <c:v>74,51</c:v>
                  </c:pt>
                </c:lvl>
                <c:lvl>
                  <c:pt idx="0">
                    <c:v>82,40</c:v>
                  </c:pt>
                  <c:pt idx="1">
                    <c:v>77,93</c:v>
                  </c:pt>
                  <c:pt idx="2">
                    <c:v>80,82</c:v>
                  </c:pt>
                  <c:pt idx="3">
                    <c:v>74,10</c:v>
                  </c:pt>
                  <c:pt idx="4">
                    <c:v>74,30</c:v>
                  </c:pt>
                  <c:pt idx="5">
                    <c:v>73,75</c:v>
                  </c:pt>
                  <c:pt idx="6">
                    <c:v>78,94</c:v>
                  </c:pt>
                  <c:pt idx="8">
                    <c:v>73,85</c:v>
                  </c:pt>
                  <c:pt idx="9">
                    <c:v>85,28</c:v>
                  </c:pt>
                  <c:pt idx="10">
                    <c:v>80,53</c:v>
                  </c:pt>
                  <c:pt idx="11">
                    <c:v>89,55</c:v>
                  </c:pt>
                  <c:pt idx="12">
                    <c:v>80,53</c:v>
                  </c:pt>
                  <c:pt idx="13">
                    <c:v>86,75</c:v>
                  </c:pt>
                  <c:pt idx="14">
                    <c:v>65,85</c:v>
                  </c:pt>
                  <c:pt idx="17">
                    <c:v>112,99</c:v>
                  </c:pt>
                  <c:pt idx="18">
                    <c:v>75,57</c:v>
                  </c:pt>
                  <c:pt idx="19">
                    <c:v>67,32</c:v>
                  </c:pt>
                  <c:pt idx="20">
                    <c:v>93,74</c:v>
                  </c:pt>
                  <c:pt idx="21">
                    <c:v>67,26</c:v>
                  </c:pt>
                  <c:pt idx="22">
                    <c:v>86,53</c:v>
                  </c:pt>
                  <c:pt idx="24">
                    <c:v>72,84</c:v>
                  </c:pt>
                  <c:pt idx="25">
                    <c:v>81,37</c:v>
                  </c:pt>
                  <c:pt idx="26">
                    <c:v>91,93</c:v>
                  </c:pt>
                  <c:pt idx="27">
                    <c:v>49,00</c:v>
                  </c:pt>
                  <c:pt idx="28">
                    <c:v>70,63</c:v>
                  </c:pt>
                  <c:pt idx="29">
                    <c:v>95,76</c:v>
                  </c:pt>
                  <c:pt idx="30">
                    <c:v>94,38</c:v>
                  </c:pt>
                  <c:pt idx="31">
                    <c:v>72,48</c:v>
                  </c:pt>
                  <c:pt idx="32">
                    <c:v>87,11</c:v>
                  </c:pt>
                  <c:pt idx="36">
                    <c:v>  106,107 . Lelang srcub</c:v>
                  </c:pt>
                </c:lvl>
                <c:lvl>
                  <c:pt idx="0">
                    <c:v>84,28</c:v>
                  </c:pt>
                  <c:pt idx="1">
                    <c:v>90,50</c:v>
                  </c:pt>
                  <c:pt idx="3">
                    <c:v>91,55</c:v>
                  </c:pt>
                  <c:pt idx="4">
                    <c:v>87,61</c:v>
                  </c:pt>
                  <c:pt idx="5">
                    <c:v>61,45</c:v>
                  </c:pt>
                  <c:pt idx="6">
                    <c:v>92,95</c:v>
                  </c:pt>
                  <c:pt idx="8">
                    <c:v>65,26</c:v>
                  </c:pt>
                  <c:pt idx="9">
                    <c:v>107,61</c:v>
                  </c:pt>
                  <c:pt idx="10">
                    <c:v>106,40</c:v>
                  </c:pt>
                  <c:pt idx="11">
                    <c:v>74,57</c:v>
                  </c:pt>
                  <c:pt idx="12">
                    <c:v>87,76</c:v>
                  </c:pt>
                  <c:pt idx="13">
                    <c:v>89,21</c:v>
                  </c:pt>
                  <c:pt idx="14">
                    <c:v>85,08</c:v>
                  </c:pt>
                  <c:pt idx="16">
                    <c:v>81,20</c:v>
                  </c:pt>
                  <c:pt idx="17">
                    <c:v>96,58</c:v>
                  </c:pt>
                  <c:pt idx="18">
                    <c:v>97,36</c:v>
                  </c:pt>
                  <c:pt idx="19">
                    <c:v>106,18</c:v>
                  </c:pt>
                  <c:pt idx="20">
                    <c:v>71,93</c:v>
                  </c:pt>
                  <c:pt idx="21">
                    <c:v>90,31</c:v>
                  </c:pt>
                  <c:pt idx="25">
                    <c:v>150,41</c:v>
                  </c:pt>
                  <c:pt idx="26">
                    <c:v>78,82</c:v>
                  </c:pt>
                  <c:pt idx="27">
                    <c:v>89,92</c:v>
                  </c:pt>
                  <c:pt idx="28">
                    <c:v>114,13</c:v>
                  </c:pt>
                  <c:pt idx="29">
                    <c:v>58,00</c:v>
                  </c:pt>
                  <c:pt idx="30">
                    <c:v>87,75</c:v>
                  </c:pt>
                  <c:pt idx="31">
                    <c:v>86,64</c:v>
                  </c:pt>
                  <c:pt idx="32">
                    <c:v>101,31</c:v>
                  </c:pt>
                  <c:pt idx="36">
                    <c:v>   99, 101. 102, 103, 105,</c:v>
                  </c:pt>
                </c:lvl>
                <c:lvl>
                  <c:pt idx="0">
                    <c:v>83,69</c:v>
                  </c:pt>
                  <c:pt idx="1">
                    <c:v>77,52</c:v>
                  </c:pt>
                  <c:pt idx="2">
                    <c:v>72,94</c:v>
                  </c:pt>
                  <c:pt idx="3">
                    <c:v>81,88</c:v>
                  </c:pt>
                  <c:pt idx="4">
                    <c:v>92,15</c:v>
                  </c:pt>
                  <c:pt idx="5">
                    <c:v>75,05</c:v>
                  </c:pt>
                  <c:pt idx="6">
                    <c:v>79,70</c:v>
                  </c:pt>
                  <c:pt idx="8">
                    <c:v>75,18</c:v>
                  </c:pt>
                  <c:pt idx="9">
                    <c:v>81,91</c:v>
                  </c:pt>
                  <c:pt idx="10">
                    <c:v>76,57</c:v>
                  </c:pt>
                  <c:pt idx="11">
                    <c:v>74,98</c:v>
                  </c:pt>
                  <c:pt idx="12">
                    <c:v>52,46</c:v>
                  </c:pt>
                  <c:pt idx="13">
                    <c:v>80,17</c:v>
                  </c:pt>
                  <c:pt idx="14">
                    <c:v>64,75</c:v>
                  </c:pt>
                  <c:pt idx="16">
                    <c:v>91,34</c:v>
                  </c:pt>
                  <c:pt idx="17">
                    <c:v>81,11</c:v>
                  </c:pt>
                  <c:pt idx="18">
                    <c:v>83,38</c:v>
                  </c:pt>
                  <c:pt idx="19">
                    <c:v>75,04</c:v>
                  </c:pt>
                  <c:pt idx="20">
                    <c:v>85,26</c:v>
                  </c:pt>
                  <c:pt idx="21">
                    <c:v>72,78</c:v>
                  </c:pt>
                  <c:pt idx="22">
                    <c:v>77,69</c:v>
                  </c:pt>
                  <c:pt idx="24">
                    <c:v>83,09</c:v>
                  </c:pt>
                  <c:pt idx="25">
                    <c:v>83,97</c:v>
                  </c:pt>
                  <c:pt idx="26">
                    <c:v>68,51</c:v>
                  </c:pt>
                  <c:pt idx="27">
                    <c:v>80,24</c:v>
                  </c:pt>
                  <c:pt idx="28">
                    <c:v>87,23</c:v>
                  </c:pt>
                  <c:pt idx="29">
                    <c:v>70,46</c:v>
                  </c:pt>
                  <c:pt idx="30">
                    <c:v>85,58</c:v>
                  </c:pt>
                  <c:pt idx="31">
                    <c:v>73,97</c:v>
                  </c:pt>
                  <c:pt idx="32">
                    <c:v>78,67</c:v>
                  </c:pt>
                  <c:pt idx="36">
                    <c:v>   89, 91, 92, 94, 96, 97,</c:v>
                  </c:pt>
                </c:lvl>
                <c:lvl>
                  <c:pt idx="0">
                    <c:v>97,85</c:v>
                  </c:pt>
                  <c:pt idx="1">
                    <c:v>96,28</c:v>
                  </c:pt>
                  <c:pt idx="2">
                    <c:v>85,24</c:v>
                  </c:pt>
                  <c:pt idx="3">
                    <c:v>84,06</c:v>
                  </c:pt>
                  <c:pt idx="4">
                    <c:v>46,22</c:v>
                  </c:pt>
                  <c:pt idx="5">
                    <c:v>54,70</c:v>
                  </c:pt>
                  <c:pt idx="6">
                    <c:v>88,00</c:v>
                  </c:pt>
                  <c:pt idx="8">
                    <c:v>73,47</c:v>
                  </c:pt>
                  <c:pt idx="9">
                    <c:v>95,05</c:v>
                  </c:pt>
                  <c:pt idx="10">
                    <c:v>86,32</c:v>
                  </c:pt>
                  <c:pt idx="11">
                    <c:v>94,94</c:v>
                  </c:pt>
                  <c:pt idx="12">
                    <c:v>84,38</c:v>
                  </c:pt>
                  <c:pt idx="13">
                    <c:v>78,04</c:v>
                  </c:pt>
                  <c:pt idx="14">
                    <c:v>77,99</c:v>
                  </c:pt>
                  <c:pt idx="16">
                    <c:v>74,51</c:v>
                  </c:pt>
                  <c:pt idx="17">
                    <c:v>90,88</c:v>
                  </c:pt>
                  <c:pt idx="18">
                    <c:v>86,13</c:v>
                  </c:pt>
                  <c:pt idx="19">
                    <c:v>87,62</c:v>
                  </c:pt>
                  <c:pt idx="20">
                    <c:v>104,7</c:v>
                  </c:pt>
                  <c:pt idx="21">
                    <c:v>75,89</c:v>
                  </c:pt>
                  <c:pt idx="22">
                    <c:v>81,94</c:v>
                  </c:pt>
                  <c:pt idx="24">
                    <c:v>87,49</c:v>
                  </c:pt>
                  <c:pt idx="25">
                    <c:v>112,00</c:v>
                  </c:pt>
                  <c:pt idx="26">
                    <c:v>87,68</c:v>
                  </c:pt>
                  <c:pt idx="27">
                    <c:v>93,70</c:v>
                  </c:pt>
                  <c:pt idx="28">
                    <c:v>73,55</c:v>
                  </c:pt>
                  <c:pt idx="29">
                    <c:v>57,28</c:v>
                  </c:pt>
                  <c:pt idx="30">
                    <c:v>103,70</c:v>
                  </c:pt>
                  <c:pt idx="31">
                    <c:v>89,39</c:v>
                  </c:pt>
                  <c:pt idx="32">
                    <c:v>83,15</c:v>
                  </c:pt>
                  <c:pt idx="36">
                    <c:v>   82, 84, 85, 86, 87, 88, </c:v>
                  </c:pt>
                </c:lvl>
                <c:lvl>
                  <c:pt idx="0">
                    <c:v>110,23</c:v>
                  </c:pt>
                  <c:pt idx="1">
                    <c:v>94,25</c:v>
                  </c:pt>
                  <c:pt idx="2">
                    <c:v>23,23</c:v>
                  </c:pt>
                  <c:pt idx="3">
                    <c:v>78,50</c:v>
                  </c:pt>
                  <c:pt idx="4">
                    <c:v>100,68</c:v>
                  </c:pt>
                  <c:pt idx="5">
                    <c:v>62,78</c:v>
                  </c:pt>
                  <c:pt idx="6">
                    <c:v>89,48</c:v>
                  </c:pt>
                  <c:pt idx="8">
                    <c:v>77,35</c:v>
                  </c:pt>
                  <c:pt idx="9">
                    <c:v>88,52</c:v>
                  </c:pt>
                  <c:pt idx="10">
                    <c:v>95,13</c:v>
                  </c:pt>
                  <c:pt idx="11">
                    <c:v>102,15</c:v>
                  </c:pt>
                  <c:pt idx="12">
                    <c:v>100,10</c:v>
                  </c:pt>
                  <c:pt idx="13">
                    <c:v>76,09</c:v>
                  </c:pt>
                  <c:pt idx="14">
                    <c:v>99,20</c:v>
                  </c:pt>
                  <c:pt idx="16">
                    <c:v>112,17</c:v>
                  </c:pt>
                  <c:pt idx="17">
                    <c:v>90,67</c:v>
                  </c:pt>
                  <c:pt idx="18">
                    <c:v>82,95</c:v>
                  </c:pt>
                  <c:pt idx="19">
                    <c:v>105,57</c:v>
                  </c:pt>
                  <c:pt idx="20">
                    <c:v>85,01</c:v>
                  </c:pt>
                  <c:pt idx="21">
                    <c:v>86,31</c:v>
                  </c:pt>
                  <c:pt idx="22">
                    <c:v>101,83</c:v>
                  </c:pt>
                  <c:pt idx="24">
                    <c:v>86,67</c:v>
                  </c:pt>
                  <c:pt idx="25">
                    <c:v>73,16</c:v>
                  </c:pt>
                  <c:pt idx="28">
                    <c:v>78,47</c:v>
                  </c:pt>
                  <c:pt idx="29">
                    <c:v>78,61</c:v>
                  </c:pt>
                  <c:pt idx="30">
                    <c:v>68,95</c:v>
                  </c:pt>
                  <c:pt idx="31">
                    <c:v>81,53</c:v>
                  </c:pt>
                  <c:pt idx="32">
                    <c:v>93,07</c:v>
                  </c:pt>
                  <c:pt idx="36">
                    <c:v>. HT 129, 130, 146, 160, </c:v>
                  </c:pt>
                </c:lvl>
                <c:lvl>
                  <c:pt idx="0">
                    <c:v>78,99</c:v>
                  </c:pt>
                  <c:pt idx="1">
                    <c:v>78,99</c:v>
                  </c:pt>
                  <c:pt idx="2">
                    <c:v>64,39</c:v>
                  </c:pt>
                  <c:pt idx="3">
                    <c:v>105,05</c:v>
                  </c:pt>
                  <c:pt idx="4">
                    <c:v>86,22</c:v>
                  </c:pt>
                  <c:pt idx="5">
                    <c:v>83,68</c:v>
                  </c:pt>
                  <c:pt idx="6">
                    <c:v>107,81</c:v>
                  </c:pt>
                  <c:pt idx="8">
                    <c:v>58,66</c:v>
                  </c:pt>
                  <c:pt idx="9">
                    <c:v>82,64</c:v>
                  </c:pt>
                  <c:pt idx="10">
                    <c:v>70,99</c:v>
                  </c:pt>
                  <c:pt idx="11">
                    <c:v>73,94</c:v>
                  </c:pt>
                  <c:pt idx="12">
                    <c:v>100,04</c:v>
                  </c:pt>
                  <c:pt idx="13">
                    <c:v>69,40</c:v>
                  </c:pt>
                  <c:pt idx="14">
                    <c:v>76,05</c:v>
                  </c:pt>
                  <c:pt idx="16">
                    <c:v>101,61</c:v>
                  </c:pt>
                  <c:pt idx="17">
                    <c:v>71,20</c:v>
                  </c:pt>
                  <c:pt idx="18">
                    <c:v>110,72</c:v>
                  </c:pt>
                  <c:pt idx="19">
                    <c:v>80,20</c:v>
                  </c:pt>
                  <c:pt idx="20">
                    <c:v>73,49</c:v>
                  </c:pt>
                  <c:pt idx="21">
                    <c:v>99,71</c:v>
                  </c:pt>
                  <c:pt idx="22">
                    <c:v>80,69</c:v>
                  </c:pt>
                  <c:pt idx="24">
                    <c:v>119,94</c:v>
                  </c:pt>
                  <c:pt idx="25">
                    <c:v>77,09</c:v>
                  </c:pt>
                  <c:pt idx="27">
                    <c:v>77,87</c:v>
                  </c:pt>
                  <c:pt idx="28">
                    <c:v>96,62</c:v>
                  </c:pt>
                  <c:pt idx="29">
                    <c:v>114,82</c:v>
                  </c:pt>
                  <c:pt idx="30">
                    <c:v>117,07</c:v>
                  </c:pt>
                  <c:pt idx="31">
                    <c:v>60,91</c:v>
                  </c:pt>
                  <c:pt idx="32">
                    <c:v>102,82</c:v>
                  </c:pt>
                  <c:pt idx="36">
                    <c:v>  Hasil dilapangan</c:v>
                  </c:pt>
                </c:lvl>
                <c:lvl>
                  <c:pt idx="0">
                    <c:v>89,25</c:v>
                  </c:pt>
                  <c:pt idx="2">
                    <c:v>147,51</c:v>
                  </c:pt>
                  <c:pt idx="3">
                    <c:v>70,92</c:v>
                  </c:pt>
                  <c:pt idx="4">
                    <c:v>83,18</c:v>
                  </c:pt>
                  <c:pt idx="5">
                    <c:v>63,87</c:v>
                  </c:pt>
                  <c:pt idx="6">
                    <c:v>93,92</c:v>
                  </c:pt>
                  <c:pt idx="8">
                    <c:v>62,43</c:v>
                  </c:pt>
                  <c:pt idx="9">
                    <c:v>75,35</c:v>
                  </c:pt>
                  <c:pt idx="10">
                    <c:v>60,60</c:v>
                  </c:pt>
                  <c:pt idx="11">
                    <c:v>86,53</c:v>
                  </c:pt>
                  <c:pt idx="12">
                    <c:v>72,29</c:v>
                  </c:pt>
                  <c:pt idx="13">
                    <c:v>98,38</c:v>
                  </c:pt>
                  <c:pt idx="14">
                    <c:v>76,53</c:v>
                  </c:pt>
                  <c:pt idx="16">
                    <c:v>95,59</c:v>
                  </c:pt>
                  <c:pt idx="17">
                    <c:v>89,32</c:v>
                  </c:pt>
                  <c:pt idx="18">
                    <c:v>63,84</c:v>
                  </c:pt>
                  <c:pt idx="19">
                    <c:v>72,22</c:v>
                  </c:pt>
                  <c:pt idx="20">
                    <c:v>70,61</c:v>
                  </c:pt>
                  <c:pt idx="21">
                    <c:v>68,91</c:v>
                  </c:pt>
                  <c:pt idx="22">
                    <c:v>79,68</c:v>
                  </c:pt>
                  <c:pt idx="24">
                    <c:v>88,22</c:v>
                  </c:pt>
                  <c:pt idx="25">
                    <c:v>85,66</c:v>
                  </c:pt>
                  <c:pt idx="26">
                    <c:v>73,84</c:v>
                  </c:pt>
                  <c:pt idx="27">
                    <c:v>80,03</c:v>
                  </c:pt>
                  <c:pt idx="29">
                    <c:v>84,78</c:v>
                  </c:pt>
                  <c:pt idx="30">
                    <c:v>92,75</c:v>
                  </c:pt>
                  <c:pt idx="31">
                    <c:v>60,81</c:v>
                  </c:pt>
                  <c:pt idx="32">
                    <c:v>81,08</c:v>
                  </c:pt>
                </c:lvl>
                <c:lvl>
                  <c:pt idx="0">
                    <c:v>65,89</c:v>
                  </c:pt>
                  <c:pt idx="1">
                    <c:v>69,72</c:v>
                  </c:pt>
                  <c:pt idx="2">
                    <c:v>66,68</c:v>
                  </c:pt>
                  <c:pt idx="3">
                    <c:v>72,75</c:v>
                  </c:pt>
                  <c:pt idx="4">
                    <c:v>62,51</c:v>
                  </c:pt>
                  <c:pt idx="5">
                    <c:v>70,32</c:v>
                  </c:pt>
                  <c:pt idx="6">
                    <c:v>83,78</c:v>
                  </c:pt>
                  <c:pt idx="8">
                    <c:v>77,62</c:v>
                  </c:pt>
                  <c:pt idx="9">
                    <c:v>56,13</c:v>
                  </c:pt>
                  <c:pt idx="10">
                    <c:v>66,98</c:v>
                  </c:pt>
                  <c:pt idx="11">
                    <c:v>88,02</c:v>
                  </c:pt>
                  <c:pt idx="12">
                    <c:v>66,37</c:v>
                  </c:pt>
                  <c:pt idx="13">
                    <c:v>77,99</c:v>
                  </c:pt>
                  <c:pt idx="14">
                    <c:v>75,30</c:v>
                  </c:pt>
                  <c:pt idx="16">
                    <c:v>79,73</c:v>
                  </c:pt>
                  <c:pt idx="17">
                    <c:v>85,07</c:v>
                  </c:pt>
                  <c:pt idx="18">
                    <c:v>66,10</c:v>
                  </c:pt>
                  <c:pt idx="19">
                    <c:v>81,97</c:v>
                  </c:pt>
                  <c:pt idx="20">
                    <c:v>63,24</c:v>
                  </c:pt>
                  <c:pt idx="21">
                    <c:v>82,97</c:v>
                  </c:pt>
                  <c:pt idx="22">
                    <c:v>77,09</c:v>
                  </c:pt>
                  <c:pt idx="24">
                    <c:v>91,75</c:v>
                  </c:pt>
                  <c:pt idx="25">
                    <c:v>79,79</c:v>
                  </c:pt>
                  <c:pt idx="26">
                    <c:v>92,49</c:v>
                  </c:pt>
                  <c:pt idx="27">
                    <c:v>73,46</c:v>
                  </c:pt>
                  <c:pt idx="28">
                    <c:v>108,49</c:v>
                  </c:pt>
                  <c:pt idx="29">
                    <c:v>103,14</c:v>
                  </c:pt>
                  <c:pt idx="30">
                    <c:v>92,46</c:v>
                  </c:pt>
                  <c:pt idx="31">
                    <c:v>48,62</c:v>
                  </c:pt>
                  <c:pt idx="32">
                    <c:v>88,27</c:v>
                  </c:pt>
                  <c:pt idx="36">
                    <c:v>. HT 118 Utk Behandle</c:v>
                  </c:pt>
                </c:lvl>
                <c:lvl>
                  <c:pt idx="0">
                    <c:v>79,17</c:v>
                  </c:pt>
                  <c:pt idx="1">
                    <c:v>78,64</c:v>
                  </c:pt>
                  <c:pt idx="2">
                    <c:v>84,42</c:v>
                  </c:pt>
                  <c:pt idx="3">
                    <c:v>83,47</c:v>
                  </c:pt>
                  <c:pt idx="4">
                    <c:v>74,39</c:v>
                  </c:pt>
                  <c:pt idx="5">
                    <c:v>80,96</c:v>
                  </c:pt>
                  <c:pt idx="6">
                    <c:v>97,68</c:v>
                  </c:pt>
                  <c:pt idx="8">
                    <c:v>64,03</c:v>
                  </c:pt>
                  <c:pt idx="9">
                    <c:v>75,57</c:v>
                  </c:pt>
                  <c:pt idx="10">
                    <c:v>82,89</c:v>
                  </c:pt>
                  <c:pt idx="11">
                    <c:v>92,25</c:v>
                  </c:pt>
                  <c:pt idx="12">
                    <c:v>78,67</c:v>
                  </c:pt>
                  <c:pt idx="13">
                    <c:v>79,34</c:v>
                  </c:pt>
                  <c:pt idx="14">
                    <c:v>94,82</c:v>
                  </c:pt>
                  <c:pt idx="16">
                    <c:v>89,03</c:v>
                  </c:pt>
                  <c:pt idx="17">
                    <c:v>101,35</c:v>
                  </c:pt>
                  <c:pt idx="18">
                    <c:v>104,65</c:v>
                  </c:pt>
                  <c:pt idx="19">
                    <c:v>80,21</c:v>
                  </c:pt>
                  <c:pt idx="20">
                    <c:v>88,76</c:v>
                  </c:pt>
                  <c:pt idx="25">
                    <c:v>71,13</c:v>
                  </c:pt>
                  <c:pt idx="26">
                    <c:v>89,84</c:v>
                  </c:pt>
                  <c:pt idx="27">
                    <c:v>73,14</c:v>
                  </c:pt>
                  <c:pt idx="28">
                    <c:v>90,30</c:v>
                  </c:pt>
                  <c:pt idx="29">
                    <c:v>72,16</c:v>
                  </c:pt>
                  <c:pt idx="30">
                    <c:v>88,83</c:v>
                  </c:pt>
                  <c:pt idx="31">
                    <c:v>80,41</c:v>
                  </c:pt>
                  <c:pt idx="32">
                    <c:v>92,42</c:v>
                  </c:pt>
                  <c:pt idx="36">
                    <c:v>. HT 23 Utk Alban BM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8">
                    <c:v>137,32</c:v>
                  </c:pt>
                  <c:pt idx="34">
                    <c:v>PM</c:v>
                  </c:pt>
                  <c:pt idx="36">
                    <c:v>Khusus HT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Full tanki BBM Solar</c:v>
                  </c:pt>
                </c:lvl>
                <c:lvl>
                  <c:pt idx="0">
                    <c:v>109,42</c:v>
                  </c:pt>
                  <c:pt idx="1">
                    <c:v>91,66</c:v>
                  </c:pt>
                  <c:pt idx="2">
                    <c:v>70,13</c:v>
                  </c:pt>
                  <c:pt idx="3">
                    <c:v>103,25</c:v>
                  </c:pt>
                  <c:pt idx="4">
                    <c:v>71,80</c:v>
                  </c:pt>
                  <c:pt idx="5">
                    <c:v>109,43</c:v>
                  </c:pt>
                  <c:pt idx="6">
                    <c:v>107,39</c:v>
                  </c:pt>
                  <c:pt idx="10">
                    <c:v>68,32</c:v>
                  </c:pt>
                  <c:pt idx="11">
                    <c:v>106,23</c:v>
                  </c:pt>
                  <c:pt idx="12">
                    <c:v>25,76</c:v>
                  </c:pt>
                  <c:pt idx="13">
                    <c:v>84,46</c:v>
                  </c:pt>
                  <c:pt idx="14">
                    <c:v>88,00</c:v>
                  </c:pt>
                  <c:pt idx="16">
                    <c:v>136,40</c:v>
                  </c:pt>
                  <c:pt idx="17">
                    <c:v>98,86</c:v>
                  </c:pt>
                  <c:pt idx="18">
                    <c:v>103,51</c:v>
                  </c:pt>
                  <c:pt idx="19">
                    <c:v>103,58</c:v>
                  </c:pt>
                  <c:pt idx="20">
                    <c:v>100,03</c:v>
                  </c:pt>
                  <c:pt idx="21">
                    <c:v>98,34</c:v>
                  </c:pt>
                  <c:pt idx="22">
                    <c:v>50,88</c:v>
                  </c:pt>
                  <c:pt idx="24">
                    <c:v>93,57</c:v>
                  </c:pt>
                  <c:pt idx="25">
                    <c:v>72,39</c:v>
                  </c:pt>
                  <c:pt idx="26">
                    <c:v>89,62</c:v>
                  </c:pt>
                  <c:pt idx="27">
                    <c:v>109,66</c:v>
                  </c:pt>
                  <c:pt idx="28">
                    <c:v>99,85</c:v>
                  </c:pt>
                  <c:pt idx="30">
                    <c:v>88,28</c:v>
                  </c:pt>
                  <c:pt idx="31">
                    <c:v>77,64</c:v>
                  </c:pt>
                  <c:pt idx="32">
                    <c:v>134,47</c:v>
                  </c:pt>
                  <c:pt idx="36">
                    <c:v>semua Uni HT diisi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Tgl 14 Desember '25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83 - 104, 230 Liter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23, 230 Liter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  <c:lvl>
                  <c:pt idx="0">
                    <c:v>39.18.11</c:v>
                  </c:pt>
                  <c:pt idx="1">
                    <c:v>36.16.11</c:v>
                  </c:pt>
                  <c:pt idx="2">
                    <c:v>39.13.11</c:v>
                  </c:pt>
                  <c:pt idx="3">
                    <c:v>41.11.11</c:v>
                  </c:pt>
                  <c:pt idx="4">
                    <c:v>36.16.11</c:v>
                  </c:pt>
                  <c:pt idx="5">
                    <c:v>38.14.11</c:v>
                  </c:pt>
                  <c:pt idx="6">
                    <c:v>37.15.11</c:v>
                  </c:pt>
                  <c:pt idx="8">
                    <c:v>36.16.11</c:v>
                  </c:pt>
                  <c:pt idx="9">
                    <c:v>36.16.11</c:v>
                  </c:pt>
                  <c:pt idx="10">
                    <c:v>38.14.11</c:v>
                  </c:pt>
                  <c:pt idx="11">
                    <c:v>38.14.11</c:v>
                  </c:pt>
                  <c:pt idx="12">
                    <c:v>38.14.11</c:v>
                  </c:pt>
                  <c:pt idx="13">
                    <c:v>36.16.11</c:v>
                  </c:pt>
                  <c:pt idx="14">
                    <c:v>38.14.11</c:v>
                  </c:pt>
                  <c:pt idx="16">
                    <c:v>39.13.11</c:v>
                  </c:pt>
                  <c:pt idx="17">
                    <c:v>35.17.11</c:v>
                  </c:pt>
                  <c:pt idx="18">
                    <c:v>37.15.11</c:v>
                  </c:pt>
                  <c:pt idx="19">
                    <c:v>37.15.11</c:v>
                  </c:pt>
                  <c:pt idx="20">
                    <c:v>38.14.11</c:v>
                  </c:pt>
                  <c:pt idx="21">
                    <c:v>36.16.11</c:v>
                  </c:pt>
                  <c:pt idx="22">
                    <c:v>39.13.11</c:v>
                  </c:pt>
                  <c:pt idx="24">
                    <c:v>38.14.11</c:v>
                  </c:pt>
                  <c:pt idx="25">
                    <c:v>36.16.11</c:v>
                  </c:pt>
                  <c:pt idx="26">
                    <c:v>37.15.11</c:v>
                  </c:pt>
                  <c:pt idx="27">
                    <c:v>38.14.11</c:v>
                  </c:pt>
                  <c:pt idx="28">
                    <c:v>39.13.11</c:v>
                  </c:pt>
                  <c:pt idx="29">
                    <c:v>39.13.11</c:v>
                  </c:pt>
                  <c:pt idx="30">
                    <c:v>39.13.11</c:v>
                  </c:pt>
                  <c:pt idx="31">
                    <c:v>36.16.11</c:v>
                  </c:pt>
                  <c:pt idx="32">
                    <c:v>39.13.11</c:v>
                  </c:pt>
                </c:lvl>
                <c:lvl>
                  <c:pt idx="0">
                    <c:v>9895,89</c:v>
                  </c:pt>
                  <c:pt idx="1">
                    <c:v>9964,69</c:v>
                  </c:pt>
                  <c:pt idx="2">
                    <c:v>12307,57</c:v>
                  </c:pt>
                  <c:pt idx="3">
                    <c:v>12254,61</c:v>
                  </c:pt>
                  <c:pt idx="4">
                    <c:v>11498,34</c:v>
                  </c:pt>
                  <c:pt idx="5">
                    <c:v>13113,87</c:v>
                  </c:pt>
                  <c:pt idx="6">
                    <c:v>11218,15</c:v>
                  </c:pt>
                  <c:pt idx="7">
                    <c:v>80253,12</c:v>
                  </c:pt>
                  <c:pt idx="8">
                    <c:v>9399,98</c:v>
                  </c:pt>
                  <c:pt idx="9">
                    <c:v>9968,22</c:v>
                  </c:pt>
                  <c:pt idx="10">
                    <c:v>12174,80</c:v>
                  </c:pt>
                  <c:pt idx="11">
                    <c:v>11162,21</c:v>
                  </c:pt>
                  <c:pt idx="12">
                    <c:v>10601,86</c:v>
                  </c:pt>
                  <c:pt idx="13">
                    <c:v>10912,59</c:v>
                  </c:pt>
                  <c:pt idx="14">
                    <c:v>12360,61</c:v>
                  </c:pt>
                  <c:pt idx="15">
                    <c:v>76580,27</c:v>
                  </c:pt>
                  <c:pt idx="16">
                    <c:v>10272,45</c:v>
                  </c:pt>
                  <c:pt idx="17">
                    <c:v>9894,73</c:v>
                  </c:pt>
                  <c:pt idx="18">
                    <c:v>11561,29</c:v>
                  </c:pt>
                  <c:pt idx="19">
                    <c:v>10410,12</c:v>
                  </c:pt>
                  <c:pt idx="20">
                    <c:v>12458,33</c:v>
                  </c:pt>
                  <c:pt idx="21">
                    <c:v>11463,59</c:v>
                  </c:pt>
                  <c:pt idx="22">
                    <c:v>13208,32</c:v>
                  </c:pt>
                  <c:pt idx="23">
                    <c:v>79268,83</c:v>
                  </c:pt>
                  <c:pt idx="24">
                    <c:v>12417,02</c:v>
                  </c:pt>
                  <c:pt idx="25">
                    <c:v>11331,55</c:v>
                  </c:pt>
                  <c:pt idx="26">
                    <c:v>11398,18</c:v>
                  </c:pt>
                  <c:pt idx="27">
                    <c:v>11498,11</c:v>
                  </c:pt>
                  <c:pt idx="28">
                    <c:v>13013,03</c:v>
                  </c:pt>
                  <c:pt idx="29">
                    <c:v>11538,36</c:v>
                  </c:pt>
                  <c:pt idx="30">
                    <c:v>11894,62</c:v>
                  </c:pt>
                  <c:pt idx="31">
                    <c:v>10027,87</c:v>
                  </c:pt>
                  <c:pt idx="32">
                    <c:v>12099,92</c:v>
                  </c:pt>
                  <c:pt idx="34">
                    <c:v>105218,66</c:v>
                  </c:pt>
                  <c:pt idx="35">
                    <c:v>341320,88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202,24</c:v>
                  </c:pt>
                  <c:pt idx="1">
                    <c:v>199,91</c:v>
                  </c:pt>
                  <c:pt idx="2">
                    <c:v>250,86</c:v>
                  </c:pt>
                  <c:pt idx="3">
                    <c:v>250,30</c:v>
                  </c:pt>
                  <c:pt idx="4">
                    <c:v>251,22</c:v>
                  </c:pt>
                  <c:pt idx="5">
                    <c:v>300,21</c:v>
                  </c:pt>
                  <c:pt idx="6">
                    <c:v>200,48</c:v>
                  </c:pt>
                  <c:pt idx="8">
                    <c:v>200,31</c:v>
                  </c:pt>
                  <c:pt idx="9">
                    <c:v>200,20</c:v>
                  </c:pt>
                  <c:pt idx="10">
                    <c:v>300,21</c:v>
                  </c:pt>
                  <c:pt idx="11">
                    <c:v>200,18</c:v>
                  </c:pt>
                  <c:pt idx="12">
                    <c:v>250,14</c:v>
                  </c:pt>
                  <c:pt idx="13">
                    <c:v>137,68</c:v>
                  </c:pt>
                  <c:pt idx="14">
                    <c:v>300,36</c:v>
                  </c:pt>
                  <c:pt idx="16">
                    <c:v>200,58</c:v>
                  </c:pt>
                  <c:pt idx="17">
                    <c:v>250,31</c:v>
                  </c:pt>
                  <c:pt idx="18">
                    <c:v>199,75</c:v>
                  </c:pt>
                  <c:pt idx="19">
                    <c:v>200,53</c:v>
                  </c:pt>
                  <c:pt idx="20">
                    <c:v>250,48</c:v>
                  </c:pt>
                  <c:pt idx="21">
                    <c:v>299,85</c:v>
                  </c:pt>
                  <c:pt idx="22">
                    <c:v>451,65</c:v>
                  </c:pt>
                  <c:pt idx="24">
                    <c:v>300,19</c:v>
                  </c:pt>
                  <c:pt idx="25">
                    <c:v>200,76</c:v>
                  </c:pt>
                  <c:pt idx="26">
                    <c:v>250,72</c:v>
                  </c:pt>
                  <c:pt idx="27">
                    <c:v>200,51</c:v>
                  </c:pt>
                  <c:pt idx="28">
                    <c:v>250,43</c:v>
                  </c:pt>
                  <c:pt idx="29">
                    <c:v>200,42</c:v>
                  </c:pt>
                  <c:pt idx="30">
                    <c:v>200,33</c:v>
                  </c:pt>
                  <c:pt idx="31">
                    <c:v>200,13</c:v>
                  </c:pt>
                  <c:pt idx="32">
                    <c:v>200,25</c:v>
                  </c:pt>
                  <c:pt idx="35">
                    <c:v>105218,66</c:v>
                  </c:pt>
                </c:lvl>
                <c:lvl>
                  <c:pt idx="0">
                    <c:v>250,12</c:v>
                  </c:pt>
                  <c:pt idx="1">
                    <c:v>200,09</c:v>
                  </c:pt>
                  <c:pt idx="2">
                    <c:v>200,03</c:v>
                  </c:pt>
                  <c:pt idx="3">
                    <c:v>199,84</c:v>
                  </c:pt>
                  <c:pt idx="4">
                    <c:v>247,99</c:v>
                  </c:pt>
                  <c:pt idx="5">
                    <c:v>199,95</c:v>
                  </c:pt>
                  <c:pt idx="6">
                    <c:v>200,62</c:v>
                  </c:pt>
                  <c:pt idx="8">
                    <c:v>250,28</c:v>
                  </c:pt>
                  <c:pt idx="9">
                    <c:v>300,23</c:v>
                  </c:pt>
                  <c:pt idx="10">
                    <c:v>250,55</c:v>
                  </c:pt>
                  <c:pt idx="11">
                    <c:v>254,25</c:v>
                  </c:pt>
                  <c:pt idx="12">
                    <c:v>200,19</c:v>
                  </c:pt>
                  <c:pt idx="13">
                    <c:v>250,45</c:v>
                  </c:pt>
                  <c:pt idx="14">
                    <c:v>300,00</c:v>
                  </c:pt>
                  <c:pt idx="16">
                    <c:v>249,97</c:v>
                  </c:pt>
                  <c:pt idx="17">
                    <c:v>200,17</c:v>
                  </c:pt>
                  <c:pt idx="18">
                    <c:v>300,24</c:v>
                  </c:pt>
                  <c:pt idx="19">
                    <c:v>200,16</c:v>
                  </c:pt>
                  <c:pt idx="20">
                    <c:v>300,77</c:v>
                  </c:pt>
                  <c:pt idx="21">
                    <c:v>250,56</c:v>
                  </c:pt>
                  <c:pt idx="22">
                    <c:v>250,95</c:v>
                  </c:pt>
                  <c:pt idx="24">
                    <c:v>200,57</c:v>
                  </c:pt>
                  <c:pt idx="25">
                    <c:v>200,48</c:v>
                  </c:pt>
                  <c:pt idx="26">
                    <c:v>199,99</c:v>
                  </c:pt>
                  <c:pt idx="27">
                    <c:v>200,18</c:v>
                  </c:pt>
                  <c:pt idx="28">
                    <c:v>250,38</c:v>
                  </c:pt>
                  <c:pt idx="29">
                    <c:v>300,01</c:v>
                  </c:pt>
                  <c:pt idx="30">
                    <c:v>200,35</c:v>
                  </c:pt>
                  <c:pt idx="31">
                    <c:v>200,21</c:v>
                  </c:pt>
                  <c:pt idx="32">
                    <c:v>251,63</c:v>
                  </c:pt>
                  <c:pt idx="35">
                    <c:v>79268,83</c:v>
                  </c:pt>
                </c:lvl>
                <c:lvl>
                  <c:pt idx="0">
                    <c:v>321,22</c:v>
                  </c:pt>
                  <c:pt idx="1">
                    <c:v>150,02</c:v>
                  </c:pt>
                  <c:pt idx="2">
                    <c:v>201,08</c:v>
                  </c:pt>
                  <c:pt idx="3">
                    <c:v>250,28</c:v>
                  </c:pt>
                  <c:pt idx="4">
                    <c:v>250,85</c:v>
                  </c:pt>
                  <c:pt idx="5">
                    <c:v>300,04</c:v>
                  </c:pt>
                  <c:pt idx="6">
                    <c:v>200,64</c:v>
                  </c:pt>
                  <c:pt idx="8">
                    <c:v>200,65</c:v>
                  </c:pt>
                  <c:pt idx="9">
                    <c:v>250,15</c:v>
                  </c:pt>
                  <c:pt idx="10">
                    <c:v>300,36</c:v>
                  </c:pt>
                  <c:pt idx="11">
                    <c:v>200,26</c:v>
                  </c:pt>
                  <c:pt idx="12">
                    <c:v>250,35</c:v>
                  </c:pt>
                  <c:pt idx="13">
                    <c:v>200,41</c:v>
                  </c:pt>
                  <c:pt idx="14">
                    <c:v>350,57</c:v>
                  </c:pt>
                  <c:pt idx="16">
                    <c:v>200,28</c:v>
                  </c:pt>
                  <c:pt idx="17">
                    <c:v>250,27</c:v>
                  </c:pt>
                  <c:pt idx="18">
                    <c:v>250,01</c:v>
                  </c:pt>
                  <c:pt idx="19">
                    <c:v>250,31</c:v>
                  </c:pt>
                  <c:pt idx="20">
                    <c:v>250,28</c:v>
                  </c:pt>
                  <c:pt idx="21">
                    <c:v>200,65</c:v>
                  </c:pt>
                  <c:pt idx="22">
                    <c:v>200,14</c:v>
                  </c:pt>
                  <c:pt idx="24">
                    <c:v>300,34</c:v>
                  </c:pt>
                  <c:pt idx="25">
                    <c:v>203,09</c:v>
                  </c:pt>
                  <c:pt idx="26">
                    <c:v>299,90</c:v>
                  </c:pt>
                  <c:pt idx="27">
                    <c:v>250,34</c:v>
                  </c:pt>
                  <c:pt idx="28">
                    <c:v>250,47</c:v>
                  </c:pt>
                  <c:pt idx="29">
                    <c:v>250,94</c:v>
                  </c:pt>
                  <c:pt idx="30">
                    <c:v>350,33</c:v>
                  </c:pt>
                  <c:pt idx="31">
                    <c:v>300,30</c:v>
                  </c:pt>
                  <c:pt idx="32">
                    <c:v>250,16</c:v>
                  </c:pt>
                  <c:pt idx="35">
                    <c:v>76580,27</c:v>
                  </c:pt>
                </c:lvl>
                <c:lvl>
                  <c:pt idx="0">
                    <c:v>250,23</c:v>
                  </c:pt>
                  <c:pt idx="1">
                    <c:v>200,98</c:v>
                  </c:pt>
                  <c:pt idx="2">
                    <c:v>250,49</c:v>
                  </c:pt>
                  <c:pt idx="3">
                    <c:v>200,90</c:v>
                  </c:pt>
                  <c:pt idx="4">
                    <c:v>147,13</c:v>
                  </c:pt>
                  <c:pt idx="5">
                    <c:v>299,70</c:v>
                  </c:pt>
                  <c:pt idx="6">
                    <c:v>200,40</c:v>
                  </c:pt>
                  <c:pt idx="8">
                    <c:v>200,24</c:v>
                  </c:pt>
                  <c:pt idx="9">
                    <c:v>250,18</c:v>
                  </c:pt>
                  <c:pt idx="10">
                    <c:v>249,98</c:v>
                  </c:pt>
                  <c:pt idx="11">
                    <c:v>200,30</c:v>
                  </c:pt>
                  <c:pt idx="12">
                    <c:v>200,27</c:v>
                  </c:pt>
                  <c:pt idx="13">
                    <c:v>199,60</c:v>
                  </c:pt>
                  <c:pt idx="14">
                    <c:v>250,89</c:v>
                  </c:pt>
                  <c:pt idx="16">
                    <c:v>250,24</c:v>
                  </c:pt>
                  <c:pt idx="17">
                    <c:v>250,15</c:v>
                  </c:pt>
                  <c:pt idx="18">
                    <c:v>201,15</c:v>
                  </c:pt>
                  <c:pt idx="19">
                    <c:v>200,39</c:v>
                  </c:pt>
                  <c:pt idx="20">
                    <c:v>200,49</c:v>
                  </c:pt>
                  <c:pt idx="21">
                    <c:v>250,22</c:v>
                  </c:pt>
                  <c:pt idx="22">
                    <c:v>200,05</c:v>
                  </c:pt>
                  <c:pt idx="24">
                    <c:v>250,44</c:v>
                  </c:pt>
                  <c:pt idx="25">
                    <c:v>249,88</c:v>
                  </c:pt>
                  <c:pt idx="26">
                    <c:v>235,46</c:v>
                  </c:pt>
                  <c:pt idx="27">
                    <c:v>200,59</c:v>
                  </c:pt>
                  <c:pt idx="28">
                    <c:v>250,55</c:v>
                  </c:pt>
                  <c:pt idx="29">
                    <c:v>250,50</c:v>
                  </c:pt>
                  <c:pt idx="30">
                    <c:v>300,13</c:v>
                  </c:pt>
                  <c:pt idx="31">
                    <c:v>199,73</c:v>
                  </c:pt>
                  <c:pt idx="32">
                    <c:v>250,52</c:v>
                  </c:pt>
                  <c:pt idx="35">
                    <c:v>80253,12</c:v>
                  </c:pt>
                </c:lvl>
                <c:lvl>
                  <c:pt idx="0">
                    <c:v>150,16</c:v>
                  </c:pt>
                  <c:pt idx="1">
                    <c:v>99,82</c:v>
                  </c:pt>
                  <c:pt idx="2">
                    <c:v>146,00</c:v>
                  </c:pt>
                  <c:pt idx="3">
                    <c:v>100,63</c:v>
                  </c:pt>
                  <c:pt idx="4">
                    <c:v>FULL</c:v>
                  </c:pt>
                  <c:pt idx="5">
                    <c:v>199,68</c:v>
                  </c:pt>
                  <c:pt idx="6">
                    <c:v>200,35</c:v>
                  </c:pt>
                  <c:pt idx="8">
                    <c:v>250,31</c:v>
                  </c:pt>
                  <c:pt idx="9">
                    <c:v>200,22</c:v>
                  </c:pt>
                  <c:pt idx="10">
                    <c:v>200,19</c:v>
                  </c:pt>
                  <c:pt idx="11">
                    <c:v>250,56</c:v>
                  </c:pt>
                  <c:pt idx="12">
                    <c:v>200,27</c:v>
                  </c:pt>
                  <c:pt idx="13">
                    <c:v>201,22</c:v>
                  </c:pt>
                  <c:pt idx="14">
                    <c:v>250,70</c:v>
                  </c:pt>
                  <c:pt idx="16">
                    <c:v>200,39</c:v>
                  </c:pt>
                  <c:pt idx="17">
                    <c:v>200,48</c:v>
                  </c:pt>
                  <c:pt idx="18">
                    <c:v>249,98</c:v>
                  </c:pt>
                  <c:pt idx="19">
                    <c:v>200,20</c:v>
                  </c:pt>
                  <c:pt idx="20">
                    <c:v>250,12</c:v>
                  </c:pt>
                  <c:pt idx="21">
                    <c:v>250,24</c:v>
                  </c:pt>
                  <c:pt idx="22">
                    <c:v>250,95</c:v>
                  </c:pt>
                  <c:pt idx="24">
                    <c:v>250,37</c:v>
                  </c:pt>
                  <c:pt idx="25">
                    <c:v>199,71</c:v>
                  </c:pt>
                  <c:pt idx="26">
                    <c:v>200,43</c:v>
                  </c:pt>
                  <c:pt idx="27">
                    <c:v>201,39</c:v>
                  </c:pt>
                  <c:pt idx="28">
                    <c:v>250,03</c:v>
                  </c:pt>
                  <c:pt idx="29">
                    <c:v>250,80</c:v>
                  </c:pt>
                  <c:pt idx="30">
                    <c:v>200,15</c:v>
                  </c:pt>
                  <c:pt idx="31">
                    <c:v>250,14</c:v>
                  </c:pt>
                  <c:pt idx="32">
                    <c:v>301,03</c:v>
                  </c:pt>
                </c:lvl>
                <c:lvl>
                  <c:pt idx="0">
                    <c:v>254,05</c:v>
                  </c:pt>
                  <c:pt idx="1">
                    <c:v>250,44</c:v>
                  </c:pt>
                  <c:pt idx="2">
                    <c:v>299,86</c:v>
                  </c:pt>
                  <c:pt idx="3">
                    <c:v>250,79</c:v>
                  </c:pt>
                  <c:pt idx="4">
                    <c:v>296,47</c:v>
                  </c:pt>
                  <c:pt idx="5">
                    <c:v>300,12</c:v>
                  </c:pt>
                  <c:pt idx="6">
                    <c:v>200,30</c:v>
                  </c:pt>
                  <c:pt idx="8">
                    <c:v>211,77</c:v>
                  </c:pt>
                  <c:pt idx="9">
                    <c:v>300,05</c:v>
                  </c:pt>
                  <c:pt idx="10">
                    <c:v>200,33</c:v>
                  </c:pt>
                  <c:pt idx="11">
                    <c:v>250,25</c:v>
                  </c:pt>
                  <c:pt idx="12">
                    <c:v>250,40</c:v>
                  </c:pt>
                  <c:pt idx="13">
                    <c:v>201,70</c:v>
                  </c:pt>
                  <c:pt idx="14">
                    <c:v>350,80</c:v>
                  </c:pt>
                  <c:pt idx="16">
                    <c:v>200,44</c:v>
                  </c:pt>
                  <c:pt idx="17">
                    <c:v>200,28</c:v>
                  </c:pt>
                  <c:pt idx="18">
                    <c:v>248,76</c:v>
                  </c:pt>
                  <c:pt idx="19">
                    <c:v>200,21</c:v>
                  </c:pt>
                  <c:pt idx="20">
                    <c:v>251,36</c:v>
                  </c:pt>
                  <c:pt idx="21">
                    <c:v>300,12</c:v>
                  </c:pt>
                  <c:pt idx="22">
                    <c:v>251,00</c:v>
                  </c:pt>
                  <c:pt idx="24">
                    <c:v>200,18</c:v>
                  </c:pt>
                  <c:pt idx="25">
                    <c:v>199,79</c:v>
                  </c:pt>
                  <c:pt idx="26">
                    <c:v>299,76</c:v>
                  </c:pt>
                  <c:pt idx="27">
                    <c:v>200,39</c:v>
                  </c:pt>
                  <c:pt idx="28">
                    <c:v>300,13</c:v>
                  </c:pt>
                  <c:pt idx="29">
                    <c:v>250,21</c:v>
                  </c:pt>
                  <c:pt idx="30">
                    <c:v>250,51</c:v>
                  </c:pt>
                  <c:pt idx="31">
                    <c:v>200,26</c:v>
                  </c:pt>
                  <c:pt idx="32">
                    <c:v>250,35</c:v>
                  </c:pt>
                </c:lvl>
                <c:lvl>
                  <c:pt idx="0">
                    <c:v>250,53</c:v>
                  </c:pt>
                  <c:pt idx="1">
                    <c:v>150,08</c:v>
                  </c:pt>
                  <c:pt idx="2">
                    <c:v>250,09</c:v>
                  </c:pt>
                  <c:pt idx="3">
                    <c:v>250,30</c:v>
                  </c:pt>
                  <c:pt idx="4">
                    <c:v>300,45</c:v>
                  </c:pt>
                  <c:pt idx="5">
                    <c:v>250,49</c:v>
                  </c:pt>
                  <c:pt idx="6">
                    <c:v>200,45</c:v>
                  </c:pt>
                  <c:pt idx="8">
                    <c:v>251,09</c:v>
                  </c:pt>
                  <c:pt idx="9">
                    <c:v>250,76</c:v>
                  </c:pt>
                  <c:pt idx="10">
                    <c:v>200,29</c:v>
                  </c:pt>
                  <c:pt idx="11">
                    <c:v>200,12</c:v>
                  </c:pt>
                  <c:pt idx="12">
                    <c:v>200,13</c:v>
                  </c:pt>
                  <c:pt idx="13">
                    <c:v>200,59</c:v>
                  </c:pt>
                  <c:pt idx="14">
                    <c:v>249,99</c:v>
                  </c:pt>
                  <c:pt idx="16">
                    <c:v>203,48</c:v>
                  </c:pt>
                  <c:pt idx="17">
                    <c:v>300,12</c:v>
                  </c:pt>
                  <c:pt idx="18">
                    <c:v>200,00</c:v>
                  </c:pt>
                  <c:pt idx="19">
                    <c:v>250,67</c:v>
                  </c:pt>
                  <c:pt idx="20">
                    <c:v>250,40</c:v>
                  </c:pt>
                  <c:pt idx="21">
                    <c:v>350,26</c:v>
                  </c:pt>
                  <c:pt idx="22">
                    <c:v>200,24</c:v>
                  </c:pt>
                  <c:pt idx="24">
                    <c:v>250,33</c:v>
                  </c:pt>
                  <c:pt idx="25">
                    <c:v>199,50</c:v>
                  </c:pt>
                  <c:pt idx="26">
                    <c:v>250,71</c:v>
                  </c:pt>
                  <c:pt idx="27">
                    <c:v>200,25</c:v>
                  </c:pt>
                  <c:pt idx="28">
                    <c:v>250,50</c:v>
                  </c:pt>
                  <c:pt idx="29">
                    <c:v>200,51</c:v>
                  </c:pt>
                  <c:pt idx="30">
                    <c:v>150,41</c:v>
                  </c:pt>
                  <c:pt idx="31">
                    <c:v>FULL</c:v>
                  </c:pt>
                  <c:pt idx="32">
                    <c:v>250,90</c:v>
                  </c:pt>
                </c:lvl>
                <c:lvl>
                  <c:pt idx="0">
                    <c:v>160,45</c:v>
                  </c:pt>
                  <c:pt idx="1">
                    <c:v>101,31</c:v>
                  </c:pt>
                  <c:pt idx="2">
                    <c:v>250,39</c:v>
                  </c:pt>
                  <c:pt idx="3">
                    <c:v>200,29</c:v>
                  </c:pt>
                  <c:pt idx="4">
                    <c:v>248,85</c:v>
                  </c:pt>
                  <c:pt idx="5">
                    <c:v>250,32</c:v>
                  </c:pt>
                  <c:pt idx="6">
                    <c:v>350,14</c:v>
                  </c:pt>
                  <c:pt idx="8">
                    <c:v>100,09</c:v>
                  </c:pt>
                  <c:pt idx="9">
                    <c:v>200,49</c:v>
                  </c:pt>
                  <c:pt idx="10">
                    <c:v>200,64</c:v>
                  </c:pt>
                  <c:pt idx="11">
                    <c:v>200,49</c:v>
                  </c:pt>
                  <c:pt idx="12">
                    <c:v>250,38</c:v>
                  </c:pt>
                  <c:pt idx="13">
                    <c:v>200,60</c:v>
                  </c:pt>
                  <c:pt idx="14">
                    <c:v>300,58</c:v>
                  </c:pt>
                  <c:pt idx="16">
                    <c:v>200,41</c:v>
                  </c:pt>
                  <c:pt idx="17">
                    <c:v>300,01</c:v>
                  </c:pt>
                  <c:pt idx="18">
                    <c:v>235,89</c:v>
                  </c:pt>
                  <c:pt idx="19">
                    <c:v>150,72</c:v>
                  </c:pt>
                  <c:pt idx="20">
                    <c:v>FULL</c:v>
                  </c:pt>
                  <c:pt idx="21">
                    <c:v>200,41</c:v>
                  </c:pt>
                  <c:pt idx="22">
                    <c:v>200,43</c:v>
                  </c:pt>
                  <c:pt idx="24">
                    <c:v>250,14</c:v>
                  </c:pt>
                  <c:pt idx="25">
                    <c:v>251,10</c:v>
                  </c:pt>
                  <c:pt idx="26">
                    <c:v>251,38</c:v>
                  </c:pt>
                  <c:pt idx="27">
                    <c:v>250,41</c:v>
                  </c:pt>
                  <c:pt idx="28">
                    <c:v>200,20</c:v>
                  </c:pt>
                  <c:pt idx="29">
                    <c:v>251,27</c:v>
                  </c:pt>
                  <c:pt idx="30">
                    <c:v>250,44</c:v>
                  </c:pt>
                  <c:pt idx="31">
                    <c:v>130,35</c:v>
                  </c:pt>
                  <c:pt idx="32">
                    <c:v>250,50</c:v>
                  </c:pt>
                </c:lvl>
                <c:lvl>
                  <c:pt idx="0">
                    <c:v>200,46</c:v>
                  </c:pt>
                  <c:pt idx="1">
                    <c:v>149,95</c:v>
                  </c:pt>
                  <c:pt idx="2">
                    <c:v>200,14</c:v>
                  </c:pt>
                  <c:pt idx="3">
                    <c:v>250,99</c:v>
                  </c:pt>
                  <c:pt idx="4">
                    <c:v>251,25</c:v>
                  </c:pt>
                  <c:pt idx="5">
                    <c:v>200,20</c:v>
                  </c:pt>
                  <c:pt idx="6">
                    <c:v>200,30</c:v>
                  </c:pt>
                  <c:pt idx="8">
                    <c:v>250,86</c:v>
                  </c:pt>
                  <c:pt idx="9">
                    <c:v>200,32</c:v>
                  </c:pt>
                  <c:pt idx="10">
                    <c:v>300,37</c:v>
                  </c:pt>
                  <c:pt idx="11">
                    <c:v>250,19</c:v>
                  </c:pt>
                  <c:pt idx="12">
                    <c:v>100,38</c:v>
                  </c:pt>
                  <c:pt idx="13">
                    <c:v>245,49</c:v>
                  </c:pt>
                  <c:pt idx="14">
                    <c:v>200,80</c:v>
                  </c:pt>
                  <c:pt idx="16">
                    <c:v>200,18</c:v>
                  </c:pt>
                  <c:pt idx="17">
                    <c:v>211,39</c:v>
                  </c:pt>
                  <c:pt idx="18">
                    <c:v>299,54</c:v>
                  </c:pt>
                  <c:pt idx="19">
                    <c:v>200,18</c:v>
                  </c:pt>
                  <c:pt idx="20">
                    <c:v>201,06</c:v>
                  </c:pt>
                  <c:pt idx="21">
                    <c:v>300,26</c:v>
                  </c:pt>
                  <c:pt idx="22">
                    <c:v>200,05</c:v>
                  </c:pt>
                  <c:pt idx="24">
                    <c:v>250,26</c:v>
                  </c:pt>
                  <c:pt idx="25">
                    <c:v>200,26</c:v>
                  </c:pt>
                  <c:pt idx="26">
                    <c:v>250,27</c:v>
                  </c:pt>
                  <c:pt idx="27">
                    <c:v>200,22</c:v>
                  </c:pt>
                  <c:pt idx="28">
                    <c:v>250,26</c:v>
                  </c:pt>
                  <c:pt idx="29">
                    <c:v>250,44</c:v>
                  </c:pt>
                  <c:pt idx="30">
                    <c:v>247,65</c:v>
                  </c:pt>
                  <c:pt idx="31">
                    <c:v>200,73</c:v>
                  </c:pt>
                  <c:pt idx="32">
                    <c:v>200,35</c:v>
                  </c:pt>
                </c:lvl>
                <c:lvl>
                  <c:pt idx="0">
                    <c:v>189,48</c:v>
                  </c:pt>
                  <c:pt idx="1">
                    <c:v>250,20</c:v>
                  </c:pt>
                  <c:pt idx="2">
                    <c:v>300,21</c:v>
                  </c:pt>
                  <c:pt idx="3">
                    <c:v>250,28</c:v>
                  </c:pt>
                  <c:pt idx="4">
                    <c:v>242,01</c:v>
                  </c:pt>
                  <c:pt idx="5">
                    <c:v>201,12</c:v>
                  </c:pt>
                  <c:pt idx="6">
                    <c:v>200,21</c:v>
                  </c:pt>
                  <c:pt idx="8">
                    <c:v>150,63</c:v>
                  </c:pt>
                  <c:pt idx="9">
                    <c:v>200,16</c:v>
                  </c:pt>
                  <c:pt idx="10">
                    <c:v>250,50</c:v>
                  </c:pt>
                  <c:pt idx="11">
                    <c:v>200,42</c:v>
                  </c:pt>
                  <c:pt idx="12">
                    <c:v>150,47</c:v>
                  </c:pt>
                  <c:pt idx="13">
                    <c:v>200,39</c:v>
                  </c:pt>
                  <c:pt idx="14">
                    <c:v>200,19</c:v>
                  </c:pt>
                  <c:pt idx="16">
                    <c:v>199,58</c:v>
                  </c:pt>
                  <c:pt idx="17">
                    <c:v>250,47</c:v>
                  </c:pt>
                  <c:pt idx="18">
                    <c:v>200,46</c:v>
                  </c:pt>
                  <c:pt idx="19">
                    <c:v>200,22</c:v>
                  </c:pt>
                  <c:pt idx="20">
                    <c:v>200,48</c:v>
                  </c:pt>
                  <c:pt idx="21">
                    <c:v>250,29</c:v>
                  </c:pt>
                  <c:pt idx="22">
                    <c:v>320,17</c:v>
                  </c:pt>
                  <c:pt idx="24">
                    <c:v>250,36</c:v>
                  </c:pt>
                  <c:pt idx="25">
                    <c:v>250,91</c:v>
                  </c:pt>
                  <c:pt idx="26">
                    <c:v>250,68</c:v>
                  </c:pt>
                  <c:pt idx="27">
                    <c:v>200,46</c:v>
                  </c:pt>
                  <c:pt idx="28">
                    <c:v>250,40</c:v>
                  </c:pt>
                  <c:pt idx="29">
                    <c:v>300,66</c:v>
                  </c:pt>
                  <c:pt idx="30">
                    <c:v>200,53</c:v>
                  </c:pt>
                  <c:pt idx="31">
                    <c:v>FULL</c:v>
                  </c:pt>
                  <c:pt idx="32">
                    <c:v>250,31</c:v>
                  </c:pt>
                </c:lvl>
                <c:lvl>
                  <c:pt idx="0">
                    <c:v>200,34</c:v>
                  </c:pt>
                  <c:pt idx="1">
                    <c:v>350,00</c:v>
                  </c:pt>
                  <c:pt idx="2">
                    <c:v>200,46</c:v>
                  </c:pt>
                  <c:pt idx="3">
                    <c:v>200,90</c:v>
                  </c:pt>
                  <c:pt idx="4">
                    <c:v>200,17</c:v>
                  </c:pt>
                  <c:pt idx="5">
                    <c:v>300,03</c:v>
                  </c:pt>
                  <c:pt idx="6">
                    <c:v>200,52</c:v>
                  </c:pt>
                  <c:pt idx="8">
                    <c:v>200,53</c:v>
                  </c:pt>
                  <c:pt idx="9">
                    <c:v>250,42</c:v>
                  </c:pt>
                  <c:pt idx="10">
                    <c:v>200,34</c:v>
                  </c:pt>
                  <c:pt idx="11">
                    <c:v>200,49</c:v>
                  </c:pt>
                  <c:pt idx="12">
                    <c:v>200,52</c:v>
                  </c:pt>
                  <c:pt idx="13">
                    <c:v>200,26</c:v>
                  </c:pt>
                  <c:pt idx="14">
                    <c:v>151,08</c:v>
                  </c:pt>
                  <c:pt idx="16">
                    <c:v>200,66</c:v>
                  </c:pt>
                  <c:pt idx="17">
                    <c:v>FULL</c:v>
                  </c:pt>
                  <c:pt idx="18">
                    <c:v>207,88</c:v>
                  </c:pt>
                  <c:pt idx="19">
                    <c:v>200,96</c:v>
                  </c:pt>
                  <c:pt idx="20">
                    <c:v>200,32</c:v>
                  </c:pt>
                  <c:pt idx="21">
                    <c:v>200,88</c:v>
                  </c:pt>
                  <c:pt idx="22">
                    <c:v>265,65</c:v>
                  </c:pt>
                  <c:pt idx="24">
                    <c:v>208,85</c:v>
                  </c:pt>
                  <c:pt idx="25">
                    <c:v>200,30</c:v>
                  </c:pt>
                  <c:pt idx="26">
                    <c:v>200,22</c:v>
                  </c:pt>
                  <c:pt idx="27">
                    <c:v>199,99</c:v>
                  </c:pt>
                  <c:pt idx="28">
                    <c:v>200,35</c:v>
                  </c:pt>
                  <c:pt idx="29">
                    <c:v>200,36</c:v>
                  </c:pt>
                  <c:pt idx="30">
                    <c:v>149,93</c:v>
                  </c:pt>
                  <c:pt idx="31">
                    <c:v>200,27</c:v>
                  </c:pt>
                  <c:pt idx="32">
                    <c:v>238,26</c:v>
                  </c:pt>
                </c:lvl>
                <c:lvl>
                  <c:pt idx="0">
                    <c:v>300,25</c:v>
                  </c:pt>
                  <c:pt idx="1">
                    <c:v>250,14</c:v>
                  </c:pt>
                  <c:pt idx="2">
                    <c:v>450,23</c:v>
                  </c:pt>
                  <c:pt idx="3">
                    <c:v>300,44</c:v>
                  </c:pt>
                  <c:pt idx="4">
                    <c:v>298,90</c:v>
                  </c:pt>
                  <c:pt idx="5">
                    <c:v>300,21</c:v>
                  </c:pt>
                  <c:pt idx="6">
                    <c:v>300,28</c:v>
                  </c:pt>
                  <c:pt idx="8">
                    <c:v>300,21</c:v>
                  </c:pt>
                  <c:pt idx="9">
                    <c:v>150,94</c:v>
                  </c:pt>
                  <c:pt idx="10">
                    <c:v>400,57</c:v>
                  </c:pt>
                  <c:pt idx="11">
                    <c:v>300,44</c:v>
                  </c:pt>
                  <c:pt idx="12">
                    <c:v>201,26</c:v>
                  </c:pt>
                  <c:pt idx="13">
                    <c:v>300,62</c:v>
                  </c:pt>
                  <c:pt idx="14">
                    <c:v>300,44</c:v>
                  </c:pt>
                  <c:pt idx="16">
                    <c:v>250,18</c:v>
                  </c:pt>
                  <c:pt idx="17">
                    <c:v>300,26</c:v>
                  </c:pt>
                  <c:pt idx="18">
                    <c:v>352,34</c:v>
                  </c:pt>
                  <c:pt idx="19">
                    <c:v>300,52</c:v>
                  </c:pt>
                  <c:pt idx="20">
                    <c:v>286,78</c:v>
                  </c:pt>
                  <c:pt idx="21">
                    <c:v>300,24</c:v>
                  </c:pt>
                  <c:pt idx="22">
                    <c:v>312,18</c:v>
                  </c:pt>
                  <c:pt idx="24">
                    <c:v>400,00</c:v>
                  </c:pt>
                  <c:pt idx="25">
                    <c:v>302,09</c:v>
                  </c:pt>
                  <c:pt idx="26">
                    <c:v>399,93</c:v>
                  </c:pt>
                  <c:pt idx="27">
                    <c:v>300,55</c:v>
                  </c:pt>
                  <c:pt idx="28">
                    <c:v>299,78</c:v>
                  </c:pt>
                  <c:pt idx="29">
                    <c:v>400,03</c:v>
                  </c:pt>
                  <c:pt idx="30">
                    <c:v>350,33</c:v>
                  </c:pt>
                  <c:pt idx="31">
                    <c:v>300,15</c:v>
                  </c:pt>
                  <c:pt idx="32">
                    <c:v>300,23</c:v>
                  </c:pt>
                </c:lvl>
                <c:lvl>
                  <c:pt idx="0">
                    <c:v>289,32</c:v>
                  </c:pt>
                  <c:pt idx="1">
                    <c:v>301,93</c:v>
                  </c:pt>
                  <c:pt idx="2">
                    <c:v>299,50</c:v>
                  </c:pt>
                  <c:pt idx="3">
                    <c:v>299,90</c:v>
                  </c:pt>
                  <c:pt idx="4">
                    <c:v>300,29</c:v>
                  </c:pt>
                  <c:pt idx="5">
                    <c:v>400,89</c:v>
                  </c:pt>
                  <c:pt idx="6">
                    <c:v>300,00</c:v>
                  </c:pt>
                  <c:pt idx="8">
                    <c:v>300,01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356,96</c:v>
                  </c:pt>
                  <c:pt idx="31">
                    <c:v>132,87</c:v>
                  </c:pt>
                  <c:pt idx="32">
                    <c:v>282,61</c:v>
                  </c:pt>
                </c:lvl>
                <c:lvl>
                  <c:pt idx="0">
                    <c:v>15,24</c:v>
                  </c:pt>
                  <c:pt idx="1">
                    <c:v>170,95</c:v>
                  </c:pt>
                  <c:pt idx="2">
                    <c:v>300,06</c:v>
                  </c:pt>
                  <c:pt idx="3">
                    <c:v>299,90</c:v>
                  </c:pt>
                  <c:pt idx="4">
                    <c:v>271,39</c:v>
                  </c:pt>
                  <c:pt idx="5">
                    <c:v>200,33</c:v>
                  </c:pt>
                  <c:pt idx="6">
                    <c:v>300,39</c:v>
                  </c:pt>
                  <c:pt idx="8">
                    <c:v>275,77</c:v>
                  </c:pt>
                  <c:pt idx="9">
                    <c:v>350,84</c:v>
                  </c:pt>
                  <c:pt idx="10">
                    <c:v>316,31</c:v>
                  </c:pt>
                  <c:pt idx="11">
                    <c:v>250,32</c:v>
                  </c:pt>
                  <c:pt idx="12">
                    <c:v>300,76</c:v>
                  </c:pt>
                  <c:pt idx="13">
                    <c:v>317,46</c:v>
                  </c:pt>
                  <c:pt idx="14">
                    <c:v>296,90</c:v>
                  </c:pt>
                  <c:pt idx="16">
                    <c:v>279,43</c:v>
                  </c:pt>
                  <c:pt idx="17">
                    <c:v>262,75</c:v>
                  </c:pt>
                  <c:pt idx="18">
                    <c:v>303,69</c:v>
                  </c:pt>
                  <c:pt idx="19">
                    <c:v>299,91</c:v>
                  </c:pt>
                  <c:pt idx="20">
                    <c:v>320,74</c:v>
                  </c:pt>
                  <c:pt idx="21">
                    <c:v>300,12</c:v>
                  </c:pt>
                  <c:pt idx="22">
                    <c:v>300,24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499,41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263,45</c:v>
                  </c:pt>
                  <c:pt idx="4">
                    <c:v>293,16</c:v>
                  </c:pt>
                  <c:pt idx="5">
                    <c:v>350,37</c:v>
                  </c:pt>
                  <c:pt idx="6">
                    <c:v>300,75</c:v>
                  </c:pt>
                  <c:pt idx="8">
                    <c:v>300,02</c:v>
                  </c:pt>
                  <c:pt idx="9">
                    <c:v>300,65</c:v>
                  </c:pt>
                  <c:pt idx="10">
                    <c:v>381,17</c:v>
                  </c:pt>
                  <c:pt idx="11">
                    <c:v>274,23</c:v>
                  </c:pt>
                  <c:pt idx="12">
                    <c:v>300,95</c:v>
                  </c:pt>
                  <c:pt idx="13">
                    <c:v>310,59</c:v>
                  </c:pt>
                  <c:pt idx="14">
                    <c:v>239,48</c:v>
                  </c:pt>
                  <c:pt idx="16">
                    <c:v>318,34</c:v>
                  </c:pt>
                  <c:pt idx="17">
                    <c:v>300,27</c:v>
                  </c:pt>
                  <c:pt idx="18">
                    <c:v>287,59</c:v>
                  </c:pt>
                  <c:pt idx="19">
                    <c:v>235,38</c:v>
                  </c:pt>
                  <c:pt idx="20">
                    <c:v>299,88</c:v>
                  </c:pt>
                  <c:pt idx="21">
                    <c:v>313,83</c:v>
                  </c:pt>
                  <c:pt idx="22">
                    <c:v>301,01</c:v>
                  </c:pt>
                  <c:pt idx="24">
                    <c:v>295,99</c:v>
                  </c:pt>
                  <c:pt idx="25">
                    <c:v>283,18</c:v>
                  </c:pt>
                  <c:pt idx="26">
                    <c:v>250,45</c:v>
                  </c:pt>
                  <c:pt idx="27">
                    <c:v>391,60</c:v>
                  </c:pt>
                  <c:pt idx="28">
                    <c:v>269,42</c:v>
                  </c:pt>
                  <c:pt idx="29">
                    <c:v>297,84</c:v>
                  </c:pt>
                  <c:pt idx="30">
                    <c:v>246,25</c:v>
                  </c:pt>
                  <c:pt idx="31">
                    <c:v>236,30</c:v>
                  </c:pt>
                  <c:pt idx="32">
                    <c:v>282,40</c:v>
                  </c:pt>
                </c:lvl>
                <c:lvl>
                  <c:pt idx="0">
                    <c:v>329,28</c:v>
                  </c:pt>
                  <c:pt idx="1">
                    <c:v>299,99</c:v>
                  </c:pt>
                  <c:pt idx="2">
                    <c:v>267,65</c:v>
                  </c:pt>
                  <c:pt idx="3">
                    <c:v>300,54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471,60</c:v>
                  </c:pt>
                  <c:pt idx="21">
                    <c:v>202,95</c:v>
                  </c:pt>
                  <c:pt idx="22">
                    <c:v>268,66</c:v>
                  </c:pt>
                  <c:pt idx="24">
                    <c:v>400,50</c:v>
                  </c:pt>
                  <c:pt idx="25">
                    <c:v>327,97</c:v>
                  </c:pt>
                  <c:pt idx="26">
                    <c:v>218,34</c:v>
                  </c:pt>
                  <c:pt idx="27">
                    <c:v>280,29</c:v>
                  </c:pt>
                  <c:pt idx="28">
                    <c:v>250,07</c:v>
                  </c:pt>
                  <c:pt idx="29">
                    <c:v>250,22</c:v>
                  </c:pt>
                  <c:pt idx="30">
                    <c:v>399,98</c:v>
                  </c:pt>
                  <c:pt idx="31">
                    <c:v>242,84</c:v>
                  </c:pt>
                  <c:pt idx="32">
                    <c:v>309,72</c:v>
                  </c:pt>
                </c:lvl>
                <c:lvl>
                  <c:pt idx="0">
                    <c:v>269,19</c:v>
                  </c:pt>
                  <c:pt idx="1">
                    <c:v>261,76</c:v>
                  </c:pt>
                  <c:pt idx="2">
                    <c:v>190,88</c:v>
                  </c:pt>
                  <c:pt idx="3">
                    <c:v>273,66</c:v>
                  </c:pt>
                  <c:pt idx="4">
                    <c:v>281,89</c:v>
                  </c:pt>
                  <c:pt idx="5">
                    <c:v>255,39</c:v>
                  </c:pt>
                  <c:pt idx="6">
                    <c:v>272,28</c:v>
                  </c:pt>
                  <c:pt idx="8">
                    <c:v>247,13</c:v>
                  </c:pt>
                  <c:pt idx="9">
                    <c:v>256,05</c:v>
                  </c:pt>
                  <c:pt idx="10">
                    <c:v>260,53</c:v>
                  </c:pt>
                  <c:pt idx="11">
                    <c:v>255,44</c:v>
                  </c:pt>
                  <c:pt idx="12">
                    <c:v>244,99</c:v>
                  </c:pt>
                  <c:pt idx="13">
                    <c:v>283,96</c:v>
                  </c:pt>
                  <c:pt idx="14">
                    <c:v>243,27</c:v>
                  </c:pt>
                  <c:pt idx="16">
                    <c:v>243,42</c:v>
                  </c:pt>
                  <c:pt idx="17">
                    <c:v>272,97</c:v>
                  </c:pt>
                  <c:pt idx="18">
                    <c:v>273,68</c:v>
                  </c:pt>
                  <c:pt idx="19">
                    <c:v>251,90</c:v>
                  </c:pt>
                  <c:pt idx="20">
                    <c:v>269,94</c:v>
                  </c:pt>
                  <c:pt idx="21">
                    <c:v>257,13</c:v>
                  </c:pt>
                  <c:pt idx="22">
                    <c:v>241,13</c:v>
                  </c:pt>
                  <c:pt idx="24">
                    <c:v>400,37</c:v>
                  </c:pt>
                  <c:pt idx="25">
                    <c:v>269,33</c:v>
                  </c:pt>
                  <c:pt idx="26">
                    <c:v>250,07</c:v>
                  </c:pt>
                  <c:pt idx="27">
                    <c:v>285,47</c:v>
                  </c:pt>
                  <c:pt idx="28">
                    <c:v>271,12</c:v>
                  </c:pt>
                  <c:pt idx="29">
                    <c:v>248,97</c:v>
                  </c:pt>
                  <c:pt idx="30">
                    <c:v>249,99</c:v>
                  </c:pt>
                  <c:pt idx="31">
                    <c:v>266,40</c:v>
                  </c:pt>
                  <c:pt idx="32">
                    <c:v>280,49</c:v>
                  </c:pt>
                </c:lvl>
                <c:lvl>
                  <c:pt idx="0">
                    <c:v>323,06</c:v>
                  </c:pt>
                  <c:pt idx="1">
                    <c:v>227,24</c:v>
                  </c:pt>
                  <c:pt idx="2">
                    <c:v>321,28</c:v>
                  </c:pt>
                  <c:pt idx="3">
                    <c:v>300,49</c:v>
                  </c:pt>
                  <c:pt idx="4">
                    <c:v>417,27</c:v>
                  </c:pt>
                  <c:pt idx="5">
                    <c:v>252,97</c:v>
                  </c:pt>
                  <c:pt idx="6">
                    <c:v>217,63</c:v>
                  </c:pt>
                  <c:pt idx="8">
                    <c:v>227,02</c:v>
                  </c:pt>
                  <c:pt idx="9">
                    <c:v>300,31</c:v>
                  </c:pt>
                  <c:pt idx="10">
                    <c:v>328,04</c:v>
                  </c:pt>
                  <c:pt idx="11">
                    <c:v>334,07</c:v>
                  </c:pt>
                  <c:pt idx="12">
                    <c:v>337,05</c:v>
                  </c:pt>
                  <c:pt idx="13">
                    <c:v>306,72</c:v>
                  </c:pt>
                  <c:pt idx="14">
                    <c:v>377,90</c:v>
                  </c:pt>
                  <c:pt idx="16">
                    <c:v>374,38</c:v>
                  </c:pt>
                  <c:pt idx="17">
                    <c:v>258,53</c:v>
                  </c:pt>
                  <c:pt idx="18">
                    <c:v>308,15</c:v>
                  </c:pt>
                  <c:pt idx="19">
                    <c:v>339,92</c:v>
                  </c:pt>
                  <c:pt idx="20">
                    <c:v>350,48</c:v>
                  </c:pt>
                  <c:pt idx="21">
                    <c:v>322,15</c:v>
                  </c:pt>
                  <c:pt idx="22">
                    <c:v>345,03</c:v>
                  </c:pt>
                  <c:pt idx="24">
                    <c:v>300,22</c:v>
                  </c:pt>
                  <c:pt idx="25">
                    <c:v>316,54</c:v>
                  </c:pt>
                  <c:pt idx="26">
                    <c:v>54,58</c:v>
                  </c:pt>
                  <c:pt idx="27">
                    <c:v>284,87</c:v>
                  </c:pt>
                  <c:pt idx="28">
                    <c:v>352,01</c:v>
                  </c:pt>
                  <c:pt idx="29">
                    <c:v>300,02</c:v>
                  </c:pt>
                  <c:pt idx="30">
                    <c:v>350,27</c:v>
                  </c:pt>
                  <c:pt idx="31">
                    <c:v>249,30</c:v>
                  </c:pt>
                  <c:pt idx="32">
                    <c:v>88,29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400,20</c:v>
                  </c:pt>
                  <c:pt idx="1">
                    <c:v>379,81</c:v>
                  </c:pt>
                  <c:pt idx="2">
                    <c:v>420,92</c:v>
                  </c:pt>
                  <c:pt idx="3">
                    <c:v>351,52</c:v>
                  </c:pt>
                  <c:pt idx="4">
                    <c:v>352,22</c:v>
                  </c:pt>
                  <c:pt idx="5">
                    <c:v>400,01</c:v>
                  </c:pt>
                  <c:pt idx="6">
                    <c:v>400,05</c:v>
                  </c:pt>
                  <c:pt idx="8">
                    <c:v>250,02</c:v>
                  </c:pt>
                  <c:pt idx="9">
                    <c:v>FULL</c:v>
                  </c:pt>
                  <c:pt idx="10">
                    <c:v>150,26</c:v>
                  </c:pt>
                  <c:pt idx="11">
                    <c:v>FULL</c:v>
                  </c:pt>
                  <c:pt idx="12">
                    <c:v>349,92</c:v>
                  </c:pt>
                  <c:pt idx="13">
                    <c:v>FULL</c:v>
                  </c:pt>
                  <c:pt idx="14">
                    <c:v>250,26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97,07</c:v>
                  </c:pt>
                  <c:pt idx="19">
                    <c:v>130,06</c:v>
                  </c:pt>
                  <c:pt idx="20">
                    <c:v>500,18</c:v>
                  </c:pt>
                  <c:pt idx="21">
                    <c:v>500,02</c:v>
                  </c:pt>
                  <c:pt idx="22">
                    <c:v>400,39</c:v>
                  </c:pt>
                  <c:pt idx="24">
                    <c:v>400,48</c:v>
                  </c:pt>
                  <c:pt idx="25">
                    <c:v>500,53</c:v>
                  </c:pt>
                  <c:pt idx="26">
                    <c:v>500,25</c:v>
                  </c:pt>
                  <c:pt idx="27">
                    <c:v>399,51</c:v>
                  </c:pt>
                  <c:pt idx="28">
                    <c:v>500,23</c:v>
                  </c:pt>
                  <c:pt idx="29">
                    <c:v>500,47</c:v>
                  </c:pt>
                  <c:pt idx="30">
                    <c:v>365,65</c:v>
                  </c:pt>
                  <c:pt idx="31">
                    <c:v>334,00</c:v>
                  </c:pt>
                  <c:pt idx="32">
                    <c:v>500,65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400,79</c:v>
                  </c:pt>
                  <c:pt idx="1">
                    <c:v>131,06</c:v>
                  </c:pt>
                  <c:pt idx="2">
                    <c:v>320,69</c:v>
                  </c:pt>
                  <c:pt idx="3">
                    <c:v>456,08</c:v>
                  </c:pt>
                  <c:pt idx="4">
                    <c:v>FULL</c:v>
                  </c:pt>
                  <c:pt idx="5">
                    <c:v>400,14</c:v>
                  </c:pt>
                  <c:pt idx="6">
                    <c:v>350,22</c:v>
                  </c:pt>
                  <c:pt idx="8">
                    <c:v>450,36</c:v>
                  </c:pt>
                  <c:pt idx="9">
                    <c:v>400,60</c:v>
                  </c:pt>
                  <c:pt idx="10">
                    <c:v>500,23</c:v>
                  </c:pt>
                  <c:pt idx="11">
                    <c:v>400,54</c:v>
                  </c:pt>
                  <c:pt idx="12">
                    <c:v>350,67</c:v>
                  </c:pt>
                  <c:pt idx="13">
                    <c:v>300,71</c:v>
                  </c:pt>
                  <c:pt idx="14">
                    <c:v>503,25</c:v>
                  </c:pt>
                  <c:pt idx="16">
                    <c:v>300,24</c:v>
                  </c:pt>
                  <c:pt idx="17">
                    <c:v>300,19</c:v>
                  </c:pt>
                  <c:pt idx="18">
                    <c:v>273,45</c:v>
                  </c:pt>
                  <c:pt idx="19">
                    <c:v>300,07</c:v>
                  </c:pt>
                  <c:pt idx="20">
                    <c:v>350,33</c:v>
                  </c:pt>
                  <c:pt idx="21">
                    <c:v>350,34</c:v>
                  </c:pt>
                  <c:pt idx="22">
                    <c:v>300,13</c:v>
                  </c:pt>
                  <c:pt idx="24">
                    <c:v>200,21</c:v>
                  </c:pt>
                  <c:pt idx="25">
                    <c:v>351,07</c:v>
                  </c:pt>
                  <c:pt idx="26">
                    <c:v>350,46</c:v>
                  </c:pt>
                  <c:pt idx="27">
                    <c:v>400,06</c:v>
                  </c:pt>
                  <c:pt idx="28">
                    <c:v>400,10</c:v>
                  </c:pt>
                  <c:pt idx="29">
                    <c:v>350,22</c:v>
                  </c:pt>
                  <c:pt idx="30">
                    <c:v>350,20</c:v>
                  </c:pt>
                  <c:pt idx="31">
                    <c:v>300,37</c:v>
                  </c:pt>
                  <c:pt idx="32">
                    <c:v>300,25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299,94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250,88</c:v>
                  </c:pt>
                  <c:pt idx="10">
                    <c:v>400,21</c:v>
                  </c:pt>
                  <c:pt idx="11">
                    <c:v>300,58</c:v>
                  </c:pt>
                  <c:pt idx="12">
                    <c:v>268,81</c:v>
                  </c:pt>
                  <c:pt idx="13">
                    <c:v>310,58</c:v>
                  </c:pt>
                  <c:pt idx="14">
                    <c:v>380,46</c:v>
                  </c:pt>
                  <c:pt idx="16">
                    <c:v>199,95</c:v>
                  </c:pt>
                  <c:pt idx="17">
                    <c:v>300,86</c:v>
                  </c:pt>
                  <c:pt idx="18">
                    <c:v>168,72</c:v>
                  </c:pt>
                  <c:pt idx="19">
                    <c:v>FULL</c:v>
                  </c:pt>
                  <c:pt idx="20">
                    <c:v>250,01</c:v>
                  </c:pt>
                  <c:pt idx="21">
                    <c:v>FULL</c:v>
                  </c:pt>
                  <c:pt idx="22">
                    <c:v>352,67</c:v>
                  </c:pt>
                  <c:pt idx="24">
                    <c:v>150,62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300,10</c:v>
                  </c:pt>
                  <c:pt idx="29">
                    <c:v>100,01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400,46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300,34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350,81</c:v>
                  </c:pt>
                  <c:pt idx="10">
                    <c:v>350,48</c:v>
                  </c:pt>
                  <c:pt idx="11">
                    <c:v>269,22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299,88</c:v>
                  </c:pt>
                  <c:pt idx="1">
                    <c:v>230,78</c:v>
                  </c:pt>
                  <c:pt idx="2">
                    <c:v>333,84</c:v>
                  </c:pt>
                  <c:pt idx="3">
                    <c:v>278,99</c:v>
                  </c:pt>
                  <c:pt idx="4">
                    <c:v>89,87</c:v>
                  </c:pt>
                  <c:pt idx="5">
                    <c:v>401,11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10,83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299,97</c:v>
                  </c:pt>
                  <c:pt idx="26">
                    <c:v>301,29</c:v>
                  </c:pt>
                  <c:pt idx="27">
                    <c:v>258,15</c:v>
                  </c:pt>
                  <c:pt idx="28">
                    <c:v>400,22</c:v>
                  </c:pt>
                  <c:pt idx="29">
                    <c:v>117,26</c:v>
                  </c:pt>
                  <c:pt idx="30">
                    <c:v>300,13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323,06</c:v>
                  </c:pt>
                  <c:pt idx="1">
                    <c:v>299,98</c:v>
                  </c:pt>
                  <c:pt idx="2">
                    <c:v>200,74</c:v>
                  </c:pt>
                  <c:pt idx="3">
                    <c:v>192,08</c:v>
                  </c:pt>
                  <c:pt idx="4">
                    <c:v>226,39</c:v>
                  </c:pt>
                  <c:pt idx="5">
                    <c:v>399,85</c:v>
                  </c:pt>
                  <c:pt idx="6">
                    <c:v>350,18</c:v>
                  </c:pt>
                  <c:pt idx="8">
                    <c:v>200,39</c:v>
                  </c:pt>
                  <c:pt idx="9">
                    <c:v>251,86</c:v>
                  </c:pt>
                  <c:pt idx="10">
                    <c:v>250,32</c:v>
                  </c:pt>
                  <c:pt idx="11">
                    <c:v>249,98</c:v>
                  </c:pt>
                  <c:pt idx="12">
                    <c:v>200,22</c:v>
                  </c:pt>
                  <c:pt idx="13">
                    <c:v>200,91</c:v>
                  </c:pt>
                  <c:pt idx="14">
                    <c:v>251,15</c:v>
                  </c:pt>
                  <c:pt idx="16">
                    <c:v>250,31</c:v>
                  </c:pt>
                  <c:pt idx="17">
                    <c:v>250,23</c:v>
                  </c:pt>
                  <c:pt idx="18">
                    <c:v>250,46</c:v>
                  </c:pt>
                  <c:pt idx="19">
                    <c:v>200,29</c:v>
                  </c:pt>
                  <c:pt idx="20">
                    <c:v>300,44</c:v>
                  </c:pt>
                  <c:pt idx="21">
                    <c:v>150,65</c:v>
                  </c:pt>
                  <c:pt idx="22">
                    <c:v>249,94</c:v>
                  </c:pt>
                  <c:pt idx="24">
                    <c:v>250,37</c:v>
                  </c:pt>
                  <c:pt idx="25">
                    <c:v>200,14</c:v>
                  </c:pt>
                  <c:pt idx="26">
                    <c:v>150,69</c:v>
                  </c:pt>
                  <c:pt idx="27">
                    <c:v>250,55</c:v>
                  </c:pt>
                  <c:pt idx="28">
                    <c:v>250,14</c:v>
                  </c:pt>
                  <c:pt idx="29">
                    <c:v>250,46</c:v>
                  </c:pt>
                  <c:pt idx="30">
                    <c:v>200,51</c:v>
                  </c:pt>
                  <c:pt idx="31">
                    <c:v>199,78</c:v>
                  </c:pt>
                  <c:pt idx="32">
                    <c:v>300,39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500,51</c:v>
                  </c:pt>
                  <c:pt idx="4">
                    <c:v>338,26</c:v>
                  </c:pt>
                  <c:pt idx="5">
                    <c:v>400,01</c:v>
                  </c:pt>
                  <c:pt idx="6">
                    <c:v>400,09</c:v>
                  </c:pt>
                  <c:pt idx="8">
                    <c:v>200,59</c:v>
                  </c:pt>
                  <c:pt idx="9">
                    <c:v>269,98</c:v>
                  </c:pt>
                  <c:pt idx="10">
                    <c:v>239,05</c:v>
                  </c:pt>
                  <c:pt idx="11">
                    <c:v>240,66</c:v>
                  </c:pt>
                  <c:pt idx="12">
                    <c:v>100,47</c:v>
                  </c:pt>
                  <c:pt idx="13">
                    <c:v>150,27</c:v>
                  </c:pt>
                  <c:pt idx="14">
                    <c:v>249,33</c:v>
                  </c:pt>
                  <c:pt idx="16">
                    <c:v>264,13</c:v>
                  </c:pt>
                  <c:pt idx="17">
                    <c:v>161,54</c:v>
                  </c:pt>
                  <c:pt idx="18">
                    <c:v>329,41</c:v>
                  </c:pt>
                  <c:pt idx="19">
                    <c:v>150,26</c:v>
                  </c:pt>
                  <c:pt idx="20">
                    <c:v>250,55</c:v>
                  </c:pt>
                  <c:pt idx="21">
                    <c:v>FULL</c:v>
                  </c:pt>
                  <c:pt idx="22">
                    <c:v>359,62</c:v>
                  </c:pt>
                  <c:pt idx="24">
                    <c:v>250,50</c:v>
                  </c:pt>
                  <c:pt idx="25">
                    <c:v>402,85</c:v>
                  </c:pt>
                  <c:pt idx="26">
                    <c:v>300,33</c:v>
                  </c:pt>
                  <c:pt idx="27">
                    <c:v>277,28</c:v>
                  </c:pt>
                  <c:pt idx="28">
                    <c:v>400,24</c:v>
                  </c:pt>
                  <c:pt idx="29">
                    <c:v>237,32</c:v>
                  </c:pt>
                  <c:pt idx="30">
                    <c:v>400,65</c:v>
                  </c:pt>
                  <c:pt idx="31">
                    <c:v>385,22</c:v>
                  </c:pt>
                  <c:pt idx="32">
                    <c:v>156,17</c:v>
                  </c:pt>
                </c:lvl>
                <c:lvl>
                  <c:pt idx="0">
                    <c:v>199,93</c:v>
                  </c:pt>
                  <c:pt idx="1">
                    <c:v>300,06</c:v>
                  </c:pt>
                  <c:pt idx="2">
                    <c:v>300,13</c:v>
                  </c:pt>
                  <c:pt idx="3">
                    <c:v>250,74</c:v>
                  </c:pt>
                  <c:pt idx="4">
                    <c:v>209,70</c:v>
                  </c:pt>
                  <c:pt idx="5">
                    <c:v>FULL</c:v>
                  </c:pt>
                  <c:pt idx="6">
                    <c:v>400,05</c:v>
                  </c:pt>
                  <c:pt idx="8">
                    <c:v>150,38</c:v>
                  </c:pt>
                  <c:pt idx="9">
                    <c:v>299,91</c:v>
                  </c:pt>
                  <c:pt idx="10">
                    <c:v>500,35</c:v>
                  </c:pt>
                  <c:pt idx="11">
                    <c:v>400,54</c:v>
                  </c:pt>
                  <c:pt idx="12">
                    <c:v>150,28</c:v>
                  </c:pt>
                  <c:pt idx="13">
                    <c:v>350,97</c:v>
                  </c:pt>
                  <c:pt idx="14">
                    <c:v>250,73</c:v>
                  </c:pt>
                  <c:pt idx="16">
                    <c:v>FULL</c:v>
                  </c:pt>
                  <c:pt idx="17">
                    <c:v>300,16</c:v>
                  </c:pt>
                  <c:pt idx="18">
                    <c:v>351,43</c:v>
                  </c:pt>
                  <c:pt idx="19">
                    <c:v>250,39</c:v>
                  </c:pt>
                  <c:pt idx="20">
                    <c:v>350,34</c:v>
                  </c:pt>
                  <c:pt idx="21">
                    <c:v>250,14</c:v>
                  </c:pt>
                  <c:pt idx="22">
                    <c:v>248,77</c:v>
                  </c:pt>
                  <c:pt idx="24">
                    <c:v>400,83</c:v>
                  </c:pt>
                  <c:pt idx="25">
                    <c:v>214,45</c:v>
                  </c:pt>
                  <c:pt idx="26">
                    <c:v>200,19</c:v>
                  </c:pt>
                  <c:pt idx="27">
                    <c:v>299,79</c:v>
                  </c:pt>
                  <c:pt idx="28">
                    <c:v>250,34</c:v>
                  </c:pt>
                  <c:pt idx="29">
                    <c:v>250,55</c:v>
                  </c:pt>
                  <c:pt idx="30">
                    <c:v>250,42</c:v>
                  </c:pt>
                  <c:pt idx="31">
                    <c:v>249,51</c:v>
                  </c:pt>
                  <c:pt idx="32">
                    <c:v>251,06</c:v>
                  </c:pt>
                </c:lvl>
                <c:lvl>
                  <c:pt idx="0">
                    <c:v>299,87</c:v>
                  </c:pt>
                  <c:pt idx="1">
                    <c:v>300,08</c:v>
                  </c:pt>
                  <c:pt idx="2">
                    <c:v>299,94</c:v>
                  </c:pt>
                  <c:pt idx="3">
                    <c:v>200,94</c:v>
                  </c:pt>
                  <c:pt idx="4">
                    <c:v>278,18</c:v>
                  </c:pt>
                  <c:pt idx="5">
                    <c:v>399,99</c:v>
                  </c:pt>
                  <c:pt idx="6">
                    <c:v>349,98</c:v>
                  </c:pt>
                  <c:pt idx="8">
                    <c:v>300,01</c:v>
                  </c:pt>
                  <c:pt idx="9">
                    <c:v>299,93</c:v>
                  </c:pt>
                  <c:pt idx="10">
                    <c:v>300,19</c:v>
                  </c:pt>
                  <c:pt idx="11">
                    <c:v>300,17</c:v>
                  </c:pt>
                  <c:pt idx="12">
                    <c:v>300,08</c:v>
                  </c:pt>
                  <c:pt idx="13">
                    <c:v>300,15</c:v>
                  </c:pt>
                  <c:pt idx="14">
                    <c:v>250,24</c:v>
                  </c:pt>
                  <c:pt idx="16">
                    <c:v>187,27</c:v>
                  </c:pt>
                  <c:pt idx="17">
                    <c:v>112,21</c:v>
                  </c:pt>
                  <c:pt idx="18">
                    <c:v>79,38</c:v>
                  </c:pt>
                  <c:pt idx="19">
                    <c:v>300,33</c:v>
                  </c:pt>
                  <c:pt idx="20">
                    <c:v>319,98</c:v>
                  </c:pt>
                  <c:pt idx="21">
                    <c:v>250,05</c:v>
                  </c:pt>
                  <c:pt idx="22">
                    <c:v>357,35</c:v>
                  </c:pt>
                  <c:pt idx="24">
                    <c:v>250,13</c:v>
                  </c:pt>
                  <c:pt idx="25">
                    <c:v>402,92</c:v>
                  </c:pt>
                  <c:pt idx="26">
                    <c:v>200,36</c:v>
                  </c:pt>
                  <c:pt idx="27">
                    <c:v>93,11</c:v>
                  </c:pt>
                  <c:pt idx="28">
                    <c:v>400,10</c:v>
                  </c:pt>
                  <c:pt idx="29">
                    <c:v>106,41</c:v>
                  </c:pt>
                  <c:pt idx="30">
                    <c:v>FULL</c:v>
                  </c:pt>
                  <c:pt idx="31">
                    <c:v>199,52</c:v>
                  </c:pt>
                  <c:pt idx="32">
                    <c:v>333,21</c:v>
                  </c:pt>
                </c:lvl>
                <c:lvl>
                  <c:pt idx="0">
                    <c:v>300,48</c:v>
                  </c:pt>
                  <c:pt idx="1">
                    <c:v>300,05</c:v>
                  </c:pt>
                  <c:pt idx="2">
                    <c:v>250,28</c:v>
                  </c:pt>
                  <c:pt idx="3">
                    <c:v>266,16</c:v>
                  </c:pt>
                  <c:pt idx="4">
                    <c:v>306,31</c:v>
                  </c:pt>
                  <c:pt idx="5">
                    <c:v>350,10</c:v>
                  </c:pt>
                  <c:pt idx="6">
                    <c:v>250,35</c:v>
                  </c:pt>
                  <c:pt idx="8">
                    <c:v>250,35</c:v>
                  </c:pt>
                  <c:pt idx="9">
                    <c:v>150,76</c:v>
                  </c:pt>
                  <c:pt idx="10">
                    <c:v>250,16</c:v>
                  </c:pt>
                  <c:pt idx="11">
                    <c:v>350,34</c:v>
                  </c:pt>
                  <c:pt idx="12">
                    <c:v>200,83</c:v>
                  </c:pt>
                  <c:pt idx="13">
                    <c:v>300,81</c:v>
                  </c:pt>
                  <c:pt idx="14">
                    <c:v>350,33</c:v>
                  </c:pt>
                  <c:pt idx="16">
                    <c:v>292,91</c:v>
                  </c:pt>
                  <c:pt idx="17">
                    <c:v>200,11</c:v>
                  </c:pt>
                  <c:pt idx="18">
                    <c:v>351,09</c:v>
                  </c:pt>
                  <c:pt idx="19">
                    <c:v>200,68</c:v>
                  </c:pt>
                  <c:pt idx="20">
                    <c:v>400,18</c:v>
                  </c:pt>
                  <c:pt idx="21">
                    <c:v>250,27</c:v>
                  </c:pt>
                  <c:pt idx="22">
                    <c:v>320,17</c:v>
                  </c:pt>
                  <c:pt idx="24">
                    <c:v>300,00</c:v>
                  </c:pt>
                  <c:pt idx="25">
                    <c:v>299,96</c:v>
                  </c:pt>
                  <c:pt idx="26">
                    <c:v>352,12</c:v>
                  </c:pt>
                  <c:pt idx="27">
                    <c:v>349,98</c:v>
                  </c:pt>
                  <c:pt idx="28">
                    <c:v>400,14</c:v>
                  </c:pt>
                  <c:pt idx="29">
                    <c:v>200,44</c:v>
                  </c:pt>
                  <c:pt idx="30">
                    <c:v>250,64</c:v>
                  </c:pt>
                  <c:pt idx="31">
                    <c:v>299,74</c:v>
                  </c:pt>
                  <c:pt idx="32">
                    <c:v>300,59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299,55</c:v>
                  </c:pt>
                  <c:pt idx="2">
                    <c:v>299,87</c:v>
                  </c:pt>
                  <c:pt idx="3">
                    <c:v>200,89</c:v>
                  </c:pt>
                  <c:pt idx="4">
                    <c:v>386,22</c:v>
                  </c:pt>
                  <c:pt idx="5">
                    <c:v>350,10</c:v>
                  </c:pt>
                  <c:pt idx="6">
                    <c:v>350,18</c:v>
                  </c:pt>
                  <c:pt idx="8">
                    <c:v>120,23</c:v>
                  </c:pt>
                  <c:pt idx="9">
                    <c:v>250,17</c:v>
                  </c:pt>
                  <c:pt idx="10">
                    <c:v>250,30</c:v>
                  </c:pt>
                  <c:pt idx="11">
                    <c:v>300,12</c:v>
                  </c:pt>
                  <c:pt idx="12">
                    <c:v>200,35</c:v>
                  </c:pt>
                  <c:pt idx="13">
                    <c:v>300,78</c:v>
                  </c:pt>
                  <c:pt idx="14">
                    <c:v>300,40</c:v>
                  </c:pt>
                  <c:pt idx="16">
                    <c:v>199,94</c:v>
                  </c:pt>
                  <c:pt idx="17">
                    <c:v>200,21</c:v>
                  </c:pt>
                  <c:pt idx="18">
                    <c:v>351,86</c:v>
                  </c:pt>
                  <c:pt idx="19">
                    <c:v>200,18</c:v>
                  </c:pt>
                  <c:pt idx="20">
                    <c:v>250,57</c:v>
                  </c:pt>
                  <c:pt idx="21">
                    <c:v>FULL</c:v>
                  </c:pt>
                  <c:pt idx="22">
                    <c:v>451,09</c:v>
                  </c:pt>
                  <c:pt idx="24">
                    <c:v>400,43</c:v>
                  </c:pt>
                  <c:pt idx="25">
                    <c:v>300,21</c:v>
                  </c:pt>
                  <c:pt idx="26">
                    <c:v>250,98</c:v>
                  </c:pt>
                  <c:pt idx="27">
                    <c:v>165,78</c:v>
                  </c:pt>
                  <c:pt idx="28">
                    <c:v>200,43</c:v>
                  </c:pt>
                  <c:pt idx="29">
                    <c:v>250,06</c:v>
                  </c:pt>
                  <c:pt idx="30">
                    <c:v>350,33</c:v>
                  </c:pt>
                  <c:pt idx="31">
                    <c:v>199,76</c:v>
                  </c:pt>
                  <c:pt idx="32">
                    <c:v>200,35</c:v>
                  </c:pt>
                </c:lvl>
                <c:lvl>
                  <c:pt idx="0">
                    <c:v>400,20</c:v>
                  </c:pt>
                  <c:pt idx="1">
                    <c:v>349,90</c:v>
                  </c:pt>
                  <c:pt idx="2">
                    <c:v>350,19</c:v>
                  </c:pt>
                  <c:pt idx="3">
                    <c:v>250,85</c:v>
                  </c:pt>
                  <c:pt idx="4">
                    <c:v>208,67</c:v>
                  </c:pt>
                  <c:pt idx="5">
                    <c:v>400,18</c:v>
                  </c:pt>
                  <c:pt idx="6">
                    <c:v>300,18</c:v>
                  </c:pt>
                  <c:pt idx="8">
                    <c:v>200,26</c:v>
                  </c:pt>
                  <c:pt idx="9">
                    <c:v>FULL</c:v>
                  </c:pt>
                  <c:pt idx="10">
                    <c:v>400,24</c:v>
                  </c:pt>
                  <c:pt idx="11">
                    <c:v>250,51</c:v>
                  </c:pt>
                  <c:pt idx="12">
                    <c:v>200,37</c:v>
                  </c:pt>
                  <c:pt idx="13">
                    <c:v>300,61</c:v>
                  </c:pt>
                  <c:pt idx="14">
                    <c:v>303,09</c:v>
                  </c:pt>
                  <c:pt idx="16">
                    <c:v>200,63</c:v>
                  </c:pt>
                  <c:pt idx="17">
                    <c:v>207,86</c:v>
                  </c:pt>
                  <c:pt idx="18">
                    <c:v>270,84</c:v>
                  </c:pt>
                  <c:pt idx="19">
                    <c:v>200,49</c:v>
                  </c:pt>
                  <c:pt idx="20">
                    <c:v>250,35</c:v>
                  </c:pt>
                  <c:pt idx="21">
                    <c:v>250,56</c:v>
                  </c:pt>
                  <c:pt idx="22">
                    <c:v>357,35</c:v>
                  </c:pt>
                  <c:pt idx="24">
                    <c:v>300,05</c:v>
                  </c:pt>
                  <c:pt idx="25">
                    <c:v>200,82</c:v>
                  </c:pt>
                  <c:pt idx="26">
                    <c:v>249,94</c:v>
                  </c:pt>
                  <c:pt idx="27">
                    <c:v>250,78</c:v>
                  </c:pt>
                  <c:pt idx="28">
                    <c:v>250,78</c:v>
                  </c:pt>
                  <c:pt idx="29">
                    <c:v>250,52</c:v>
                  </c:pt>
                  <c:pt idx="30">
                    <c:v>250,13</c:v>
                  </c:pt>
                  <c:pt idx="31">
                    <c:v>305,44</c:v>
                  </c:pt>
                  <c:pt idx="32">
                    <c:v>251,46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270,61</c:v>
                  </c:pt>
                  <c:pt idx="3">
                    <c:v>269,87</c:v>
                  </c:pt>
                  <c:pt idx="4">
                    <c:v>FULL</c:v>
                  </c:pt>
                  <c:pt idx="5">
                    <c:v>500,18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121,42</c:v>
                  </c:pt>
                  <c:pt idx="10">
                    <c:v>FULL</c:v>
                  </c:pt>
                  <c:pt idx="11">
                    <c:v>370,62</c:v>
                  </c:pt>
                  <c:pt idx="12">
                    <c:v>350,25</c:v>
                  </c:pt>
                  <c:pt idx="13">
                    <c:v>400,69</c:v>
                  </c:pt>
                  <c:pt idx="14">
                    <c:v>500,12</c:v>
                  </c:pt>
                  <c:pt idx="16">
                    <c:v>200,62</c:v>
                  </c:pt>
                  <c:pt idx="17">
                    <c:v>FULL</c:v>
                  </c:pt>
                  <c:pt idx="18">
                    <c:v>452,92</c:v>
                  </c:pt>
                  <c:pt idx="19">
                    <c:v>399,94</c:v>
                  </c:pt>
                  <c:pt idx="20">
                    <c:v>400,00</c:v>
                  </c:pt>
                  <c:pt idx="21">
                    <c:v>499,94</c:v>
                  </c:pt>
                  <c:pt idx="22">
                    <c:v>415,63</c:v>
                  </c:pt>
                  <c:pt idx="24">
                    <c:v>500,27</c:v>
                  </c:pt>
                  <c:pt idx="25">
                    <c:v>251,18</c:v>
                  </c:pt>
                  <c:pt idx="26">
                    <c:v>FULL</c:v>
                  </c:pt>
                  <c:pt idx="27">
                    <c:v>400,30</c:v>
                  </c:pt>
                  <c:pt idx="28">
                    <c:v>400,09</c:v>
                  </c:pt>
                  <c:pt idx="29">
                    <c:v>400,13</c:v>
                  </c:pt>
                  <c:pt idx="30">
                    <c:v>400,14</c:v>
                  </c:pt>
                  <c:pt idx="31">
                    <c:v>499,62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71,76</c:v>
                  </c:pt>
                  <c:pt idx="2">
                    <c:v>380,46</c:v>
                  </c:pt>
                  <c:pt idx="3">
                    <c:v>323,93</c:v>
                  </c:pt>
                  <c:pt idx="4">
                    <c:v>391,29</c:v>
                  </c:pt>
                  <c:pt idx="5">
                    <c:v>400,18</c:v>
                  </c:pt>
                  <c:pt idx="6">
                    <c:v>400,26</c:v>
                  </c:pt>
                  <c:pt idx="8">
                    <c:v>500,16</c:v>
                  </c:pt>
                  <c:pt idx="9">
                    <c:v>270,49</c:v>
                  </c:pt>
                  <c:pt idx="10">
                    <c:v>450,20</c:v>
                  </c:pt>
                  <c:pt idx="11">
                    <c:v>500,34</c:v>
                  </c:pt>
                  <c:pt idx="12">
                    <c:v>400,09</c:v>
                  </c:pt>
                  <c:pt idx="13">
                    <c:v>400,84</c:v>
                  </c:pt>
                  <c:pt idx="14">
                    <c:v>283,81</c:v>
                  </c:pt>
                  <c:pt idx="16">
                    <c:v>350,19</c:v>
                  </c:pt>
                  <c:pt idx="17">
                    <c:v>350,43</c:v>
                  </c:pt>
                  <c:pt idx="18">
                    <c:v>119,49</c:v>
                  </c:pt>
                  <c:pt idx="19">
                    <c:v>500,19</c:v>
                  </c:pt>
                  <c:pt idx="20">
                    <c:v>400,51</c:v>
                  </c:pt>
                  <c:pt idx="21">
                    <c:v>400,23</c:v>
                  </c:pt>
                  <c:pt idx="22">
                    <c:v>419,57</c:v>
                  </c:pt>
                  <c:pt idx="24">
                    <c:v>300,50</c:v>
                  </c:pt>
                  <c:pt idx="25">
                    <c:v>312,27</c:v>
                  </c:pt>
                  <c:pt idx="26">
                    <c:v>450,83</c:v>
                  </c:pt>
                  <c:pt idx="27">
                    <c:v>369,96</c:v>
                  </c:pt>
                  <c:pt idx="28">
                    <c:v>400,19</c:v>
                  </c:pt>
                  <c:pt idx="29">
                    <c:v>399,92</c:v>
                  </c:pt>
                  <c:pt idx="30">
                    <c:v>400,22</c:v>
                  </c:pt>
                  <c:pt idx="31">
                    <c:v>299,92</c:v>
                  </c:pt>
                  <c:pt idx="32">
                    <c:v>450,55</c:v>
                  </c:pt>
                </c:lvl>
                <c:lvl>
                  <c:pt idx="7">
                    <c:v>GRAHA</c:v>
                  </c:pt>
                  <c:pt idx="15">
                    <c:v>GRAHA</c:v>
                  </c:pt>
                  <c:pt idx="23">
                    <c:v>GRAHA</c:v>
                  </c:pt>
                  <c:pt idx="34">
                    <c:v>GRAHA</c:v>
                  </c:pt>
                </c:lvl>
                <c:lvl>
                  <c:pt idx="0">
                    <c:v>57,69</c:v>
                  </c:pt>
                  <c:pt idx="1">
                    <c:v>67,25</c:v>
                  </c:pt>
                  <c:pt idx="2">
                    <c:v>418,37</c:v>
                  </c:pt>
                  <c:pt idx="3">
                    <c:v>293,43</c:v>
                  </c:pt>
                  <c:pt idx="4">
                    <c:v>490,71</c:v>
                  </c:pt>
                  <c:pt idx="5">
                    <c:v>399,99</c:v>
                  </c:pt>
                  <c:pt idx="6">
                    <c:v>352,83</c:v>
                  </c:pt>
                  <c:pt idx="8">
                    <c:v>200,39</c:v>
                  </c:pt>
                  <c:pt idx="9">
                    <c:v>232,41</c:v>
                  </c:pt>
                  <c:pt idx="10">
                    <c:v>35,71</c:v>
                  </c:pt>
                  <c:pt idx="11">
                    <c:v>50,04</c:v>
                  </c:pt>
                  <c:pt idx="12">
                    <c:v>89,06</c:v>
                  </c:pt>
                  <c:pt idx="13">
                    <c:v>412,37</c:v>
                  </c:pt>
                  <c:pt idx="14">
                    <c:v>334,29</c:v>
                  </c:pt>
                  <c:pt idx="16">
                    <c:v>502,21</c:v>
                  </c:pt>
                  <c:pt idx="17">
                    <c:v>400,31</c:v>
                  </c:pt>
                  <c:pt idx="18">
                    <c:v>434,69</c:v>
                  </c:pt>
                  <c:pt idx="19">
                    <c:v>355,10</c:v>
                  </c:pt>
                  <c:pt idx="20">
                    <c:v>267,25</c:v>
                  </c:pt>
                  <c:pt idx="21">
                    <c:v>209,37</c:v>
                  </c:pt>
                  <c:pt idx="22">
                    <c:v>500,42</c:v>
                  </c:pt>
                  <c:pt idx="24">
                    <c:v>268,41</c:v>
                  </c:pt>
                  <c:pt idx="25">
                    <c:v>FULL</c:v>
                  </c:pt>
                  <c:pt idx="26">
                    <c:v>173,75</c:v>
                  </c:pt>
                  <c:pt idx="27">
                    <c:v>486,51</c:v>
                  </c:pt>
                  <c:pt idx="28">
                    <c:v>400,40</c:v>
                  </c:pt>
                  <c:pt idx="29">
                    <c:v>68,68</c:v>
                  </c:pt>
                  <c:pt idx="30">
                    <c:v>400,04</c:v>
                  </c:pt>
                  <c:pt idx="31">
                    <c:v>65,22</c:v>
                  </c:pt>
                  <c:pt idx="32">
                    <c:v>16,90</c:v>
                  </c:pt>
                </c:lvl>
                <c:lvl>
                  <c:pt idx="0">
                    <c:v>450,81</c:v>
                  </c:pt>
                  <c:pt idx="1">
                    <c:v>403,52</c:v>
                  </c:pt>
                  <c:pt idx="2">
                    <c:v>450,90</c:v>
                  </c:pt>
                  <c:pt idx="3">
                    <c:v>355,16</c:v>
                  </c:pt>
                  <c:pt idx="4">
                    <c:v>483,87</c:v>
                  </c:pt>
                  <c:pt idx="5">
                    <c:v>500,17</c:v>
                  </c:pt>
                  <c:pt idx="6">
                    <c:v>350,48</c:v>
                  </c:pt>
                  <c:pt idx="8">
                    <c:v>350,32</c:v>
                  </c:pt>
                  <c:pt idx="9">
                    <c:v>353,28</c:v>
                  </c:pt>
                  <c:pt idx="10">
                    <c:v>300,46</c:v>
                  </c:pt>
                  <c:pt idx="11">
                    <c:v>205,25</c:v>
                  </c:pt>
                  <c:pt idx="12">
                    <c:v>500,08</c:v>
                  </c:pt>
                  <c:pt idx="13">
                    <c:v>463,80</c:v>
                  </c:pt>
                  <c:pt idx="14">
                    <c:v>480,25</c:v>
                  </c:pt>
                  <c:pt idx="16">
                    <c:v>400,36</c:v>
                  </c:pt>
                  <c:pt idx="17">
                    <c:v>400,75</c:v>
                  </c:pt>
                  <c:pt idx="18">
                    <c:v>450,36</c:v>
                  </c:pt>
                  <c:pt idx="19">
                    <c:v>399,85</c:v>
                  </c:pt>
                  <c:pt idx="20">
                    <c:v>400,47</c:v>
                  </c:pt>
                  <c:pt idx="21">
                    <c:v>500,19</c:v>
                  </c:pt>
                  <c:pt idx="22">
                    <c:v>499,97</c:v>
                  </c:pt>
                  <c:pt idx="24">
                    <c:v>500,15</c:v>
                  </c:pt>
                  <c:pt idx="25">
                    <c:v>500,06</c:v>
                  </c:pt>
                  <c:pt idx="26">
                    <c:v>500,33</c:v>
                  </c:pt>
                  <c:pt idx="27">
                    <c:v>499,61</c:v>
                  </c:pt>
                  <c:pt idx="28">
                    <c:v>500,60</c:v>
                  </c:pt>
                  <c:pt idx="29">
                    <c:v>500,34</c:v>
                  </c:pt>
                  <c:pt idx="30">
                    <c:v>500,18</c:v>
                  </c:pt>
                  <c:pt idx="31">
                    <c:v>477,14</c:v>
                  </c:pt>
                  <c:pt idx="32">
                    <c:v>500,13</c:v>
                  </c:pt>
                </c:lvl>
                <c:lvl>
                  <c:pt idx="0">
                    <c:v>399,71</c:v>
                  </c:pt>
                  <c:pt idx="1">
                    <c:v>501,49</c:v>
                  </c:pt>
                  <c:pt idx="2">
                    <c:v>500,28</c:v>
                  </c:pt>
                  <c:pt idx="3">
                    <c:v>500,45</c:v>
                  </c:pt>
                  <c:pt idx="4">
                    <c:v>415,33</c:v>
                  </c:pt>
                  <c:pt idx="5">
                    <c:v>399,85</c:v>
                  </c:pt>
                  <c:pt idx="6">
                    <c:v>400,40</c:v>
                  </c:pt>
                  <c:pt idx="8">
                    <c:v>457,89</c:v>
                  </c:pt>
                  <c:pt idx="9">
                    <c:v>372,57</c:v>
                  </c:pt>
                  <c:pt idx="10">
                    <c:v>454,62</c:v>
                  </c:pt>
                  <c:pt idx="11">
                    <c:v>400,39</c:v>
                  </c:pt>
                  <c:pt idx="12">
                    <c:v>500,25</c:v>
                  </c:pt>
                  <c:pt idx="13">
                    <c:v>497,85</c:v>
                  </c:pt>
                  <c:pt idx="14">
                    <c:v>462,09</c:v>
                  </c:pt>
                  <c:pt idx="16">
                    <c:v>457,14</c:v>
                  </c:pt>
                  <c:pt idx="17">
                    <c:v>400,12</c:v>
                  </c:pt>
                  <c:pt idx="18">
                    <c:v>499,69</c:v>
                  </c:pt>
                  <c:pt idx="19">
                    <c:v>400,11</c:v>
                  </c:pt>
                  <c:pt idx="20">
                    <c:v>500,49</c:v>
                  </c:pt>
                  <c:pt idx="21">
                    <c:v>499,98</c:v>
                  </c:pt>
                  <c:pt idx="22">
                    <c:v>498,80</c:v>
                  </c:pt>
                  <c:pt idx="24">
                    <c:v>432,69</c:v>
                  </c:pt>
                  <c:pt idx="25">
                    <c:v>465,73</c:v>
                  </c:pt>
                  <c:pt idx="26">
                    <c:v>451,69</c:v>
                  </c:pt>
                  <c:pt idx="27">
                    <c:v>499,91</c:v>
                  </c:pt>
                  <c:pt idx="28">
                    <c:v>494,90</c:v>
                  </c:pt>
                  <c:pt idx="29">
                    <c:v>400,16</c:v>
                  </c:pt>
                  <c:pt idx="30">
                    <c:v>FULL</c:v>
                  </c:pt>
                  <c:pt idx="31">
                    <c:v>500,56</c:v>
                  </c:pt>
                  <c:pt idx="32">
                    <c:v>498,26</c:v>
                  </c:pt>
                  <c:pt idx="36">
                    <c:v>05, 09,12,22,38, 43, 44.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 full BBM Solar -----------</c:v>
                  </c:pt>
                </c:lvl>
                <c:lvl>
                  <c:pt idx="0">
                    <c:v>400,23</c:v>
                  </c:pt>
                  <c:pt idx="1">
                    <c:v>499,41</c:v>
                  </c:pt>
                  <c:pt idx="2">
                    <c:v>400,19</c:v>
                  </c:pt>
                  <c:pt idx="3">
                    <c:v>500,51</c:v>
                  </c:pt>
                  <c:pt idx="4">
                    <c:v>500,52</c:v>
                  </c:pt>
                  <c:pt idx="5">
                    <c:v>400,01</c:v>
                  </c:pt>
                  <c:pt idx="6">
                    <c:v>265,71</c:v>
                  </c:pt>
                  <c:pt idx="8">
                    <c:v>FULL</c:v>
                  </c:pt>
                  <c:pt idx="9">
                    <c:v>331,44</c:v>
                  </c:pt>
                  <c:pt idx="10">
                    <c:v>500,19</c:v>
                  </c:pt>
                  <c:pt idx="11">
                    <c:v>500,15</c:v>
                  </c:pt>
                  <c:pt idx="12">
                    <c:v>500,08</c:v>
                  </c:pt>
                  <c:pt idx="13">
                    <c:v>500,31</c:v>
                  </c:pt>
                  <c:pt idx="14">
                    <c:v>470,21</c:v>
                  </c:pt>
                  <c:pt idx="16">
                    <c:v>400,34</c:v>
                  </c:pt>
                  <c:pt idx="17">
                    <c:v>400,09</c:v>
                  </c:pt>
                  <c:pt idx="18">
                    <c:v>500,96</c:v>
                  </c:pt>
                  <c:pt idx="19">
                    <c:v>500,19</c:v>
                  </c:pt>
                  <c:pt idx="20">
                    <c:v>500,09</c:v>
                  </c:pt>
                  <c:pt idx="21">
                    <c:v>450,06</c:v>
                  </c:pt>
                  <c:pt idx="22">
                    <c:v>500,03</c:v>
                  </c:pt>
                  <c:pt idx="24">
                    <c:v>500,73</c:v>
                  </c:pt>
                  <c:pt idx="25">
                    <c:v>499,84</c:v>
                  </c:pt>
                  <c:pt idx="26">
                    <c:v>500,81</c:v>
                  </c:pt>
                  <c:pt idx="27">
                    <c:v>500,05</c:v>
                  </c:pt>
                  <c:pt idx="28">
                    <c:v>500,41</c:v>
                  </c:pt>
                  <c:pt idx="29">
                    <c:v>500,27</c:v>
                  </c:pt>
                  <c:pt idx="30">
                    <c:v>500,57</c:v>
                  </c:pt>
                  <c:pt idx="31">
                    <c:v>499,95</c:v>
                  </c:pt>
                  <c:pt idx="32">
                    <c:v>500,41</c:v>
                  </c:pt>
                  <c:pt idx="36">
                    <c:v>. RTGC Standby status</c:v>
                  </c:pt>
                </c:lvl>
                <c:lvl>
                  <c:pt idx="0">
                    <c:v>500,07</c:v>
                  </c:pt>
                  <c:pt idx="1">
                    <c:v>450,04</c:v>
                  </c:pt>
                  <c:pt idx="2">
                    <c:v>400,17</c:v>
                  </c:pt>
                  <c:pt idx="3">
                    <c:v>500,17</c:v>
                  </c:pt>
                  <c:pt idx="4">
                    <c:v>500,72</c:v>
                  </c:pt>
                  <c:pt idx="5">
                    <c:v>499,88</c:v>
                  </c:pt>
                  <c:pt idx="6">
                    <c:v>400,09</c:v>
                  </c:pt>
                  <c:pt idx="8">
                    <c:v>450,21</c:v>
                  </c:pt>
                  <c:pt idx="9">
                    <c:v>400,82</c:v>
                  </c:pt>
                  <c:pt idx="10">
                    <c:v>500,12</c:v>
                  </c:pt>
                  <c:pt idx="11">
                    <c:v>500,36</c:v>
                  </c:pt>
                  <c:pt idx="12">
                    <c:v>500,13</c:v>
                  </c:pt>
                  <c:pt idx="13">
                    <c:v>500,51</c:v>
                  </c:pt>
                  <c:pt idx="14">
                    <c:v>450,23</c:v>
                  </c:pt>
                  <c:pt idx="16">
                    <c:v>450,21</c:v>
                  </c:pt>
                  <c:pt idx="17">
                    <c:v>400,33</c:v>
                  </c:pt>
                  <c:pt idx="18">
                    <c:v>500,02</c:v>
                  </c:pt>
                  <c:pt idx="19">
                    <c:v>400,08</c:v>
                  </c:pt>
                  <c:pt idx="20">
                    <c:v>500,61</c:v>
                  </c:pt>
                  <c:pt idx="21">
                    <c:v>500,68</c:v>
                  </c:pt>
                  <c:pt idx="22">
                    <c:v>500,80</c:v>
                  </c:pt>
                  <c:pt idx="24">
                    <c:v>400,10</c:v>
                  </c:pt>
                  <c:pt idx="25">
                    <c:v>500,16</c:v>
                  </c:pt>
                  <c:pt idx="26">
                    <c:v>500,22</c:v>
                  </c:pt>
                  <c:pt idx="27">
                    <c:v>400,20</c:v>
                  </c:pt>
                  <c:pt idx="28">
                    <c:v>502,68</c:v>
                  </c:pt>
                  <c:pt idx="29">
                    <c:v>500,23</c:v>
                  </c:pt>
                  <c:pt idx="30">
                    <c:v>500,10</c:v>
                  </c:pt>
                  <c:pt idx="31">
                    <c:v>300,61</c:v>
                  </c:pt>
                  <c:pt idx="32">
                    <c:v>400,50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21, 23, 24, 25.</c:v>
                  </c:pt>
                </c:lvl>
                <c:lvl>
                  <c:pt idx="0">
                    <c:v>400,56</c:v>
                  </c:pt>
                  <c:pt idx="1">
                    <c:v>344,71</c:v>
                  </c:pt>
                  <c:pt idx="2">
                    <c:v>449,99</c:v>
                  </c:pt>
                  <c:pt idx="3">
                    <c:v>361,62</c:v>
                  </c:pt>
                  <c:pt idx="4">
                    <c:v>432,63</c:v>
                  </c:pt>
                  <c:pt idx="5">
                    <c:v>350,37</c:v>
                  </c:pt>
                  <c:pt idx="6">
                    <c:v>400,55</c:v>
                  </c:pt>
                  <c:pt idx="8">
                    <c:v>201,31</c:v>
                  </c:pt>
                  <c:pt idx="9">
                    <c:v>FULL</c:v>
                  </c:pt>
                  <c:pt idx="10">
                    <c:v>300,53</c:v>
                  </c:pt>
                  <c:pt idx="11">
                    <c:v>400,47</c:v>
                  </c:pt>
                  <c:pt idx="12">
                    <c:v>450,27</c:v>
                  </c:pt>
                  <c:pt idx="13">
                    <c:v>400,55</c:v>
                  </c:pt>
                  <c:pt idx="14">
                    <c:v>354,76</c:v>
                  </c:pt>
                  <c:pt idx="16">
                    <c:v>386,71</c:v>
                  </c:pt>
                  <c:pt idx="17">
                    <c:v>399,97</c:v>
                  </c:pt>
                  <c:pt idx="18">
                    <c:v>307,37</c:v>
                  </c:pt>
                  <c:pt idx="19">
                    <c:v>400,32</c:v>
                  </c:pt>
                  <c:pt idx="20">
                    <c:v>260,40</c:v>
                  </c:pt>
                  <c:pt idx="21">
                    <c:v>399,63</c:v>
                  </c:pt>
                  <c:pt idx="22">
                    <c:v>420,22</c:v>
                  </c:pt>
                  <c:pt idx="24">
                    <c:v>450,52</c:v>
                  </c:pt>
                  <c:pt idx="25">
                    <c:v>350,01</c:v>
                  </c:pt>
                  <c:pt idx="26">
                    <c:v>500,55</c:v>
                  </c:pt>
                  <c:pt idx="27">
                    <c:v>349,87</c:v>
                  </c:pt>
                  <c:pt idx="28">
                    <c:v>412,66</c:v>
                  </c:pt>
                  <c:pt idx="29">
                    <c:v>400,38</c:v>
                  </c:pt>
                  <c:pt idx="30">
                    <c:v>418,29</c:v>
                  </c:pt>
                  <c:pt idx="31">
                    <c:v>398,94</c:v>
                  </c:pt>
                  <c:pt idx="32">
                    <c:v>400,33</c:v>
                  </c:pt>
                  <c:pt idx="36">
                    <c:v>. RTGC yg Dilelang Srucb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301,52</c:v>
                  </c:pt>
                  <c:pt idx="1">
                    <c:v>350,00</c:v>
                  </c:pt>
                  <c:pt idx="2">
                    <c:v>270,04</c:v>
                  </c:pt>
                  <c:pt idx="3">
                    <c:v>303,64</c:v>
                  </c:pt>
                  <c:pt idx="4">
                    <c:v>310,42</c:v>
                  </c:pt>
                  <c:pt idx="5">
                    <c:v>399,99</c:v>
                  </c:pt>
                  <c:pt idx="6">
                    <c:v>300,23</c:v>
                  </c:pt>
                  <c:pt idx="8">
                    <c:v>149,98</c:v>
                  </c:pt>
                  <c:pt idx="9">
                    <c:v>249,99</c:v>
                  </c:pt>
                  <c:pt idx="10">
                    <c:v>400,44</c:v>
                  </c:pt>
                  <c:pt idx="11">
                    <c:v>149,16</c:v>
                  </c:pt>
                  <c:pt idx="12">
                    <c:v>150,32</c:v>
                  </c:pt>
                  <c:pt idx="13">
                    <c:v>FULL</c:v>
                  </c:pt>
                  <c:pt idx="14">
                    <c:v>270,57</c:v>
                  </c:pt>
                  <c:pt idx="16">
                    <c:v>400,36</c:v>
                  </c:pt>
                  <c:pt idx="17">
                    <c:v>200,34</c:v>
                  </c:pt>
                  <c:pt idx="18">
                    <c:v>352,22</c:v>
                  </c:pt>
                  <c:pt idx="19">
                    <c:v>288,21</c:v>
                  </c:pt>
                  <c:pt idx="20">
                    <c:v>400,08</c:v>
                  </c:pt>
                  <c:pt idx="21">
                    <c:v>350,53</c:v>
                  </c:pt>
                  <c:pt idx="22">
                    <c:v>350,31</c:v>
                  </c:pt>
                  <c:pt idx="24">
                    <c:v>350,30</c:v>
                  </c:pt>
                  <c:pt idx="25">
                    <c:v>350,79</c:v>
                  </c:pt>
                  <c:pt idx="26">
                    <c:v>350,53</c:v>
                  </c:pt>
                  <c:pt idx="27">
                    <c:v>200,07</c:v>
                  </c:pt>
                  <c:pt idx="28">
                    <c:v>350,66</c:v>
                  </c:pt>
                  <c:pt idx="29">
                    <c:v>350,41</c:v>
                  </c:pt>
                  <c:pt idx="30">
                    <c:v>400,07</c:v>
                  </c:pt>
                  <c:pt idx="31">
                    <c:v>251,31</c:v>
                  </c:pt>
                  <c:pt idx="32">
                    <c:v>400,23</c:v>
                  </c:pt>
                  <c:pt idx="36">
                    <c:v>07, 26, 29, 35,36, 42, 63.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. RTGC PM ---------------</c:v>
                  </c:pt>
                </c:lvl>
                <c:lvl>
                  <c:pt idx="0">
                    <c:v>505,63</c:v>
                  </c:pt>
                  <c:pt idx="1">
                    <c:v>470,43</c:v>
                  </c:pt>
                  <c:pt idx="2">
                    <c:v>500,38</c:v>
                  </c:pt>
                  <c:pt idx="3">
                    <c:v>400,65</c:v>
                  </c:pt>
                  <c:pt idx="4">
                    <c:v>486,13</c:v>
                  </c:pt>
                  <c:pt idx="5">
                    <c:v>500,05</c:v>
                  </c:pt>
                  <c:pt idx="6">
                    <c:v>400,15</c:v>
                  </c:pt>
                  <c:pt idx="8">
                    <c:v>450,15</c:v>
                  </c:pt>
                  <c:pt idx="9">
                    <c:v>499,90</c:v>
                  </c:pt>
                  <c:pt idx="10">
                    <c:v>500,17</c:v>
                  </c:pt>
                  <c:pt idx="11">
                    <c:v>450,05</c:v>
                  </c:pt>
                  <c:pt idx="12">
                    <c:v>500,23</c:v>
                  </c:pt>
                  <c:pt idx="13">
                    <c:v>400,89</c:v>
                  </c:pt>
                  <c:pt idx="14">
                    <c:v>500,62</c:v>
                  </c:pt>
                  <c:pt idx="16">
                    <c:v>450,81</c:v>
                  </c:pt>
                  <c:pt idx="17">
                    <c:v>400,22</c:v>
                  </c:pt>
                  <c:pt idx="18">
                    <c:v>499,92</c:v>
                  </c:pt>
                  <c:pt idx="19">
                    <c:v>500,29</c:v>
                  </c:pt>
                  <c:pt idx="20">
                    <c:v>450,11</c:v>
                  </c:pt>
                  <c:pt idx="21">
                    <c:v>400,44</c:v>
                  </c:pt>
                  <c:pt idx="22">
                    <c:v>517,91</c:v>
                  </c:pt>
                  <c:pt idx="24">
                    <c:v>500,00</c:v>
                  </c:pt>
                  <c:pt idx="25">
                    <c:v>400,16</c:v>
                  </c:pt>
                  <c:pt idx="26">
                    <c:v>449,45</c:v>
                  </c:pt>
                  <c:pt idx="27">
                    <c:v>499,25</c:v>
                  </c:pt>
                  <c:pt idx="28">
                    <c:v>400,35</c:v>
                  </c:pt>
                  <c:pt idx="29">
                    <c:v>500,21</c:v>
                  </c:pt>
                  <c:pt idx="30">
                    <c:v>499,97</c:v>
                  </c:pt>
                  <c:pt idx="31">
                    <c:v>400,47</c:v>
                  </c:pt>
                  <c:pt idx="32">
                    <c:v>500,62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GraHa Segara</c:v>
                  </c:pt>
                </c:lvl>
                <c:lvl>
                  <c:pt idx="0">
                    <c:v>299,64</c:v>
                  </c:pt>
                  <c:pt idx="1">
                    <c:v>350,00</c:v>
                  </c:pt>
                  <c:pt idx="2">
                    <c:v>400,18</c:v>
                  </c:pt>
                  <c:pt idx="3">
                    <c:v>351,14</c:v>
                  </c:pt>
                  <c:pt idx="4">
                    <c:v>436,30</c:v>
                  </c:pt>
                  <c:pt idx="5">
                    <c:v>399,85</c:v>
                  </c:pt>
                  <c:pt idx="6">
                    <c:v>350,22</c:v>
                  </c:pt>
                  <c:pt idx="8">
                    <c:v>400,09</c:v>
                  </c:pt>
                  <c:pt idx="9">
                    <c:v>337,72</c:v>
                  </c:pt>
                  <c:pt idx="10">
                    <c:v>400,09</c:v>
                  </c:pt>
                  <c:pt idx="11">
                    <c:v>400,27</c:v>
                  </c:pt>
                  <c:pt idx="12">
                    <c:v>350,33</c:v>
                  </c:pt>
                  <c:pt idx="13">
                    <c:v>353,86</c:v>
                  </c:pt>
                  <c:pt idx="14">
                    <c:v>400,37</c:v>
                  </c:pt>
                  <c:pt idx="16">
                    <c:v>350,57</c:v>
                  </c:pt>
                  <c:pt idx="17">
                    <c:v>400,13</c:v>
                  </c:pt>
                  <c:pt idx="18">
                    <c:v>400,34</c:v>
                  </c:pt>
                  <c:pt idx="19">
                    <c:v>350,43</c:v>
                  </c:pt>
                  <c:pt idx="20">
                    <c:v>400,06</c:v>
                  </c:pt>
                  <c:pt idx="21">
                    <c:v>400,16</c:v>
                  </c:pt>
                  <c:pt idx="22">
                    <c:v>326,23</c:v>
                  </c:pt>
                  <c:pt idx="24">
                    <c:v>400,35</c:v>
                  </c:pt>
                  <c:pt idx="25">
                    <c:v>401,12</c:v>
                  </c:pt>
                  <c:pt idx="26">
                    <c:v>350,11</c:v>
                  </c:pt>
                  <c:pt idx="27">
                    <c:v>400,13</c:v>
                  </c:pt>
                  <c:pt idx="28">
                    <c:v>350,51</c:v>
                  </c:pt>
                  <c:pt idx="29">
                    <c:v>400,05</c:v>
                  </c:pt>
                  <c:pt idx="30">
                    <c:v>351,58</c:v>
                  </c:pt>
                  <c:pt idx="31">
                    <c:v>300,07</c:v>
                  </c:pt>
                  <c:pt idx="32">
                    <c:v>400,14</c:v>
                  </c:pt>
                  <c:pt idx="36">
                    <c:v>. RTGC 16 Disewakan ke</c:v>
                  </c:pt>
                </c:lvl>
                <c:lvl>
                  <c:pt idx="0">
                    <c:v>FULL</c:v>
                  </c:pt>
                  <c:pt idx="1">
                    <c:v>250,00</c:v>
                  </c:pt>
                  <c:pt idx="2">
                    <c:v>410,25</c:v>
                  </c:pt>
                  <c:pt idx="3">
                    <c:v>401,06</c:v>
                  </c:pt>
                  <c:pt idx="4">
                    <c:v>355,31</c:v>
                  </c:pt>
                  <c:pt idx="5">
                    <c:v>299,84</c:v>
                  </c:pt>
                  <c:pt idx="6">
                    <c:v>400,21</c:v>
                  </c:pt>
                  <c:pt idx="8">
                    <c:v>199,97</c:v>
                  </c:pt>
                  <c:pt idx="9">
                    <c:v>300,48</c:v>
                  </c:pt>
                  <c:pt idx="10">
                    <c:v>400,10</c:v>
                  </c:pt>
                  <c:pt idx="11">
                    <c:v>350,44</c:v>
                  </c:pt>
                  <c:pt idx="12">
                    <c:v>350,26</c:v>
                  </c:pt>
                  <c:pt idx="13">
                    <c:v>307,39</c:v>
                  </c:pt>
                  <c:pt idx="14">
                    <c:v>400,10</c:v>
                  </c:pt>
                  <c:pt idx="16">
                    <c:v>255,59</c:v>
                  </c:pt>
                  <c:pt idx="17">
                    <c:v>300,24</c:v>
                  </c:pt>
                  <c:pt idx="18">
                    <c:v>400,49</c:v>
                  </c:pt>
                  <c:pt idx="19">
                    <c:v>300,48</c:v>
                  </c:pt>
                  <c:pt idx="20">
                    <c:v>400,15</c:v>
                  </c:pt>
                  <c:pt idx="21">
                    <c:v>300,19</c:v>
                  </c:pt>
                  <c:pt idx="22">
                    <c:v>301,42</c:v>
                  </c:pt>
                  <c:pt idx="24">
                    <c:v>400,27</c:v>
                  </c:pt>
                  <c:pt idx="25">
                    <c:v>272,42</c:v>
                  </c:pt>
                  <c:pt idx="26">
                    <c:v>450,41</c:v>
                  </c:pt>
                  <c:pt idx="27">
                    <c:v>299,75</c:v>
                  </c:pt>
                  <c:pt idx="28">
                    <c:v>400,66</c:v>
                  </c:pt>
                  <c:pt idx="29">
                    <c:v>300,66</c:v>
                  </c:pt>
                  <c:pt idx="30">
                    <c:v>350,26</c:v>
                  </c:pt>
                  <c:pt idx="31">
                    <c:v>250,74</c:v>
                  </c:pt>
                  <c:pt idx="32">
                    <c:v>299,85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</c:multiLvlStrCache>
            </c:multiLvlStrRef>
          </c:cat>
          <c:val>
            <c:numRef>
              <c:f>'JUNI 2026'!$B$168:$AM$168</c:f>
              <c:numCache>
                <c:formatCode>General</c:formatCode>
                <c:ptCount val="37"/>
              </c:numCache>
            </c:numRef>
          </c:val>
        </c:ser>
        <c:ser>
          <c:idx val="2"/>
          <c:order val="2"/>
          <c:tx>
            <c:strRef>
              <c:f>'JUNI 2026'!$A$169</c:f>
              <c:strCache>
                <c:ptCount val="1"/>
                <c:pt idx="0">
                  <c:v>SL 05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'JUNI 2026'!$B$1:$AM$166</c:f>
              <c:multiLvlStrCache>
                <c:ptCount val="3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6">
                    <c:v>Note</c:v>
                  </c:pt>
                </c:lvl>
                <c:lvl>
                  <c:pt idx="0">
                    <c:v>92.77</c:v>
                  </c:pt>
                  <c:pt idx="1">
                    <c:v>92.72</c:v>
                  </c:pt>
                  <c:pt idx="2">
                    <c:v>92.74</c:v>
                  </c:pt>
                  <c:pt idx="3">
                    <c:v>92.76</c:v>
                  </c:pt>
                  <c:pt idx="4">
                    <c:v>92.79</c:v>
                  </c:pt>
                  <c:pt idx="5">
                    <c:v>92.75</c:v>
                  </c:pt>
                  <c:pt idx="6">
                    <c:v>92.74</c:v>
                  </c:pt>
                  <c:pt idx="8">
                    <c:v>92.74</c:v>
                  </c:pt>
                  <c:pt idx="9">
                    <c:v>92.74</c:v>
                  </c:pt>
                  <c:pt idx="10">
                    <c:v>92.75</c:v>
                  </c:pt>
                  <c:pt idx="11">
                    <c:v>92.77</c:v>
                  </c:pt>
                  <c:pt idx="12">
                    <c:v>92.77</c:v>
                  </c:pt>
                  <c:pt idx="13">
                    <c:v>92.73</c:v>
                  </c:pt>
                  <c:pt idx="14">
                    <c:v>92.77</c:v>
                  </c:pt>
                  <c:pt idx="16">
                    <c:v>92.71</c:v>
                  </c:pt>
                  <c:pt idx="17">
                    <c:v>92.72</c:v>
                  </c:pt>
                  <c:pt idx="18">
                    <c:v>92.75</c:v>
                  </c:pt>
                  <c:pt idx="19">
                    <c:v>92.74</c:v>
                  </c:pt>
                  <c:pt idx="20">
                    <c:v>92.75</c:v>
                  </c:pt>
                  <c:pt idx="21">
                    <c:v>92.75</c:v>
                  </c:pt>
                  <c:pt idx="22">
                    <c:v>92.72</c:v>
                  </c:pt>
                  <c:pt idx="24">
                    <c:v>92.75</c:v>
                  </c:pt>
                  <c:pt idx="25">
                    <c:v>92.78</c:v>
                  </c:pt>
                  <c:pt idx="26">
                    <c:v>92.73</c:v>
                  </c:pt>
                  <c:pt idx="27">
                    <c:v>92.73</c:v>
                  </c:pt>
                  <c:pt idx="28">
                    <c:v>92.73</c:v>
                  </c:pt>
                  <c:pt idx="29">
                    <c:v>92.74</c:v>
                  </c:pt>
                  <c:pt idx="30">
                    <c:v>92.70</c:v>
                  </c:pt>
                  <c:pt idx="31">
                    <c:v>92.74</c:v>
                  </c:pt>
                  <c:pt idx="32">
                    <c:v>92.70</c:v>
                  </c:pt>
                </c:lvl>
                <c:lvl>
                  <c:pt idx="0">
                    <c:v>6662,40</c:v>
                  </c:pt>
                  <c:pt idx="1">
                    <c:v>6181,46</c:v>
                  </c:pt>
                  <c:pt idx="2">
                    <c:v>5449,10</c:v>
                  </c:pt>
                  <c:pt idx="3">
                    <c:v>5917,58</c:v>
                  </c:pt>
                  <c:pt idx="4">
                    <c:v>5481,75</c:v>
                  </c:pt>
                  <c:pt idx="5">
                    <c:v>5209,42</c:v>
                  </c:pt>
                  <c:pt idx="6">
                    <c:v>6470,01</c:v>
                  </c:pt>
                  <c:pt idx="7">
                    <c:v>41371,72</c:v>
                  </c:pt>
                  <c:pt idx="8">
                    <c:v>4919,99</c:v>
                  </c:pt>
                  <c:pt idx="9">
                    <c:v>6025,86</c:v>
                  </c:pt>
                  <c:pt idx="10">
                    <c:v>5631,71</c:v>
                  </c:pt>
                  <c:pt idx="11">
                    <c:v>6898,52</c:v>
                  </c:pt>
                  <c:pt idx="12">
                    <c:v>5969,85</c:v>
                  </c:pt>
                  <c:pt idx="13">
                    <c:v>5632,86</c:v>
                  </c:pt>
                  <c:pt idx="14">
                    <c:v>6170,18</c:v>
                  </c:pt>
                  <c:pt idx="15">
                    <c:v>41248,97</c:v>
                  </c:pt>
                  <c:pt idx="16">
                    <c:v>6556,14</c:v>
                  </c:pt>
                  <c:pt idx="17">
                    <c:v>6351,87</c:v>
                  </c:pt>
                  <c:pt idx="18">
                    <c:v>6159,44</c:v>
                  </c:pt>
                  <c:pt idx="19">
                    <c:v>5595,52</c:v>
                  </c:pt>
                  <c:pt idx="20">
                    <c:v>6263,54</c:v>
                  </c:pt>
                  <c:pt idx="21">
                    <c:v>5953,98</c:v>
                  </c:pt>
                  <c:pt idx="22">
                    <c:v>5971,14</c:v>
                  </c:pt>
                  <c:pt idx="23">
                    <c:v>42851,63</c:v>
                  </c:pt>
                  <c:pt idx="24">
                    <c:v>6694,38</c:v>
                  </c:pt>
                  <c:pt idx="25">
                    <c:v>6869,59</c:v>
                  </c:pt>
                  <c:pt idx="26">
                    <c:v>5926,68</c:v>
                  </c:pt>
                  <c:pt idx="27">
                    <c:v>5421,42</c:v>
                  </c:pt>
                  <c:pt idx="28">
                    <c:v>6222,84</c:v>
                  </c:pt>
                  <c:pt idx="29">
                    <c:v>5964,21</c:v>
                  </c:pt>
                  <c:pt idx="30">
                    <c:v>6111,90</c:v>
                  </c:pt>
                  <c:pt idx="31">
                    <c:v>5306,48</c:v>
                  </c:pt>
                  <c:pt idx="32">
                    <c:v>5897,44</c:v>
                  </c:pt>
                  <c:pt idx="34">
                    <c:v>54414,94</c:v>
                  </c:pt>
                  <c:pt idx="35">
                    <c:v>179884,26</c:v>
                  </c:pt>
                </c:lvl>
                <c:lvl>
                  <c:pt idx="0">
                    <c:v>69,87</c:v>
                  </c:pt>
                  <c:pt idx="1">
                    <c:v>85,55</c:v>
                  </c:pt>
                  <c:pt idx="2">
                    <c:v>40,04</c:v>
                  </c:pt>
                  <c:pt idx="3">
                    <c:v>89,88</c:v>
                  </c:pt>
                  <c:pt idx="4">
                    <c:v>51,52</c:v>
                  </c:pt>
                  <c:pt idx="5">
                    <c:v>76,86</c:v>
                  </c:pt>
                  <c:pt idx="6">
                    <c:v>95,85</c:v>
                  </c:pt>
                  <c:pt idx="8">
                    <c:v>66,97</c:v>
                  </c:pt>
                  <c:pt idx="9">
                    <c:v>73,35</c:v>
                  </c:pt>
                  <c:pt idx="10">
                    <c:v>57,55</c:v>
                  </c:pt>
                  <c:pt idx="11">
                    <c:v>77,65</c:v>
                  </c:pt>
                  <c:pt idx="12">
                    <c:v>75,78</c:v>
                  </c:pt>
                  <c:pt idx="13">
                    <c:v>62,34</c:v>
                  </c:pt>
                  <c:pt idx="14">
                    <c:v>74,62</c:v>
                  </c:pt>
                  <c:pt idx="16">
                    <c:v>105,49</c:v>
                  </c:pt>
                  <c:pt idx="17">
                    <c:v>103,53</c:v>
                  </c:pt>
                  <c:pt idx="18">
                    <c:v>84,69</c:v>
                  </c:pt>
                  <c:pt idx="19">
                    <c:v>46,34</c:v>
                  </c:pt>
                  <c:pt idx="20">
                    <c:v>92,17</c:v>
                  </c:pt>
                  <c:pt idx="21">
                    <c:v>62,58</c:v>
                  </c:pt>
                  <c:pt idx="22">
                    <c:v>68,39</c:v>
                  </c:pt>
                  <c:pt idx="24">
                    <c:v>86,57</c:v>
                  </c:pt>
                  <c:pt idx="25">
                    <c:v>82,13</c:v>
                  </c:pt>
                  <c:pt idx="26">
                    <c:v>88,08</c:v>
                  </c:pt>
                  <c:pt idx="27">
                    <c:v>70,33</c:v>
                  </c:pt>
                  <c:pt idx="28">
                    <c:v>65,48</c:v>
                  </c:pt>
                  <c:pt idx="29">
                    <c:v>64,07</c:v>
                  </c:pt>
                  <c:pt idx="30">
                    <c:v>85,37</c:v>
                  </c:pt>
                  <c:pt idx="31">
                    <c:v>76,35</c:v>
                  </c:pt>
                  <c:pt idx="32">
                    <c:v>68,54</c:v>
                  </c:pt>
                </c:lvl>
                <c:lvl>
                  <c:pt idx="0">
                    <c:v>94,88</c:v>
                  </c:pt>
                  <c:pt idx="1">
                    <c:v>94,75</c:v>
                  </c:pt>
                  <c:pt idx="2">
                    <c:v>70,80</c:v>
                  </c:pt>
                  <c:pt idx="3">
                    <c:v>25,54</c:v>
                  </c:pt>
                  <c:pt idx="4">
                    <c:v>49,63</c:v>
                  </c:pt>
                  <c:pt idx="5">
                    <c:v>87,58</c:v>
                  </c:pt>
                  <c:pt idx="6">
                    <c:v>93,40</c:v>
                  </c:pt>
                  <c:pt idx="8">
                    <c:v>72,07</c:v>
                  </c:pt>
                  <c:pt idx="9">
                    <c:v>93,76</c:v>
                  </c:pt>
                  <c:pt idx="10">
                    <c:v>74,24</c:v>
                  </c:pt>
                  <c:pt idx="11">
                    <c:v>109,58</c:v>
                  </c:pt>
                  <c:pt idx="12">
                    <c:v>85,04</c:v>
                  </c:pt>
                  <c:pt idx="13">
                    <c:v>90,95</c:v>
                  </c:pt>
                  <c:pt idx="14">
                    <c:v>84,75</c:v>
                  </c:pt>
                  <c:pt idx="16">
                    <c:v>84,80</c:v>
                  </c:pt>
                  <c:pt idx="17">
                    <c:v>72,30</c:v>
                  </c:pt>
                  <c:pt idx="18">
                    <c:v>112,35</c:v>
                  </c:pt>
                  <c:pt idx="19">
                    <c:v>95,67</c:v>
                  </c:pt>
                  <c:pt idx="20">
                    <c:v>84,10</c:v>
                  </c:pt>
                  <c:pt idx="21">
                    <c:v>77,54</c:v>
                  </c:pt>
                  <c:pt idx="22">
                    <c:v>51,38</c:v>
                  </c:pt>
                  <c:pt idx="24">
                    <c:v>114,77</c:v>
                  </c:pt>
                  <c:pt idx="25">
                    <c:v>96,62</c:v>
                  </c:pt>
                  <c:pt idx="26">
                    <c:v>93,24</c:v>
                  </c:pt>
                  <c:pt idx="27">
                    <c:v>88,30</c:v>
                  </c:pt>
                  <c:pt idx="28">
                    <c:v>98,59</c:v>
                  </c:pt>
                  <c:pt idx="29">
                    <c:v>101,45</c:v>
                  </c:pt>
                  <c:pt idx="30">
                    <c:v>87,19</c:v>
                  </c:pt>
                  <c:pt idx="31">
                    <c:v>79,44</c:v>
                  </c:pt>
                  <c:pt idx="32">
                    <c:v>93,48</c:v>
                  </c:pt>
                  <c:pt idx="35">
                    <c:v>54411,94</c:v>
                  </c:pt>
                </c:lvl>
                <c:lvl>
                  <c:pt idx="0">
                    <c:v>75,82</c:v>
                  </c:pt>
                  <c:pt idx="1">
                    <c:v>71,36</c:v>
                  </c:pt>
                  <c:pt idx="2">
                    <c:v>68,11</c:v>
                  </c:pt>
                  <c:pt idx="3">
                    <c:v>82,01</c:v>
                  </c:pt>
                  <c:pt idx="4">
                    <c:v>86,56</c:v>
                  </c:pt>
                  <c:pt idx="5">
                    <c:v>72,14</c:v>
                  </c:pt>
                  <c:pt idx="6">
                    <c:v>107,02</c:v>
                  </c:pt>
                  <c:pt idx="8">
                    <c:v>45,71</c:v>
                  </c:pt>
                  <c:pt idx="9">
                    <c:v>61,93</c:v>
                  </c:pt>
                  <c:pt idx="11">
                    <c:v>208,17</c:v>
                  </c:pt>
                  <c:pt idx="12">
                    <c:v>57,00</c:v>
                  </c:pt>
                  <c:pt idx="13">
                    <c:v>82,06</c:v>
                  </c:pt>
                  <c:pt idx="14">
                    <c:v>83,60</c:v>
                  </c:pt>
                  <c:pt idx="16">
                    <c:v>80,28</c:v>
                  </c:pt>
                  <c:pt idx="17">
                    <c:v>90,96</c:v>
                  </c:pt>
                  <c:pt idx="18">
                    <c:v>110,84</c:v>
                  </c:pt>
                  <c:pt idx="19">
                    <c:v>86,21</c:v>
                  </c:pt>
                  <c:pt idx="20">
                    <c:v>93,82</c:v>
                  </c:pt>
                  <c:pt idx="21">
                    <c:v>70,26</c:v>
                  </c:pt>
                  <c:pt idx="22">
                    <c:v>69,18</c:v>
                  </c:pt>
                  <c:pt idx="24">
                    <c:v>100,47</c:v>
                  </c:pt>
                  <c:pt idx="25">
                    <c:v>81,75</c:v>
                  </c:pt>
                  <c:pt idx="26">
                    <c:v>75,77</c:v>
                  </c:pt>
                  <c:pt idx="27">
                    <c:v>106,83</c:v>
                  </c:pt>
                  <c:pt idx="28">
                    <c:v>78,26</c:v>
                  </c:pt>
                  <c:pt idx="29">
                    <c:v>76,14</c:v>
                  </c:pt>
                  <c:pt idx="30">
                    <c:v>79,02</c:v>
                  </c:pt>
                  <c:pt idx="31">
                    <c:v>88,27</c:v>
                  </c:pt>
                  <c:pt idx="32">
                    <c:v>118,74</c:v>
                  </c:pt>
                  <c:pt idx="35">
                    <c:v>42851,63</c:v>
                  </c:pt>
                </c:lvl>
                <c:lvl>
                  <c:pt idx="0">
                    <c:v>83,22</c:v>
                  </c:pt>
                  <c:pt idx="1">
                    <c:v>88,58</c:v>
                  </c:pt>
                  <c:pt idx="2">
                    <c:v>75,59</c:v>
                  </c:pt>
                  <c:pt idx="3">
                    <c:v>73,95</c:v>
                  </c:pt>
                  <c:pt idx="4">
                    <c:v>97,83</c:v>
                  </c:pt>
                  <c:pt idx="5">
                    <c:v>86,42</c:v>
                  </c:pt>
                  <c:pt idx="6">
                    <c:v>79,55</c:v>
                  </c:pt>
                  <c:pt idx="8">
                    <c:v>79,73</c:v>
                  </c:pt>
                  <c:pt idx="9">
                    <c:v>92,33</c:v>
                  </c:pt>
                  <c:pt idx="10">
                    <c:v>72,43</c:v>
                  </c:pt>
                  <c:pt idx="11">
                    <c:v>94,35</c:v>
                  </c:pt>
                  <c:pt idx="12">
                    <c:v>63,14</c:v>
                  </c:pt>
                  <c:pt idx="13">
                    <c:v>98,05</c:v>
                  </c:pt>
                  <c:pt idx="14">
                    <c:v>69,22</c:v>
                  </c:pt>
                  <c:pt idx="16">
                    <c:v>101,45</c:v>
                  </c:pt>
                  <c:pt idx="17">
                    <c:v>96,95</c:v>
                  </c:pt>
                  <c:pt idx="18">
                    <c:v>89,41</c:v>
                  </c:pt>
                  <c:pt idx="19">
                    <c:v>87,28</c:v>
                  </c:pt>
                  <c:pt idx="20">
                    <c:v>68,28</c:v>
                  </c:pt>
                  <c:pt idx="21">
                    <c:v>68,95</c:v>
                  </c:pt>
                  <c:pt idx="22">
                    <c:v>92,22</c:v>
                  </c:pt>
                  <c:pt idx="24">
                    <c:v>99,83</c:v>
                  </c:pt>
                  <c:pt idx="25">
                    <c:v>76,17</c:v>
                  </c:pt>
                  <c:pt idx="26">
                    <c:v>86,33</c:v>
                  </c:pt>
                  <c:pt idx="27">
                    <c:v>79,07</c:v>
                  </c:pt>
                  <c:pt idx="28">
                    <c:v>95,91</c:v>
                  </c:pt>
                  <c:pt idx="29">
                    <c:v>68,55</c:v>
                  </c:pt>
                  <c:pt idx="32">
                    <c:v>55,67</c:v>
                  </c:pt>
                  <c:pt idx="35">
                    <c:v>41248,97</c:v>
                  </c:pt>
                </c:lvl>
                <c:lvl>
                  <c:pt idx="0">
                    <c:v>71,14</c:v>
                  </c:pt>
                  <c:pt idx="1">
                    <c:v>91,53</c:v>
                  </c:pt>
                  <c:pt idx="2">
                    <c:v>97,02</c:v>
                  </c:pt>
                  <c:pt idx="3">
                    <c:v>73,32</c:v>
                  </c:pt>
                  <c:pt idx="4">
                    <c:v>83,64</c:v>
                  </c:pt>
                  <c:pt idx="5">
                    <c:v>61,23</c:v>
                  </c:pt>
                  <c:pt idx="6">
                    <c:v>108,55</c:v>
                  </c:pt>
                  <c:pt idx="8">
                    <c:v>65,76</c:v>
                  </c:pt>
                  <c:pt idx="9">
                    <c:v>71,06</c:v>
                  </c:pt>
                  <c:pt idx="10">
                    <c:v>91,45</c:v>
                  </c:pt>
                  <c:pt idx="11">
                    <c:v>93,90</c:v>
                  </c:pt>
                  <c:pt idx="12">
                    <c:v>71,61</c:v>
                  </c:pt>
                  <c:pt idx="13">
                    <c:v>79,68</c:v>
                  </c:pt>
                  <c:pt idx="14">
                    <c:v>95,14</c:v>
                  </c:pt>
                  <c:pt idx="16">
                    <c:v>75,92</c:v>
                  </c:pt>
                  <c:pt idx="17">
                    <c:v>91,03</c:v>
                  </c:pt>
                  <c:pt idx="18">
                    <c:v>73,67</c:v>
                  </c:pt>
                  <c:pt idx="19">
                    <c:v>66,78</c:v>
                  </c:pt>
                  <c:pt idx="21">
                    <c:v>166,54</c:v>
                  </c:pt>
                  <c:pt idx="22">
                    <c:v>88,08</c:v>
                  </c:pt>
                  <c:pt idx="24">
                    <c:v>93,32</c:v>
                  </c:pt>
                  <c:pt idx="25">
                    <c:v>95,06</c:v>
                  </c:pt>
                  <c:pt idx="26">
                    <c:v>104,77</c:v>
                  </c:pt>
                  <c:pt idx="27">
                    <c:v>81,16</c:v>
                  </c:pt>
                  <c:pt idx="28">
                    <c:v>87,83</c:v>
                  </c:pt>
                  <c:pt idx="29">
                    <c:v>87,67</c:v>
                  </c:pt>
                  <c:pt idx="30">
                    <c:v>86,01</c:v>
                  </c:pt>
                  <c:pt idx="31">
                    <c:v>71,07</c:v>
                  </c:pt>
                  <c:pt idx="32">
                    <c:v>81,96</c:v>
                  </c:pt>
                  <c:pt idx="35">
                    <c:v>41371,72</c:v>
                  </c:pt>
                </c:lvl>
                <c:lvl>
                  <c:pt idx="0">
                    <c:v>73,25</c:v>
                  </c:pt>
                  <c:pt idx="1">
                    <c:v>55,04</c:v>
                  </c:pt>
                  <c:pt idx="2">
                    <c:v>93,73</c:v>
                  </c:pt>
                  <c:pt idx="3">
                    <c:v>81,04</c:v>
                  </c:pt>
                  <c:pt idx="4">
                    <c:v>77,13</c:v>
                  </c:pt>
                  <c:pt idx="5">
                    <c:v>94,58</c:v>
                  </c:pt>
                  <c:pt idx="6">
                    <c:v>109,16</c:v>
                  </c:pt>
                  <c:pt idx="8">
                    <c:v>119,34</c:v>
                  </c:pt>
                  <c:pt idx="9">
                    <c:v>55,48</c:v>
                  </c:pt>
                  <c:pt idx="10">
                    <c:v>76,91</c:v>
                  </c:pt>
                  <c:pt idx="11">
                    <c:v>109,88</c:v>
                  </c:pt>
                  <c:pt idx="12">
                    <c:v>92,36</c:v>
                  </c:pt>
                  <c:pt idx="13">
                    <c:v>66,60</c:v>
                  </c:pt>
                  <c:pt idx="14">
                    <c:v>109,70</c:v>
                  </c:pt>
                  <c:pt idx="16">
                    <c:v>114,44</c:v>
                  </c:pt>
                  <c:pt idx="18">
                    <c:v>104,75</c:v>
                  </c:pt>
                  <c:pt idx="19">
                    <c:v>67,51</c:v>
                  </c:pt>
                  <c:pt idx="20">
                    <c:v>111,04</c:v>
                  </c:pt>
                  <c:pt idx="21">
                    <c:v>79,73</c:v>
                  </c:pt>
                  <c:pt idx="22">
                    <c:v>68,97</c:v>
                  </c:pt>
                  <c:pt idx="24">
                    <c:v>89,93</c:v>
                  </c:pt>
                  <c:pt idx="25">
                    <c:v>103,39</c:v>
                  </c:pt>
                  <c:pt idx="26">
                    <c:v>81,32</c:v>
                  </c:pt>
                  <c:pt idx="27">
                    <c:v>58,79</c:v>
                  </c:pt>
                  <c:pt idx="28">
                    <c:v>85,94</c:v>
                  </c:pt>
                  <c:pt idx="29">
                    <c:v>72,27</c:v>
                  </c:pt>
                  <c:pt idx="30">
                    <c:v>78,67</c:v>
                  </c:pt>
                  <c:pt idx="31">
                    <c:v>74,98</c:v>
                  </c:pt>
                  <c:pt idx="32">
                    <c:v>79,81</c:v>
                  </c:pt>
                </c:lvl>
                <c:lvl>
                  <c:pt idx="0">
                    <c:v>92,89</c:v>
                  </c:pt>
                  <c:pt idx="1">
                    <c:v>84,31</c:v>
                  </c:pt>
                  <c:pt idx="3">
                    <c:v>147,73</c:v>
                  </c:pt>
                  <c:pt idx="4">
                    <c:v>94,66</c:v>
                  </c:pt>
                  <c:pt idx="5">
                    <c:v>80,83</c:v>
                  </c:pt>
                  <c:pt idx="6">
                    <c:v>66,35</c:v>
                  </c:pt>
                  <c:pt idx="8">
                    <c:v>64,10</c:v>
                  </c:pt>
                  <c:pt idx="9">
                    <c:v>85,22</c:v>
                  </c:pt>
                  <c:pt idx="10">
                    <c:v>68,05</c:v>
                  </c:pt>
                  <c:pt idx="11">
                    <c:v>56,92</c:v>
                  </c:pt>
                  <c:pt idx="12">
                    <c:v>84,95</c:v>
                  </c:pt>
                  <c:pt idx="13">
                    <c:v>85,46</c:v>
                  </c:pt>
                  <c:pt idx="14">
                    <c:v>74,70</c:v>
                  </c:pt>
                  <c:pt idx="16">
                    <c:v>103,31</c:v>
                  </c:pt>
                  <c:pt idx="17">
                    <c:v>77,21</c:v>
                  </c:pt>
                  <c:pt idx="18">
                    <c:v>79,33</c:v>
                  </c:pt>
                  <c:pt idx="19">
                    <c:v>70,44</c:v>
                  </c:pt>
                  <c:pt idx="20">
                    <c:v>88,74</c:v>
                  </c:pt>
                  <c:pt idx="21">
                    <c:v>67,04</c:v>
                  </c:pt>
                  <c:pt idx="22">
                    <c:v>80,56</c:v>
                  </c:pt>
                  <c:pt idx="24">
                    <c:v>91,29</c:v>
                  </c:pt>
                  <c:pt idx="25">
                    <c:v>87,01</c:v>
                  </c:pt>
                  <c:pt idx="26">
                    <c:v>66,10</c:v>
                  </c:pt>
                  <c:pt idx="27">
                    <c:v>70,86</c:v>
                  </c:pt>
                  <c:pt idx="28">
                    <c:v>83,31</c:v>
                  </c:pt>
                  <c:pt idx="29">
                    <c:v>71,50</c:v>
                  </c:pt>
                  <c:pt idx="30">
                    <c:v>84,84</c:v>
                  </c:pt>
                  <c:pt idx="31">
                    <c:v>117,15</c:v>
                  </c:pt>
                  <c:pt idx="32">
                    <c:v>70,71</c:v>
                  </c:pt>
                </c:lvl>
                <c:lvl>
                  <c:pt idx="0">
                    <c:v>99,05</c:v>
                  </c:pt>
                  <c:pt idx="1">
                    <c:v>88,36</c:v>
                  </c:pt>
                  <c:pt idx="2">
                    <c:v>86,32</c:v>
                  </c:pt>
                  <c:pt idx="3">
                    <c:v>82,26</c:v>
                  </c:pt>
                  <c:pt idx="4">
                    <c:v>81,09</c:v>
                  </c:pt>
                  <c:pt idx="5">
                    <c:v>67,51</c:v>
                  </c:pt>
                  <c:pt idx="6">
                    <c:v>118,29</c:v>
                  </c:pt>
                  <c:pt idx="8">
                    <c:v>77,87</c:v>
                  </c:pt>
                  <c:pt idx="9">
                    <c:v>93,74</c:v>
                  </c:pt>
                  <c:pt idx="10">
                    <c:v>69,90</c:v>
                  </c:pt>
                  <c:pt idx="11">
                    <c:v>126,30</c:v>
                  </c:pt>
                  <c:pt idx="12">
                    <c:v>72,96</c:v>
                  </c:pt>
                  <c:pt idx="13">
                    <c:v>97,78</c:v>
                  </c:pt>
                  <c:pt idx="14">
                    <c:v>99,16</c:v>
                  </c:pt>
                  <c:pt idx="16">
                    <c:v>104,64</c:v>
                  </c:pt>
                  <c:pt idx="17">
                    <c:v>77,16</c:v>
                  </c:pt>
                  <c:pt idx="18">
                    <c:v>73,22</c:v>
                  </c:pt>
                  <c:pt idx="21">
                    <c:v>124,93</c:v>
                  </c:pt>
                  <c:pt idx="22">
                    <c:v>100,04</c:v>
                  </c:pt>
                  <c:pt idx="24">
                    <c:v>73,88</c:v>
                  </c:pt>
                  <c:pt idx="25">
                    <c:v>90,92</c:v>
                  </c:pt>
                  <c:pt idx="26">
                    <c:v>97,25</c:v>
                  </c:pt>
                  <c:pt idx="27">
                    <c:v>93,86</c:v>
                  </c:pt>
                  <c:pt idx="28">
                    <c:v>90,08</c:v>
                  </c:pt>
                  <c:pt idx="29">
                    <c:v>86,73</c:v>
                  </c:pt>
                  <c:pt idx="30">
                    <c:v>100,07</c:v>
                  </c:pt>
                  <c:pt idx="31">
                    <c:v>90,25</c:v>
                  </c:pt>
                  <c:pt idx="32">
                    <c:v>82,02</c:v>
                  </c:pt>
                </c:lvl>
                <c:lvl>
                  <c:pt idx="0">
                    <c:v>75,15</c:v>
                  </c:pt>
                  <c:pt idx="1">
                    <c:v>90,26</c:v>
                  </c:pt>
                  <c:pt idx="2">
                    <c:v>62,29</c:v>
                  </c:pt>
                  <c:pt idx="3">
                    <c:v>69,72</c:v>
                  </c:pt>
                  <c:pt idx="4">
                    <c:v>64,88</c:v>
                  </c:pt>
                  <c:pt idx="5">
                    <c:v>70,23</c:v>
                  </c:pt>
                  <c:pt idx="6">
                    <c:v>72,94</c:v>
                  </c:pt>
                  <c:pt idx="8">
                    <c:v>64,22</c:v>
                  </c:pt>
                  <c:pt idx="9">
                    <c:v>74,55</c:v>
                  </c:pt>
                  <c:pt idx="10">
                    <c:v>71,92</c:v>
                  </c:pt>
                  <c:pt idx="11">
                    <c:v>76,72</c:v>
                  </c:pt>
                  <c:pt idx="12">
                    <c:v>82,02</c:v>
                  </c:pt>
                  <c:pt idx="13">
                    <c:v>59,58</c:v>
                  </c:pt>
                  <c:pt idx="14">
                    <c:v>60,07</c:v>
                  </c:pt>
                  <c:pt idx="16">
                    <c:v>93,00</c:v>
                  </c:pt>
                  <c:pt idx="17">
                    <c:v>89,43</c:v>
                  </c:pt>
                  <c:pt idx="18">
                    <c:v>74,49</c:v>
                  </c:pt>
                  <c:pt idx="19">
                    <c:v>68,50</c:v>
                  </c:pt>
                  <c:pt idx="20">
                    <c:v>83,91</c:v>
                  </c:pt>
                  <c:pt idx="21">
                    <c:v>54,01</c:v>
                  </c:pt>
                  <c:pt idx="22">
                    <c:v>73,88</c:v>
                  </c:pt>
                  <c:pt idx="24">
                    <c:v>110,53</c:v>
                  </c:pt>
                  <c:pt idx="25">
                    <c:v>56,49</c:v>
                  </c:pt>
                  <c:pt idx="26">
                    <c:v>68,71</c:v>
                  </c:pt>
                  <c:pt idx="27">
                    <c:v>32,45</c:v>
                  </c:pt>
                  <c:pt idx="28">
                    <c:v>89,78</c:v>
                  </c:pt>
                  <c:pt idx="29">
                    <c:v>78,64</c:v>
                  </c:pt>
                  <c:pt idx="30">
                    <c:v>77,70</c:v>
                  </c:pt>
                  <c:pt idx="31">
                    <c:v>77,65</c:v>
                  </c:pt>
                  <c:pt idx="32">
                    <c:v>68,72</c:v>
                  </c:pt>
                </c:lvl>
                <c:lvl>
                  <c:pt idx="0">
                    <c:v>93,20</c:v>
                  </c:pt>
                  <c:pt idx="1">
                    <c:v>65,52</c:v>
                  </c:pt>
                  <c:pt idx="2">
                    <c:v>94,15</c:v>
                  </c:pt>
                  <c:pt idx="3">
                    <c:v>72,57</c:v>
                  </c:pt>
                  <c:pt idx="4">
                    <c:v>78,98</c:v>
                  </c:pt>
                  <c:pt idx="5">
                    <c:v>82,10</c:v>
                  </c:pt>
                  <c:pt idx="6">
                    <c:v>71,42</c:v>
                  </c:pt>
                  <c:pt idx="8">
                    <c:v>60,46</c:v>
                  </c:pt>
                  <c:pt idx="9">
                    <c:v>70,40</c:v>
                  </c:pt>
                  <c:pt idx="10">
                    <c:v>84,01</c:v>
                  </c:pt>
                  <c:pt idx="11">
                    <c:v>101,32</c:v>
                  </c:pt>
                  <c:pt idx="12">
                    <c:v>87,07</c:v>
                  </c:pt>
                  <c:pt idx="13">
                    <c:v>80,92</c:v>
                  </c:pt>
                  <c:pt idx="14">
                    <c:v>25,75</c:v>
                  </c:pt>
                  <c:pt idx="16">
                    <c:v>40,02</c:v>
                  </c:pt>
                  <c:pt idx="17">
                    <c:v>99,48</c:v>
                  </c:pt>
                  <c:pt idx="18">
                    <c:v>47,40</c:v>
                  </c:pt>
                  <c:pt idx="19">
                    <c:v>67,32</c:v>
                  </c:pt>
                  <c:pt idx="20">
                    <c:v>91,77</c:v>
                  </c:pt>
                  <c:pt idx="21">
                    <c:v>85,95</c:v>
                  </c:pt>
                  <c:pt idx="22">
                    <c:v>79,78</c:v>
                  </c:pt>
                  <c:pt idx="24">
                    <c:v>101,61</c:v>
                  </c:pt>
                  <c:pt idx="25">
                    <c:v>105,49</c:v>
                  </c:pt>
                  <c:pt idx="26">
                    <c:v>56,11</c:v>
                  </c:pt>
                  <c:pt idx="27">
                    <c:v>72,05</c:v>
                  </c:pt>
                  <c:pt idx="28">
                    <c:v>89,39</c:v>
                  </c:pt>
                  <c:pt idx="29">
                    <c:v>100,5</c:v>
                  </c:pt>
                  <c:pt idx="30">
                    <c:v>98,67</c:v>
                  </c:pt>
                  <c:pt idx="31">
                    <c:v>63,65</c:v>
                  </c:pt>
                  <c:pt idx="32">
                    <c:v>74,31</c:v>
                  </c:pt>
                </c:lvl>
                <c:lvl>
                  <c:pt idx="0">
                    <c:v>82,75</c:v>
                  </c:pt>
                  <c:pt idx="1">
                    <c:v>84,04</c:v>
                  </c:pt>
                  <c:pt idx="2">
                    <c:v>117,67</c:v>
                  </c:pt>
                  <c:pt idx="3">
                    <c:v>70,62</c:v>
                  </c:pt>
                  <c:pt idx="4">
                    <c:v>76,00</c:v>
                  </c:pt>
                  <c:pt idx="5">
                    <c:v>51,44</c:v>
                  </c:pt>
                  <c:pt idx="6">
                    <c:v>96,46</c:v>
                  </c:pt>
                  <c:pt idx="8">
                    <c:v>61,04</c:v>
                  </c:pt>
                  <c:pt idx="9">
                    <c:v>115,77</c:v>
                  </c:pt>
                  <c:pt idx="10">
                    <c:v>58,51</c:v>
                  </c:pt>
                  <c:pt idx="11">
                    <c:v>110,18</c:v>
                  </c:pt>
                  <c:pt idx="12">
                    <c:v>56,91</c:v>
                  </c:pt>
                  <c:pt idx="13">
                    <c:v>71,18</c:v>
                  </c:pt>
                  <c:pt idx="14">
                    <c:v>100,92</c:v>
                  </c:pt>
                  <c:pt idx="16">
                    <c:v>99,33</c:v>
                  </c:pt>
                  <c:pt idx="19">
                    <c:v>78,58</c:v>
                  </c:pt>
                  <c:pt idx="20">
                    <c:v>124,02</c:v>
                  </c:pt>
                  <c:pt idx="21">
                    <c:v>69,26</c:v>
                  </c:pt>
                  <c:pt idx="22">
                    <c:v>88,41</c:v>
                  </c:pt>
                  <c:pt idx="24">
                    <c:v>101,71</c:v>
                  </c:pt>
                  <c:pt idx="25">
                    <c:v>101,78</c:v>
                  </c:pt>
                  <c:pt idx="26">
                    <c:v>95,57</c:v>
                  </c:pt>
                  <c:pt idx="27">
                    <c:v>58,05</c:v>
                  </c:pt>
                  <c:pt idx="28">
                    <c:v>103,57</c:v>
                  </c:pt>
                  <c:pt idx="29">
                    <c:v>67,07</c:v>
                  </c:pt>
                  <c:pt idx="30">
                    <c:v>85,80</c:v>
                  </c:pt>
                  <c:pt idx="31">
                    <c:v>70,53</c:v>
                  </c:pt>
                  <c:pt idx="32">
                    <c:v>137,15</c:v>
                  </c:pt>
                </c:lvl>
                <c:lvl>
                  <c:pt idx="0">
                    <c:v>85,16</c:v>
                  </c:pt>
                  <c:pt idx="1">
                    <c:v>95,79</c:v>
                  </c:pt>
                  <c:pt idx="2">
                    <c:v>69,40</c:v>
                  </c:pt>
                  <c:pt idx="3">
                    <c:v>61,82</c:v>
                  </c:pt>
                  <c:pt idx="4">
                    <c:v>115,15</c:v>
                  </c:pt>
                  <c:pt idx="5">
                    <c:v>80,05</c:v>
                  </c:pt>
                  <c:pt idx="6">
                    <c:v>92,17</c:v>
                  </c:pt>
                  <c:pt idx="8">
                    <c:v>52,20</c:v>
                  </c:pt>
                  <c:pt idx="9">
                    <c:v>104,08</c:v>
                  </c:pt>
                  <c:pt idx="10">
                    <c:v>100,60</c:v>
                  </c:pt>
                  <c:pt idx="11">
                    <c:v>99,49</c:v>
                  </c:pt>
                  <c:pt idx="12">
                    <c:v>77,75</c:v>
                  </c:pt>
                  <c:pt idx="13">
                    <c:v>86,00</c:v>
                  </c:pt>
                  <c:pt idx="14">
                    <c:v>103,32</c:v>
                  </c:pt>
                  <c:pt idx="16">
                    <c:v>117,08</c:v>
                  </c:pt>
                  <c:pt idx="17">
                    <c:v>81,14</c:v>
                  </c:pt>
                  <c:pt idx="18">
                    <c:v>99,79</c:v>
                  </c:pt>
                  <c:pt idx="19">
                    <c:v>85,97</c:v>
                  </c:pt>
                  <c:pt idx="20">
                    <c:v>80,34</c:v>
                  </c:pt>
                  <c:pt idx="21">
                    <c:v>96,73</c:v>
                  </c:pt>
                  <c:pt idx="22">
                    <c:v>88,02</c:v>
                  </c:pt>
                  <c:pt idx="24">
                    <c:v>109,33</c:v>
                  </c:pt>
                  <c:pt idx="25">
                    <c:v>80,54</c:v>
                  </c:pt>
                  <c:pt idx="26">
                    <c:v>80,04</c:v>
                  </c:pt>
                  <c:pt idx="27">
                    <c:v>92,43</c:v>
                  </c:pt>
                  <c:pt idx="28">
                    <c:v>101,64</c:v>
                  </c:pt>
                  <c:pt idx="29">
                    <c:v>108,68</c:v>
                  </c:pt>
                  <c:pt idx="30">
                    <c:v>97,76</c:v>
                  </c:pt>
                  <c:pt idx="31">
                    <c:v>73,82</c:v>
                  </c:pt>
                  <c:pt idx="32">
                    <c:v>118,55</c:v>
                  </c:pt>
                </c:lvl>
                <c:lvl>
                  <c:pt idx="0">
                    <c:v>68,97</c:v>
                  </c:pt>
                  <c:pt idx="1">
                    <c:v>69,15</c:v>
                  </c:pt>
                  <c:pt idx="2">
                    <c:v>87,42</c:v>
                  </c:pt>
                  <c:pt idx="3">
                    <c:v>67,64</c:v>
                  </c:pt>
                  <c:pt idx="4">
                    <c:v>54,71</c:v>
                  </c:pt>
                  <c:pt idx="5">
                    <c:v>52,97</c:v>
                  </c:pt>
                  <c:pt idx="6">
                    <c:v>78,70</c:v>
                  </c:pt>
                  <c:pt idx="8">
                    <c:v>66,39</c:v>
                  </c:pt>
                  <c:pt idx="9">
                    <c:v>93,62</c:v>
                  </c:pt>
                  <c:pt idx="10">
                    <c:v>65,94</c:v>
                  </c:pt>
                  <c:pt idx="11">
                    <c:v>65,00</c:v>
                  </c:pt>
                  <c:pt idx="12">
                    <c:v>74,89</c:v>
                  </c:pt>
                  <c:pt idx="13">
                    <c:v>74,79</c:v>
                  </c:pt>
                  <c:pt idx="14">
                    <c:v>76,22</c:v>
                  </c:pt>
                  <c:pt idx="16">
                    <c:v>85,89</c:v>
                  </c:pt>
                  <c:pt idx="17">
                    <c:v>78,49</c:v>
                  </c:pt>
                  <c:pt idx="18">
                    <c:v>83,99</c:v>
                  </c:pt>
                  <c:pt idx="19">
                    <c:v>50,91</c:v>
                  </c:pt>
                  <c:pt idx="20">
                    <c:v>58,61</c:v>
                  </c:pt>
                  <c:pt idx="21">
                    <c:v>54,78</c:v>
                  </c:pt>
                  <c:pt idx="22">
                    <c:v>66,80</c:v>
                  </c:pt>
                  <c:pt idx="24">
                    <c:v>87,48</c:v>
                  </c:pt>
                  <c:pt idx="25">
                    <c:v>80,38</c:v>
                  </c:pt>
                  <c:pt idx="26">
                    <c:v>72,12</c:v>
                  </c:pt>
                  <c:pt idx="27">
                    <c:v>61,93</c:v>
                  </c:pt>
                  <c:pt idx="28">
                    <c:v>55,95</c:v>
                  </c:pt>
                  <c:pt idx="29">
                    <c:v>84,29</c:v>
                  </c:pt>
                  <c:pt idx="30">
                    <c:v>96,81</c:v>
                  </c:pt>
                  <c:pt idx="31">
                    <c:v>67,32</c:v>
                  </c:pt>
                  <c:pt idx="32">
                    <c:v>69,39</c:v>
                  </c:pt>
                  <c:pt idx="36">
                    <c:v>. HT 204 - 216, 230 Liter</c:v>
                  </c:pt>
                </c:lvl>
                <c:lvl>
                  <c:pt idx="0">
                    <c:v>97,21</c:v>
                  </c:pt>
                  <c:pt idx="1">
                    <c:v>92,37</c:v>
                  </c:pt>
                  <c:pt idx="2">
                    <c:v>61,16</c:v>
                  </c:pt>
                  <c:pt idx="3">
                    <c:v>68,80</c:v>
                  </c:pt>
                  <c:pt idx="4">
                    <c:v>53,87</c:v>
                  </c:pt>
                  <c:pt idx="5">
                    <c:v>65,60</c:v>
                  </c:pt>
                  <c:pt idx="6">
                    <c:v>59,99</c:v>
                  </c:pt>
                  <c:pt idx="8">
                    <c:v>70,85</c:v>
                  </c:pt>
                  <c:pt idx="9">
                    <c:v>73,91</c:v>
                  </c:pt>
                  <c:pt idx="10">
                    <c:v>77,92</c:v>
                  </c:pt>
                  <c:pt idx="11">
                    <c:v>62,11</c:v>
                  </c:pt>
                  <c:pt idx="12">
                    <c:v>63,19</c:v>
                  </c:pt>
                  <c:pt idx="13">
                    <c:v>60,43</c:v>
                  </c:pt>
                  <c:pt idx="14">
                    <c:v>81,71</c:v>
                  </c:pt>
                  <c:pt idx="16">
                    <c:v>79,41</c:v>
                  </c:pt>
                  <c:pt idx="17">
                    <c:v>84,77</c:v>
                  </c:pt>
                  <c:pt idx="18">
                    <c:v>64,93</c:v>
                  </c:pt>
                  <c:pt idx="19">
                    <c:v>71,54</c:v>
                  </c:pt>
                  <c:pt idx="20">
                    <c:v>72,53</c:v>
                  </c:pt>
                  <c:pt idx="21">
                    <c:v>70,48</c:v>
                  </c:pt>
                  <c:pt idx="22">
                    <c:v>69,68</c:v>
                  </c:pt>
                  <c:pt idx="24">
                    <c:v>74,47</c:v>
                  </c:pt>
                  <c:pt idx="25">
                    <c:v>81,72</c:v>
                  </c:pt>
                  <c:pt idx="26">
                    <c:v>65,13</c:v>
                  </c:pt>
                  <c:pt idx="27">
                    <c:v>82,61</c:v>
                  </c:pt>
                  <c:pt idx="28">
                    <c:v>78,99</c:v>
                  </c:pt>
                  <c:pt idx="29">
                    <c:v>68,72</c:v>
                  </c:pt>
                  <c:pt idx="30">
                    <c:v>73,10</c:v>
                  </c:pt>
                  <c:pt idx="31">
                    <c:v>16,93</c:v>
                  </c:pt>
                  <c:pt idx="32">
                    <c:v>43,96</c:v>
                  </c:pt>
                </c:lvl>
                <c:lvl>
                  <c:pt idx="0">
                    <c:v>74,48</c:v>
                  </c:pt>
                  <c:pt idx="1">
                    <c:v>57,38</c:v>
                  </c:pt>
                  <c:pt idx="2">
                    <c:v>50,97</c:v>
                  </c:pt>
                  <c:pt idx="3">
                    <c:v>68,85</c:v>
                  </c:pt>
                  <c:pt idx="4">
                    <c:v>87,90</c:v>
                  </c:pt>
                  <c:pt idx="5">
                    <c:v>54,86</c:v>
                  </c:pt>
                  <c:pt idx="6">
                    <c:v>68,65</c:v>
                  </c:pt>
                  <c:pt idx="8">
                    <c:v>50,80</c:v>
                  </c:pt>
                  <c:pt idx="9">
                    <c:v>66,89</c:v>
                  </c:pt>
                  <c:pt idx="10">
                    <c:v>50,13</c:v>
                  </c:pt>
                  <c:pt idx="11">
                    <c:v>74,61</c:v>
                  </c:pt>
                  <c:pt idx="12">
                    <c:v>77,51</c:v>
                  </c:pt>
                  <c:pt idx="13">
                    <c:v>77,75</c:v>
                  </c:pt>
                  <c:pt idx="14">
                    <c:v>90,87</c:v>
                  </c:pt>
                  <c:pt idx="16">
                    <c:v>82,76</c:v>
                  </c:pt>
                  <c:pt idx="17">
                    <c:v>91,06</c:v>
                  </c:pt>
                  <c:pt idx="18">
                    <c:v>78,70</c:v>
                  </c:pt>
                  <c:pt idx="19">
                    <c:v>85,10</c:v>
                  </c:pt>
                  <c:pt idx="20">
                    <c:v>66,28</c:v>
                  </c:pt>
                  <c:pt idx="21">
                    <c:v>70,62</c:v>
                  </c:pt>
                  <c:pt idx="22">
                    <c:v>84,26</c:v>
                  </c:pt>
                  <c:pt idx="24">
                    <c:v>80,96</c:v>
                  </c:pt>
                  <c:pt idx="25">
                    <c:v>96,53</c:v>
                  </c:pt>
                  <c:pt idx="26">
                    <c:v>63,91</c:v>
                  </c:pt>
                  <c:pt idx="27">
                    <c:v>68,97</c:v>
                  </c:pt>
                  <c:pt idx="28">
                    <c:v>78,55</c:v>
                  </c:pt>
                  <c:pt idx="29">
                    <c:v>54,59</c:v>
                  </c:pt>
                  <c:pt idx="30">
                    <c:v>78,69</c:v>
                  </c:pt>
                  <c:pt idx="31">
                    <c:v>61,34</c:v>
                  </c:pt>
                  <c:pt idx="32">
                    <c:v>75,85</c:v>
                  </c:pt>
                </c:lvl>
                <c:lvl>
                  <c:pt idx="0">
                    <c:v>77,73</c:v>
                  </c:pt>
                  <c:pt idx="1">
                    <c:v>71,14</c:v>
                  </c:pt>
                  <c:pt idx="2">
                    <c:v>73,86</c:v>
                  </c:pt>
                  <c:pt idx="3">
                    <c:v>88,48</c:v>
                  </c:pt>
                  <c:pt idx="4">
                    <c:v>70,15</c:v>
                  </c:pt>
                  <c:pt idx="5">
                    <c:v>59,67</c:v>
                  </c:pt>
                  <c:pt idx="6">
                    <c:v>85,29</c:v>
                  </c:pt>
                  <c:pt idx="8">
                    <c:v>60,32</c:v>
                  </c:pt>
                  <c:pt idx="9">
                    <c:v>74,05</c:v>
                  </c:pt>
                  <c:pt idx="10">
                    <c:v>84,71</c:v>
                  </c:pt>
                  <c:pt idx="11">
                    <c:v>80,83</c:v>
                  </c:pt>
                  <c:pt idx="12">
                    <c:v>83,74</c:v>
                  </c:pt>
                  <c:pt idx="13">
                    <c:v>82,17</c:v>
                  </c:pt>
                  <c:pt idx="14">
                    <c:v>84,70</c:v>
                  </c:pt>
                  <c:pt idx="16">
                    <c:v>97,47</c:v>
                  </c:pt>
                  <c:pt idx="17">
                    <c:v>114,55</c:v>
                  </c:pt>
                  <c:pt idx="18">
                    <c:v>53,37</c:v>
                  </c:pt>
                  <c:pt idx="19">
                    <c:v>65,01</c:v>
                  </c:pt>
                  <c:pt idx="20">
                    <c:v>69,88</c:v>
                  </c:pt>
                  <c:pt idx="21">
                    <c:v>65,82</c:v>
                  </c:pt>
                  <c:pt idx="22">
                    <c:v>96,47</c:v>
                  </c:pt>
                  <c:pt idx="24">
                    <c:v>75,44</c:v>
                  </c:pt>
                  <c:pt idx="25">
                    <c:v>78,89</c:v>
                  </c:pt>
                  <c:pt idx="26">
                    <c:v>68,56</c:v>
                  </c:pt>
                  <c:pt idx="27">
                    <c:v>72,66</c:v>
                  </c:pt>
                  <c:pt idx="28">
                    <c:v>83,22</c:v>
                  </c:pt>
                  <c:pt idx="29">
                    <c:v>76,11</c:v>
                  </c:pt>
                  <c:pt idx="30">
                    <c:v>87,74</c:v>
                  </c:pt>
                  <c:pt idx="31">
                    <c:v>65,48</c:v>
                  </c:pt>
                  <c:pt idx="32">
                    <c:v>74,19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74,99</c:v>
                  </c:pt>
                  <c:pt idx="1">
                    <c:v>62,39</c:v>
                  </c:pt>
                  <c:pt idx="2">
                    <c:v>61,34</c:v>
                  </c:pt>
                  <c:pt idx="3">
                    <c:v>59,79</c:v>
                  </c:pt>
                  <c:pt idx="4">
                    <c:v>54,93</c:v>
                  </c:pt>
                  <c:pt idx="5">
                    <c:v>56,69</c:v>
                  </c:pt>
                  <c:pt idx="6">
                    <c:v>64,03</c:v>
                  </c:pt>
                  <c:pt idx="8">
                    <c:v>58,99</c:v>
                  </c:pt>
                  <c:pt idx="9">
                    <c:v>75,37</c:v>
                  </c:pt>
                  <c:pt idx="10">
                    <c:v>76,72</c:v>
                  </c:pt>
                  <c:pt idx="11">
                    <c:v>73,40</c:v>
                  </c:pt>
                  <c:pt idx="12">
                    <c:v>67,65</c:v>
                  </c:pt>
                  <c:pt idx="13">
                    <c:v>55,00</c:v>
                  </c:pt>
                  <c:pt idx="14">
                    <c:v>69,87</c:v>
                  </c:pt>
                  <c:pt idx="16">
                    <c:v>84,42</c:v>
                  </c:pt>
                  <c:pt idx="17">
                    <c:v>58,19</c:v>
                  </c:pt>
                  <c:pt idx="18">
                    <c:v>70,23</c:v>
                  </c:pt>
                  <c:pt idx="19">
                    <c:v>55,11</c:v>
                  </c:pt>
                  <c:pt idx="20">
                    <c:v>75,18</c:v>
                  </c:pt>
                  <c:pt idx="21">
                    <c:v>65,18</c:v>
                  </c:pt>
                  <c:pt idx="22">
                    <c:v>70,81</c:v>
                  </c:pt>
                  <c:pt idx="24">
                    <c:v>71,20</c:v>
                  </c:pt>
                  <c:pt idx="25">
                    <c:v>74,04</c:v>
                  </c:pt>
                  <c:pt idx="26">
                    <c:v>61,91</c:v>
                  </c:pt>
                  <c:pt idx="27">
                    <c:v>78,69</c:v>
                  </c:pt>
                  <c:pt idx="28">
                    <c:v>66,47</c:v>
                  </c:pt>
                  <c:pt idx="29">
                    <c:v>75,08</c:v>
                  </c:pt>
                  <c:pt idx="30">
                    <c:v>71,44</c:v>
                  </c:pt>
                  <c:pt idx="31">
                    <c:v>73,81</c:v>
                  </c:pt>
                  <c:pt idx="32">
                    <c:v>78,07</c:v>
                  </c:pt>
                </c:lvl>
                <c:lvl>
                  <c:pt idx="0">
                    <c:v>108,56</c:v>
                  </c:pt>
                  <c:pt idx="1">
                    <c:v>104,74</c:v>
                  </c:pt>
                  <c:pt idx="2">
                    <c:v>96,37</c:v>
                  </c:pt>
                  <c:pt idx="3">
                    <c:v>86,22</c:v>
                  </c:pt>
                  <c:pt idx="4">
                    <c:v>82,19</c:v>
                  </c:pt>
                  <c:pt idx="5">
                    <c:v>83,37</c:v>
                  </c:pt>
                  <c:pt idx="6">
                    <c:v>81,25</c:v>
                  </c:pt>
                  <c:pt idx="8">
                    <c:v>102,31</c:v>
                  </c:pt>
                  <c:pt idx="9">
                    <c:v>99,87</c:v>
                  </c:pt>
                  <c:pt idx="10">
                    <c:v>92,46</c:v>
                  </c:pt>
                  <c:pt idx="11">
                    <c:v>102,75</c:v>
                  </c:pt>
                  <c:pt idx="12">
                    <c:v>76,33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69,83</c:v>
                  </c:pt>
                  <c:pt idx="1">
                    <c:v>74,23</c:v>
                  </c:pt>
                  <c:pt idx="2">
                    <c:v>73,72</c:v>
                  </c:pt>
                  <c:pt idx="3">
                    <c:v>65,74</c:v>
                  </c:pt>
                  <c:pt idx="4">
                    <c:v>59,91</c:v>
                  </c:pt>
                  <c:pt idx="5">
                    <c:v>74,53</c:v>
                  </c:pt>
                  <c:pt idx="6">
                    <c:v>67,65</c:v>
                  </c:pt>
                  <c:pt idx="8">
                    <c:v>49,85</c:v>
                  </c:pt>
                  <c:pt idx="9">
                    <c:v>72,69</c:v>
                  </c:pt>
                  <c:pt idx="10">
                    <c:v>65,45</c:v>
                  </c:pt>
                  <c:pt idx="11">
                    <c:v>75,78</c:v>
                  </c:pt>
                  <c:pt idx="12">
                    <c:v>70,73</c:v>
                  </c:pt>
                  <c:pt idx="13">
                    <c:v>76,04</c:v>
                  </c:pt>
                  <c:pt idx="14">
                    <c:v>65,83</c:v>
                  </c:pt>
                  <c:pt idx="16">
                    <c:v>86,63</c:v>
                  </c:pt>
                  <c:pt idx="17">
                    <c:v>80,43</c:v>
                  </c:pt>
                  <c:pt idx="18">
                    <c:v>70,40</c:v>
                  </c:pt>
                  <c:pt idx="20">
                    <c:v>66,48</c:v>
                  </c:pt>
                  <c:pt idx="21">
                    <c:v>68,75</c:v>
                  </c:pt>
                  <c:pt idx="22">
                    <c:v>75,21</c:v>
                  </c:pt>
                  <c:pt idx="24">
                    <c:v>99,14</c:v>
                  </c:pt>
                  <c:pt idx="25">
                    <c:v>76,46</c:v>
                  </c:pt>
                  <c:pt idx="26">
                    <c:v>66,65</c:v>
                  </c:pt>
                  <c:pt idx="27">
                    <c:v>43,46</c:v>
                  </c:pt>
                  <c:pt idx="28">
                    <c:v>80,36</c:v>
                  </c:pt>
                  <c:pt idx="29">
                    <c:v>66,98</c:v>
                  </c:pt>
                  <c:pt idx="30">
                    <c:v>87,00</c:v>
                  </c:pt>
                  <c:pt idx="31">
                    <c:v>73,52</c:v>
                  </c:pt>
                  <c:pt idx="32">
                    <c:v>82,27</c:v>
                  </c:pt>
                </c:lvl>
                <c:lvl>
                  <c:pt idx="0">
                    <c:v>87,02</c:v>
                  </c:pt>
                  <c:pt idx="1">
                    <c:v>69,61</c:v>
                  </c:pt>
                  <c:pt idx="2">
                    <c:v>95,97</c:v>
                  </c:pt>
                  <c:pt idx="3">
                    <c:v>88,96</c:v>
                  </c:pt>
                  <c:pt idx="4">
                    <c:v>66,97</c:v>
                  </c:pt>
                  <c:pt idx="5">
                    <c:v>81,11</c:v>
                  </c:pt>
                  <c:pt idx="6">
                    <c:v>79,28</c:v>
                  </c:pt>
                  <c:pt idx="8">
                    <c:v>70,37</c:v>
                  </c:pt>
                  <c:pt idx="9">
                    <c:v>90,54</c:v>
                  </c:pt>
                  <c:pt idx="10">
                    <c:v>73,13</c:v>
                  </c:pt>
                  <c:pt idx="12">
                    <c:v>129,99</c:v>
                  </c:pt>
                  <c:pt idx="13">
                    <c:v>78,30</c:v>
                  </c:pt>
                  <c:pt idx="14">
                    <c:v>90,69</c:v>
                  </c:pt>
                  <c:pt idx="16">
                    <c:v>107,10</c:v>
                  </c:pt>
                  <c:pt idx="17">
                    <c:v>94,25</c:v>
                  </c:pt>
                  <c:pt idx="18">
                    <c:v>89,24</c:v>
                  </c:pt>
                  <c:pt idx="19">
                    <c:v>80,86</c:v>
                  </c:pt>
                  <c:pt idx="20">
                    <c:v>76,66</c:v>
                  </c:pt>
                  <c:pt idx="21">
                    <c:v>102,29</c:v>
                  </c:pt>
                  <c:pt idx="22">
                    <c:v>90,62</c:v>
                  </c:pt>
                  <c:pt idx="24">
                    <c:v>97,63</c:v>
                  </c:pt>
                  <c:pt idx="25">
                    <c:v>100,68</c:v>
                  </c:pt>
                  <c:pt idx="26">
                    <c:v>77,06</c:v>
                  </c:pt>
                  <c:pt idx="27">
                    <c:v>74,12</c:v>
                  </c:pt>
                  <c:pt idx="28">
                    <c:v>100,53</c:v>
                  </c:pt>
                  <c:pt idx="29">
                    <c:v>88,32</c:v>
                  </c:pt>
                  <c:pt idx="30">
                    <c:v>25,14</c:v>
                  </c:pt>
                  <c:pt idx="31">
                    <c:v>55,86</c:v>
                  </c:pt>
                  <c:pt idx="32">
                    <c:v>87,61</c:v>
                  </c:pt>
                </c:lvl>
                <c:lvl>
                  <c:pt idx="0">
                    <c:v>75,35</c:v>
                  </c:pt>
                  <c:pt idx="1">
                    <c:v>70,68</c:v>
                  </c:pt>
                  <c:pt idx="2">
                    <c:v>81,70</c:v>
                  </c:pt>
                  <c:pt idx="3">
                    <c:v>98,85</c:v>
                  </c:pt>
                  <c:pt idx="4">
                    <c:v>48,46</c:v>
                  </c:pt>
                  <c:pt idx="5">
                    <c:v>3,87</c:v>
                  </c:pt>
                  <c:pt idx="6">
                    <c:v>69,30</c:v>
                  </c:pt>
                  <c:pt idx="8">
                    <c:v>57,61</c:v>
                  </c:pt>
                  <c:pt idx="9">
                    <c:v>81,47</c:v>
                  </c:pt>
                  <c:pt idx="10">
                    <c:v>85,20</c:v>
                  </c:pt>
                  <c:pt idx="11">
                    <c:v>87,57</c:v>
                  </c:pt>
                  <c:pt idx="12">
                    <c:v>66,61</c:v>
                  </c:pt>
                  <c:pt idx="13">
                    <c:v>77,86</c:v>
                  </c:pt>
                  <c:pt idx="14">
                    <c:v>81,37</c:v>
                  </c:pt>
                  <c:pt idx="16">
                    <c:v>87,75</c:v>
                  </c:pt>
                  <c:pt idx="17">
                    <c:v>92,59</c:v>
                  </c:pt>
                  <c:pt idx="18">
                    <c:v>73,39</c:v>
                  </c:pt>
                  <c:pt idx="19">
                    <c:v>79,19</c:v>
                  </c:pt>
                  <c:pt idx="20">
                    <c:v>85,19</c:v>
                  </c:pt>
                  <c:pt idx="21">
                    <c:v>77,15</c:v>
                  </c:pt>
                  <c:pt idx="22">
                    <c:v>88,22</c:v>
                  </c:pt>
                  <c:pt idx="24">
                    <c:v>89,01</c:v>
                  </c:pt>
                  <c:pt idx="25">
                    <c:v>72,14</c:v>
                  </c:pt>
                  <c:pt idx="26">
                    <c:v>87,79</c:v>
                  </c:pt>
                  <c:pt idx="27">
                    <c:v>119,59</c:v>
                  </c:pt>
                  <c:pt idx="28">
                    <c:v>93,15</c:v>
                  </c:pt>
                  <c:pt idx="29">
                    <c:v>69,65</c:v>
                  </c:pt>
                  <c:pt idx="30">
                    <c:v>108,13</c:v>
                  </c:pt>
                  <c:pt idx="31">
                    <c:v>57,78</c:v>
                  </c:pt>
                  <c:pt idx="32">
                    <c:v>86,51</c:v>
                  </c:pt>
                </c:lvl>
                <c:lvl>
                  <c:pt idx="0">
                    <c:v>76,22</c:v>
                  </c:pt>
                  <c:pt idx="1">
                    <c:v>83,13</c:v>
                  </c:pt>
                  <c:pt idx="2">
                    <c:v>71,11</c:v>
                  </c:pt>
                  <c:pt idx="3">
                    <c:v>75,42</c:v>
                  </c:pt>
                  <c:pt idx="4">
                    <c:v>68,93</c:v>
                  </c:pt>
                  <c:pt idx="5">
                    <c:v>70,64</c:v>
                  </c:pt>
                  <c:pt idx="6">
                    <c:v>83,44</c:v>
                  </c:pt>
                  <c:pt idx="8">
                    <c:v>70,48</c:v>
                  </c:pt>
                  <c:pt idx="9">
                    <c:v>85,35</c:v>
                  </c:pt>
                  <c:pt idx="10">
                    <c:v>94,85</c:v>
                  </c:pt>
                  <c:pt idx="11">
                    <c:v>81,38</c:v>
                  </c:pt>
                  <c:pt idx="12">
                    <c:v>79,76</c:v>
                  </c:pt>
                  <c:pt idx="13">
                    <c:v>76,84</c:v>
                  </c:pt>
                  <c:pt idx="14">
                    <c:v>68,37</c:v>
                  </c:pt>
                  <c:pt idx="16">
                    <c:v>97,82</c:v>
                  </c:pt>
                  <c:pt idx="17">
                    <c:v>76,49</c:v>
                  </c:pt>
                  <c:pt idx="18">
                    <c:v>71,75</c:v>
                  </c:pt>
                  <c:pt idx="19">
                    <c:v>97,51</c:v>
                  </c:pt>
                  <c:pt idx="20">
                    <c:v>82,36</c:v>
                  </c:pt>
                  <c:pt idx="21">
                    <c:v>76,44</c:v>
                  </c:pt>
                  <c:pt idx="22">
                    <c:v>82,17</c:v>
                  </c:pt>
                  <c:pt idx="24">
                    <c:v>93,95</c:v>
                  </c:pt>
                  <c:pt idx="25">
                    <c:v>85,99</c:v>
                  </c:pt>
                  <c:pt idx="26">
                    <c:v>66,34</c:v>
                  </c:pt>
                  <c:pt idx="27">
                    <c:v>65,13</c:v>
                  </c:pt>
                  <c:pt idx="28">
                    <c:v>92,59</c:v>
                  </c:pt>
                  <c:pt idx="29">
                    <c:v>71,62</c:v>
                  </c:pt>
                  <c:pt idx="30">
                    <c:v>94,73</c:v>
                  </c:pt>
                  <c:pt idx="31">
                    <c:v>62,48</c:v>
                  </c:pt>
                  <c:pt idx="32">
                    <c:v>84,82</c:v>
                  </c:pt>
                </c:lvl>
                <c:lvl>
                  <c:pt idx="0">
                    <c:v>75,98</c:v>
                  </c:pt>
                  <c:pt idx="1">
                    <c:v>86,42</c:v>
                  </c:pt>
                  <c:pt idx="2">
                    <c:v>70,74</c:v>
                  </c:pt>
                  <c:pt idx="3">
                    <c:v>66,66</c:v>
                  </c:pt>
                  <c:pt idx="4">
                    <c:v>76,39</c:v>
                  </c:pt>
                  <c:pt idx="5">
                    <c:v>66,95</c:v>
                  </c:pt>
                  <c:pt idx="6">
                    <c:v>76,41</c:v>
                  </c:pt>
                  <c:pt idx="8">
                    <c:v>68,83</c:v>
                  </c:pt>
                  <c:pt idx="9">
                    <c:v>80,94</c:v>
                  </c:pt>
                  <c:pt idx="10">
                    <c:v>66,48</c:v>
                  </c:pt>
                  <c:pt idx="11">
                    <c:v>78,66</c:v>
                  </c:pt>
                  <c:pt idx="12">
                    <c:v>71,02</c:v>
                  </c:pt>
                  <c:pt idx="13">
                    <c:v>64,75</c:v>
                  </c:pt>
                  <c:pt idx="14">
                    <c:v>81,53</c:v>
                  </c:pt>
                  <c:pt idx="16">
                    <c:v>91,39</c:v>
                  </c:pt>
                  <c:pt idx="17">
                    <c:v>89,37</c:v>
                  </c:pt>
                  <c:pt idx="18">
                    <c:v>91,17</c:v>
                  </c:pt>
                  <c:pt idx="19">
                    <c:v>77,60</c:v>
                  </c:pt>
                  <c:pt idx="20">
                    <c:v>75,55</c:v>
                  </c:pt>
                  <c:pt idx="21">
                    <c:v>75,30</c:v>
                  </c:pt>
                  <c:pt idx="22">
                    <c:v>84,20</c:v>
                  </c:pt>
                  <c:pt idx="24">
                    <c:v>88,45</c:v>
                  </c:pt>
                  <c:pt idx="25">
                    <c:v>80,17</c:v>
                  </c:pt>
                  <c:pt idx="26">
                    <c:v>80,12</c:v>
                  </c:pt>
                  <c:pt idx="27">
                    <c:v>57,31</c:v>
                  </c:pt>
                  <c:pt idx="28">
                    <c:v>58,31</c:v>
                  </c:pt>
                </c:lvl>
                <c:lvl>
                  <c:pt idx="0">
                    <c:v>76,23</c:v>
                  </c:pt>
                  <c:pt idx="1">
                    <c:v>78,95</c:v>
                  </c:pt>
                  <c:pt idx="2">
                    <c:v>43,03</c:v>
                  </c:pt>
                  <c:pt idx="3">
                    <c:v>89,27</c:v>
                  </c:pt>
                  <c:pt idx="4">
                    <c:v>61,53</c:v>
                  </c:pt>
                  <c:pt idx="5">
                    <c:v>41,99</c:v>
                  </c:pt>
                  <c:pt idx="6">
                    <c:v>82,37</c:v>
                  </c:pt>
                  <c:pt idx="8">
                    <c:v>60,84</c:v>
                  </c:pt>
                  <c:pt idx="9">
                    <c:v>71,25</c:v>
                  </c:pt>
                  <c:pt idx="10">
                    <c:v>90,58</c:v>
                  </c:pt>
                  <c:pt idx="11">
                    <c:v>78,95</c:v>
                  </c:pt>
                  <c:pt idx="12">
                    <c:v>77,94</c:v>
                  </c:pt>
                  <c:pt idx="13">
                    <c:v>80,88</c:v>
                  </c:pt>
                  <c:pt idx="14">
                    <c:v>76,39</c:v>
                  </c:pt>
                  <c:pt idx="16">
                    <c:v>85,08</c:v>
                  </c:pt>
                  <c:pt idx="17">
                    <c:v>101,07</c:v>
                  </c:pt>
                  <c:pt idx="18">
                    <c:v>64,61</c:v>
                  </c:pt>
                  <c:pt idx="19">
                    <c:v>70,57</c:v>
                  </c:pt>
                  <c:pt idx="20">
                    <c:v>66,33</c:v>
                  </c:pt>
                  <c:pt idx="22">
                    <c:v>116,51</c:v>
                  </c:pt>
                  <c:pt idx="24">
                    <c:v>72,60</c:v>
                  </c:pt>
                  <c:pt idx="25">
                    <c:v>88,93</c:v>
                  </c:pt>
                  <c:pt idx="27">
                    <c:v>48,35</c:v>
                  </c:pt>
                  <c:pt idx="28">
                    <c:v>75,30</c:v>
                  </c:pt>
                  <c:pt idx="29">
                    <c:v>72,34</c:v>
                  </c:pt>
                  <c:pt idx="30">
                    <c:v>87,71</c:v>
                  </c:pt>
                  <c:pt idx="31">
                    <c:v>66,90</c:v>
                  </c:pt>
                  <c:pt idx="32">
                    <c:v>87,51</c:v>
                  </c:pt>
                </c:lvl>
                <c:lvl>
                  <c:pt idx="0">
                    <c:v>92,58</c:v>
                  </c:pt>
                  <c:pt idx="1">
                    <c:v>78,93</c:v>
                  </c:pt>
                  <c:pt idx="2">
                    <c:v>64,34</c:v>
                  </c:pt>
                  <c:pt idx="3">
                    <c:v>70,15</c:v>
                  </c:pt>
                  <c:pt idx="4">
                    <c:v>84,40</c:v>
                  </c:pt>
                  <c:pt idx="5">
                    <c:v>66,36</c:v>
                  </c:pt>
                  <c:pt idx="6">
                    <c:v>74,53</c:v>
                  </c:pt>
                  <c:pt idx="8">
                    <c:v>54,36</c:v>
                  </c:pt>
                  <c:pt idx="9">
                    <c:v>86,41</c:v>
                  </c:pt>
                  <c:pt idx="10">
                    <c:v>87,61</c:v>
                  </c:pt>
                  <c:pt idx="11">
                    <c:v>65,03</c:v>
                  </c:pt>
                  <c:pt idx="12">
                    <c:v>73,94</c:v>
                  </c:pt>
                  <c:pt idx="13">
                    <c:v>78,62</c:v>
                  </c:pt>
                  <c:pt idx="14">
                    <c:v>70,96</c:v>
                  </c:pt>
                  <c:pt idx="16">
                    <c:v>92,35</c:v>
                  </c:pt>
                  <c:pt idx="17">
                    <c:v>93,40</c:v>
                  </c:pt>
                  <c:pt idx="18">
                    <c:v>84,86</c:v>
                  </c:pt>
                  <c:pt idx="19">
                    <c:v>72,84</c:v>
                  </c:pt>
                  <c:pt idx="20">
                    <c:v>54,86</c:v>
                  </c:pt>
                  <c:pt idx="21">
                    <c:v>81,55</c:v>
                  </c:pt>
                  <c:pt idx="22">
                    <c:v>77,26</c:v>
                  </c:pt>
                  <c:pt idx="24">
                    <c:v>82,90</c:v>
                  </c:pt>
                  <c:pt idx="25">
                    <c:v>71,74</c:v>
                  </c:pt>
                  <c:pt idx="26">
                    <c:v>85,01</c:v>
                  </c:pt>
                  <c:pt idx="27">
                    <c:v>86,37</c:v>
                  </c:pt>
                  <c:pt idx="28">
                    <c:v>92,56</c:v>
                  </c:pt>
                  <c:pt idx="29">
                    <c:v>66,32</c:v>
                  </c:pt>
                  <c:pt idx="30">
                    <c:v>72,22</c:v>
                  </c:pt>
                </c:lvl>
                <c:lvl>
                  <c:pt idx="0">
                    <c:v>69,56</c:v>
                  </c:pt>
                  <c:pt idx="1">
                    <c:v>39,42</c:v>
                  </c:pt>
                  <c:pt idx="2">
                    <c:v>81,50</c:v>
                  </c:pt>
                  <c:pt idx="3">
                    <c:v>86,14</c:v>
                  </c:pt>
                  <c:pt idx="4">
                    <c:v>58,31</c:v>
                  </c:pt>
                  <c:pt idx="5">
                    <c:v>73,76</c:v>
                  </c:pt>
                  <c:pt idx="8">
                    <c:v>87,56</c:v>
                  </c:pt>
                  <c:pt idx="9">
                    <c:v>82,90</c:v>
                  </c:pt>
                  <c:pt idx="10">
                    <c:v>78,18</c:v>
                  </c:pt>
                  <c:pt idx="11">
                    <c:v>61,05</c:v>
                  </c:pt>
                  <c:pt idx="12">
                    <c:v>66,59</c:v>
                  </c:pt>
                  <c:pt idx="14">
                    <c:v>30,08</c:v>
                  </c:pt>
                  <c:pt idx="18">
                    <c:v>41,00</c:v>
                  </c:pt>
                  <c:pt idx="19">
                    <c:v>15,07</c:v>
                  </c:pt>
                  <c:pt idx="20">
                    <c:v>73,08</c:v>
                  </c:pt>
                  <c:pt idx="21">
                    <c:v>66,52</c:v>
                  </c:pt>
                  <c:pt idx="22">
                    <c:v>69,91</c:v>
                  </c:pt>
                  <c:pt idx="24">
                    <c:v>111,07</c:v>
                  </c:pt>
                  <c:pt idx="25">
                    <c:v>60,83</c:v>
                  </c:pt>
                  <c:pt idx="27">
                    <c:v>95,72</c:v>
                  </c:pt>
                  <c:pt idx="29">
                    <c:v>62,53</c:v>
                  </c:pt>
                  <c:pt idx="30">
                    <c:v>82,15</c:v>
                  </c:pt>
                  <c:pt idx="31">
                    <c:v>86,28</c:v>
                  </c:pt>
                </c:lvl>
                <c:lvl>
                  <c:pt idx="0">
                    <c:v>97,27</c:v>
                  </c:pt>
                  <c:pt idx="1">
                    <c:v>80,43</c:v>
                  </c:pt>
                  <c:pt idx="2">
                    <c:v>62,21</c:v>
                  </c:pt>
                  <c:pt idx="3">
                    <c:v>90,58</c:v>
                  </c:pt>
                  <c:pt idx="4">
                    <c:v>49,73</c:v>
                  </c:pt>
                  <c:pt idx="5">
                    <c:v>67,11</c:v>
                  </c:pt>
                  <c:pt idx="6">
                    <c:v>96,93</c:v>
                  </c:pt>
                  <c:pt idx="8">
                    <c:v>60,80</c:v>
                  </c:pt>
                  <c:pt idx="9">
                    <c:v>90,43</c:v>
                  </c:pt>
                  <c:pt idx="10">
                    <c:v>67,70</c:v>
                  </c:pt>
                  <c:pt idx="11">
                    <c:v>67,19</c:v>
                  </c:pt>
                  <c:pt idx="12">
                    <c:v>89,45</c:v>
                  </c:pt>
                  <c:pt idx="13">
                    <c:v>63,89</c:v>
                  </c:pt>
                  <c:pt idx="14">
                    <c:v>65,89</c:v>
                  </c:pt>
                  <c:pt idx="16">
                    <c:v>91,85</c:v>
                  </c:pt>
                  <c:pt idx="17">
                    <c:v>94,45</c:v>
                  </c:pt>
                  <c:pt idx="18">
                    <c:v>87,57</c:v>
                  </c:pt>
                  <c:pt idx="19">
                    <c:v>76,77</c:v>
                  </c:pt>
                  <c:pt idx="20">
                    <c:v>68,11</c:v>
                  </c:pt>
                  <c:pt idx="21">
                    <c:v>81,09</c:v>
                  </c:pt>
                  <c:pt idx="22">
                    <c:v>74,07</c:v>
                  </c:pt>
                  <c:pt idx="24">
                    <c:v>74,93</c:v>
                  </c:pt>
                  <c:pt idx="26">
                    <c:v>138,97</c:v>
                  </c:pt>
                  <c:pt idx="27">
                    <c:v>43,38</c:v>
                  </c:pt>
                  <c:pt idx="29">
                    <c:v>100,66</c:v>
                  </c:pt>
                  <c:pt idx="30">
                    <c:v>84,43</c:v>
                  </c:pt>
                  <c:pt idx="31">
                    <c:v>71,78</c:v>
                  </c:pt>
                </c:lvl>
                <c:lvl>
                  <c:pt idx="0">
                    <c:v>76,46</c:v>
                  </c:pt>
                  <c:pt idx="1">
                    <c:v>42,89</c:v>
                  </c:pt>
                  <c:pt idx="2">
                    <c:v>78,79</c:v>
                  </c:pt>
                  <c:pt idx="3">
                    <c:v>72,21</c:v>
                  </c:pt>
                  <c:pt idx="4">
                    <c:v>47,30</c:v>
                  </c:pt>
                  <c:pt idx="5">
                    <c:v>49,50</c:v>
                  </c:pt>
                  <c:pt idx="8">
                    <c:v>13,06</c:v>
                  </c:pt>
                  <c:pt idx="9">
                    <c:v>67,91</c:v>
                  </c:pt>
                  <c:pt idx="10">
                    <c:v>70,45</c:v>
                  </c:pt>
                  <c:pt idx="11">
                    <c:v>109,44</c:v>
                  </c:pt>
                  <c:pt idx="12">
                    <c:v>52,89</c:v>
                  </c:pt>
                  <c:pt idx="13">
                    <c:v>71,24</c:v>
                  </c:pt>
                  <c:pt idx="14">
                    <c:v>95,92</c:v>
                  </c:pt>
                  <c:pt idx="16">
                    <c:v>111,92</c:v>
                  </c:pt>
                  <c:pt idx="17">
                    <c:v>62,30</c:v>
                  </c:pt>
                  <c:pt idx="18">
                    <c:v>81,23</c:v>
                  </c:pt>
                  <c:pt idx="19">
                    <c:v>87,58</c:v>
                  </c:pt>
                  <c:pt idx="20">
                    <c:v>84,78</c:v>
                  </c:pt>
                  <c:pt idx="21">
                    <c:v>77,57</c:v>
                  </c:pt>
                  <c:pt idx="24">
                    <c:v>91,17</c:v>
                  </c:pt>
                  <c:pt idx="25">
                    <c:v>86,40</c:v>
                  </c:pt>
                  <c:pt idx="26">
                    <c:v>78,22</c:v>
                  </c:pt>
                  <c:pt idx="27">
                    <c:v>73,24</c:v>
                  </c:pt>
                  <c:pt idx="28">
                    <c:v>63,96</c:v>
                  </c:pt>
                  <c:pt idx="29">
                    <c:v>61,70</c:v>
                  </c:pt>
                  <c:pt idx="31">
                    <c:v>35,57</c:v>
                  </c:pt>
                  <c:pt idx="32">
                    <c:v>87,32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94,35</c:v>
                  </c:pt>
                  <c:pt idx="1">
                    <c:v>59,74</c:v>
                  </c:pt>
                  <c:pt idx="2">
                    <c:v>81,91</c:v>
                  </c:pt>
                  <c:pt idx="3">
                    <c:v>71,16</c:v>
                  </c:pt>
                  <c:pt idx="4">
                    <c:v>40,01</c:v>
                  </c:pt>
                  <c:pt idx="5">
                    <c:v>66,38</c:v>
                  </c:pt>
                  <c:pt idx="6">
                    <c:v>87,00</c:v>
                  </c:pt>
                  <c:pt idx="8">
                    <c:v>62,03</c:v>
                  </c:pt>
                  <c:pt idx="9">
                    <c:v>81,03</c:v>
                  </c:pt>
                  <c:pt idx="10">
                    <c:v>76,29</c:v>
                  </c:pt>
                  <c:pt idx="11">
                    <c:v>82,95</c:v>
                  </c:pt>
                  <c:pt idx="12">
                    <c:v>80,21</c:v>
                  </c:pt>
                  <c:pt idx="13">
                    <c:v>71,35</c:v>
                  </c:pt>
                  <c:pt idx="14">
                    <c:v>67,35</c:v>
                  </c:pt>
                  <c:pt idx="16">
                    <c:v>76,59</c:v>
                  </c:pt>
                  <c:pt idx="17">
                    <c:v>65,78</c:v>
                  </c:pt>
                  <c:pt idx="18">
                    <c:v>56,07</c:v>
                  </c:pt>
                  <c:pt idx="19">
                    <c:v>71,92</c:v>
                  </c:pt>
                  <c:pt idx="20">
                    <c:v>75,96</c:v>
                  </c:pt>
                  <c:pt idx="21">
                    <c:v>58,95</c:v>
                  </c:pt>
                  <c:pt idx="22">
                    <c:v>66,21</c:v>
                  </c:pt>
                  <c:pt idx="24">
                    <c:v>135,00</c:v>
                  </c:pt>
                  <c:pt idx="25">
                    <c:v>76,09</c:v>
                  </c:pt>
                  <c:pt idx="26">
                    <c:v>77,09</c:v>
                  </c:pt>
                </c:lvl>
                <c:lvl>
                  <c:pt idx="0">
                    <c:v>71,96</c:v>
                  </c:pt>
                  <c:pt idx="1">
                    <c:v>79,02</c:v>
                  </c:pt>
                  <c:pt idx="2">
                    <c:v>64,51</c:v>
                  </c:pt>
                  <c:pt idx="3">
                    <c:v>84,47</c:v>
                  </c:pt>
                  <c:pt idx="4">
                    <c:v>75,25</c:v>
                  </c:pt>
                  <c:pt idx="5">
                    <c:v>49,48</c:v>
                  </c:pt>
                  <c:pt idx="6">
                    <c:v>70,06</c:v>
                  </c:pt>
                  <c:pt idx="8">
                    <c:v>69,40</c:v>
                  </c:pt>
                  <c:pt idx="9">
                    <c:v>70,39</c:v>
                  </c:pt>
                  <c:pt idx="10">
                    <c:v>76,19</c:v>
                  </c:pt>
                  <c:pt idx="11">
                    <c:v>79,70</c:v>
                  </c:pt>
                  <c:pt idx="12">
                    <c:v>74,77</c:v>
                  </c:pt>
                  <c:pt idx="13">
                    <c:v>82,78</c:v>
                  </c:pt>
                  <c:pt idx="14">
                    <c:v>71,92</c:v>
                  </c:pt>
                  <c:pt idx="16">
                    <c:v>91,44</c:v>
                  </c:pt>
                  <c:pt idx="17">
                    <c:v>69,09</c:v>
                  </c:pt>
                  <c:pt idx="18">
                    <c:v>65,01</c:v>
                  </c:pt>
                  <c:pt idx="19">
                    <c:v>40,17</c:v>
                  </c:pt>
                  <c:pt idx="20">
                    <c:v>48,83</c:v>
                  </c:pt>
                  <c:pt idx="21">
                    <c:v>82,77</c:v>
                  </c:pt>
                  <c:pt idx="22">
                    <c:v>60,30</c:v>
                  </c:pt>
                  <c:pt idx="24">
                    <c:v>84,35</c:v>
                  </c:pt>
                  <c:pt idx="25">
                    <c:v>53,55</c:v>
                  </c:pt>
                  <c:pt idx="26">
                    <c:v>72,03</c:v>
                  </c:pt>
                  <c:pt idx="27">
                    <c:v>67,84</c:v>
                  </c:pt>
                  <c:pt idx="28">
                    <c:v>91,10</c:v>
                  </c:pt>
                  <c:pt idx="29">
                    <c:v>85,24</c:v>
                  </c:pt>
                  <c:pt idx="30">
                    <c:v>76,72</c:v>
                  </c:pt>
                  <c:pt idx="31">
                    <c:v>69,23</c:v>
                  </c:pt>
                  <c:pt idx="32">
                    <c:v>93,23</c:v>
                  </c:pt>
                </c:lvl>
                <c:lvl>
                  <c:pt idx="0">
                    <c:v>90,94</c:v>
                  </c:pt>
                  <c:pt idx="1">
                    <c:v>58,43</c:v>
                  </c:pt>
                  <c:pt idx="2">
                    <c:v>82,52</c:v>
                  </c:pt>
                  <c:pt idx="3">
                    <c:v>63,62</c:v>
                  </c:pt>
                  <c:pt idx="4">
                    <c:v>50,96</c:v>
                  </c:pt>
                  <c:pt idx="5">
                    <c:v>56,79</c:v>
                  </c:pt>
                  <c:pt idx="6">
                    <c:v>75,28</c:v>
                  </c:pt>
                  <c:pt idx="8">
                    <c:v>38,73</c:v>
                  </c:pt>
                  <c:pt idx="9">
                    <c:v>95,13</c:v>
                  </c:pt>
                  <c:pt idx="10">
                    <c:v>56,33</c:v>
                  </c:pt>
                  <c:pt idx="11">
                    <c:v>66,09</c:v>
                  </c:pt>
                  <c:pt idx="12">
                    <c:v>111,84</c:v>
                  </c:pt>
                  <c:pt idx="13">
                    <c:v>83,90</c:v>
                  </c:pt>
                  <c:pt idx="14">
                    <c:v>66,44</c:v>
                  </c:pt>
                  <c:pt idx="16">
                    <c:v>54,80</c:v>
                  </c:pt>
                  <c:pt idx="17">
                    <c:v>106,78</c:v>
                  </c:pt>
                  <c:pt idx="18">
                    <c:v>93,12</c:v>
                  </c:pt>
                  <c:pt idx="19">
                    <c:v>84,61</c:v>
                  </c:pt>
                  <c:pt idx="20">
                    <c:v>149,34</c:v>
                  </c:pt>
                  <c:pt idx="21">
                    <c:v>80,88</c:v>
                  </c:pt>
                  <c:pt idx="22">
                    <c:v>71,18</c:v>
                  </c:pt>
                  <c:pt idx="24">
                    <c:v>96,43</c:v>
                  </c:pt>
                  <c:pt idx="25">
                    <c:v>56,67</c:v>
                  </c:pt>
                  <c:pt idx="26">
                    <c:v>51,03</c:v>
                  </c:pt>
                  <c:pt idx="27">
                    <c:v>63,52</c:v>
                  </c:pt>
                  <c:pt idx="28">
                    <c:v>60,06</c:v>
                  </c:pt>
                  <c:pt idx="29">
                    <c:v>90,06</c:v>
                  </c:pt>
                  <c:pt idx="31">
                    <c:v>47,61</c:v>
                  </c:pt>
                  <c:pt idx="32">
                    <c:v>74,98</c:v>
                  </c:pt>
                </c:lvl>
                <c:lvl>
                  <c:pt idx="0">
                    <c:v>183,85</c:v>
                  </c:pt>
                  <c:pt idx="1">
                    <c:v>87,54</c:v>
                  </c:pt>
                  <c:pt idx="2">
                    <c:v>55,67</c:v>
                  </c:pt>
                  <c:pt idx="3">
                    <c:v>89,17</c:v>
                  </c:pt>
                  <c:pt idx="4">
                    <c:v>77,56</c:v>
                  </c:pt>
                  <c:pt idx="5">
                    <c:v>78,02</c:v>
                  </c:pt>
                  <c:pt idx="6">
                    <c:v>82,07</c:v>
                  </c:pt>
                  <c:pt idx="8">
                    <c:v>76,95</c:v>
                  </c:pt>
                  <c:pt idx="9">
                    <c:v>82,23</c:v>
                  </c:pt>
                  <c:pt idx="10">
                    <c:v>78,44</c:v>
                  </c:pt>
                  <c:pt idx="11">
                    <c:v>78,65</c:v>
                  </c:pt>
                  <c:pt idx="12">
                    <c:v>83,91</c:v>
                  </c:pt>
                  <c:pt idx="13">
                    <c:v>86,75</c:v>
                  </c:pt>
                  <c:pt idx="14">
                    <c:v>75,19</c:v>
                  </c:pt>
                  <c:pt idx="23">
                    <c:v>PM</c:v>
                  </c:pt>
                  <c:pt idx="24">
                    <c:v>69,24</c:v>
                  </c:pt>
                  <c:pt idx="25">
                    <c:v>85,39</c:v>
                  </c:pt>
                  <c:pt idx="26">
                    <c:v>91,09</c:v>
                  </c:pt>
                  <c:pt idx="27">
                    <c:v>101,77</c:v>
                  </c:pt>
                  <c:pt idx="28">
                    <c:v>58,79</c:v>
                  </c:pt>
                  <c:pt idx="29">
                    <c:v>75,51</c:v>
                  </c:pt>
                  <c:pt idx="30">
                    <c:v>69,12</c:v>
                  </c:pt>
                  <c:pt idx="31">
                    <c:v>84,09</c:v>
                  </c:pt>
                  <c:pt idx="32">
                    <c:v>78,71</c:v>
                  </c:pt>
                </c:lvl>
                <c:lvl>
                  <c:pt idx="0">
                    <c:v>87,73</c:v>
                  </c:pt>
                  <c:pt idx="1">
                    <c:v>78,89</c:v>
                  </c:pt>
                  <c:pt idx="2">
                    <c:v>47,73</c:v>
                  </c:pt>
                  <c:pt idx="3">
                    <c:v>77,33</c:v>
                  </c:pt>
                  <c:pt idx="4">
                    <c:v>46,27</c:v>
                  </c:pt>
                  <c:pt idx="5">
                    <c:v>77,53</c:v>
                  </c:pt>
                  <c:pt idx="6">
                    <c:v>72,95</c:v>
                  </c:pt>
                  <c:pt idx="8">
                    <c:v>54,93</c:v>
                  </c:pt>
                  <c:pt idx="9">
                    <c:v>80,61</c:v>
                  </c:pt>
                  <c:pt idx="10">
                    <c:v>60,08</c:v>
                  </c:pt>
                  <c:pt idx="11">
                    <c:v>68,84</c:v>
                  </c:pt>
                  <c:pt idx="12">
                    <c:v>73,26</c:v>
                  </c:pt>
                  <c:pt idx="13">
                    <c:v>83,14</c:v>
                  </c:pt>
                  <c:pt idx="14">
                    <c:v>71,26</c:v>
                  </c:pt>
                  <c:pt idx="16">
                    <c:v>91,08</c:v>
                  </c:pt>
                  <c:pt idx="17">
                    <c:v>85,07</c:v>
                  </c:pt>
                  <c:pt idx="18">
                    <c:v>90,18</c:v>
                  </c:pt>
                  <c:pt idx="19">
                    <c:v>84,95</c:v>
                  </c:pt>
                  <c:pt idx="20">
                    <c:v>71,98</c:v>
                  </c:pt>
                  <c:pt idx="21">
                    <c:v>84,20</c:v>
                  </c:pt>
                  <c:pt idx="22">
                    <c:v>97,00</c:v>
                  </c:pt>
                  <c:pt idx="25">
                    <c:v>117,39</c:v>
                  </c:pt>
                  <c:pt idx="26">
                    <c:v>79,07</c:v>
                  </c:pt>
                  <c:pt idx="27">
                    <c:v>82,65</c:v>
                  </c:pt>
                  <c:pt idx="28">
                    <c:v>78,82</c:v>
                  </c:pt>
                  <c:pt idx="29">
                    <c:v>81,23</c:v>
                  </c:pt>
                  <c:pt idx="30">
                    <c:v>76,75</c:v>
                  </c:pt>
                  <c:pt idx="31">
                    <c:v>62,69</c:v>
                  </c:pt>
                  <c:pt idx="32">
                    <c:v>75,41</c:v>
                  </c:pt>
                </c:lvl>
                <c:lvl>
                  <c:pt idx="0">
                    <c:v>146,97</c:v>
                  </c:pt>
                  <c:pt idx="1">
                    <c:v>102,95</c:v>
                  </c:pt>
                  <c:pt idx="3">
                    <c:v>39,43</c:v>
                  </c:pt>
                  <c:pt idx="4">
                    <c:v>39,21</c:v>
                  </c:pt>
                  <c:pt idx="5">
                    <c:v>114,60</c:v>
                  </c:pt>
                  <c:pt idx="6">
                    <c:v>90,08</c:v>
                  </c:pt>
                  <c:pt idx="8">
                    <c:v>77,79</c:v>
                  </c:pt>
                  <c:pt idx="9">
                    <c:v>90,04</c:v>
                  </c:pt>
                  <c:pt idx="10">
                    <c:v>88,25</c:v>
                  </c:pt>
                  <c:pt idx="11">
                    <c:v>86,79</c:v>
                  </c:pt>
                  <c:pt idx="13">
                    <c:v>58,84</c:v>
                  </c:pt>
                  <c:pt idx="14">
                    <c:v>87,18</c:v>
                  </c:pt>
                  <c:pt idx="16">
                    <c:v>52,12</c:v>
                  </c:pt>
                  <c:pt idx="17">
                    <c:v>75,91</c:v>
                  </c:pt>
                  <c:pt idx="18">
                    <c:v>21,04</c:v>
                  </c:pt>
                  <c:pt idx="19">
                    <c:v>77,97</c:v>
                  </c:pt>
                  <c:pt idx="20">
                    <c:v>51,61</c:v>
                  </c:pt>
                  <c:pt idx="21">
                    <c:v>90,73</c:v>
                  </c:pt>
                  <c:pt idx="22">
                    <c:v>115,72</c:v>
                  </c:pt>
                  <c:pt idx="24">
                    <c:v>70,52</c:v>
                  </c:pt>
                  <c:pt idx="25">
                    <c:v>48,80</c:v>
                  </c:pt>
                  <c:pt idx="26">
                    <c:v>52,41</c:v>
                  </c:pt>
                  <c:pt idx="27">
                    <c:v>77,42</c:v>
                  </c:pt>
                  <c:pt idx="28">
                    <c:v>65,54</c:v>
                  </c:pt>
                  <c:pt idx="29">
                    <c:v>64,56</c:v>
                  </c:pt>
                  <c:pt idx="30">
                    <c:v>57,80</c:v>
                  </c:pt>
                  <c:pt idx="31">
                    <c:v>165,60</c:v>
                  </c:pt>
                  <c:pt idx="32">
                    <c:v>89,09</c:v>
                  </c:pt>
                </c:lvl>
                <c:lvl>
                  <c:pt idx="1">
                    <c:v>134,42</c:v>
                  </c:pt>
                  <c:pt idx="8">
                    <c:v>103,47</c:v>
                  </c:pt>
                  <c:pt idx="10">
                    <c:v>41,81</c:v>
                  </c:pt>
                  <c:pt idx="12">
                    <c:v>29,15</c:v>
                  </c:pt>
                  <c:pt idx="16">
                    <c:v>85,27</c:v>
                  </c:pt>
                  <c:pt idx="18">
                    <c:v>82,45</c:v>
                  </c:pt>
                  <c:pt idx="25">
                    <c:v>196,66</c:v>
                  </c:pt>
                  <c:pt idx="26">
                    <c:v>30,86</c:v>
                  </c:pt>
                </c:lvl>
                <c:lvl>
                  <c:pt idx="0">
                    <c:v>96,91</c:v>
                  </c:pt>
                  <c:pt idx="2">
                    <c:v>65,34</c:v>
                  </c:pt>
                  <c:pt idx="3">
                    <c:v>79,58</c:v>
                  </c:pt>
                  <c:pt idx="4">
                    <c:v>70,57</c:v>
                  </c:pt>
                  <c:pt idx="5">
                    <c:v>56,23</c:v>
                  </c:pt>
                  <c:pt idx="6">
                    <c:v>126,32</c:v>
                  </c:pt>
                  <c:pt idx="8">
                    <c:v>77,40</c:v>
                  </c:pt>
                  <c:pt idx="9">
                    <c:v>55,81</c:v>
                  </c:pt>
                  <c:pt idx="10">
                    <c:v>44,01</c:v>
                  </c:pt>
                  <c:pt idx="11">
                    <c:v>143,07</c:v>
                  </c:pt>
                  <c:pt idx="12">
                    <c:v>78,43</c:v>
                  </c:pt>
                  <c:pt idx="13">
                    <c:v>68,51</c:v>
                  </c:pt>
                  <c:pt idx="14">
                    <c:v>72,63</c:v>
                  </c:pt>
                  <c:pt idx="16">
                    <c:v>131,35</c:v>
                  </c:pt>
                  <c:pt idx="17">
                    <c:v>83,03</c:v>
                  </c:pt>
                  <c:pt idx="18">
                    <c:v>84,81</c:v>
                  </c:pt>
                  <c:pt idx="19">
                    <c:v>71,86</c:v>
                  </c:pt>
                  <c:pt idx="20">
                    <c:v>78,52</c:v>
                  </c:pt>
                  <c:pt idx="21">
                    <c:v>71,09</c:v>
                  </c:pt>
                  <c:pt idx="22">
                    <c:v>85,08</c:v>
                  </c:pt>
                  <c:pt idx="24">
                    <c:v>111,49</c:v>
                  </c:pt>
                  <c:pt idx="25">
                    <c:v>105,34</c:v>
                  </c:pt>
                  <c:pt idx="26">
                    <c:v>84,41</c:v>
                  </c:pt>
                  <c:pt idx="27">
                    <c:v>67,97</c:v>
                  </c:pt>
                  <c:pt idx="28">
                    <c:v>95,36</c:v>
                  </c:pt>
                  <c:pt idx="29">
                    <c:v>101,59</c:v>
                  </c:pt>
                  <c:pt idx="30">
                    <c:v>80,12</c:v>
                  </c:pt>
                  <c:pt idx="31">
                    <c:v>70,31</c:v>
                  </c:pt>
                  <c:pt idx="32">
                    <c:v>90,96</c:v>
                  </c:pt>
                </c:lvl>
                <c:lvl>
                  <c:pt idx="0">
                    <c:v>87,99</c:v>
                  </c:pt>
                  <c:pt idx="1">
                    <c:v>82,39</c:v>
                  </c:pt>
                  <c:pt idx="2">
                    <c:v>66,15</c:v>
                  </c:pt>
                  <c:pt idx="3">
                    <c:v>77,75</c:v>
                  </c:pt>
                  <c:pt idx="4">
                    <c:v>55,75</c:v>
                  </c:pt>
                  <c:pt idx="9">
                    <c:v>53,91</c:v>
                  </c:pt>
                  <c:pt idx="10">
                    <c:v>66,25</c:v>
                  </c:pt>
                  <c:pt idx="11">
                    <c:v>76,22</c:v>
                  </c:pt>
                  <c:pt idx="12">
                    <c:v>67,59</c:v>
                  </c:pt>
                  <c:pt idx="13">
                    <c:v>86,00</c:v>
                  </c:pt>
                  <c:pt idx="14">
                    <c:v>74,05</c:v>
                  </c:pt>
                  <c:pt idx="16">
                    <c:v>92,74</c:v>
                  </c:pt>
                  <c:pt idx="17">
                    <c:v>92,52</c:v>
                  </c:pt>
                  <c:pt idx="18">
                    <c:v>87,84</c:v>
                  </c:pt>
                  <c:pt idx="19">
                    <c:v>95,48</c:v>
                  </c:pt>
                  <c:pt idx="20">
                    <c:v>49,33</c:v>
                  </c:pt>
                  <c:pt idx="21">
                    <c:v>75,12</c:v>
                  </c:pt>
                  <c:pt idx="22">
                    <c:v>77,94</c:v>
                  </c:pt>
                  <c:pt idx="24">
                    <c:v>78,21</c:v>
                  </c:pt>
                  <c:pt idx="25">
                    <c:v>91,09</c:v>
                  </c:pt>
                  <c:pt idx="26">
                    <c:v>68,80</c:v>
                  </c:pt>
                  <c:pt idx="27">
                    <c:v>79,71</c:v>
                  </c:pt>
                  <c:pt idx="28">
                    <c:v>79,86</c:v>
                  </c:pt>
                  <c:pt idx="29">
                    <c:v>61,66</c:v>
                  </c:pt>
                  <c:pt idx="31">
                    <c:v>82,89</c:v>
                  </c:pt>
                  <c:pt idx="32">
                    <c:v>79,74</c:v>
                  </c:pt>
                </c:lvl>
                <c:lvl>
                  <c:pt idx="7">
                    <c:v>PM</c:v>
                  </c:pt>
                  <c:pt idx="13">
                    <c:v>65,17</c:v>
                  </c:pt>
                  <c:pt idx="19">
                    <c:v>41,34</c:v>
                  </c:pt>
                  <c:pt idx="20">
                    <c:v>53,35</c:v>
                  </c:pt>
                  <c:pt idx="21">
                    <c:v>73,62</c:v>
                  </c:pt>
                  <c:pt idx="22">
                    <c:v>82,82</c:v>
                  </c:pt>
                  <c:pt idx="24">
                    <c:v>77,32</c:v>
                  </c:pt>
                  <c:pt idx="25">
                    <c:v>82,36</c:v>
                  </c:pt>
                  <c:pt idx="26">
                    <c:v>71,73</c:v>
                  </c:pt>
                  <c:pt idx="28">
                    <c:v>109,50</c:v>
                  </c:pt>
                  <c:pt idx="29">
                    <c:v>60,18</c:v>
                  </c:pt>
                  <c:pt idx="30">
                    <c:v>83,47</c:v>
                  </c:pt>
                  <c:pt idx="31">
                    <c:v>72,47</c:v>
                  </c:pt>
                  <c:pt idx="32">
                    <c:v>77,93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67,25</c:v>
                  </c:pt>
                  <c:pt idx="1">
                    <c:v>68,73</c:v>
                  </c:pt>
                  <c:pt idx="2">
                    <c:v>62,01</c:v>
                  </c:pt>
                  <c:pt idx="3">
                    <c:v>71,54</c:v>
                  </c:pt>
                  <c:pt idx="4">
                    <c:v>68,27</c:v>
                  </c:pt>
                  <c:pt idx="5">
                    <c:v>56,06</c:v>
                  </c:pt>
                  <c:pt idx="6">
                    <c:v>75,96</c:v>
                  </c:pt>
                  <c:pt idx="8">
                    <c:v>62,35</c:v>
                  </c:pt>
                  <c:pt idx="9">
                    <c:v>64,59</c:v>
                  </c:pt>
                  <c:pt idx="10">
                    <c:v>68,66</c:v>
                  </c:pt>
                  <c:pt idx="11">
                    <c:v>78,85</c:v>
                  </c:pt>
                  <c:pt idx="12">
                    <c:v>57,30</c:v>
                  </c:pt>
                  <c:pt idx="13">
                    <c:v>58,83</c:v>
                  </c:pt>
                  <c:pt idx="14">
                    <c:v>69,06</c:v>
                  </c:pt>
                  <c:pt idx="16">
                    <c:v>76,45</c:v>
                  </c:pt>
                  <c:pt idx="17">
                    <c:v>66,94</c:v>
                  </c:pt>
                  <c:pt idx="18">
                    <c:v>68,59</c:v>
                  </c:pt>
                  <c:pt idx="19">
                    <c:v>73,38</c:v>
                  </c:pt>
                  <c:pt idx="20">
                    <c:v>78,57</c:v>
                  </c:pt>
                  <c:pt idx="21">
                    <c:v>73,02</c:v>
                  </c:pt>
                  <c:pt idx="22">
                    <c:v>58,93</c:v>
                  </c:pt>
                  <c:pt idx="24">
                    <c:v>74,06</c:v>
                  </c:pt>
                  <c:pt idx="25">
                    <c:v>81,15</c:v>
                  </c:pt>
                  <c:pt idx="26">
                    <c:v>75,97</c:v>
                  </c:pt>
                  <c:pt idx="27">
                    <c:v>62,05</c:v>
                  </c:pt>
                  <c:pt idx="28">
                    <c:v>60,69</c:v>
                  </c:pt>
                  <c:pt idx="29">
                    <c:v>71,56</c:v>
                  </c:pt>
                  <c:pt idx="30">
                    <c:v>72,26</c:v>
                  </c:pt>
                  <c:pt idx="31">
                    <c:v>42,54</c:v>
                  </c:pt>
                  <c:pt idx="32">
                    <c:v>78,58</c:v>
                  </c:pt>
                  <c:pt idx="36">
                    <c:v>   </c:v>
                  </c:pt>
                </c:lvl>
                <c:lvl>
                  <c:pt idx="0">
                    <c:v>89,29</c:v>
                  </c:pt>
                  <c:pt idx="1">
                    <c:v>62,06</c:v>
                  </c:pt>
                  <c:pt idx="2">
                    <c:v>51,83</c:v>
                  </c:pt>
                  <c:pt idx="3">
                    <c:v>73,70</c:v>
                  </c:pt>
                  <c:pt idx="4">
                    <c:v>44,71</c:v>
                  </c:pt>
                  <c:pt idx="5">
                    <c:v>55,01</c:v>
                  </c:pt>
                  <c:pt idx="6">
                    <c:v>80,66</c:v>
                  </c:pt>
                  <c:pt idx="8">
                    <c:v>50,19</c:v>
                  </c:pt>
                  <c:pt idx="11">
                    <c:v>74,22</c:v>
                  </c:pt>
                  <c:pt idx="12">
                    <c:v>74,47</c:v>
                  </c:pt>
                  <c:pt idx="13">
                    <c:v>78,45</c:v>
                  </c:pt>
                  <c:pt idx="14">
                    <c:v>75,70</c:v>
                  </c:pt>
                  <c:pt idx="16">
                    <c:v>84,20</c:v>
                  </c:pt>
                  <c:pt idx="17">
                    <c:v>75,22</c:v>
                  </c:pt>
                  <c:pt idx="18">
                    <c:v>84,26</c:v>
                  </c:pt>
                  <c:pt idx="19">
                    <c:v>73,79</c:v>
                  </c:pt>
                  <c:pt idx="20">
                    <c:v>75,88</c:v>
                  </c:pt>
                  <c:pt idx="21">
                    <c:v>73,64</c:v>
                  </c:pt>
                  <c:pt idx="22">
                    <c:v>60,29</c:v>
                  </c:pt>
                  <c:pt idx="24">
                    <c:v>69,34</c:v>
                  </c:pt>
                  <c:pt idx="25">
                    <c:v>77,70</c:v>
                  </c:pt>
                  <c:pt idx="26">
                    <c:v>78,35</c:v>
                  </c:pt>
                  <c:pt idx="27">
                    <c:v>74,35</c:v>
                  </c:pt>
                  <c:pt idx="28">
                    <c:v>66,24</c:v>
                  </c:pt>
                  <c:pt idx="29">
                    <c:v>70,78</c:v>
                  </c:pt>
                  <c:pt idx="31">
                    <c:v>113,02</c:v>
                  </c:pt>
                  <c:pt idx="32">
                    <c:v>57,48</c:v>
                  </c:pt>
                  <c:pt idx="36">
                    <c:v>. HT 174 - 203, 190 Liter</c:v>
                  </c:pt>
                </c:lvl>
                <c:lvl>
                  <c:pt idx="7">
                    <c:v>PM</c:v>
                  </c:pt>
                  <c:pt idx="11">
                    <c:v>90,52</c:v>
                  </c:pt>
                  <c:pt idx="16">
                    <c:v>85,50</c:v>
                  </c:pt>
                  <c:pt idx="25">
                    <c:v>72,16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6">
                    <c:v>253,32</c:v>
                  </c:pt>
                  <c:pt idx="17">
                    <c:v>17,70</c:v>
                  </c:pt>
                  <c:pt idx="34">
                    <c:v>PM</c:v>
                  </c:pt>
                </c:lvl>
                <c:lvl>
                  <c:pt idx="0">
                    <c:v>73,89</c:v>
                  </c:pt>
                  <c:pt idx="1">
                    <c:v>89,87</c:v>
                  </c:pt>
                  <c:pt idx="2">
                    <c:v>79,28</c:v>
                  </c:pt>
                  <c:pt idx="3">
                    <c:v>89,54</c:v>
                  </c:pt>
                  <c:pt idx="4">
                    <c:v>78,38</c:v>
                  </c:pt>
                  <c:pt idx="5">
                    <c:v>73,28</c:v>
                  </c:pt>
                  <c:pt idx="6">
                    <c:v>82,93</c:v>
                  </c:pt>
                  <c:pt idx="8">
                    <c:v>66,43</c:v>
                  </c:pt>
                  <c:pt idx="9">
                    <c:v>89,12</c:v>
                  </c:pt>
                  <c:pt idx="10">
                    <c:v>78,59</c:v>
                  </c:pt>
                  <c:pt idx="11">
                    <c:v>81,48</c:v>
                  </c:pt>
                  <c:pt idx="12">
                    <c:v>71,47</c:v>
                  </c:pt>
                  <c:pt idx="13">
                    <c:v>92,19</c:v>
                  </c:pt>
                  <c:pt idx="14">
                    <c:v>91,57</c:v>
                  </c:pt>
                  <c:pt idx="17">
                    <c:v>189,35</c:v>
                  </c:pt>
                  <c:pt idx="18">
                    <c:v>99,38</c:v>
                  </c:pt>
                  <c:pt idx="19">
                    <c:v>84,31</c:v>
                  </c:pt>
                  <c:pt idx="20">
                    <c:v>69,15</c:v>
                  </c:pt>
                  <c:pt idx="21">
                    <c:v>66,47</c:v>
                  </c:pt>
                  <c:pt idx="22">
                    <c:v>110,82</c:v>
                  </c:pt>
                  <c:pt idx="24">
                    <c:v>97,98</c:v>
                  </c:pt>
                  <c:pt idx="25">
                    <c:v>77,40</c:v>
                  </c:pt>
                  <c:pt idx="27">
                    <c:v>64,20</c:v>
                  </c:pt>
                  <c:pt idx="28">
                    <c:v>110,34</c:v>
                  </c:pt>
                  <c:pt idx="29">
                    <c:v>49,29</c:v>
                  </c:pt>
                  <c:pt idx="30">
                    <c:v>102,71</c:v>
                  </c:pt>
                  <c:pt idx="31">
                    <c:v>151,81</c:v>
                  </c:pt>
                </c:lvl>
                <c:lvl>
                  <c:pt idx="0">
                    <c:v>115,43</c:v>
                  </c:pt>
                  <c:pt idx="1">
                    <c:v>84,01</c:v>
                  </c:pt>
                  <c:pt idx="2">
                    <c:v>68,57</c:v>
                  </c:pt>
                  <c:pt idx="3">
                    <c:v>94,62</c:v>
                  </c:pt>
                  <c:pt idx="4">
                    <c:v>93,43</c:v>
                  </c:pt>
                  <c:pt idx="5">
                    <c:v>85,68</c:v>
                  </c:pt>
                  <c:pt idx="6">
                    <c:v>83,89</c:v>
                  </c:pt>
                  <c:pt idx="8">
                    <c:v>83,87</c:v>
                  </c:pt>
                  <c:pt idx="9">
                    <c:v>93,11</c:v>
                  </c:pt>
                  <c:pt idx="10">
                    <c:v>115,05</c:v>
                  </c:pt>
                  <c:pt idx="11">
                    <c:v>103,49</c:v>
                  </c:pt>
                  <c:pt idx="12">
                    <c:v>85,14</c:v>
                  </c:pt>
                  <c:pt idx="13">
                    <c:v>80,66</c:v>
                  </c:pt>
                  <c:pt idx="14">
                    <c:v>83,47</c:v>
                  </c:pt>
                  <c:pt idx="16">
                    <c:v>92,45</c:v>
                  </c:pt>
                  <c:pt idx="17">
                    <c:v>95,21</c:v>
                  </c:pt>
                  <c:pt idx="18">
                    <c:v>98,97</c:v>
                  </c:pt>
                  <c:pt idx="19">
                    <c:v>82,77</c:v>
                  </c:pt>
                  <c:pt idx="20">
                    <c:v>94,74</c:v>
                  </c:pt>
                  <c:pt idx="21">
                    <c:v>80,41</c:v>
                  </c:pt>
                  <c:pt idx="22">
                    <c:v>88,98</c:v>
                  </c:pt>
                  <c:pt idx="24">
                    <c:v>88,07</c:v>
                  </c:pt>
                  <c:pt idx="25">
                    <c:v>85,72</c:v>
                  </c:pt>
                  <c:pt idx="26">
                    <c:v>69,27</c:v>
                  </c:pt>
                  <c:pt idx="27">
                    <c:v>85,07</c:v>
                  </c:pt>
                  <c:pt idx="28">
                    <c:v>100,66</c:v>
                  </c:pt>
                  <c:pt idx="29">
                    <c:v>106,18</c:v>
                  </c:pt>
                  <c:pt idx="30">
                    <c:v>87,73</c:v>
                  </c:pt>
                  <c:pt idx="31">
                    <c:v>92,23</c:v>
                  </c:pt>
                  <c:pt idx="32">
                    <c:v>83,91</c:v>
                  </c:pt>
                </c:lvl>
                <c:lvl>
                  <c:pt idx="0">
                    <c:v>87,91</c:v>
                  </c:pt>
                  <c:pt idx="1">
                    <c:v>72,51</c:v>
                  </c:pt>
                  <c:pt idx="2">
                    <c:v>66,19</c:v>
                  </c:pt>
                  <c:pt idx="12">
                    <c:v>58,56</c:v>
                  </c:pt>
                  <c:pt idx="13">
                    <c:v>84,14</c:v>
                  </c:pt>
                  <c:pt idx="14">
                    <c:v>93,38</c:v>
                  </c:pt>
                  <c:pt idx="16">
                    <c:v>93,22</c:v>
                  </c:pt>
                  <c:pt idx="17">
                    <c:v>94,94</c:v>
                  </c:pt>
                  <c:pt idx="18">
                    <c:v>76,73</c:v>
                  </c:pt>
                  <c:pt idx="19">
                    <c:v>92,52</c:v>
                  </c:pt>
                  <c:pt idx="20">
                    <c:v>99,44</c:v>
                  </c:pt>
                  <c:pt idx="21">
                    <c:v>85,29</c:v>
                  </c:pt>
                  <c:pt idx="22">
                    <c:v>108,37</c:v>
                  </c:pt>
                  <c:pt idx="24">
                    <c:v>85,61</c:v>
                  </c:pt>
                  <c:pt idx="25">
                    <c:v>92,18</c:v>
                  </c:pt>
                  <c:pt idx="26">
                    <c:v>88,55</c:v>
                  </c:pt>
                  <c:pt idx="27">
                    <c:v>65,18</c:v>
                  </c:pt>
                  <c:pt idx="28">
                    <c:v>92,70</c:v>
                  </c:pt>
                  <c:pt idx="29">
                    <c:v>84,01</c:v>
                  </c:pt>
                  <c:pt idx="30">
                    <c:v>91,21</c:v>
                  </c:pt>
                  <c:pt idx="31">
                    <c:v>108,86</c:v>
                  </c:pt>
                  <c:pt idx="32">
                    <c:v>69,30</c:v>
                  </c:pt>
                </c:lvl>
                <c:lvl>
                  <c:pt idx="0">
                    <c:v>72,69</c:v>
                  </c:pt>
                  <c:pt idx="1">
                    <c:v>80,03</c:v>
                  </c:pt>
                  <c:pt idx="2">
                    <c:v>74,79</c:v>
                  </c:pt>
                  <c:pt idx="3">
                    <c:v>61,85</c:v>
                  </c:pt>
                  <c:pt idx="4">
                    <c:v>71,41</c:v>
                  </c:pt>
                  <c:pt idx="5">
                    <c:v>77,16</c:v>
                  </c:pt>
                  <c:pt idx="6">
                    <c:v>89,96</c:v>
                  </c:pt>
                  <c:pt idx="8">
                    <c:v>53,90</c:v>
                  </c:pt>
                  <c:pt idx="9">
                    <c:v>84,11</c:v>
                  </c:pt>
                  <c:pt idx="10">
                    <c:v>70,94</c:v>
                  </c:pt>
                  <c:pt idx="11">
                    <c:v>90,81</c:v>
                  </c:pt>
                  <c:pt idx="12">
                    <c:v>76,83</c:v>
                  </c:pt>
                  <c:pt idx="13">
                    <c:v>70,09</c:v>
                  </c:pt>
                  <c:pt idx="14">
                    <c:v>77,18</c:v>
                  </c:pt>
                  <c:pt idx="16">
                    <c:v>91,02</c:v>
                  </c:pt>
                  <c:pt idx="17">
                    <c:v>68,44</c:v>
                  </c:pt>
                  <c:pt idx="18">
                    <c:v>77,60</c:v>
                  </c:pt>
                  <c:pt idx="19">
                    <c:v>79,39</c:v>
                  </c:pt>
                  <c:pt idx="20">
                    <c:v>119,49</c:v>
                  </c:pt>
                  <c:pt idx="21">
                    <c:v>93,48</c:v>
                  </c:pt>
                  <c:pt idx="22">
                    <c:v>90,30</c:v>
                  </c:pt>
                  <c:pt idx="24">
                    <c:v>82,40</c:v>
                  </c:pt>
                  <c:pt idx="25">
                    <c:v>101,08</c:v>
                  </c:pt>
                  <c:pt idx="26">
                    <c:v>90,46</c:v>
                  </c:pt>
                  <c:pt idx="27">
                    <c:v>62,48</c:v>
                  </c:pt>
                  <c:pt idx="28">
                    <c:v>83,34</c:v>
                  </c:pt>
                  <c:pt idx="29">
                    <c:v>87,14</c:v>
                  </c:pt>
                  <c:pt idx="30">
                    <c:v>108,94</c:v>
                  </c:pt>
                  <c:pt idx="31">
                    <c:v>72,40</c:v>
                  </c:pt>
                  <c:pt idx="32">
                    <c:v>88,30</c:v>
                  </c:pt>
                </c:lvl>
                <c:lvl>
                  <c:pt idx="0">
                    <c:v>112,36</c:v>
                  </c:pt>
                  <c:pt idx="1">
                    <c:v>84,49</c:v>
                  </c:pt>
                  <c:pt idx="3">
                    <c:v>72,24</c:v>
                  </c:pt>
                  <c:pt idx="4">
                    <c:v>76,00</c:v>
                  </c:pt>
                  <c:pt idx="5">
                    <c:v>52,10</c:v>
                  </c:pt>
                  <c:pt idx="6">
                    <c:v>91,47</c:v>
                  </c:pt>
                  <c:pt idx="8">
                    <c:v>79,84</c:v>
                  </c:pt>
                  <c:pt idx="9">
                    <c:v>71,92</c:v>
                  </c:pt>
                  <c:pt idx="11">
                    <c:v>56,25</c:v>
                  </c:pt>
                  <c:pt idx="12">
                    <c:v>53,45</c:v>
                  </c:pt>
                  <c:pt idx="14">
                    <c:v>44,88</c:v>
                  </c:pt>
                  <c:pt idx="16">
                    <c:v>31,41</c:v>
                  </c:pt>
                  <c:pt idx="17">
                    <c:v>24,36</c:v>
                  </c:pt>
                  <c:pt idx="18">
                    <c:v>68,83</c:v>
                  </c:pt>
                  <c:pt idx="19">
                    <c:v>77,35</c:v>
                  </c:pt>
                  <c:pt idx="20">
                    <c:v>100,63</c:v>
                  </c:pt>
                  <c:pt idx="21">
                    <c:v>46,39</c:v>
                  </c:pt>
                  <c:pt idx="22">
                    <c:v>86,19</c:v>
                  </c:pt>
                  <c:pt idx="24">
                    <c:v>116,55</c:v>
                  </c:pt>
                  <c:pt idx="25">
                    <c:v>104,71</c:v>
                  </c:pt>
                  <c:pt idx="26">
                    <c:v>86,38</c:v>
                  </c:pt>
                  <c:pt idx="27">
                    <c:v>64,53</c:v>
                  </c:pt>
                  <c:pt idx="28">
                    <c:v>128,19</c:v>
                  </c:pt>
                  <c:pt idx="29">
                    <c:v>78,95</c:v>
                  </c:pt>
                  <c:pt idx="30">
                    <c:v>105,20</c:v>
                  </c:pt>
                  <c:pt idx="31">
                    <c:v>61,44</c:v>
                  </c:pt>
                </c:lvl>
                <c:lvl>
                  <c:pt idx="0">
                    <c:v>79,06</c:v>
                  </c:pt>
                  <c:pt idx="1">
                    <c:v>73,66</c:v>
                  </c:pt>
                  <c:pt idx="2">
                    <c:v>61,32</c:v>
                  </c:pt>
                  <c:pt idx="3">
                    <c:v>67,77</c:v>
                  </c:pt>
                  <c:pt idx="4">
                    <c:v>69,93</c:v>
                  </c:pt>
                  <c:pt idx="5">
                    <c:v>65,94</c:v>
                  </c:pt>
                  <c:pt idx="6">
                    <c:v>62,07</c:v>
                  </c:pt>
                  <c:pt idx="8">
                    <c:v>45,54</c:v>
                  </c:pt>
                  <c:pt idx="9">
                    <c:v>71,13</c:v>
                  </c:pt>
                  <c:pt idx="10">
                    <c:v>74,87</c:v>
                  </c:pt>
                  <c:pt idx="11">
                    <c:v>69,28</c:v>
                  </c:pt>
                  <c:pt idx="12">
                    <c:v>84,17</c:v>
                  </c:pt>
                  <c:pt idx="13">
                    <c:v>82,70</c:v>
                  </c:pt>
                  <c:pt idx="14">
                    <c:v>70,60</c:v>
                  </c:pt>
                  <c:pt idx="16">
                    <c:v>83,86</c:v>
                  </c:pt>
                  <c:pt idx="17">
                    <c:v>85,65</c:v>
                  </c:pt>
                  <c:pt idx="18">
                    <c:v>64,74</c:v>
                  </c:pt>
                  <c:pt idx="19">
                    <c:v>83,53</c:v>
                  </c:pt>
                  <c:pt idx="20">
                    <c:v>71,05</c:v>
                  </c:pt>
                  <c:pt idx="21">
                    <c:v>74,19</c:v>
                  </c:pt>
                  <c:pt idx="22">
                    <c:v>82,24</c:v>
                  </c:pt>
                  <c:pt idx="24">
                    <c:v>97,62</c:v>
                  </c:pt>
                  <c:pt idx="25">
                    <c:v>76,05</c:v>
                  </c:pt>
                  <c:pt idx="26">
                    <c:v>70,26</c:v>
                  </c:pt>
                  <c:pt idx="27">
                    <c:v>60,08</c:v>
                  </c:pt>
                  <c:pt idx="28">
                    <c:v>77,06</c:v>
                  </c:pt>
                  <c:pt idx="29">
                    <c:v>68,08</c:v>
                  </c:pt>
                  <c:pt idx="30">
                    <c:v>87,05</c:v>
                  </c:pt>
                  <c:pt idx="31">
                    <c:v>59,28</c:v>
                  </c:pt>
                  <c:pt idx="32">
                    <c:v>76,36</c:v>
                  </c:pt>
                </c:lvl>
                <c:lvl>
                  <c:pt idx="0">
                    <c:v>80,41</c:v>
                  </c:pt>
                  <c:pt idx="1">
                    <c:v>92,81</c:v>
                  </c:pt>
                  <c:pt idx="2">
                    <c:v>70,01</c:v>
                  </c:pt>
                  <c:pt idx="3">
                    <c:v>61,52</c:v>
                  </c:pt>
                  <c:pt idx="4">
                    <c:v>116,47</c:v>
                  </c:pt>
                  <c:pt idx="5">
                    <c:v>71,69</c:v>
                  </c:pt>
                  <c:pt idx="6">
                    <c:v>91,45</c:v>
                  </c:pt>
                  <c:pt idx="8">
                    <c:v>67,44</c:v>
                  </c:pt>
                  <c:pt idx="9">
                    <c:v>76,31</c:v>
                  </c:pt>
                  <c:pt idx="10">
                    <c:v>64,26</c:v>
                  </c:pt>
                  <c:pt idx="11">
                    <c:v>94,38</c:v>
                  </c:pt>
                  <c:pt idx="12">
                    <c:v>84,97</c:v>
                  </c:pt>
                  <c:pt idx="13">
                    <c:v>68,59</c:v>
                  </c:pt>
                  <c:pt idx="14">
                    <c:v>81,63</c:v>
                  </c:pt>
                  <c:pt idx="17">
                    <c:v>99,13</c:v>
                  </c:pt>
                  <c:pt idx="18">
                    <c:v>133,94</c:v>
                  </c:pt>
                  <c:pt idx="19">
                    <c:v>68,68</c:v>
                  </c:pt>
                  <c:pt idx="20">
                    <c:v>85,04</c:v>
                  </c:pt>
                  <c:pt idx="21">
                    <c:v>81,31</c:v>
                  </c:pt>
                  <c:pt idx="22">
                    <c:v>82,70</c:v>
                  </c:pt>
                  <c:pt idx="24">
                    <c:v>69,98</c:v>
                  </c:pt>
                  <c:pt idx="25">
                    <c:v>106,92</c:v>
                  </c:pt>
                  <c:pt idx="26">
                    <c:v>102,81</c:v>
                  </c:pt>
                  <c:pt idx="27">
                    <c:v>58,06</c:v>
                  </c:pt>
                  <c:pt idx="28">
                    <c:v>48,84</c:v>
                  </c:pt>
                  <c:pt idx="29">
                    <c:v>85,67</c:v>
                  </c:pt>
                  <c:pt idx="30">
                    <c:v>80,25</c:v>
                  </c:pt>
                  <c:pt idx="31">
                    <c:v>72,47</c:v>
                  </c:pt>
                  <c:pt idx="32">
                    <c:v>73,68</c:v>
                  </c:pt>
                </c:lvl>
                <c:lvl>
                  <c:pt idx="0">
                    <c:v>67,44</c:v>
                  </c:pt>
                  <c:pt idx="1">
                    <c:v>79,16</c:v>
                  </c:pt>
                  <c:pt idx="2">
                    <c:v>61,79</c:v>
                  </c:pt>
                  <c:pt idx="3">
                    <c:v>48,02</c:v>
                  </c:pt>
                  <c:pt idx="4">
                    <c:v>71,21</c:v>
                  </c:pt>
                  <c:pt idx="5">
                    <c:v>76,98</c:v>
                  </c:pt>
                  <c:pt idx="6">
                    <c:v>89,35</c:v>
                  </c:pt>
                  <c:pt idx="8">
                    <c:v>70,04</c:v>
                  </c:pt>
                  <c:pt idx="9">
                    <c:v>83,48</c:v>
                  </c:pt>
                  <c:pt idx="10">
                    <c:v>51,74</c:v>
                  </c:pt>
                  <c:pt idx="11">
                    <c:v>102,20</c:v>
                  </c:pt>
                  <c:pt idx="12">
                    <c:v>76,17</c:v>
                  </c:pt>
                  <c:pt idx="13">
                    <c:v>63,59</c:v>
                  </c:pt>
                  <c:pt idx="14">
                    <c:v>85,66</c:v>
                  </c:pt>
                  <c:pt idx="16">
                    <c:v>83,04</c:v>
                  </c:pt>
                  <c:pt idx="17">
                    <c:v>84,85</c:v>
                  </c:pt>
                  <c:pt idx="18">
                    <c:v>81,32</c:v>
                  </c:pt>
                  <c:pt idx="19">
                    <c:v>59,65</c:v>
                  </c:pt>
                  <c:pt idx="20">
                    <c:v>96,49</c:v>
                  </c:pt>
                  <c:pt idx="21">
                    <c:v>66,98</c:v>
                  </c:pt>
                  <c:pt idx="22">
                    <c:v>91,88</c:v>
                  </c:pt>
                  <c:pt idx="24">
                    <c:v>112,89</c:v>
                  </c:pt>
                  <c:pt idx="25">
                    <c:v>93,04</c:v>
                  </c:pt>
                  <c:pt idx="26">
                    <c:v>80,24</c:v>
                  </c:pt>
                  <c:pt idx="27">
                    <c:v>60,07</c:v>
                  </c:pt>
                  <c:pt idx="28">
                    <c:v>84,94</c:v>
                  </c:pt>
                  <c:pt idx="29">
                    <c:v>75,58</c:v>
                  </c:pt>
                  <c:pt idx="30">
                    <c:v>87,74</c:v>
                  </c:pt>
                  <c:pt idx="31">
                    <c:v>58,46</c:v>
                  </c:pt>
                  <c:pt idx="32">
                    <c:v>86,14</c:v>
                  </c:pt>
                </c:lvl>
                <c:lvl>
                  <c:pt idx="0">
                    <c:v>81,90</c:v>
                  </c:pt>
                  <c:pt idx="1">
                    <c:v>79,69</c:v>
                  </c:pt>
                  <c:pt idx="2">
                    <c:v>58,21</c:v>
                  </c:pt>
                  <c:pt idx="3">
                    <c:v>67,35</c:v>
                  </c:pt>
                  <c:pt idx="4">
                    <c:v>65,81</c:v>
                  </c:pt>
                  <c:pt idx="5">
                    <c:v>74,69</c:v>
                  </c:pt>
                  <c:pt idx="6">
                    <c:v>109,95</c:v>
                  </c:pt>
                  <c:pt idx="8">
                    <c:v>80,24</c:v>
                  </c:pt>
                  <c:pt idx="9">
                    <c:v>82,95</c:v>
                  </c:pt>
                  <c:pt idx="10">
                    <c:v>87,65</c:v>
                  </c:pt>
                  <c:pt idx="11">
                    <c:v>107,50</c:v>
                  </c:pt>
                  <c:pt idx="12">
                    <c:v>83,03</c:v>
                  </c:pt>
                  <c:pt idx="13">
                    <c:v>62,26</c:v>
                  </c:pt>
                  <c:pt idx="14">
                    <c:v>100,43</c:v>
                  </c:pt>
                  <c:pt idx="16">
                    <c:v>116,43</c:v>
                  </c:pt>
                  <c:pt idx="17">
                    <c:v>99,85</c:v>
                  </c:pt>
                  <c:pt idx="18">
                    <c:v>73,53</c:v>
                  </c:pt>
                  <c:pt idx="19">
                    <c:v>67,37</c:v>
                  </c:pt>
                  <c:pt idx="20">
                    <c:v>88,90</c:v>
                  </c:pt>
                  <c:pt idx="21">
                    <c:v>83,12</c:v>
                  </c:pt>
                  <c:pt idx="22">
                    <c:v>85,57</c:v>
                  </c:pt>
                  <c:pt idx="24">
                    <c:v>100,28</c:v>
                  </c:pt>
                  <c:pt idx="25">
                    <c:v>105,02</c:v>
                  </c:pt>
                  <c:pt idx="26">
                    <c:v>94,38</c:v>
                  </c:pt>
                  <c:pt idx="27">
                    <c:v>75,46</c:v>
                  </c:pt>
                  <c:pt idx="28">
                    <c:v>68,72</c:v>
                  </c:pt>
                  <c:pt idx="29">
                    <c:v>91,76</c:v>
                  </c:pt>
                  <c:pt idx="30">
                    <c:v>100,96</c:v>
                  </c:pt>
                  <c:pt idx="31">
                    <c:v>44,11</c:v>
                  </c:pt>
                  <c:pt idx="32">
                    <c:v>103,13</c:v>
                  </c:pt>
                </c:lvl>
                <c:lvl>
                  <c:pt idx="0">
                    <c:v>97,88</c:v>
                  </c:pt>
                  <c:pt idx="1">
                    <c:v>66,01</c:v>
                  </c:pt>
                  <c:pt idx="2">
                    <c:v>58,79</c:v>
                  </c:pt>
                  <c:pt idx="3">
                    <c:v>72,41</c:v>
                  </c:pt>
                  <c:pt idx="4">
                    <c:v>60,05</c:v>
                  </c:pt>
                  <c:pt idx="5">
                    <c:v>68,88</c:v>
                  </c:pt>
                  <c:pt idx="6">
                    <c:v>75,65</c:v>
                  </c:pt>
                  <c:pt idx="8">
                    <c:v>56,31</c:v>
                  </c:pt>
                  <c:pt idx="9">
                    <c:v>81,41</c:v>
                  </c:pt>
                  <c:pt idx="10">
                    <c:v>76,28</c:v>
                  </c:pt>
                  <c:pt idx="11">
                    <c:v>80,75</c:v>
                  </c:pt>
                  <c:pt idx="12">
                    <c:v>96,57</c:v>
                  </c:pt>
                  <c:pt idx="13">
                    <c:v>65,62</c:v>
                  </c:pt>
                  <c:pt idx="14">
                    <c:v>78,58</c:v>
                  </c:pt>
                  <c:pt idx="17">
                    <c:v>137,73</c:v>
                  </c:pt>
                  <c:pt idx="19">
                    <c:v>71,37</c:v>
                  </c:pt>
                  <c:pt idx="20">
                    <c:v>46,93</c:v>
                  </c:pt>
                  <c:pt idx="21">
                    <c:v>85,45</c:v>
                  </c:pt>
                  <c:pt idx="22">
                    <c:v>101,49</c:v>
                  </c:pt>
                  <c:pt idx="24">
                    <c:v>66,28</c:v>
                  </c:pt>
                  <c:pt idx="25">
                    <c:v>77,47</c:v>
                  </c:pt>
                  <c:pt idx="26">
                    <c:v>76,39</c:v>
                  </c:pt>
                  <c:pt idx="27">
                    <c:v>54,72</c:v>
                  </c:pt>
                  <c:pt idx="28">
                    <c:v>87,66</c:v>
                  </c:pt>
                  <c:pt idx="29">
                    <c:v>77,43</c:v>
                  </c:pt>
                  <c:pt idx="30">
                    <c:v>87,91</c:v>
                  </c:pt>
                  <c:pt idx="31">
                    <c:v>66,72</c:v>
                  </c:pt>
                  <c:pt idx="32">
                    <c:v>83,81</c:v>
                  </c:pt>
                </c:lvl>
                <c:lvl>
                  <c:pt idx="0">
                    <c:v>81,69</c:v>
                  </c:pt>
                  <c:pt idx="1">
                    <c:v>92,71</c:v>
                  </c:pt>
                  <c:pt idx="2">
                    <c:v>78,02</c:v>
                  </c:pt>
                  <c:pt idx="3">
                    <c:v>97,74</c:v>
                  </c:pt>
                  <c:pt idx="4">
                    <c:v>77,63</c:v>
                  </c:pt>
                  <c:pt idx="5">
                    <c:v>67,53</c:v>
                  </c:pt>
                  <c:pt idx="6">
                    <c:v>78,52</c:v>
                  </c:pt>
                  <c:pt idx="8">
                    <c:v>76,07</c:v>
                  </c:pt>
                  <c:pt idx="9">
                    <c:v>82,02</c:v>
                  </c:pt>
                  <c:pt idx="10">
                    <c:v>67,47</c:v>
                  </c:pt>
                  <c:pt idx="11">
                    <c:v>80,58</c:v>
                  </c:pt>
                  <c:pt idx="12">
                    <c:v>66,12</c:v>
                  </c:pt>
                  <c:pt idx="13">
                    <c:v>94,07</c:v>
                  </c:pt>
                  <c:pt idx="14">
                    <c:v>75,93</c:v>
                  </c:pt>
                  <c:pt idx="16">
                    <c:v>85,37</c:v>
                  </c:pt>
                  <c:pt idx="17">
                    <c:v>84,52</c:v>
                  </c:pt>
                  <c:pt idx="18">
                    <c:v>68,71</c:v>
                  </c:pt>
                  <c:pt idx="19">
                    <c:v>72,18</c:v>
                  </c:pt>
                  <c:pt idx="20">
                    <c:v>87,98</c:v>
                  </c:pt>
                  <c:pt idx="21">
                    <c:v>71,21</c:v>
                  </c:pt>
                  <c:pt idx="22">
                    <c:v>77,89</c:v>
                  </c:pt>
                  <c:pt idx="24">
                    <c:v>85,37</c:v>
                  </c:pt>
                  <c:pt idx="25">
                    <c:v>86,13</c:v>
                  </c:pt>
                  <c:pt idx="26">
                    <c:v>90,25</c:v>
                  </c:pt>
                  <c:pt idx="27">
                    <c:v>56,32</c:v>
                  </c:pt>
                  <c:pt idx="28">
                    <c:v>73,03</c:v>
                  </c:pt>
                  <c:pt idx="29">
                    <c:v>80,67</c:v>
                  </c:pt>
                  <c:pt idx="30">
                    <c:v>78,26</c:v>
                  </c:pt>
                  <c:pt idx="31">
                    <c:v>78,42</c:v>
                  </c:pt>
                  <c:pt idx="32">
                    <c:v>75,73</c:v>
                  </c:pt>
                </c:lvl>
                <c:lvl>
                  <c:pt idx="7">
                    <c:v>PM</c:v>
                  </c:pt>
                  <c:pt idx="8">
                    <c:v>51,13</c:v>
                  </c:pt>
                  <c:pt idx="9">
                    <c:v>82,45</c:v>
                  </c:pt>
                  <c:pt idx="10">
                    <c:v>71,75</c:v>
                  </c:pt>
                  <c:pt idx="11">
                    <c:v>108,61</c:v>
                  </c:pt>
                  <c:pt idx="12">
                    <c:v>86,22</c:v>
                  </c:pt>
                  <c:pt idx="14">
                    <c:v>120,31</c:v>
                  </c:pt>
                  <c:pt idx="17">
                    <c:v>156,25</c:v>
                  </c:pt>
                  <c:pt idx="18">
                    <c:v>87,37</c:v>
                  </c:pt>
                  <c:pt idx="19">
                    <c:v>67,57</c:v>
                  </c:pt>
                  <c:pt idx="20">
                    <c:v>101,95</c:v>
                  </c:pt>
                  <c:pt idx="21">
                    <c:v>65,26</c:v>
                  </c:pt>
                  <c:pt idx="22">
                    <c:v>113,99</c:v>
                  </c:pt>
                  <c:pt idx="24">
                    <c:v>109,04</c:v>
                  </c:pt>
                  <c:pt idx="25">
                    <c:v>90,99</c:v>
                  </c:pt>
                  <c:pt idx="26">
                    <c:v>96,05</c:v>
                  </c:pt>
                  <c:pt idx="27">
                    <c:v>81,89</c:v>
                  </c:pt>
                  <c:pt idx="28">
                    <c:v>86,33</c:v>
                  </c:pt>
                  <c:pt idx="29">
                    <c:v>88,10</c:v>
                  </c:pt>
                  <c:pt idx="30">
                    <c:v>101,41</c:v>
                  </c:pt>
                  <c:pt idx="31">
                    <c:v>67,89</c:v>
                  </c:pt>
                  <c:pt idx="32">
                    <c:v>79,13</c:v>
                  </c:pt>
                </c:lvl>
                <c:lvl>
                  <c:pt idx="0">
                    <c:v>88,92</c:v>
                  </c:pt>
                  <c:pt idx="1">
                    <c:v>79,76</c:v>
                  </c:pt>
                  <c:pt idx="2">
                    <c:v>76,65</c:v>
                  </c:pt>
                  <c:pt idx="3">
                    <c:v>97,87</c:v>
                  </c:pt>
                  <c:pt idx="4">
                    <c:v>88,24</c:v>
                  </c:pt>
                  <c:pt idx="5">
                    <c:v>85,75</c:v>
                  </c:pt>
                  <c:pt idx="6">
                    <c:v>99,41</c:v>
                  </c:pt>
                  <c:pt idx="8">
                    <c:v>47,50</c:v>
                  </c:pt>
                  <c:pt idx="9">
                    <c:v>97,66</c:v>
                  </c:pt>
                  <c:pt idx="10">
                    <c:v>80,07</c:v>
                  </c:pt>
                  <c:pt idx="11">
                    <c:v>91,39</c:v>
                  </c:pt>
                  <c:pt idx="12">
                    <c:v>90,68</c:v>
                  </c:pt>
                  <c:pt idx="13">
                    <c:v>88,57</c:v>
                  </c:pt>
                  <c:pt idx="14">
                    <c:v>99,59</c:v>
                  </c:pt>
                  <c:pt idx="16">
                    <c:v>107,12</c:v>
                  </c:pt>
                  <c:pt idx="17">
                    <c:v>62,56</c:v>
                  </c:pt>
                  <c:pt idx="18">
                    <c:v>78,89</c:v>
                  </c:pt>
                  <c:pt idx="19">
                    <c:v>68,98</c:v>
                  </c:pt>
                  <c:pt idx="20">
                    <c:v>69,28</c:v>
                  </c:pt>
                  <c:pt idx="21">
                    <c:v>79,54</c:v>
                  </c:pt>
                  <c:pt idx="22">
                    <c:v>96,14</c:v>
                  </c:pt>
                  <c:pt idx="24">
                    <c:v>100,37</c:v>
                  </c:pt>
                  <c:pt idx="25">
                    <c:v>96,86</c:v>
                  </c:pt>
                  <c:pt idx="26">
                    <c:v>98,30</c:v>
                  </c:pt>
                  <c:pt idx="27">
                    <c:v>80,20</c:v>
                  </c:pt>
                  <c:pt idx="28">
                    <c:v>106,73</c:v>
                  </c:pt>
                  <c:pt idx="29">
                    <c:v>94,37</c:v>
                  </c:pt>
                  <c:pt idx="30">
                    <c:v>82,63</c:v>
                  </c:pt>
                  <c:pt idx="31">
                    <c:v>86,75</c:v>
                  </c:pt>
                  <c:pt idx="32">
                    <c:v>76,19</c:v>
                  </c:pt>
                </c:lvl>
                <c:lvl>
                  <c:pt idx="0">
                    <c:v>83,19</c:v>
                  </c:pt>
                  <c:pt idx="1">
                    <c:v>55,01</c:v>
                  </c:pt>
                  <c:pt idx="2">
                    <c:v>63,41</c:v>
                  </c:pt>
                  <c:pt idx="3">
                    <c:v>93,18</c:v>
                  </c:pt>
                  <c:pt idx="4">
                    <c:v>75,53</c:v>
                  </c:pt>
                  <c:pt idx="5">
                    <c:v>70,08</c:v>
                  </c:pt>
                  <c:pt idx="6">
                    <c:v>94,05</c:v>
                  </c:pt>
                  <c:pt idx="8">
                    <c:v>64,73</c:v>
                  </c:pt>
                  <c:pt idx="9">
                    <c:v>81,62</c:v>
                  </c:pt>
                  <c:pt idx="10">
                    <c:v>81,51</c:v>
                  </c:pt>
                  <c:pt idx="11">
                    <c:v>97,44</c:v>
                  </c:pt>
                  <c:pt idx="12">
                    <c:v>74,91</c:v>
                  </c:pt>
                  <c:pt idx="13">
                    <c:v>63,04</c:v>
                  </c:pt>
                  <c:pt idx="14">
                    <c:v>90,26</c:v>
                  </c:pt>
                  <c:pt idx="16">
                    <c:v>21,07</c:v>
                  </c:pt>
                  <c:pt idx="17">
                    <c:v>66,52</c:v>
                  </c:pt>
                  <c:pt idx="18">
                    <c:v>75,62</c:v>
                  </c:pt>
                  <c:pt idx="19">
                    <c:v>68,23</c:v>
                  </c:pt>
                  <c:pt idx="20">
                    <c:v>75,27</c:v>
                  </c:pt>
                  <c:pt idx="21">
                    <c:v>100,55</c:v>
                  </c:pt>
                  <c:pt idx="22">
                    <c:v>70,85</c:v>
                  </c:pt>
                  <c:pt idx="24">
                    <c:v>79,98</c:v>
                  </c:pt>
                  <c:pt idx="25">
                    <c:v>85,64</c:v>
                  </c:pt>
                  <c:pt idx="26">
                    <c:v>98,91</c:v>
                  </c:pt>
                  <c:pt idx="27">
                    <c:v>57,18</c:v>
                  </c:pt>
                  <c:pt idx="28">
                    <c:v>82,86</c:v>
                  </c:pt>
                  <c:pt idx="29">
                    <c:v>83,05</c:v>
                  </c:pt>
                  <c:pt idx="30">
                    <c:v>98,19</c:v>
                  </c:pt>
                  <c:pt idx="31">
                    <c:v>46,18</c:v>
                  </c:pt>
                  <c:pt idx="32">
                    <c:v>85,49</c:v>
                  </c:pt>
                </c:lvl>
                <c:lvl>
                  <c:pt idx="0">
                    <c:v>93,28</c:v>
                  </c:pt>
                  <c:pt idx="1">
                    <c:v>88,74</c:v>
                  </c:pt>
                  <c:pt idx="2">
                    <c:v>80,08</c:v>
                  </c:pt>
                  <c:pt idx="3">
                    <c:v>87,88</c:v>
                  </c:pt>
                  <c:pt idx="4">
                    <c:v>83,14</c:v>
                  </c:pt>
                  <c:pt idx="5">
                    <c:v>52,57</c:v>
                  </c:pt>
                  <c:pt idx="6">
                    <c:v>88,00</c:v>
                  </c:pt>
                  <c:pt idx="8">
                    <c:v>84,58</c:v>
                  </c:pt>
                  <c:pt idx="9">
                    <c:v>99,15</c:v>
                  </c:pt>
                  <c:pt idx="10">
                    <c:v>85,68</c:v>
                  </c:pt>
                  <c:pt idx="11">
                    <c:v>77,26</c:v>
                  </c:pt>
                  <c:pt idx="12">
                    <c:v>95,62</c:v>
                  </c:pt>
                  <c:pt idx="13">
                    <c:v>84,47</c:v>
                  </c:pt>
                  <c:pt idx="14">
                    <c:v>59,95</c:v>
                  </c:pt>
                  <c:pt idx="16">
                    <c:v>107,44</c:v>
                  </c:pt>
                  <c:pt idx="17">
                    <c:v>90,16</c:v>
                  </c:pt>
                  <c:pt idx="18">
                    <c:v>95,01</c:v>
                  </c:pt>
                  <c:pt idx="19">
                    <c:v>61,58</c:v>
                  </c:pt>
                  <c:pt idx="20">
                    <c:v>80,43</c:v>
                  </c:pt>
                  <c:pt idx="21">
                    <c:v>89,09</c:v>
                  </c:pt>
                  <c:pt idx="24">
                    <c:v>101,39</c:v>
                  </c:pt>
                  <c:pt idx="25">
                    <c:v>70,98</c:v>
                  </c:pt>
                  <c:pt idx="26">
                    <c:v>89,57</c:v>
                  </c:pt>
                  <c:pt idx="27">
                    <c:v>90,50</c:v>
                  </c:pt>
                  <c:pt idx="28">
                    <c:v>82,24</c:v>
                  </c:pt>
                  <c:pt idx="29">
                    <c:v>71,47</c:v>
                  </c:pt>
                  <c:pt idx="30">
                    <c:v>95,07</c:v>
                  </c:pt>
                  <c:pt idx="31">
                    <c:v>63,95</c:v>
                  </c:pt>
                  <c:pt idx="32">
                    <c:v>86,95</c:v>
                  </c:pt>
                </c:lvl>
                <c:lvl>
                  <c:pt idx="0">
                    <c:v>98,38</c:v>
                  </c:pt>
                  <c:pt idx="1">
                    <c:v>88,48</c:v>
                  </c:pt>
                  <c:pt idx="2">
                    <c:v>105,55</c:v>
                  </c:pt>
                  <c:pt idx="3">
                    <c:v>91,01</c:v>
                  </c:pt>
                  <c:pt idx="4">
                    <c:v>87,86</c:v>
                  </c:pt>
                  <c:pt idx="5">
                    <c:v>76,81</c:v>
                  </c:pt>
                  <c:pt idx="6">
                    <c:v>92,60</c:v>
                  </c:pt>
                  <c:pt idx="15">
                    <c:v>PM</c:v>
                  </c:pt>
                  <c:pt idx="19">
                    <c:v>84,94</c:v>
                  </c:pt>
                  <c:pt idx="34">
                    <c:v>PM</c:v>
                  </c:pt>
                </c:lvl>
                <c:lvl>
                  <c:pt idx="0">
                    <c:v>65,41</c:v>
                  </c:pt>
                  <c:pt idx="1">
                    <c:v>71,25</c:v>
                  </c:pt>
                  <c:pt idx="2">
                    <c:v>78,41</c:v>
                  </c:pt>
                  <c:pt idx="3">
                    <c:v>57,37</c:v>
                  </c:pt>
                  <c:pt idx="4">
                    <c:v>77,24</c:v>
                  </c:pt>
                  <c:pt idx="5">
                    <c:v>70,40</c:v>
                  </c:pt>
                  <c:pt idx="6">
                    <c:v>73,43</c:v>
                  </c:pt>
                  <c:pt idx="8">
                    <c:v>43,20</c:v>
                  </c:pt>
                  <c:pt idx="9">
                    <c:v>75,78</c:v>
                  </c:pt>
                  <c:pt idx="10">
                    <c:v>51,72</c:v>
                  </c:pt>
                  <c:pt idx="11">
                    <c:v>89,51</c:v>
                  </c:pt>
                  <c:pt idx="12">
                    <c:v>80,31</c:v>
                  </c:pt>
                  <c:pt idx="13">
                    <c:v>83,04</c:v>
                  </c:pt>
                  <c:pt idx="14">
                    <c:v>79,31</c:v>
                  </c:pt>
                  <c:pt idx="16">
                    <c:v>95,94</c:v>
                  </c:pt>
                  <c:pt idx="17">
                    <c:v>95,65</c:v>
                  </c:pt>
                  <c:pt idx="18">
                    <c:v>67,36</c:v>
                  </c:pt>
                  <c:pt idx="20">
                    <c:v>80,21</c:v>
                  </c:pt>
                  <c:pt idx="21">
                    <c:v>84,14</c:v>
                  </c:pt>
                  <c:pt idx="22">
                    <c:v>84,32</c:v>
                  </c:pt>
                  <c:pt idx="24">
                    <c:v>96,15</c:v>
                  </c:pt>
                  <c:pt idx="25">
                    <c:v>86,23</c:v>
                  </c:pt>
                  <c:pt idx="26">
                    <c:v>79,73</c:v>
                  </c:pt>
                  <c:pt idx="27">
                    <c:v>72,26</c:v>
                  </c:pt>
                  <c:pt idx="28">
                    <c:v>85,67</c:v>
                  </c:pt>
                  <c:pt idx="29">
                    <c:v>97,10</c:v>
                  </c:pt>
                  <c:pt idx="30">
                    <c:v>86,95</c:v>
                  </c:pt>
                  <c:pt idx="31">
                    <c:v>62,13</c:v>
                  </c:pt>
                  <c:pt idx="32">
                    <c:v>74,15</c:v>
                  </c:pt>
                </c:lvl>
                <c:lvl>
                  <c:pt idx="0">
                    <c:v>96,87</c:v>
                  </c:pt>
                  <c:pt idx="1">
                    <c:v>80,99</c:v>
                  </c:pt>
                  <c:pt idx="2">
                    <c:v>82,57</c:v>
                  </c:pt>
                  <c:pt idx="3">
                    <c:v>65,64</c:v>
                  </c:pt>
                  <c:pt idx="4">
                    <c:v>51,43</c:v>
                  </c:pt>
                  <c:pt idx="5">
                    <c:v>56,40</c:v>
                  </c:pt>
                  <c:pt idx="6">
                    <c:v>81,85</c:v>
                  </c:pt>
                  <c:pt idx="8">
                    <c:v>58,57</c:v>
                  </c:pt>
                  <c:pt idx="9">
                    <c:v>69,01</c:v>
                  </c:pt>
                  <c:pt idx="10">
                    <c:v>64,42</c:v>
                  </c:pt>
                  <c:pt idx="11">
                    <c:v>107,46</c:v>
                  </c:pt>
                  <c:pt idx="12">
                    <c:v>90,81</c:v>
                  </c:pt>
                  <c:pt idx="13">
                    <c:v>70,14</c:v>
                  </c:pt>
                  <c:pt idx="14">
                    <c:v>70,46</c:v>
                  </c:pt>
                  <c:pt idx="16">
                    <c:v>83,14</c:v>
                  </c:pt>
                  <c:pt idx="17">
                    <c:v>94,84</c:v>
                  </c:pt>
                  <c:pt idx="18">
                    <c:v>55,34</c:v>
                  </c:pt>
                  <c:pt idx="19">
                    <c:v>75,03</c:v>
                  </c:pt>
                  <c:pt idx="20">
                    <c:v>83,71</c:v>
                  </c:pt>
                  <c:pt idx="21">
                    <c:v>78,81</c:v>
                  </c:pt>
                  <c:pt idx="22">
                    <c:v>63,13</c:v>
                  </c:pt>
                  <c:pt idx="24">
                    <c:v>82,15</c:v>
                  </c:pt>
                  <c:pt idx="25">
                    <c:v>95,85</c:v>
                  </c:pt>
                  <c:pt idx="26">
                    <c:v>71,07</c:v>
                  </c:pt>
                  <c:pt idx="27">
                    <c:v>72,56</c:v>
                  </c:pt>
                  <c:pt idx="28">
                    <c:v>90,28</c:v>
                  </c:pt>
                  <c:pt idx="29">
                    <c:v>100,99</c:v>
                  </c:pt>
                  <c:pt idx="30">
                    <c:v>68,52</c:v>
                  </c:pt>
                  <c:pt idx="31">
                    <c:v>71,39</c:v>
                  </c:pt>
                  <c:pt idx="32">
                    <c:v>76,90</c:v>
                  </c:pt>
                </c:lvl>
                <c:lvl>
                  <c:pt idx="0">
                    <c:v>64,82</c:v>
                  </c:pt>
                  <c:pt idx="1">
                    <c:v>91,72</c:v>
                  </c:pt>
                  <c:pt idx="2">
                    <c:v>74,92</c:v>
                  </c:pt>
                  <c:pt idx="3">
                    <c:v>86,05</c:v>
                  </c:pt>
                  <c:pt idx="4">
                    <c:v>68,64</c:v>
                  </c:pt>
                  <c:pt idx="5">
                    <c:v>66,38</c:v>
                  </c:pt>
                  <c:pt idx="6">
                    <c:v>91,48</c:v>
                  </c:pt>
                  <c:pt idx="8">
                    <c:v>86,70</c:v>
                  </c:pt>
                  <c:pt idx="9">
                    <c:v>85,41</c:v>
                  </c:pt>
                  <c:pt idx="10">
                    <c:v>73,91</c:v>
                  </c:pt>
                  <c:pt idx="11">
                    <c:v>55,03</c:v>
                  </c:pt>
                  <c:pt idx="12">
                    <c:v>102,40</c:v>
                  </c:pt>
                  <c:pt idx="13">
                    <c:v>80,63</c:v>
                  </c:pt>
                  <c:pt idx="14">
                    <c:v>101,05</c:v>
                  </c:pt>
                  <c:pt idx="16">
                    <c:v>102,53</c:v>
                  </c:pt>
                  <c:pt idx="17">
                    <c:v>71,94</c:v>
                  </c:pt>
                  <c:pt idx="18">
                    <c:v>92,71</c:v>
                  </c:pt>
                  <c:pt idx="19">
                    <c:v>73,72</c:v>
                  </c:pt>
                  <c:pt idx="20">
                    <c:v>92,64</c:v>
                  </c:pt>
                  <c:pt idx="21">
                    <c:v>83,17</c:v>
                  </c:pt>
                  <c:pt idx="22">
                    <c:v>85,26</c:v>
                  </c:pt>
                  <c:pt idx="24">
                    <c:v>101,99</c:v>
                  </c:pt>
                  <c:pt idx="25">
                    <c:v>95,32</c:v>
                  </c:pt>
                  <c:pt idx="26">
                    <c:v>102,19</c:v>
                  </c:pt>
                  <c:pt idx="27">
                    <c:v>69,80</c:v>
                  </c:pt>
                  <c:pt idx="28">
                    <c:v>106,37</c:v>
                  </c:pt>
                  <c:pt idx="29">
                    <c:v>86,05</c:v>
                  </c:pt>
                  <c:pt idx="30">
                    <c:v>97,07</c:v>
                  </c:pt>
                  <c:pt idx="31">
                    <c:v>78,74</c:v>
                  </c:pt>
                  <c:pt idx="32">
                    <c:v>93,73</c:v>
                  </c:pt>
                </c:lvl>
                <c:lvl>
                  <c:pt idx="0">
                    <c:v>84,02</c:v>
                  </c:pt>
                  <c:pt idx="1">
                    <c:v>80,44</c:v>
                  </c:pt>
                  <c:pt idx="2">
                    <c:v>77,28</c:v>
                  </c:pt>
                  <c:pt idx="3">
                    <c:v>74,48</c:v>
                  </c:pt>
                  <c:pt idx="4">
                    <c:v>54,82</c:v>
                  </c:pt>
                  <c:pt idx="5">
                    <c:v>76,25</c:v>
                  </c:pt>
                  <c:pt idx="6">
                    <c:v>72,30</c:v>
                  </c:pt>
                  <c:pt idx="8">
                    <c:v>93,65</c:v>
                  </c:pt>
                  <c:pt idx="9">
                    <c:v>72,51</c:v>
                  </c:pt>
                  <c:pt idx="10">
                    <c:v>73,49</c:v>
                  </c:pt>
                  <c:pt idx="11">
                    <c:v>88,90</c:v>
                  </c:pt>
                  <c:pt idx="12">
                    <c:v>85,43</c:v>
                  </c:pt>
                  <c:pt idx="13">
                    <c:v>80,09</c:v>
                  </c:pt>
                  <c:pt idx="14">
                    <c:v>93,75</c:v>
                  </c:pt>
                  <c:pt idx="16">
                    <c:v>83,40</c:v>
                  </c:pt>
                  <c:pt idx="17">
                    <c:v>127,41</c:v>
                  </c:pt>
                  <c:pt idx="18">
                    <c:v>79,18</c:v>
                  </c:pt>
                  <c:pt idx="19">
                    <c:v>55,27</c:v>
                  </c:pt>
                  <c:pt idx="20">
                    <c:v>85,74</c:v>
                  </c:pt>
                  <c:pt idx="21">
                    <c:v>85,29</c:v>
                  </c:pt>
                  <c:pt idx="22">
                    <c:v>78,90</c:v>
                  </c:pt>
                  <c:pt idx="24">
                    <c:v>78,93</c:v>
                  </c:pt>
                  <c:pt idx="25">
                    <c:v>96,46</c:v>
                  </c:pt>
                  <c:pt idx="26">
                    <c:v>74,97</c:v>
                  </c:pt>
                  <c:pt idx="27">
                    <c:v>90,19</c:v>
                  </c:pt>
                  <c:pt idx="28">
                    <c:v>79,06</c:v>
                  </c:pt>
                  <c:pt idx="29">
                    <c:v>87,56</c:v>
                  </c:pt>
                  <c:pt idx="30">
                    <c:v>75,25</c:v>
                  </c:pt>
                  <c:pt idx="31">
                    <c:v>67,22</c:v>
                  </c:pt>
                  <c:pt idx="32">
                    <c:v>80,16</c:v>
                  </c:pt>
                </c:lvl>
                <c:lvl>
                  <c:pt idx="0">
                    <c:v>59,98</c:v>
                  </c:pt>
                  <c:pt idx="1">
                    <c:v>83,64</c:v>
                  </c:pt>
                  <c:pt idx="2">
                    <c:v>79,14</c:v>
                  </c:pt>
                  <c:pt idx="3">
                    <c:v>75,29</c:v>
                  </c:pt>
                  <c:pt idx="4">
                    <c:v>66,88</c:v>
                  </c:pt>
                  <c:pt idx="5">
                    <c:v>62,66</c:v>
                  </c:pt>
                  <c:pt idx="6">
                    <c:v>101,81</c:v>
                  </c:pt>
                  <c:pt idx="8">
                    <c:v>69,43</c:v>
                  </c:pt>
                  <c:pt idx="9">
                    <c:v>52,42</c:v>
                  </c:pt>
                  <c:pt idx="10">
                    <c:v>73,67</c:v>
                  </c:pt>
                  <c:pt idx="11">
                    <c:v>104,57</c:v>
                  </c:pt>
                  <c:pt idx="12">
                    <c:v>95,40</c:v>
                  </c:pt>
                  <c:pt idx="13">
                    <c:v>80,31</c:v>
                  </c:pt>
                  <c:pt idx="14">
                    <c:v>85,40</c:v>
                  </c:pt>
                  <c:pt idx="16">
                    <c:v>84,14</c:v>
                  </c:pt>
                  <c:pt idx="17">
                    <c:v>123,28</c:v>
                  </c:pt>
                  <c:pt idx="18">
                    <c:v>63,88</c:v>
                  </c:pt>
                  <c:pt idx="19">
                    <c:v>83,67</c:v>
                  </c:pt>
                  <c:pt idx="20">
                    <c:v>95,24</c:v>
                  </c:pt>
                  <c:pt idx="21">
                    <c:v>80,63</c:v>
                  </c:pt>
                  <c:pt idx="22">
                    <c:v>93,77</c:v>
                  </c:pt>
                  <c:pt idx="24">
                    <c:v>88,74</c:v>
                  </c:pt>
                  <c:pt idx="25">
                    <c:v>67,15</c:v>
                  </c:pt>
                  <c:pt idx="26">
                    <c:v>92,09</c:v>
                  </c:pt>
                  <c:pt idx="27">
                    <c:v>82,55</c:v>
                  </c:pt>
                  <c:pt idx="28">
                    <c:v>96,43</c:v>
                  </c:pt>
                  <c:pt idx="29">
                    <c:v>97,90</c:v>
                  </c:pt>
                  <c:pt idx="30">
                    <c:v>79,63</c:v>
                  </c:pt>
                  <c:pt idx="31">
                    <c:v>78,66</c:v>
                  </c:pt>
                  <c:pt idx="32">
                    <c:v>88,75</c:v>
                  </c:pt>
                </c:lvl>
                <c:lvl>
                  <c:pt idx="0">
                    <c:v>89,79</c:v>
                  </c:pt>
                  <c:pt idx="1">
                    <c:v>71,87</c:v>
                  </c:pt>
                  <c:pt idx="2">
                    <c:v>67,88</c:v>
                  </c:pt>
                  <c:pt idx="3">
                    <c:v>87,49</c:v>
                  </c:pt>
                  <c:pt idx="4">
                    <c:v>80,51</c:v>
                  </c:pt>
                  <c:pt idx="5">
                    <c:v>67,94</c:v>
                  </c:pt>
                  <c:pt idx="6">
                    <c:v>85,45</c:v>
                  </c:pt>
                  <c:pt idx="8">
                    <c:v>49,71</c:v>
                  </c:pt>
                  <c:pt idx="9">
                    <c:v>86,55</c:v>
                  </c:pt>
                  <c:pt idx="10">
                    <c:v>80,24</c:v>
                  </c:pt>
                  <c:pt idx="11">
                    <c:v>93,32</c:v>
                  </c:pt>
                  <c:pt idx="12">
                    <c:v>65,19</c:v>
                  </c:pt>
                  <c:pt idx="13">
                    <c:v>77,26</c:v>
                  </c:pt>
                  <c:pt idx="14">
                    <c:v>106,68</c:v>
                  </c:pt>
                  <c:pt idx="17">
                    <c:v>119,31</c:v>
                  </c:pt>
                  <c:pt idx="18">
                    <c:v>100,30</c:v>
                  </c:pt>
                  <c:pt idx="19">
                    <c:v>78,54</c:v>
                  </c:pt>
                  <c:pt idx="20">
                    <c:v>75,04</c:v>
                  </c:pt>
                  <c:pt idx="21">
                    <c:v>87,06</c:v>
                  </c:pt>
                  <c:pt idx="22">
                    <c:v>66,52</c:v>
                  </c:pt>
                  <c:pt idx="24">
                    <c:v>78,53</c:v>
                  </c:pt>
                  <c:pt idx="25">
                    <c:v>118,42</c:v>
                  </c:pt>
                  <c:pt idx="26">
                    <c:v>67,16</c:v>
                  </c:pt>
                  <c:pt idx="28">
                    <c:v>84,27</c:v>
                  </c:pt>
                  <c:pt idx="29">
                    <c:v>73,10</c:v>
                  </c:pt>
                  <c:pt idx="30">
                    <c:v>91,28</c:v>
                  </c:pt>
                  <c:pt idx="31">
                    <c:v>68,97</c:v>
                  </c:pt>
                  <c:pt idx="32">
                    <c:v>77,88</c:v>
                  </c:pt>
                </c:lvl>
                <c:lvl>
                  <c:pt idx="0">
                    <c:v>60,45</c:v>
                  </c:pt>
                  <c:pt idx="1">
                    <c:v>93,51</c:v>
                  </c:pt>
                  <c:pt idx="2">
                    <c:v>61,97</c:v>
                  </c:pt>
                  <c:pt idx="3">
                    <c:v>83,16</c:v>
                  </c:pt>
                  <c:pt idx="4">
                    <c:v>66,74</c:v>
                  </c:pt>
                  <c:pt idx="5">
                    <c:v>72,58</c:v>
                  </c:pt>
                  <c:pt idx="6">
                    <c:v>83,46</c:v>
                  </c:pt>
                  <c:pt idx="8">
                    <c:v>47,22</c:v>
                  </c:pt>
                  <c:pt idx="9">
                    <c:v>70,81</c:v>
                  </c:pt>
                  <c:pt idx="10">
                    <c:v>66,16</c:v>
                  </c:pt>
                  <c:pt idx="11">
                    <c:v>81,52</c:v>
                  </c:pt>
                  <c:pt idx="12">
                    <c:v>80,55</c:v>
                  </c:pt>
                  <c:pt idx="13">
                    <c:v>63,90</c:v>
                  </c:pt>
                  <c:pt idx="14">
                    <c:v>83,92</c:v>
                  </c:pt>
                  <c:pt idx="16">
                    <c:v>101,68</c:v>
                  </c:pt>
                  <c:pt idx="17">
                    <c:v>91,98</c:v>
                  </c:pt>
                  <c:pt idx="18">
                    <c:v>52,53</c:v>
                  </c:pt>
                  <c:pt idx="19">
                    <c:v>89,14</c:v>
                  </c:pt>
                  <c:pt idx="20">
                    <c:v>92,64</c:v>
                  </c:pt>
                  <c:pt idx="21">
                    <c:v>49,41</c:v>
                  </c:pt>
                  <c:pt idx="34">
                    <c:v>PM</c:v>
                  </c:pt>
                </c:lvl>
                <c:lvl>
                  <c:pt idx="0">
                    <c:v>104,65</c:v>
                  </c:pt>
                  <c:pt idx="1">
                    <c:v>97,57</c:v>
                  </c:pt>
                  <c:pt idx="2">
                    <c:v>89,55</c:v>
                  </c:pt>
                  <c:pt idx="3">
                    <c:v>103,32</c:v>
                  </c:pt>
                  <c:pt idx="4">
                    <c:v>77,33</c:v>
                  </c:pt>
                  <c:pt idx="5">
                    <c:v>89,49</c:v>
                  </c:pt>
                  <c:pt idx="6">
                    <c:v>105,43</c:v>
                  </c:pt>
                  <c:pt idx="8">
                    <c:v>88,21</c:v>
                  </c:pt>
                  <c:pt idx="9">
                    <c:v>114,38</c:v>
                  </c:pt>
                  <c:pt idx="10">
                    <c:v>55,68</c:v>
                  </c:pt>
                  <c:pt idx="11">
                    <c:v>124,85</c:v>
                  </c:pt>
                  <c:pt idx="14">
                    <c:v>111,90</c:v>
                  </c:pt>
                  <c:pt idx="16">
                    <c:v>90,41</c:v>
                  </c:pt>
                  <c:pt idx="17">
                    <c:v>32,11</c:v>
                  </c:pt>
                  <c:pt idx="18">
                    <c:v>72,49</c:v>
                  </c:pt>
                  <c:pt idx="20">
                    <c:v>179,98</c:v>
                  </c:pt>
                  <c:pt idx="21">
                    <c:v>99,97</c:v>
                  </c:pt>
                  <c:pt idx="22">
                    <c:v>84,79</c:v>
                  </c:pt>
                  <c:pt idx="24">
                    <c:v>64,33</c:v>
                  </c:pt>
                  <c:pt idx="25">
                    <c:v>91,99</c:v>
                  </c:pt>
                  <c:pt idx="26">
                    <c:v>107,22</c:v>
                  </c:pt>
                  <c:pt idx="27">
                    <c:v>27,60</c:v>
                  </c:pt>
                  <c:pt idx="28">
                    <c:v>91,75</c:v>
                  </c:pt>
                  <c:pt idx="29">
                    <c:v>87,55</c:v>
                  </c:pt>
                  <c:pt idx="30">
                    <c:v>117,90</c:v>
                  </c:pt>
                  <c:pt idx="31">
                    <c:v>42,91</c:v>
                  </c:pt>
                  <c:pt idx="32">
                    <c:v>113,92</c:v>
                  </c:pt>
                </c:lvl>
                <c:lvl>
                  <c:pt idx="0">
                    <c:v>65,38</c:v>
                  </c:pt>
                  <c:pt idx="1">
                    <c:v>106,02</c:v>
                  </c:pt>
                  <c:pt idx="2">
                    <c:v>78,31</c:v>
                  </c:pt>
                  <c:pt idx="3">
                    <c:v>60,92</c:v>
                  </c:pt>
                  <c:pt idx="4">
                    <c:v>75,80</c:v>
                  </c:pt>
                  <c:pt idx="5">
                    <c:v>57,63</c:v>
                  </c:pt>
                  <c:pt idx="6">
                    <c:v>133,01</c:v>
                  </c:pt>
                  <c:pt idx="8">
                    <c:v>61,28</c:v>
                  </c:pt>
                  <c:pt idx="9">
                    <c:v>58,57</c:v>
                  </c:pt>
                  <c:pt idx="10">
                    <c:v>76,40</c:v>
                  </c:pt>
                  <c:pt idx="11">
                    <c:v>100,88</c:v>
                  </c:pt>
                  <c:pt idx="12">
                    <c:v>63,33</c:v>
                  </c:pt>
                  <c:pt idx="13">
                    <c:v>95,33</c:v>
                  </c:pt>
                  <c:pt idx="14">
                    <c:v>88,49</c:v>
                  </c:pt>
                  <c:pt idx="16">
                    <c:v>80,07</c:v>
                  </c:pt>
                  <c:pt idx="18">
                    <c:v>132,15</c:v>
                  </c:pt>
                  <c:pt idx="19">
                    <c:v>78,85</c:v>
                  </c:pt>
                  <c:pt idx="20">
                    <c:v>100,83</c:v>
                  </c:pt>
                  <c:pt idx="21">
                    <c:v>80,37</c:v>
                  </c:pt>
                  <c:pt idx="22">
                    <c:v>98,10</c:v>
                  </c:pt>
                  <c:pt idx="24">
                    <c:v>103,88</c:v>
                  </c:pt>
                  <c:pt idx="25">
                    <c:v>120,42</c:v>
                  </c:pt>
                  <c:pt idx="26">
                    <c:v>80,33</c:v>
                  </c:pt>
                  <c:pt idx="27">
                    <c:v>90,18</c:v>
                  </c:pt>
                  <c:pt idx="28">
                    <c:v>90,45</c:v>
                  </c:pt>
                  <c:pt idx="29">
                    <c:v>99,45</c:v>
                  </c:pt>
                  <c:pt idx="30">
                    <c:v>85,79</c:v>
                  </c:pt>
                  <c:pt idx="31">
                    <c:v>62,55</c:v>
                  </c:pt>
                  <c:pt idx="32">
                    <c:v>88,16</c:v>
                  </c:pt>
                </c:lvl>
                <c:lvl>
                  <c:pt idx="0">
                    <c:v>74,59</c:v>
                  </c:pt>
                  <c:pt idx="1">
                    <c:v>76,94</c:v>
                  </c:pt>
                  <c:pt idx="2">
                    <c:v>74,04</c:v>
                  </c:pt>
                  <c:pt idx="4">
                    <c:v>54,52</c:v>
                  </c:pt>
                  <c:pt idx="5">
                    <c:v>53,48</c:v>
                  </c:pt>
                  <c:pt idx="6">
                    <c:v>82,91</c:v>
                  </c:pt>
                  <c:pt idx="9">
                    <c:v>120,44</c:v>
                  </c:pt>
                  <c:pt idx="10">
                    <c:v>76,61</c:v>
                  </c:pt>
                  <c:pt idx="11">
                    <c:v>84,83</c:v>
                  </c:pt>
                  <c:pt idx="12">
                    <c:v>76,93</c:v>
                  </c:pt>
                  <c:pt idx="13">
                    <c:v>73,82</c:v>
                  </c:pt>
                  <c:pt idx="14">
                    <c:v>75,78</c:v>
                  </c:pt>
                  <c:pt idx="16">
                    <c:v>100,56</c:v>
                  </c:pt>
                  <c:pt idx="17">
                    <c:v>70,56</c:v>
                  </c:pt>
                  <c:pt idx="18">
                    <c:v>78,24</c:v>
                  </c:pt>
                  <c:pt idx="19">
                    <c:v>77,61</c:v>
                  </c:pt>
                  <c:pt idx="20">
                    <c:v>88,67</c:v>
                  </c:pt>
                  <c:pt idx="21">
                    <c:v>91,02</c:v>
                  </c:pt>
                  <c:pt idx="22">
                    <c:v>106,43</c:v>
                  </c:pt>
                  <c:pt idx="24">
                    <c:v>80,19</c:v>
                  </c:pt>
                  <c:pt idx="25">
                    <c:v>84,61</c:v>
                  </c:pt>
                  <c:pt idx="26">
                    <c:v>83,22</c:v>
                  </c:pt>
                  <c:pt idx="27">
                    <c:v>81,53</c:v>
                  </c:pt>
                  <c:pt idx="28">
                    <c:v>75,89</c:v>
                  </c:pt>
                  <c:pt idx="29">
                    <c:v>77,98</c:v>
                  </c:pt>
                  <c:pt idx="30">
                    <c:v>72,39</c:v>
                  </c:pt>
                  <c:pt idx="31">
                    <c:v>57,88</c:v>
                  </c:pt>
                  <c:pt idx="32">
                    <c:v>80,70</c:v>
                  </c:pt>
                </c:lvl>
                <c:lvl>
                  <c:pt idx="0">
                    <c:v>88,44</c:v>
                  </c:pt>
                  <c:pt idx="1">
                    <c:v>91,28</c:v>
                  </c:pt>
                  <c:pt idx="2">
                    <c:v>91,94</c:v>
                  </c:pt>
                  <c:pt idx="3">
                    <c:v>93,60</c:v>
                  </c:pt>
                  <c:pt idx="4">
                    <c:v>61,64</c:v>
                  </c:pt>
                  <c:pt idx="6">
                    <c:v>94,64</c:v>
                  </c:pt>
                  <c:pt idx="8">
                    <c:v>67,23</c:v>
                  </c:pt>
                  <c:pt idx="9">
                    <c:v>94,09</c:v>
                  </c:pt>
                  <c:pt idx="10">
                    <c:v>77,74</c:v>
                  </c:pt>
                  <c:pt idx="11">
                    <c:v>91,29</c:v>
                  </c:pt>
                  <c:pt idx="12">
                    <c:v>102,72</c:v>
                  </c:pt>
                  <c:pt idx="14">
                    <c:v>87,74</c:v>
                  </c:pt>
                  <c:pt idx="16">
                    <c:v>108,17</c:v>
                  </c:pt>
                  <c:pt idx="18">
                    <c:v>127,84</c:v>
                  </c:pt>
                  <c:pt idx="19">
                    <c:v>91,63</c:v>
                  </c:pt>
                  <c:pt idx="20">
                    <c:v>82,33</c:v>
                  </c:pt>
                  <c:pt idx="21">
                    <c:v>99,79</c:v>
                  </c:pt>
                  <c:pt idx="22">
                    <c:v>85,30</c:v>
                  </c:pt>
                  <c:pt idx="24">
                    <c:v>100,82</c:v>
                  </c:pt>
                  <c:pt idx="25">
                    <c:v>79,58</c:v>
                  </c:pt>
                  <c:pt idx="26">
                    <c:v>78,67</c:v>
                  </c:pt>
                  <c:pt idx="27">
                    <c:v>91,10</c:v>
                  </c:pt>
                  <c:pt idx="28">
                    <c:v>95,97</c:v>
                  </c:pt>
                  <c:pt idx="29">
                    <c:v>95,97</c:v>
                  </c:pt>
                  <c:pt idx="30">
                    <c:v>101,31</c:v>
                  </c:pt>
                  <c:pt idx="31">
                    <c:v>67,10</c:v>
                  </c:pt>
                  <c:pt idx="32">
                    <c:v>73,94</c:v>
                  </c:pt>
                  <c:pt idx="36">
                    <c:v> 92 Unit</c:v>
                  </c:pt>
                </c:lvl>
                <c:lvl>
                  <c:pt idx="0">
                    <c:v>57,60</c:v>
                  </c:pt>
                  <c:pt idx="1">
                    <c:v>81,11</c:v>
                  </c:pt>
                  <c:pt idx="2">
                    <c:v>62,92</c:v>
                  </c:pt>
                  <c:pt idx="3">
                    <c:v>81,36</c:v>
                  </c:pt>
                  <c:pt idx="4">
                    <c:v>82,47</c:v>
                  </c:pt>
                  <c:pt idx="5">
                    <c:v>75,78</c:v>
                  </c:pt>
                  <c:pt idx="6">
                    <c:v>100,60</c:v>
                  </c:pt>
                  <c:pt idx="8">
                    <c:v>88,15</c:v>
                  </c:pt>
                  <c:pt idx="9">
                    <c:v>67,51</c:v>
                  </c:pt>
                  <c:pt idx="10">
                    <c:v>81,38</c:v>
                  </c:pt>
                  <c:pt idx="11">
                    <c:v>123,11</c:v>
                  </c:pt>
                  <c:pt idx="12">
                    <c:v>93,16</c:v>
                  </c:pt>
                  <c:pt idx="13">
                    <c:v>83,44</c:v>
                  </c:pt>
                  <c:pt idx="14">
                    <c:v>66,41</c:v>
                  </c:pt>
                  <c:pt idx="16">
                    <c:v>86,28</c:v>
                  </c:pt>
                  <c:pt idx="17">
                    <c:v>102,25</c:v>
                  </c:pt>
                  <c:pt idx="18">
                    <c:v>71,34</c:v>
                  </c:pt>
                  <c:pt idx="19">
                    <c:v>70,59</c:v>
                  </c:pt>
                  <c:pt idx="20">
                    <c:v>89,22</c:v>
                  </c:pt>
                  <c:pt idx="21">
                    <c:v>66,20</c:v>
                  </c:pt>
                  <c:pt idx="22">
                    <c:v>70,79</c:v>
                  </c:pt>
                  <c:pt idx="24">
                    <c:v>78,27</c:v>
                  </c:pt>
                  <c:pt idx="25">
                    <c:v>89,01</c:v>
                  </c:pt>
                  <c:pt idx="26">
                    <c:v>86,61</c:v>
                  </c:pt>
                  <c:pt idx="27">
                    <c:v>76,98</c:v>
                  </c:pt>
                  <c:pt idx="28">
                    <c:v>79,52</c:v>
                  </c:pt>
                  <c:pt idx="29">
                    <c:v>95,27</c:v>
                  </c:pt>
                  <c:pt idx="30">
                    <c:v>82,10</c:v>
                  </c:pt>
                  <c:pt idx="31">
                    <c:v>85,14</c:v>
                  </c:pt>
                  <c:pt idx="32">
                    <c:v>65,10</c:v>
                  </c:pt>
                  <c:pt idx="36">
                    <c:v>Total HT utk OPS</c:v>
                  </c:pt>
                </c:lvl>
                <c:lvl>
                  <c:pt idx="0">
                    <c:v>99,58</c:v>
                  </c:pt>
                  <c:pt idx="1">
                    <c:v>90,09</c:v>
                  </c:pt>
                  <c:pt idx="2">
                    <c:v>98,19</c:v>
                  </c:pt>
                  <c:pt idx="3">
                    <c:v>55,97</c:v>
                  </c:pt>
                  <c:pt idx="4">
                    <c:v>76,98</c:v>
                  </c:pt>
                  <c:pt idx="5">
                    <c:v>78,96</c:v>
                  </c:pt>
                  <c:pt idx="6">
                    <c:v>106,11</c:v>
                  </c:pt>
                  <c:pt idx="10">
                    <c:v>110,37</c:v>
                  </c:pt>
                  <c:pt idx="11">
                    <c:v>109,73</c:v>
                  </c:pt>
                  <c:pt idx="12">
                    <c:v>89,31</c:v>
                  </c:pt>
                  <c:pt idx="13">
                    <c:v>69,14</c:v>
                  </c:pt>
                  <c:pt idx="14">
                    <c:v>83,31</c:v>
                  </c:pt>
                  <c:pt idx="16">
                    <c:v>101,08</c:v>
                  </c:pt>
                  <c:pt idx="17">
                    <c:v>96,73</c:v>
                  </c:pt>
                  <c:pt idx="18">
                    <c:v>96,43</c:v>
                  </c:pt>
                  <c:pt idx="19">
                    <c:v>92,85</c:v>
                  </c:pt>
                  <c:pt idx="20">
                    <c:v>93,72</c:v>
                  </c:pt>
                  <c:pt idx="21">
                    <c:v>99,19</c:v>
                  </c:pt>
                  <c:pt idx="22">
                    <c:v>84,05</c:v>
                  </c:pt>
                  <c:pt idx="24">
                    <c:v>101,55</c:v>
                  </c:pt>
                  <c:pt idx="25">
                    <c:v>105,54</c:v>
                  </c:pt>
                  <c:pt idx="26">
                    <c:v>97,02</c:v>
                  </c:pt>
                  <c:pt idx="27">
                    <c:v>102,30</c:v>
                  </c:pt>
                  <c:pt idx="28">
                    <c:v>90,48</c:v>
                  </c:pt>
                  <c:pt idx="29">
                    <c:v>92,22</c:v>
                  </c:pt>
                  <c:pt idx="30">
                    <c:v>103,79</c:v>
                  </c:pt>
                  <c:pt idx="31">
                    <c:v>63,36</c:v>
                  </c:pt>
                  <c:pt idx="32">
                    <c:v>89,92</c:v>
                  </c:pt>
                </c:lvl>
                <c:lvl>
                  <c:pt idx="0">
                    <c:v>73,66</c:v>
                  </c:pt>
                  <c:pt idx="1">
                    <c:v>56,95</c:v>
                  </c:pt>
                  <c:pt idx="2">
                    <c:v>57,20</c:v>
                  </c:pt>
                  <c:pt idx="3">
                    <c:v>63,32</c:v>
                  </c:pt>
                  <c:pt idx="4">
                    <c:v>75,76</c:v>
                  </c:pt>
                  <c:pt idx="5">
                    <c:v>93,19</c:v>
                  </c:pt>
                  <c:pt idx="6">
                    <c:v>94,10</c:v>
                  </c:pt>
                  <c:pt idx="8">
                    <c:v>45,77</c:v>
                  </c:pt>
                  <c:pt idx="9">
                    <c:v>90,19</c:v>
                  </c:pt>
                  <c:pt idx="10">
                    <c:v>88,84</c:v>
                  </c:pt>
                  <c:pt idx="11">
                    <c:v>80,47</c:v>
                  </c:pt>
                  <c:pt idx="12">
                    <c:v>78,52</c:v>
                  </c:pt>
                  <c:pt idx="13">
                    <c:v>69,41</c:v>
                  </c:pt>
                  <c:pt idx="14">
                    <c:v>75,45</c:v>
                  </c:pt>
                  <c:pt idx="16">
                    <c:v>88,27</c:v>
                  </c:pt>
                  <c:pt idx="17">
                    <c:v>96,61</c:v>
                  </c:pt>
                  <c:pt idx="19">
                    <c:v>93,55</c:v>
                  </c:pt>
                  <c:pt idx="20">
                    <c:v>86,20</c:v>
                  </c:pt>
                  <c:pt idx="21">
                    <c:v>68,93</c:v>
                  </c:pt>
                  <c:pt idx="22">
                    <c:v>99,04</c:v>
                  </c:pt>
                  <c:pt idx="24">
                    <c:v>100,15</c:v>
                  </c:pt>
                  <c:pt idx="25">
                    <c:v>103,81</c:v>
                  </c:pt>
                  <c:pt idx="26">
                    <c:v>80,74</c:v>
                  </c:pt>
                  <c:pt idx="27">
                    <c:v>76,73</c:v>
                  </c:pt>
                  <c:pt idx="28">
                    <c:v>89,65</c:v>
                  </c:pt>
                  <c:pt idx="29">
                    <c:v>89,08</c:v>
                  </c:pt>
                  <c:pt idx="30">
                    <c:v>105,83</c:v>
                  </c:pt>
                  <c:pt idx="31">
                    <c:v>83,11</c:v>
                  </c:pt>
                  <c:pt idx="32">
                    <c:v>105,86</c:v>
                  </c:pt>
                  <c:pt idx="36">
                    <c:v> Total  24 Unit di Scrub</c:v>
                  </c:pt>
                </c:lvl>
                <c:lvl>
                  <c:pt idx="0">
                    <c:v>69,50</c:v>
                  </c:pt>
                  <c:pt idx="1">
                    <c:v>74,53</c:v>
                  </c:pt>
                  <c:pt idx="2">
                    <c:v>69,74</c:v>
                  </c:pt>
                  <c:pt idx="3">
                    <c:v>79,11</c:v>
                  </c:pt>
                  <c:pt idx="4">
                    <c:v>65,53</c:v>
                  </c:pt>
                  <c:pt idx="5">
                    <c:v>63,10</c:v>
                  </c:pt>
                  <c:pt idx="6">
                    <c:v>75,12</c:v>
                  </c:pt>
                  <c:pt idx="8">
                    <c:v>59,27</c:v>
                  </c:pt>
                  <c:pt idx="9">
                    <c:v>84,68</c:v>
                  </c:pt>
                  <c:pt idx="10">
                    <c:v>71,10</c:v>
                  </c:pt>
                  <c:pt idx="11">
                    <c:v>84,36</c:v>
                  </c:pt>
                  <c:pt idx="12">
                    <c:v>73,77</c:v>
                  </c:pt>
                  <c:pt idx="13">
                    <c:v>83,65</c:v>
                  </c:pt>
                  <c:pt idx="14">
                    <c:v>61,41</c:v>
                  </c:pt>
                  <c:pt idx="17">
                    <c:v>43,01</c:v>
                  </c:pt>
                  <c:pt idx="18">
                    <c:v>87,73</c:v>
                  </c:pt>
                  <c:pt idx="19">
                    <c:v>63,01</c:v>
                  </c:pt>
                  <c:pt idx="20">
                    <c:v>86,39</c:v>
                  </c:pt>
                  <c:pt idx="21">
                    <c:v>67,70</c:v>
                  </c:pt>
                  <c:pt idx="22">
                    <c:v>76,43</c:v>
                  </c:pt>
                  <c:pt idx="24">
                    <c:v>91,72</c:v>
                  </c:pt>
                  <c:pt idx="25">
                    <c:v>61,44</c:v>
                  </c:pt>
                  <c:pt idx="26">
                    <c:v>83,19</c:v>
                  </c:pt>
                  <c:pt idx="27">
                    <c:v>91,69</c:v>
                  </c:pt>
                  <c:pt idx="28">
                    <c:v>78,46</c:v>
                  </c:pt>
                  <c:pt idx="29">
                    <c:v>62,68</c:v>
                  </c:pt>
                  <c:pt idx="30">
                    <c:v>102,45</c:v>
                  </c:pt>
                  <c:pt idx="31">
                    <c:v>65,29</c:v>
                  </c:pt>
                  <c:pt idx="32">
                    <c:v>74,51</c:v>
                  </c:pt>
                </c:lvl>
                <c:lvl>
                  <c:pt idx="0">
                    <c:v>82,40</c:v>
                  </c:pt>
                  <c:pt idx="1">
                    <c:v>77,93</c:v>
                  </c:pt>
                  <c:pt idx="2">
                    <c:v>80,82</c:v>
                  </c:pt>
                  <c:pt idx="3">
                    <c:v>74,10</c:v>
                  </c:pt>
                  <c:pt idx="4">
                    <c:v>74,30</c:v>
                  </c:pt>
                  <c:pt idx="5">
                    <c:v>73,75</c:v>
                  </c:pt>
                  <c:pt idx="6">
                    <c:v>78,94</c:v>
                  </c:pt>
                  <c:pt idx="8">
                    <c:v>73,85</c:v>
                  </c:pt>
                  <c:pt idx="9">
                    <c:v>85,28</c:v>
                  </c:pt>
                  <c:pt idx="10">
                    <c:v>80,53</c:v>
                  </c:pt>
                  <c:pt idx="11">
                    <c:v>89,55</c:v>
                  </c:pt>
                  <c:pt idx="12">
                    <c:v>80,53</c:v>
                  </c:pt>
                  <c:pt idx="13">
                    <c:v>86,75</c:v>
                  </c:pt>
                  <c:pt idx="14">
                    <c:v>65,85</c:v>
                  </c:pt>
                  <c:pt idx="17">
                    <c:v>112,99</c:v>
                  </c:pt>
                  <c:pt idx="18">
                    <c:v>75,57</c:v>
                  </c:pt>
                  <c:pt idx="19">
                    <c:v>67,32</c:v>
                  </c:pt>
                  <c:pt idx="20">
                    <c:v>93,74</c:v>
                  </c:pt>
                  <c:pt idx="21">
                    <c:v>67,26</c:v>
                  </c:pt>
                  <c:pt idx="22">
                    <c:v>86,53</c:v>
                  </c:pt>
                  <c:pt idx="24">
                    <c:v>72,84</c:v>
                  </c:pt>
                  <c:pt idx="25">
                    <c:v>81,37</c:v>
                  </c:pt>
                  <c:pt idx="26">
                    <c:v>91,93</c:v>
                  </c:pt>
                  <c:pt idx="27">
                    <c:v>49,00</c:v>
                  </c:pt>
                  <c:pt idx="28">
                    <c:v>70,63</c:v>
                  </c:pt>
                  <c:pt idx="29">
                    <c:v>95,76</c:v>
                  </c:pt>
                  <c:pt idx="30">
                    <c:v>94,38</c:v>
                  </c:pt>
                  <c:pt idx="31">
                    <c:v>72,48</c:v>
                  </c:pt>
                  <c:pt idx="32">
                    <c:v>87,11</c:v>
                  </c:pt>
                  <c:pt idx="36">
                    <c:v>  106,107 . Lelang srcub</c:v>
                  </c:pt>
                </c:lvl>
                <c:lvl>
                  <c:pt idx="0">
                    <c:v>84,28</c:v>
                  </c:pt>
                  <c:pt idx="1">
                    <c:v>90,50</c:v>
                  </c:pt>
                  <c:pt idx="3">
                    <c:v>91,55</c:v>
                  </c:pt>
                  <c:pt idx="4">
                    <c:v>87,61</c:v>
                  </c:pt>
                  <c:pt idx="5">
                    <c:v>61,45</c:v>
                  </c:pt>
                  <c:pt idx="6">
                    <c:v>92,95</c:v>
                  </c:pt>
                  <c:pt idx="8">
                    <c:v>65,26</c:v>
                  </c:pt>
                  <c:pt idx="9">
                    <c:v>107,61</c:v>
                  </c:pt>
                  <c:pt idx="10">
                    <c:v>106,40</c:v>
                  </c:pt>
                  <c:pt idx="11">
                    <c:v>74,57</c:v>
                  </c:pt>
                  <c:pt idx="12">
                    <c:v>87,76</c:v>
                  </c:pt>
                  <c:pt idx="13">
                    <c:v>89,21</c:v>
                  </c:pt>
                  <c:pt idx="14">
                    <c:v>85,08</c:v>
                  </c:pt>
                  <c:pt idx="16">
                    <c:v>81,20</c:v>
                  </c:pt>
                  <c:pt idx="17">
                    <c:v>96,58</c:v>
                  </c:pt>
                  <c:pt idx="18">
                    <c:v>97,36</c:v>
                  </c:pt>
                  <c:pt idx="19">
                    <c:v>106,18</c:v>
                  </c:pt>
                  <c:pt idx="20">
                    <c:v>71,93</c:v>
                  </c:pt>
                  <c:pt idx="21">
                    <c:v>90,31</c:v>
                  </c:pt>
                  <c:pt idx="25">
                    <c:v>150,41</c:v>
                  </c:pt>
                  <c:pt idx="26">
                    <c:v>78,82</c:v>
                  </c:pt>
                  <c:pt idx="27">
                    <c:v>89,92</c:v>
                  </c:pt>
                  <c:pt idx="28">
                    <c:v>114,13</c:v>
                  </c:pt>
                  <c:pt idx="29">
                    <c:v>58,00</c:v>
                  </c:pt>
                  <c:pt idx="30">
                    <c:v>87,75</c:v>
                  </c:pt>
                  <c:pt idx="31">
                    <c:v>86,64</c:v>
                  </c:pt>
                  <c:pt idx="32">
                    <c:v>101,31</c:v>
                  </c:pt>
                  <c:pt idx="36">
                    <c:v>   99, 101. 102, 103, 105,</c:v>
                  </c:pt>
                </c:lvl>
                <c:lvl>
                  <c:pt idx="0">
                    <c:v>83,69</c:v>
                  </c:pt>
                  <c:pt idx="1">
                    <c:v>77,52</c:v>
                  </c:pt>
                  <c:pt idx="2">
                    <c:v>72,94</c:v>
                  </c:pt>
                  <c:pt idx="3">
                    <c:v>81,88</c:v>
                  </c:pt>
                  <c:pt idx="4">
                    <c:v>92,15</c:v>
                  </c:pt>
                  <c:pt idx="5">
                    <c:v>75,05</c:v>
                  </c:pt>
                  <c:pt idx="6">
                    <c:v>79,70</c:v>
                  </c:pt>
                  <c:pt idx="8">
                    <c:v>75,18</c:v>
                  </c:pt>
                  <c:pt idx="9">
                    <c:v>81,91</c:v>
                  </c:pt>
                  <c:pt idx="10">
                    <c:v>76,57</c:v>
                  </c:pt>
                  <c:pt idx="11">
                    <c:v>74,98</c:v>
                  </c:pt>
                  <c:pt idx="12">
                    <c:v>52,46</c:v>
                  </c:pt>
                  <c:pt idx="13">
                    <c:v>80,17</c:v>
                  </c:pt>
                  <c:pt idx="14">
                    <c:v>64,75</c:v>
                  </c:pt>
                  <c:pt idx="16">
                    <c:v>91,34</c:v>
                  </c:pt>
                  <c:pt idx="17">
                    <c:v>81,11</c:v>
                  </c:pt>
                  <c:pt idx="18">
                    <c:v>83,38</c:v>
                  </c:pt>
                  <c:pt idx="19">
                    <c:v>75,04</c:v>
                  </c:pt>
                  <c:pt idx="20">
                    <c:v>85,26</c:v>
                  </c:pt>
                  <c:pt idx="21">
                    <c:v>72,78</c:v>
                  </c:pt>
                  <c:pt idx="22">
                    <c:v>77,69</c:v>
                  </c:pt>
                  <c:pt idx="24">
                    <c:v>83,09</c:v>
                  </c:pt>
                  <c:pt idx="25">
                    <c:v>83,97</c:v>
                  </c:pt>
                  <c:pt idx="26">
                    <c:v>68,51</c:v>
                  </c:pt>
                  <c:pt idx="27">
                    <c:v>80,24</c:v>
                  </c:pt>
                  <c:pt idx="28">
                    <c:v>87,23</c:v>
                  </c:pt>
                  <c:pt idx="29">
                    <c:v>70,46</c:v>
                  </c:pt>
                  <c:pt idx="30">
                    <c:v>85,58</c:v>
                  </c:pt>
                  <c:pt idx="31">
                    <c:v>73,97</c:v>
                  </c:pt>
                  <c:pt idx="32">
                    <c:v>78,67</c:v>
                  </c:pt>
                  <c:pt idx="36">
                    <c:v>   89, 91, 92, 94, 96, 97,</c:v>
                  </c:pt>
                </c:lvl>
                <c:lvl>
                  <c:pt idx="0">
                    <c:v>97,85</c:v>
                  </c:pt>
                  <c:pt idx="1">
                    <c:v>96,28</c:v>
                  </c:pt>
                  <c:pt idx="2">
                    <c:v>85,24</c:v>
                  </c:pt>
                  <c:pt idx="3">
                    <c:v>84,06</c:v>
                  </c:pt>
                  <c:pt idx="4">
                    <c:v>46,22</c:v>
                  </c:pt>
                  <c:pt idx="5">
                    <c:v>54,70</c:v>
                  </c:pt>
                  <c:pt idx="6">
                    <c:v>88,00</c:v>
                  </c:pt>
                  <c:pt idx="8">
                    <c:v>73,47</c:v>
                  </c:pt>
                  <c:pt idx="9">
                    <c:v>95,05</c:v>
                  </c:pt>
                  <c:pt idx="10">
                    <c:v>86,32</c:v>
                  </c:pt>
                  <c:pt idx="11">
                    <c:v>94,94</c:v>
                  </c:pt>
                  <c:pt idx="12">
                    <c:v>84,38</c:v>
                  </c:pt>
                  <c:pt idx="13">
                    <c:v>78,04</c:v>
                  </c:pt>
                  <c:pt idx="14">
                    <c:v>77,99</c:v>
                  </c:pt>
                  <c:pt idx="16">
                    <c:v>74,51</c:v>
                  </c:pt>
                  <c:pt idx="17">
                    <c:v>90,88</c:v>
                  </c:pt>
                  <c:pt idx="18">
                    <c:v>86,13</c:v>
                  </c:pt>
                  <c:pt idx="19">
                    <c:v>87,62</c:v>
                  </c:pt>
                  <c:pt idx="20">
                    <c:v>104,7</c:v>
                  </c:pt>
                  <c:pt idx="21">
                    <c:v>75,89</c:v>
                  </c:pt>
                  <c:pt idx="22">
                    <c:v>81,94</c:v>
                  </c:pt>
                  <c:pt idx="24">
                    <c:v>87,49</c:v>
                  </c:pt>
                  <c:pt idx="25">
                    <c:v>112,00</c:v>
                  </c:pt>
                  <c:pt idx="26">
                    <c:v>87,68</c:v>
                  </c:pt>
                  <c:pt idx="27">
                    <c:v>93,70</c:v>
                  </c:pt>
                  <c:pt idx="28">
                    <c:v>73,55</c:v>
                  </c:pt>
                  <c:pt idx="29">
                    <c:v>57,28</c:v>
                  </c:pt>
                  <c:pt idx="30">
                    <c:v>103,70</c:v>
                  </c:pt>
                  <c:pt idx="31">
                    <c:v>89,39</c:v>
                  </c:pt>
                  <c:pt idx="32">
                    <c:v>83,15</c:v>
                  </c:pt>
                  <c:pt idx="36">
                    <c:v>   82, 84, 85, 86, 87, 88, </c:v>
                  </c:pt>
                </c:lvl>
                <c:lvl>
                  <c:pt idx="0">
                    <c:v>110,23</c:v>
                  </c:pt>
                  <c:pt idx="1">
                    <c:v>94,25</c:v>
                  </c:pt>
                  <c:pt idx="2">
                    <c:v>23,23</c:v>
                  </c:pt>
                  <c:pt idx="3">
                    <c:v>78,50</c:v>
                  </c:pt>
                  <c:pt idx="4">
                    <c:v>100,68</c:v>
                  </c:pt>
                  <c:pt idx="5">
                    <c:v>62,78</c:v>
                  </c:pt>
                  <c:pt idx="6">
                    <c:v>89,48</c:v>
                  </c:pt>
                  <c:pt idx="8">
                    <c:v>77,35</c:v>
                  </c:pt>
                  <c:pt idx="9">
                    <c:v>88,52</c:v>
                  </c:pt>
                  <c:pt idx="10">
                    <c:v>95,13</c:v>
                  </c:pt>
                  <c:pt idx="11">
                    <c:v>102,15</c:v>
                  </c:pt>
                  <c:pt idx="12">
                    <c:v>100,10</c:v>
                  </c:pt>
                  <c:pt idx="13">
                    <c:v>76,09</c:v>
                  </c:pt>
                  <c:pt idx="14">
                    <c:v>99,20</c:v>
                  </c:pt>
                  <c:pt idx="16">
                    <c:v>112,17</c:v>
                  </c:pt>
                  <c:pt idx="17">
                    <c:v>90,67</c:v>
                  </c:pt>
                  <c:pt idx="18">
                    <c:v>82,95</c:v>
                  </c:pt>
                  <c:pt idx="19">
                    <c:v>105,57</c:v>
                  </c:pt>
                  <c:pt idx="20">
                    <c:v>85,01</c:v>
                  </c:pt>
                  <c:pt idx="21">
                    <c:v>86,31</c:v>
                  </c:pt>
                  <c:pt idx="22">
                    <c:v>101,83</c:v>
                  </c:pt>
                  <c:pt idx="24">
                    <c:v>86,67</c:v>
                  </c:pt>
                  <c:pt idx="25">
                    <c:v>73,16</c:v>
                  </c:pt>
                  <c:pt idx="28">
                    <c:v>78,47</c:v>
                  </c:pt>
                  <c:pt idx="29">
                    <c:v>78,61</c:v>
                  </c:pt>
                  <c:pt idx="30">
                    <c:v>68,95</c:v>
                  </c:pt>
                  <c:pt idx="31">
                    <c:v>81,53</c:v>
                  </c:pt>
                  <c:pt idx="32">
                    <c:v>93,07</c:v>
                  </c:pt>
                  <c:pt idx="36">
                    <c:v>. HT 129, 130, 146, 160, </c:v>
                  </c:pt>
                </c:lvl>
                <c:lvl>
                  <c:pt idx="0">
                    <c:v>78,99</c:v>
                  </c:pt>
                  <c:pt idx="1">
                    <c:v>78,99</c:v>
                  </c:pt>
                  <c:pt idx="2">
                    <c:v>64,39</c:v>
                  </c:pt>
                  <c:pt idx="3">
                    <c:v>105,05</c:v>
                  </c:pt>
                  <c:pt idx="4">
                    <c:v>86,22</c:v>
                  </c:pt>
                  <c:pt idx="5">
                    <c:v>83,68</c:v>
                  </c:pt>
                  <c:pt idx="6">
                    <c:v>107,81</c:v>
                  </c:pt>
                  <c:pt idx="8">
                    <c:v>58,66</c:v>
                  </c:pt>
                  <c:pt idx="9">
                    <c:v>82,64</c:v>
                  </c:pt>
                  <c:pt idx="10">
                    <c:v>70,99</c:v>
                  </c:pt>
                  <c:pt idx="11">
                    <c:v>73,94</c:v>
                  </c:pt>
                  <c:pt idx="12">
                    <c:v>100,04</c:v>
                  </c:pt>
                  <c:pt idx="13">
                    <c:v>69,40</c:v>
                  </c:pt>
                  <c:pt idx="14">
                    <c:v>76,05</c:v>
                  </c:pt>
                  <c:pt idx="16">
                    <c:v>101,61</c:v>
                  </c:pt>
                  <c:pt idx="17">
                    <c:v>71,20</c:v>
                  </c:pt>
                  <c:pt idx="18">
                    <c:v>110,72</c:v>
                  </c:pt>
                  <c:pt idx="19">
                    <c:v>80,20</c:v>
                  </c:pt>
                  <c:pt idx="20">
                    <c:v>73,49</c:v>
                  </c:pt>
                  <c:pt idx="21">
                    <c:v>99,71</c:v>
                  </c:pt>
                  <c:pt idx="22">
                    <c:v>80,69</c:v>
                  </c:pt>
                  <c:pt idx="24">
                    <c:v>119,94</c:v>
                  </c:pt>
                  <c:pt idx="25">
                    <c:v>77,09</c:v>
                  </c:pt>
                  <c:pt idx="27">
                    <c:v>77,87</c:v>
                  </c:pt>
                  <c:pt idx="28">
                    <c:v>96,62</c:v>
                  </c:pt>
                  <c:pt idx="29">
                    <c:v>114,82</c:v>
                  </c:pt>
                  <c:pt idx="30">
                    <c:v>117,07</c:v>
                  </c:pt>
                  <c:pt idx="31">
                    <c:v>60,91</c:v>
                  </c:pt>
                  <c:pt idx="32">
                    <c:v>102,82</c:v>
                  </c:pt>
                  <c:pt idx="36">
                    <c:v>  Hasil dilapangan</c:v>
                  </c:pt>
                </c:lvl>
                <c:lvl>
                  <c:pt idx="0">
                    <c:v>89,25</c:v>
                  </c:pt>
                  <c:pt idx="2">
                    <c:v>147,51</c:v>
                  </c:pt>
                  <c:pt idx="3">
                    <c:v>70,92</c:v>
                  </c:pt>
                  <c:pt idx="4">
                    <c:v>83,18</c:v>
                  </c:pt>
                  <c:pt idx="5">
                    <c:v>63,87</c:v>
                  </c:pt>
                  <c:pt idx="6">
                    <c:v>93,92</c:v>
                  </c:pt>
                  <c:pt idx="8">
                    <c:v>62,43</c:v>
                  </c:pt>
                  <c:pt idx="9">
                    <c:v>75,35</c:v>
                  </c:pt>
                  <c:pt idx="10">
                    <c:v>60,60</c:v>
                  </c:pt>
                  <c:pt idx="11">
                    <c:v>86,53</c:v>
                  </c:pt>
                  <c:pt idx="12">
                    <c:v>72,29</c:v>
                  </c:pt>
                  <c:pt idx="13">
                    <c:v>98,38</c:v>
                  </c:pt>
                  <c:pt idx="14">
                    <c:v>76,53</c:v>
                  </c:pt>
                  <c:pt idx="16">
                    <c:v>95,59</c:v>
                  </c:pt>
                  <c:pt idx="17">
                    <c:v>89,32</c:v>
                  </c:pt>
                  <c:pt idx="18">
                    <c:v>63,84</c:v>
                  </c:pt>
                  <c:pt idx="19">
                    <c:v>72,22</c:v>
                  </c:pt>
                  <c:pt idx="20">
                    <c:v>70,61</c:v>
                  </c:pt>
                  <c:pt idx="21">
                    <c:v>68,91</c:v>
                  </c:pt>
                  <c:pt idx="22">
                    <c:v>79,68</c:v>
                  </c:pt>
                  <c:pt idx="24">
                    <c:v>88,22</c:v>
                  </c:pt>
                  <c:pt idx="25">
                    <c:v>85,66</c:v>
                  </c:pt>
                  <c:pt idx="26">
                    <c:v>73,84</c:v>
                  </c:pt>
                  <c:pt idx="27">
                    <c:v>80,03</c:v>
                  </c:pt>
                  <c:pt idx="29">
                    <c:v>84,78</c:v>
                  </c:pt>
                  <c:pt idx="30">
                    <c:v>92,75</c:v>
                  </c:pt>
                  <c:pt idx="31">
                    <c:v>60,81</c:v>
                  </c:pt>
                  <c:pt idx="32">
                    <c:v>81,08</c:v>
                  </c:pt>
                </c:lvl>
                <c:lvl>
                  <c:pt idx="0">
                    <c:v>65,89</c:v>
                  </c:pt>
                  <c:pt idx="1">
                    <c:v>69,72</c:v>
                  </c:pt>
                  <c:pt idx="2">
                    <c:v>66,68</c:v>
                  </c:pt>
                  <c:pt idx="3">
                    <c:v>72,75</c:v>
                  </c:pt>
                  <c:pt idx="4">
                    <c:v>62,51</c:v>
                  </c:pt>
                  <c:pt idx="5">
                    <c:v>70,32</c:v>
                  </c:pt>
                  <c:pt idx="6">
                    <c:v>83,78</c:v>
                  </c:pt>
                  <c:pt idx="8">
                    <c:v>77,62</c:v>
                  </c:pt>
                  <c:pt idx="9">
                    <c:v>56,13</c:v>
                  </c:pt>
                  <c:pt idx="10">
                    <c:v>66,98</c:v>
                  </c:pt>
                  <c:pt idx="11">
                    <c:v>88,02</c:v>
                  </c:pt>
                  <c:pt idx="12">
                    <c:v>66,37</c:v>
                  </c:pt>
                  <c:pt idx="13">
                    <c:v>77,99</c:v>
                  </c:pt>
                  <c:pt idx="14">
                    <c:v>75,30</c:v>
                  </c:pt>
                  <c:pt idx="16">
                    <c:v>79,73</c:v>
                  </c:pt>
                  <c:pt idx="17">
                    <c:v>85,07</c:v>
                  </c:pt>
                  <c:pt idx="18">
                    <c:v>66,10</c:v>
                  </c:pt>
                  <c:pt idx="19">
                    <c:v>81,97</c:v>
                  </c:pt>
                  <c:pt idx="20">
                    <c:v>63,24</c:v>
                  </c:pt>
                  <c:pt idx="21">
                    <c:v>82,97</c:v>
                  </c:pt>
                  <c:pt idx="22">
                    <c:v>77,09</c:v>
                  </c:pt>
                  <c:pt idx="24">
                    <c:v>91,75</c:v>
                  </c:pt>
                  <c:pt idx="25">
                    <c:v>79,79</c:v>
                  </c:pt>
                  <c:pt idx="26">
                    <c:v>92,49</c:v>
                  </c:pt>
                  <c:pt idx="27">
                    <c:v>73,46</c:v>
                  </c:pt>
                  <c:pt idx="28">
                    <c:v>108,49</c:v>
                  </c:pt>
                  <c:pt idx="29">
                    <c:v>103,14</c:v>
                  </c:pt>
                  <c:pt idx="30">
                    <c:v>92,46</c:v>
                  </c:pt>
                  <c:pt idx="31">
                    <c:v>48,62</c:v>
                  </c:pt>
                  <c:pt idx="32">
                    <c:v>88,27</c:v>
                  </c:pt>
                  <c:pt idx="36">
                    <c:v>. HT 118 Utk Behandle</c:v>
                  </c:pt>
                </c:lvl>
                <c:lvl>
                  <c:pt idx="0">
                    <c:v>79,17</c:v>
                  </c:pt>
                  <c:pt idx="1">
                    <c:v>78,64</c:v>
                  </c:pt>
                  <c:pt idx="2">
                    <c:v>84,42</c:v>
                  </c:pt>
                  <c:pt idx="3">
                    <c:v>83,47</c:v>
                  </c:pt>
                  <c:pt idx="4">
                    <c:v>74,39</c:v>
                  </c:pt>
                  <c:pt idx="5">
                    <c:v>80,96</c:v>
                  </c:pt>
                  <c:pt idx="6">
                    <c:v>97,68</c:v>
                  </c:pt>
                  <c:pt idx="8">
                    <c:v>64,03</c:v>
                  </c:pt>
                  <c:pt idx="9">
                    <c:v>75,57</c:v>
                  </c:pt>
                  <c:pt idx="10">
                    <c:v>82,89</c:v>
                  </c:pt>
                  <c:pt idx="11">
                    <c:v>92,25</c:v>
                  </c:pt>
                  <c:pt idx="12">
                    <c:v>78,67</c:v>
                  </c:pt>
                  <c:pt idx="13">
                    <c:v>79,34</c:v>
                  </c:pt>
                  <c:pt idx="14">
                    <c:v>94,82</c:v>
                  </c:pt>
                  <c:pt idx="16">
                    <c:v>89,03</c:v>
                  </c:pt>
                  <c:pt idx="17">
                    <c:v>101,35</c:v>
                  </c:pt>
                  <c:pt idx="18">
                    <c:v>104,65</c:v>
                  </c:pt>
                  <c:pt idx="19">
                    <c:v>80,21</c:v>
                  </c:pt>
                  <c:pt idx="20">
                    <c:v>88,76</c:v>
                  </c:pt>
                  <c:pt idx="25">
                    <c:v>71,13</c:v>
                  </c:pt>
                  <c:pt idx="26">
                    <c:v>89,84</c:v>
                  </c:pt>
                  <c:pt idx="27">
                    <c:v>73,14</c:v>
                  </c:pt>
                  <c:pt idx="28">
                    <c:v>90,30</c:v>
                  </c:pt>
                  <c:pt idx="29">
                    <c:v>72,16</c:v>
                  </c:pt>
                  <c:pt idx="30">
                    <c:v>88,83</c:v>
                  </c:pt>
                  <c:pt idx="31">
                    <c:v>80,41</c:v>
                  </c:pt>
                  <c:pt idx="32">
                    <c:v>92,42</c:v>
                  </c:pt>
                  <c:pt idx="36">
                    <c:v>. HT 23 Utk Alban BM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8">
                    <c:v>137,32</c:v>
                  </c:pt>
                  <c:pt idx="34">
                    <c:v>PM</c:v>
                  </c:pt>
                  <c:pt idx="36">
                    <c:v>Khusus HT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Full tanki BBM Solar</c:v>
                  </c:pt>
                </c:lvl>
                <c:lvl>
                  <c:pt idx="0">
                    <c:v>109,42</c:v>
                  </c:pt>
                  <c:pt idx="1">
                    <c:v>91,66</c:v>
                  </c:pt>
                  <c:pt idx="2">
                    <c:v>70,13</c:v>
                  </c:pt>
                  <c:pt idx="3">
                    <c:v>103,25</c:v>
                  </c:pt>
                  <c:pt idx="4">
                    <c:v>71,80</c:v>
                  </c:pt>
                  <c:pt idx="5">
                    <c:v>109,43</c:v>
                  </c:pt>
                  <c:pt idx="6">
                    <c:v>107,39</c:v>
                  </c:pt>
                  <c:pt idx="10">
                    <c:v>68,32</c:v>
                  </c:pt>
                  <c:pt idx="11">
                    <c:v>106,23</c:v>
                  </c:pt>
                  <c:pt idx="12">
                    <c:v>25,76</c:v>
                  </c:pt>
                  <c:pt idx="13">
                    <c:v>84,46</c:v>
                  </c:pt>
                  <c:pt idx="14">
                    <c:v>88,00</c:v>
                  </c:pt>
                  <c:pt idx="16">
                    <c:v>136,40</c:v>
                  </c:pt>
                  <c:pt idx="17">
                    <c:v>98,86</c:v>
                  </c:pt>
                  <c:pt idx="18">
                    <c:v>103,51</c:v>
                  </c:pt>
                  <c:pt idx="19">
                    <c:v>103,58</c:v>
                  </c:pt>
                  <c:pt idx="20">
                    <c:v>100,03</c:v>
                  </c:pt>
                  <c:pt idx="21">
                    <c:v>98,34</c:v>
                  </c:pt>
                  <c:pt idx="22">
                    <c:v>50,88</c:v>
                  </c:pt>
                  <c:pt idx="24">
                    <c:v>93,57</c:v>
                  </c:pt>
                  <c:pt idx="25">
                    <c:v>72,39</c:v>
                  </c:pt>
                  <c:pt idx="26">
                    <c:v>89,62</c:v>
                  </c:pt>
                  <c:pt idx="27">
                    <c:v>109,66</c:v>
                  </c:pt>
                  <c:pt idx="28">
                    <c:v>99,85</c:v>
                  </c:pt>
                  <c:pt idx="30">
                    <c:v>88,28</c:v>
                  </c:pt>
                  <c:pt idx="31">
                    <c:v>77,64</c:v>
                  </c:pt>
                  <c:pt idx="32">
                    <c:v>134,47</c:v>
                  </c:pt>
                  <c:pt idx="36">
                    <c:v>semua Uni HT diisi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Tgl 14 Desember '25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83 - 104, 230 Liter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23, 230 Liter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  <c:lvl>
                  <c:pt idx="0">
                    <c:v>39.18.11</c:v>
                  </c:pt>
                  <c:pt idx="1">
                    <c:v>36.16.11</c:v>
                  </c:pt>
                  <c:pt idx="2">
                    <c:v>39.13.11</c:v>
                  </c:pt>
                  <c:pt idx="3">
                    <c:v>41.11.11</c:v>
                  </c:pt>
                  <c:pt idx="4">
                    <c:v>36.16.11</c:v>
                  </c:pt>
                  <c:pt idx="5">
                    <c:v>38.14.11</c:v>
                  </c:pt>
                  <c:pt idx="6">
                    <c:v>37.15.11</c:v>
                  </c:pt>
                  <c:pt idx="8">
                    <c:v>36.16.11</c:v>
                  </c:pt>
                  <c:pt idx="9">
                    <c:v>36.16.11</c:v>
                  </c:pt>
                  <c:pt idx="10">
                    <c:v>38.14.11</c:v>
                  </c:pt>
                  <c:pt idx="11">
                    <c:v>38.14.11</c:v>
                  </c:pt>
                  <c:pt idx="12">
                    <c:v>38.14.11</c:v>
                  </c:pt>
                  <c:pt idx="13">
                    <c:v>36.16.11</c:v>
                  </c:pt>
                  <c:pt idx="14">
                    <c:v>38.14.11</c:v>
                  </c:pt>
                  <c:pt idx="16">
                    <c:v>39.13.11</c:v>
                  </c:pt>
                  <c:pt idx="17">
                    <c:v>35.17.11</c:v>
                  </c:pt>
                  <c:pt idx="18">
                    <c:v>37.15.11</c:v>
                  </c:pt>
                  <c:pt idx="19">
                    <c:v>37.15.11</c:v>
                  </c:pt>
                  <c:pt idx="20">
                    <c:v>38.14.11</c:v>
                  </c:pt>
                  <c:pt idx="21">
                    <c:v>36.16.11</c:v>
                  </c:pt>
                  <c:pt idx="22">
                    <c:v>39.13.11</c:v>
                  </c:pt>
                  <c:pt idx="24">
                    <c:v>38.14.11</c:v>
                  </c:pt>
                  <c:pt idx="25">
                    <c:v>36.16.11</c:v>
                  </c:pt>
                  <c:pt idx="26">
                    <c:v>37.15.11</c:v>
                  </c:pt>
                  <c:pt idx="27">
                    <c:v>38.14.11</c:v>
                  </c:pt>
                  <c:pt idx="28">
                    <c:v>39.13.11</c:v>
                  </c:pt>
                  <c:pt idx="29">
                    <c:v>39.13.11</c:v>
                  </c:pt>
                  <c:pt idx="30">
                    <c:v>39.13.11</c:v>
                  </c:pt>
                  <c:pt idx="31">
                    <c:v>36.16.11</c:v>
                  </c:pt>
                  <c:pt idx="32">
                    <c:v>39.13.11</c:v>
                  </c:pt>
                </c:lvl>
                <c:lvl>
                  <c:pt idx="0">
                    <c:v>9895,89</c:v>
                  </c:pt>
                  <c:pt idx="1">
                    <c:v>9964,69</c:v>
                  </c:pt>
                  <c:pt idx="2">
                    <c:v>12307,57</c:v>
                  </c:pt>
                  <c:pt idx="3">
                    <c:v>12254,61</c:v>
                  </c:pt>
                  <c:pt idx="4">
                    <c:v>11498,34</c:v>
                  </c:pt>
                  <c:pt idx="5">
                    <c:v>13113,87</c:v>
                  </c:pt>
                  <c:pt idx="6">
                    <c:v>11218,15</c:v>
                  </c:pt>
                  <c:pt idx="7">
                    <c:v>80253,12</c:v>
                  </c:pt>
                  <c:pt idx="8">
                    <c:v>9399,98</c:v>
                  </c:pt>
                  <c:pt idx="9">
                    <c:v>9968,22</c:v>
                  </c:pt>
                  <c:pt idx="10">
                    <c:v>12174,80</c:v>
                  </c:pt>
                  <c:pt idx="11">
                    <c:v>11162,21</c:v>
                  </c:pt>
                  <c:pt idx="12">
                    <c:v>10601,86</c:v>
                  </c:pt>
                  <c:pt idx="13">
                    <c:v>10912,59</c:v>
                  </c:pt>
                  <c:pt idx="14">
                    <c:v>12360,61</c:v>
                  </c:pt>
                  <c:pt idx="15">
                    <c:v>76580,27</c:v>
                  </c:pt>
                  <c:pt idx="16">
                    <c:v>10272,45</c:v>
                  </c:pt>
                  <c:pt idx="17">
                    <c:v>9894,73</c:v>
                  </c:pt>
                  <c:pt idx="18">
                    <c:v>11561,29</c:v>
                  </c:pt>
                  <c:pt idx="19">
                    <c:v>10410,12</c:v>
                  </c:pt>
                  <c:pt idx="20">
                    <c:v>12458,33</c:v>
                  </c:pt>
                  <c:pt idx="21">
                    <c:v>11463,59</c:v>
                  </c:pt>
                  <c:pt idx="22">
                    <c:v>13208,32</c:v>
                  </c:pt>
                  <c:pt idx="23">
                    <c:v>79268,83</c:v>
                  </c:pt>
                  <c:pt idx="24">
                    <c:v>12417,02</c:v>
                  </c:pt>
                  <c:pt idx="25">
                    <c:v>11331,55</c:v>
                  </c:pt>
                  <c:pt idx="26">
                    <c:v>11398,18</c:v>
                  </c:pt>
                  <c:pt idx="27">
                    <c:v>11498,11</c:v>
                  </c:pt>
                  <c:pt idx="28">
                    <c:v>13013,03</c:v>
                  </c:pt>
                  <c:pt idx="29">
                    <c:v>11538,36</c:v>
                  </c:pt>
                  <c:pt idx="30">
                    <c:v>11894,62</c:v>
                  </c:pt>
                  <c:pt idx="31">
                    <c:v>10027,87</c:v>
                  </c:pt>
                  <c:pt idx="32">
                    <c:v>12099,92</c:v>
                  </c:pt>
                  <c:pt idx="34">
                    <c:v>105218,66</c:v>
                  </c:pt>
                  <c:pt idx="35">
                    <c:v>341320,88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202,24</c:v>
                  </c:pt>
                  <c:pt idx="1">
                    <c:v>199,91</c:v>
                  </c:pt>
                  <c:pt idx="2">
                    <c:v>250,86</c:v>
                  </c:pt>
                  <c:pt idx="3">
                    <c:v>250,30</c:v>
                  </c:pt>
                  <c:pt idx="4">
                    <c:v>251,22</c:v>
                  </c:pt>
                  <c:pt idx="5">
                    <c:v>300,21</c:v>
                  </c:pt>
                  <c:pt idx="6">
                    <c:v>200,48</c:v>
                  </c:pt>
                  <c:pt idx="8">
                    <c:v>200,31</c:v>
                  </c:pt>
                  <c:pt idx="9">
                    <c:v>200,20</c:v>
                  </c:pt>
                  <c:pt idx="10">
                    <c:v>300,21</c:v>
                  </c:pt>
                  <c:pt idx="11">
                    <c:v>200,18</c:v>
                  </c:pt>
                  <c:pt idx="12">
                    <c:v>250,14</c:v>
                  </c:pt>
                  <c:pt idx="13">
                    <c:v>137,68</c:v>
                  </c:pt>
                  <c:pt idx="14">
                    <c:v>300,36</c:v>
                  </c:pt>
                  <c:pt idx="16">
                    <c:v>200,58</c:v>
                  </c:pt>
                  <c:pt idx="17">
                    <c:v>250,31</c:v>
                  </c:pt>
                  <c:pt idx="18">
                    <c:v>199,75</c:v>
                  </c:pt>
                  <c:pt idx="19">
                    <c:v>200,53</c:v>
                  </c:pt>
                  <c:pt idx="20">
                    <c:v>250,48</c:v>
                  </c:pt>
                  <c:pt idx="21">
                    <c:v>299,85</c:v>
                  </c:pt>
                  <c:pt idx="22">
                    <c:v>451,65</c:v>
                  </c:pt>
                  <c:pt idx="24">
                    <c:v>300,19</c:v>
                  </c:pt>
                  <c:pt idx="25">
                    <c:v>200,76</c:v>
                  </c:pt>
                  <c:pt idx="26">
                    <c:v>250,72</c:v>
                  </c:pt>
                  <c:pt idx="27">
                    <c:v>200,51</c:v>
                  </c:pt>
                  <c:pt idx="28">
                    <c:v>250,43</c:v>
                  </c:pt>
                  <c:pt idx="29">
                    <c:v>200,42</c:v>
                  </c:pt>
                  <c:pt idx="30">
                    <c:v>200,33</c:v>
                  </c:pt>
                  <c:pt idx="31">
                    <c:v>200,13</c:v>
                  </c:pt>
                  <c:pt idx="32">
                    <c:v>200,25</c:v>
                  </c:pt>
                  <c:pt idx="35">
                    <c:v>105218,66</c:v>
                  </c:pt>
                </c:lvl>
                <c:lvl>
                  <c:pt idx="0">
                    <c:v>250,12</c:v>
                  </c:pt>
                  <c:pt idx="1">
                    <c:v>200,09</c:v>
                  </c:pt>
                  <c:pt idx="2">
                    <c:v>200,03</c:v>
                  </c:pt>
                  <c:pt idx="3">
                    <c:v>199,84</c:v>
                  </c:pt>
                  <c:pt idx="4">
                    <c:v>247,99</c:v>
                  </c:pt>
                  <c:pt idx="5">
                    <c:v>199,95</c:v>
                  </c:pt>
                  <c:pt idx="6">
                    <c:v>200,62</c:v>
                  </c:pt>
                  <c:pt idx="8">
                    <c:v>250,28</c:v>
                  </c:pt>
                  <c:pt idx="9">
                    <c:v>300,23</c:v>
                  </c:pt>
                  <c:pt idx="10">
                    <c:v>250,55</c:v>
                  </c:pt>
                  <c:pt idx="11">
                    <c:v>254,25</c:v>
                  </c:pt>
                  <c:pt idx="12">
                    <c:v>200,19</c:v>
                  </c:pt>
                  <c:pt idx="13">
                    <c:v>250,45</c:v>
                  </c:pt>
                  <c:pt idx="14">
                    <c:v>300,00</c:v>
                  </c:pt>
                  <c:pt idx="16">
                    <c:v>249,97</c:v>
                  </c:pt>
                  <c:pt idx="17">
                    <c:v>200,17</c:v>
                  </c:pt>
                  <c:pt idx="18">
                    <c:v>300,24</c:v>
                  </c:pt>
                  <c:pt idx="19">
                    <c:v>200,16</c:v>
                  </c:pt>
                  <c:pt idx="20">
                    <c:v>300,77</c:v>
                  </c:pt>
                  <c:pt idx="21">
                    <c:v>250,56</c:v>
                  </c:pt>
                  <c:pt idx="22">
                    <c:v>250,95</c:v>
                  </c:pt>
                  <c:pt idx="24">
                    <c:v>200,57</c:v>
                  </c:pt>
                  <c:pt idx="25">
                    <c:v>200,48</c:v>
                  </c:pt>
                  <c:pt idx="26">
                    <c:v>199,99</c:v>
                  </c:pt>
                  <c:pt idx="27">
                    <c:v>200,18</c:v>
                  </c:pt>
                  <c:pt idx="28">
                    <c:v>250,38</c:v>
                  </c:pt>
                  <c:pt idx="29">
                    <c:v>300,01</c:v>
                  </c:pt>
                  <c:pt idx="30">
                    <c:v>200,35</c:v>
                  </c:pt>
                  <c:pt idx="31">
                    <c:v>200,21</c:v>
                  </c:pt>
                  <c:pt idx="32">
                    <c:v>251,63</c:v>
                  </c:pt>
                  <c:pt idx="35">
                    <c:v>79268,83</c:v>
                  </c:pt>
                </c:lvl>
                <c:lvl>
                  <c:pt idx="0">
                    <c:v>321,22</c:v>
                  </c:pt>
                  <c:pt idx="1">
                    <c:v>150,02</c:v>
                  </c:pt>
                  <c:pt idx="2">
                    <c:v>201,08</c:v>
                  </c:pt>
                  <c:pt idx="3">
                    <c:v>250,28</c:v>
                  </c:pt>
                  <c:pt idx="4">
                    <c:v>250,85</c:v>
                  </c:pt>
                  <c:pt idx="5">
                    <c:v>300,04</c:v>
                  </c:pt>
                  <c:pt idx="6">
                    <c:v>200,64</c:v>
                  </c:pt>
                  <c:pt idx="8">
                    <c:v>200,65</c:v>
                  </c:pt>
                  <c:pt idx="9">
                    <c:v>250,15</c:v>
                  </c:pt>
                  <c:pt idx="10">
                    <c:v>300,36</c:v>
                  </c:pt>
                  <c:pt idx="11">
                    <c:v>200,26</c:v>
                  </c:pt>
                  <c:pt idx="12">
                    <c:v>250,35</c:v>
                  </c:pt>
                  <c:pt idx="13">
                    <c:v>200,41</c:v>
                  </c:pt>
                  <c:pt idx="14">
                    <c:v>350,57</c:v>
                  </c:pt>
                  <c:pt idx="16">
                    <c:v>200,28</c:v>
                  </c:pt>
                  <c:pt idx="17">
                    <c:v>250,27</c:v>
                  </c:pt>
                  <c:pt idx="18">
                    <c:v>250,01</c:v>
                  </c:pt>
                  <c:pt idx="19">
                    <c:v>250,31</c:v>
                  </c:pt>
                  <c:pt idx="20">
                    <c:v>250,28</c:v>
                  </c:pt>
                  <c:pt idx="21">
                    <c:v>200,65</c:v>
                  </c:pt>
                  <c:pt idx="22">
                    <c:v>200,14</c:v>
                  </c:pt>
                  <c:pt idx="24">
                    <c:v>300,34</c:v>
                  </c:pt>
                  <c:pt idx="25">
                    <c:v>203,09</c:v>
                  </c:pt>
                  <c:pt idx="26">
                    <c:v>299,90</c:v>
                  </c:pt>
                  <c:pt idx="27">
                    <c:v>250,34</c:v>
                  </c:pt>
                  <c:pt idx="28">
                    <c:v>250,47</c:v>
                  </c:pt>
                  <c:pt idx="29">
                    <c:v>250,94</c:v>
                  </c:pt>
                  <c:pt idx="30">
                    <c:v>350,33</c:v>
                  </c:pt>
                  <c:pt idx="31">
                    <c:v>300,30</c:v>
                  </c:pt>
                  <c:pt idx="32">
                    <c:v>250,16</c:v>
                  </c:pt>
                  <c:pt idx="35">
                    <c:v>76580,27</c:v>
                  </c:pt>
                </c:lvl>
                <c:lvl>
                  <c:pt idx="0">
                    <c:v>250,23</c:v>
                  </c:pt>
                  <c:pt idx="1">
                    <c:v>200,98</c:v>
                  </c:pt>
                  <c:pt idx="2">
                    <c:v>250,49</c:v>
                  </c:pt>
                  <c:pt idx="3">
                    <c:v>200,90</c:v>
                  </c:pt>
                  <c:pt idx="4">
                    <c:v>147,13</c:v>
                  </c:pt>
                  <c:pt idx="5">
                    <c:v>299,70</c:v>
                  </c:pt>
                  <c:pt idx="6">
                    <c:v>200,40</c:v>
                  </c:pt>
                  <c:pt idx="8">
                    <c:v>200,24</c:v>
                  </c:pt>
                  <c:pt idx="9">
                    <c:v>250,18</c:v>
                  </c:pt>
                  <c:pt idx="10">
                    <c:v>249,98</c:v>
                  </c:pt>
                  <c:pt idx="11">
                    <c:v>200,30</c:v>
                  </c:pt>
                  <c:pt idx="12">
                    <c:v>200,27</c:v>
                  </c:pt>
                  <c:pt idx="13">
                    <c:v>199,60</c:v>
                  </c:pt>
                  <c:pt idx="14">
                    <c:v>250,89</c:v>
                  </c:pt>
                  <c:pt idx="16">
                    <c:v>250,24</c:v>
                  </c:pt>
                  <c:pt idx="17">
                    <c:v>250,15</c:v>
                  </c:pt>
                  <c:pt idx="18">
                    <c:v>201,15</c:v>
                  </c:pt>
                  <c:pt idx="19">
                    <c:v>200,39</c:v>
                  </c:pt>
                  <c:pt idx="20">
                    <c:v>200,49</c:v>
                  </c:pt>
                  <c:pt idx="21">
                    <c:v>250,22</c:v>
                  </c:pt>
                  <c:pt idx="22">
                    <c:v>200,05</c:v>
                  </c:pt>
                  <c:pt idx="24">
                    <c:v>250,44</c:v>
                  </c:pt>
                  <c:pt idx="25">
                    <c:v>249,88</c:v>
                  </c:pt>
                  <c:pt idx="26">
                    <c:v>235,46</c:v>
                  </c:pt>
                  <c:pt idx="27">
                    <c:v>200,59</c:v>
                  </c:pt>
                  <c:pt idx="28">
                    <c:v>250,55</c:v>
                  </c:pt>
                  <c:pt idx="29">
                    <c:v>250,50</c:v>
                  </c:pt>
                  <c:pt idx="30">
                    <c:v>300,13</c:v>
                  </c:pt>
                  <c:pt idx="31">
                    <c:v>199,73</c:v>
                  </c:pt>
                  <c:pt idx="32">
                    <c:v>250,52</c:v>
                  </c:pt>
                  <c:pt idx="35">
                    <c:v>80253,12</c:v>
                  </c:pt>
                </c:lvl>
                <c:lvl>
                  <c:pt idx="0">
                    <c:v>150,16</c:v>
                  </c:pt>
                  <c:pt idx="1">
                    <c:v>99,82</c:v>
                  </c:pt>
                  <c:pt idx="2">
                    <c:v>146,00</c:v>
                  </c:pt>
                  <c:pt idx="3">
                    <c:v>100,63</c:v>
                  </c:pt>
                  <c:pt idx="4">
                    <c:v>FULL</c:v>
                  </c:pt>
                  <c:pt idx="5">
                    <c:v>199,68</c:v>
                  </c:pt>
                  <c:pt idx="6">
                    <c:v>200,35</c:v>
                  </c:pt>
                  <c:pt idx="8">
                    <c:v>250,31</c:v>
                  </c:pt>
                  <c:pt idx="9">
                    <c:v>200,22</c:v>
                  </c:pt>
                  <c:pt idx="10">
                    <c:v>200,19</c:v>
                  </c:pt>
                  <c:pt idx="11">
                    <c:v>250,56</c:v>
                  </c:pt>
                  <c:pt idx="12">
                    <c:v>200,27</c:v>
                  </c:pt>
                  <c:pt idx="13">
                    <c:v>201,22</c:v>
                  </c:pt>
                  <c:pt idx="14">
                    <c:v>250,70</c:v>
                  </c:pt>
                  <c:pt idx="16">
                    <c:v>200,39</c:v>
                  </c:pt>
                  <c:pt idx="17">
                    <c:v>200,48</c:v>
                  </c:pt>
                  <c:pt idx="18">
                    <c:v>249,98</c:v>
                  </c:pt>
                  <c:pt idx="19">
                    <c:v>200,20</c:v>
                  </c:pt>
                  <c:pt idx="20">
                    <c:v>250,12</c:v>
                  </c:pt>
                  <c:pt idx="21">
                    <c:v>250,24</c:v>
                  </c:pt>
                  <c:pt idx="22">
                    <c:v>250,95</c:v>
                  </c:pt>
                  <c:pt idx="24">
                    <c:v>250,37</c:v>
                  </c:pt>
                  <c:pt idx="25">
                    <c:v>199,71</c:v>
                  </c:pt>
                  <c:pt idx="26">
                    <c:v>200,43</c:v>
                  </c:pt>
                  <c:pt idx="27">
                    <c:v>201,39</c:v>
                  </c:pt>
                  <c:pt idx="28">
                    <c:v>250,03</c:v>
                  </c:pt>
                  <c:pt idx="29">
                    <c:v>250,80</c:v>
                  </c:pt>
                  <c:pt idx="30">
                    <c:v>200,15</c:v>
                  </c:pt>
                  <c:pt idx="31">
                    <c:v>250,14</c:v>
                  </c:pt>
                  <c:pt idx="32">
                    <c:v>301,03</c:v>
                  </c:pt>
                </c:lvl>
                <c:lvl>
                  <c:pt idx="0">
                    <c:v>254,05</c:v>
                  </c:pt>
                  <c:pt idx="1">
                    <c:v>250,44</c:v>
                  </c:pt>
                  <c:pt idx="2">
                    <c:v>299,86</c:v>
                  </c:pt>
                  <c:pt idx="3">
                    <c:v>250,79</c:v>
                  </c:pt>
                  <c:pt idx="4">
                    <c:v>296,47</c:v>
                  </c:pt>
                  <c:pt idx="5">
                    <c:v>300,12</c:v>
                  </c:pt>
                  <c:pt idx="6">
                    <c:v>200,30</c:v>
                  </c:pt>
                  <c:pt idx="8">
                    <c:v>211,77</c:v>
                  </c:pt>
                  <c:pt idx="9">
                    <c:v>300,05</c:v>
                  </c:pt>
                  <c:pt idx="10">
                    <c:v>200,33</c:v>
                  </c:pt>
                  <c:pt idx="11">
                    <c:v>250,25</c:v>
                  </c:pt>
                  <c:pt idx="12">
                    <c:v>250,40</c:v>
                  </c:pt>
                  <c:pt idx="13">
                    <c:v>201,70</c:v>
                  </c:pt>
                  <c:pt idx="14">
                    <c:v>350,80</c:v>
                  </c:pt>
                  <c:pt idx="16">
                    <c:v>200,44</c:v>
                  </c:pt>
                  <c:pt idx="17">
                    <c:v>200,28</c:v>
                  </c:pt>
                  <c:pt idx="18">
                    <c:v>248,76</c:v>
                  </c:pt>
                  <c:pt idx="19">
                    <c:v>200,21</c:v>
                  </c:pt>
                  <c:pt idx="20">
                    <c:v>251,36</c:v>
                  </c:pt>
                  <c:pt idx="21">
                    <c:v>300,12</c:v>
                  </c:pt>
                  <c:pt idx="22">
                    <c:v>251,00</c:v>
                  </c:pt>
                  <c:pt idx="24">
                    <c:v>200,18</c:v>
                  </c:pt>
                  <c:pt idx="25">
                    <c:v>199,79</c:v>
                  </c:pt>
                  <c:pt idx="26">
                    <c:v>299,76</c:v>
                  </c:pt>
                  <c:pt idx="27">
                    <c:v>200,39</c:v>
                  </c:pt>
                  <c:pt idx="28">
                    <c:v>300,13</c:v>
                  </c:pt>
                  <c:pt idx="29">
                    <c:v>250,21</c:v>
                  </c:pt>
                  <c:pt idx="30">
                    <c:v>250,51</c:v>
                  </c:pt>
                  <c:pt idx="31">
                    <c:v>200,26</c:v>
                  </c:pt>
                  <c:pt idx="32">
                    <c:v>250,35</c:v>
                  </c:pt>
                </c:lvl>
                <c:lvl>
                  <c:pt idx="0">
                    <c:v>250,53</c:v>
                  </c:pt>
                  <c:pt idx="1">
                    <c:v>150,08</c:v>
                  </c:pt>
                  <c:pt idx="2">
                    <c:v>250,09</c:v>
                  </c:pt>
                  <c:pt idx="3">
                    <c:v>250,30</c:v>
                  </c:pt>
                  <c:pt idx="4">
                    <c:v>300,45</c:v>
                  </c:pt>
                  <c:pt idx="5">
                    <c:v>250,49</c:v>
                  </c:pt>
                  <c:pt idx="6">
                    <c:v>200,45</c:v>
                  </c:pt>
                  <c:pt idx="8">
                    <c:v>251,09</c:v>
                  </c:pt>
                  <c:pt idx="9">
                    <c:v>250,76</c:v>
                  </c:pt>
                  <c:pt idx="10">
                    <c:v>200,29</c:v>
                  </c:pt>
                  <c:pt idx="11">
                    <c:v>200,12</c:v>
                  </c:pt>
                  <c:pt idx="12">
                    <c:v>200,13</c:v>
                  </c:pt>
                  <c:pt idx="13">
                    <c:v>200,59</c:v>
                  </c:pt>
                  <c:pt idx="14">
                    <c:v>249,99</c:v>
                  </c:pt>
                  <c:pt idx="16">
                    <c:v>203,48</c:v>
                  </c:pt>
                  <c:pt idx="17">
                    <c:v>300,12</c:v>
                  </c:pt>
                  <c:pt idx="18">
                    <c:v>200,00</c:v>
                  </c:pt>
                  <c:pt idx="19">
                    <c:v>250,67</c:v>
                  </c:pt>
                  <c:pt idx="20">
                    <c:v>250,40</c:v>
                  </c:pt>
                  <c:pt idx="21">
                    <c:v>350,26</c:v>
                  </c:pt>
                  <c:pt idx="22">
                    <c:v>200,24</c:v>
                  </c:pt>
                  <c:pt idx="24">
                    <c:v>250,33</c:v>
                  </c:pt>
                  <c:pt idx="25">
                    <c:v>199,50</c:v>
                  </c:pt>
                  <c:pt idx="26">
                    <c:v>250,71</c:v>
                  </c:pt>
                  <c:pt idx="27">
                    <c:v>200,25</c:v>
                  </c:pt>
                  <c:pt idx="28">
                    <c:v>250,50</c:v>
                  </c:pt>
                  <c:pt idx="29">
                    <c:v>200,51</c:v>
                  </c:pt>
                  <c:pt idx="30">
                    <c:v>150,41</c:v>
                  </c:pt>
                  <c:pt idx="31">
                    <c:v>FULL</c:v>
                  </c:pt>
                  <c:pt idx="32">
                    <c:v>250,90</c:v>
                  </c:pt>
                </c:lvl>
                <c:lvl>
                  <c:pt idx="0">
                    <c:v>160,45</c:v>
                  </c:pt>
                  <c:pt idx="1">
                    <c:v>101,31</c:v>
                  </c:pt>
                  <c:pt idx="2">
                    <c:v>250,39</c:v>
                  </c:pt>
                  <c:pt idx="3">
                    <c:v>200,29</c:v>
                  </c:pt>
                  <c:pt idx="4">
                    <c:v>248,85</c:v>
                  </c:pt>
                  <c:pt idx="5">
                    <c:v>250,32</c:v>
                  </c:pt>
                  <c:pt idx="6">
                    <c:v>350,14</c:v>
                  </c:pt>
                  <c:pt idx="8">
                    <c:v>100,09</c:v>
                  </c:pt>
                  <c:pt idx="9">
                    <c:v>200,49</c:v>
                  </c:pt>
                  <c:pt idx="10">
                    <c:v>200,64</c:v>
                  </c:pt>
                  <c:pt idx="11">
                    <c:v>200,49</c:v>
                  </c:pt>
                  <c:pt idx="12">
                    <c:v>250,38</c:v>
                  </c:pt>
                  <c:pt idx="13">
                    <c:v>200,60</c:v>
                  </c:pt>
                  <c:pt idx="14">
                    <c:v>300,58</c:v>
                  </c:pt>
                  <c:pt idx="16">
                    <c:v>200,41</c:v>
                  </c:pt>
                  <c:pt idx="17">
                    <c:v>300,01</c:v>
                  </c:pt>
                  <c:pt idx="18">
                    <c:v>235,89</c:v>
                  </c:pt>
                  <c:pt idx="19">
                    <c:v>150,72</c:v>
                  </c:pt>
                  <c:pt idx="20">
                    <c:v>FULL</c:v>
                  </c:pt>
                  <c:pt idx="21">
                    <c:v>200,41</c:v>
                  </c:pt>
                  <c:pt idx="22">
                    <c:v>200,43</c:v>
                  </c:pt>
                  <c:pt idx="24">
                    <c:v>250,14</c:v>
                  </c:pt>
                  <c:pt idx="25">
                    <c:v>251,10</c:v>
                  </c:pt>
                  <c:pt idx="26">
                    <c:v>251,38</c:v>
                  </c:pt>
                  <c:pt idx="27">
                    <c:v>250,41</c:v>
                  </c:pt>
                  <c:pt idx="28">
                    <c:v>200,20</c:v>
                  </c:pt>
                  <c:pt idx="29">
                    <c:v>251,27</c:v>
                  </c:pt>
                  <c:pt idx="30">
                    <c:v>250,44</c:v>
                  </c:pt>
                  <c:pt idx="31">
                    <c:v>130,35</c:v>
                  </c:pt>
                  <c:pt idx="32">
                    <c:v>250,50</c:v>
                  </c:pt>
                </c:lvl>
                <c:lvl>
                  <c:pt idx="0">
                    <c:v>200,46</c:v>
                  </c:pt>
                  <c:pt idx="1">
                    <c:v>149,95</c:v>
                  </c:pt>
                  <c:pt idx="2">
                    <c:v>200,14</c:v>
                  </c:pt>
                  <c:pt idx="3">
                    <c:v>250,99</c:v>
                  </c:pt>
                  <c:pt idx="4">
                    <c:v>251,25</c:v>
                  </c:pt>
                  <c:pt idx="5">
                    <c:v>200,20</c:v>
                  </c:pt>
                  <c:pt idx="6">
                    <c:v>200,30</c:v>
                  </c:pt>
                  <c:pt idx="8">
                    <c:v>250,86</c:v>
                  </c:pt>
                  <c:pt idx="9">
                    <c:v>200,32</c:v>
                  </c:pt>
                  <c:pt idx="10">
                    <c:v>300,37</c:v>
                  </c:pt>
                  <c:pt idx="11">
                    <c:v>250,19</c:v>
                  </c:pt>
                  <c:pt idx="12">
                    <c:v>100,38</c:v>
                  </c:pt>
                  <c:pt idx="13">
                    <c:v>245,49</c:v>
                  </c:pt>
                  <c:pt idx="14">
                    <c:v>200,80</c:v>
                  </c:pt>
                  <c:pt idx="16">
                    <c:v>200,18</c:v>
                  </c:pt>
                  <c:pt idx="17">
                    <c:v>211,39</c:v>
                  </c:pt>
                  <c:pt idx="18">
                    <c:v>299,54</c:v>
                  </c:pt>
                  <c:pt idx="19">
                    <c:v>200,18</c:v>
                  </c:pt>
                  <c:pt idx="20">
                    <c:v>201,06</c:v>
                  </c:pt>
                  <c:pt idx="21">
                    <c:v>300,26</c:v>
                  </c:pt>
                  <c:pt idx="22">
                    <c:v>200,05</c:v>
                  </c:pt>
                  <c:pt idx="24">
                    <c:v>250,26</c:v>
                  </c:pt>
                  <c:pt idx="25">
                    <c:v>200,26</c:v>
                  </c:pt>
                  <c:pt idx="26">
                    <c:v>250,27</c:v>
                  </c:pt>
                  <c:pt idx="27">
                    <c:v>200,22</c:v>
                  </c:pt>
                  <c:pt idx="28">
                    <c:v>250,26</c:v>
                  </c:pt>
                  <c:pt idx="29">
                    <c:v>250,44</c:v>
                  </c:pt>
                  <c:pt idx="30">
                    <c:v>247,65</c:v>
                  </c:pt>
                  <c:pt idx="31">
                    <c:v>200,73</c:v>
                  </c:pt>
                  <c:pt idx="32">
                    <c:v>200,35</c:v>
                  </c:pt>
                </c:lvl>
                <c:lvl>
                  <c:pt idx="0">
                    <c:v>189,48</c:v>
                  </c:pt>
                  <c:pt idx="1">
                    <c:v>250,20</c:v>
                  </c:pt>
                  <c:pt idx="2">
                    <c:v>300,21</c:v>
                  </c:pt>
                  <c:pt idx="3">
                    <c:v>250,28</c:v>
                  </c:pt>
                  <c:pt idx="4">
                    <c:v>242,01</c:v>
                  </c:pt>
                  <c:pt idx="5">
                    <c:v>201,12</c:v>
                  </c:pt>
                  <c:pt idx="6">
                    <c:v>200,21</c:v>
                  </c:pt>
                  <c:pt idx="8">
                    <c:v>150,63</c:v>
                  </c:pt>
                  <c:pt idx="9">
                    <c:v>200,16</c:v>
                  </c:pt>
                  <c:pt idx="10">
                    <c:v>250,50</c:v>
                  </c:pt>
                  <c:pt idx="11">
                    <c:v>200,42</c:v>
                  </c:pt>
                  <c:pt idx="12">
                    <c:v>150,47</c:v>
                  </c:pt>
                  <c:pt idx="13">
                    <c:v>200,39</c:v>
                  </c:pt>
                  <c:pt idx="14">
                    <c:v>200,19</c:v>
                  </c:pt>
                  <c:pt idx="16">
                    <c:v>199,58</c:v>
                  </c:pt>
                  <c:pt idx="17">
                    <c:v>250,47</c:v>
                  </c:pt>
                  <c:pt idx="18">
                    <c:v>200,46</c:v>
                  </c:pt>
                  <c:pt idx="19">
                    <c:v>200,22</c:v>
                  </c:pt>
                  <c:pt idx="20">
                    <c:v>200,48</c:v>
                  </c:pt>
                  <c:pt idx="21">
                    <c:v>250,29</c:v>
                  </c:pt>
                  <c:pt idx="22">
                    <c:v>320,17</c:v>
                  </c:pt>
                  <c:pt idx="24">
                    <c:v>250,36</c:v>
                  </c:pt>
                  <c:pt idx="25">
                    <c:v>250,91</c:v>
                  </c:pt>
                  <c:pt idx="26">
                    <c:v>250,68</c:v>
                  </c:pt>
                  <c:pt idx="27">
                    <c:v>200,46</c:v>
                  </c:pt>
                  <c:pt idx="28">
                    <c:v>250,40</c:v>
                  </c:pt>
                  <c:pt idx="29">
                    <c:v>300,66</c:v>
                  </c:pt>
                  <c:pt idx="30">
                    <c:v>200,53</c:v>
                  </c:pt>
                  <c:pt idx="31">
                    <c:v>FULL</c:v>
                  </c:pt>
                  <c:pt idx="32">
                    <c:v>250,31</c:v>
                  </c:pt>
                </c:lvl>
                <c:lvl>
                  <c:pt idx="0">
                    <c:v>200,34</c:v>
                  </c:pt>
                  <c:pt idx="1">
                    <c:v>350,00</c:v>
                  </c:pt>
                  <c:pt idx="2">
                    <c:v>200,46</c:v>
                  </c:pt>
                  <c:pt idx="3">
                    <c:v>200,90</c:v>
                  </c:pt>
                  <c:pt idx="4">
                    <c:v>200,17</c:v>
                  </c:pt>
                  <c:pt idx="5">
                    <c:v>300,03</c:v>
                  </c:pt>
                  <c:pt idx="6">
                    <c:v>200,52</c:v>
                  </c:pt>
                  <c:pt idx="8">
                    <c:v>200,53</c:v>
                  </c:pt>
                  <c:pt idx="9">
                    <c:v>250,42</c:v>
                  </c:pt>
                  <c:pt idx="10">
                    <c:v>200,34</c:v>
                  </c:pt>
                  <c:pt idx="11">
                    <c:v>200,49</c:v>
                  </c:pt>
                  <c:pt idx="12">
                    <c:v>200,52</c:v>
                  </c:pt>
                  <c:pt idx="13">
                    <c:v>200,26</c:v>
                  </c:pt>
                  <c:pt idx="14">
                    <c:v>151,08</c:v>
                  </c:pt>
                  <c:pt idx="16">
                    <c:v>200,66</c:v>
                  </c:pt>
                  <c:pt idx="17">
                    <c:v>FULL</c:v>
                  </c:pt>
                  <c:pt idx="18">
                    <c:v>207,88</c:v>
                  </c:pt>
                  <c:pt idx="19">
                    <c:v>200,96</c:v>
                  </c:pt>
                  <c:pt idx="20">
                    <c:v>200,32</c:v>
                  </c:pt>
                  <c:pt idx="21">
                    <c:v>200,88</c:v>
                  </c:pt>
                  <c:pt idx="22">
                    <c:v>265,65</c:v>
                  </c:pt>
                  <c:pt idx="24">
                    <c:v>208,85</c:v>
                  </c:pt>
                  <c:pt idx="25">
                    <c:v>200,30</c:v>
                  </c:pt>
                  <c:pt idx="26">
                    <c:v>200,22</c:v>
                  </c:pt>
                  <c:pt idx="27">
                    <c:v>199,99</c:v>
                  </c:pt>
                  <c:pt idx="28">
                    <c:v>200,35</c:v>
                  </c:pt>
                  <c:pt idx="29">
                    <c:v>200,36</c:v>
                  </c:pt>
                  <c:pt idx="30">
                    <c:v>149,93</c:v>
                  </c:pt>
                  <c:pt idx="31">
                    <c:v>200,27</c:v>
                  </c:pt>
                  <c:pt idx="32">
                    <c:v>238,26</c:v>
                  </c:pt>
                </c:lvl>
                <c:lvl>
                  <c:pt idx="0">
                    <c:v>300,25</c:v>
                  </c:pt>
                  <c:pt idx="1">
                    <c:v>250,14</c:v>
                  </c:pt>
                  <c:pt idx="2">
                    <c:v>450,23</c:v>
                  </c:pt>
                  <c:pt idx="3">
                    <c:v>300,44</c:v>
                  </c:pt>
                  <c:pt idx="4">
                    <c:v>298,90</c:v>
                  </c:pt>
                  <c:pt idx="5">
                    <c:v>300,21</c:v>
                  </c:pt>
                  <c:pt idx="6">
                    <c:v>300,28</c:v>
                  </c:pt>
                  <c:pt idx="8">
                    <c:v>300,21</c:v>
                  </c:pt>
                  <c:pt idx="9">
                    <c:v>150,94</c:v>
                  </c:pt>
                  <c:pt idx="10">
                    <c:v>400,57</c:v>
                  </c:pt>
                  <c:pt idx="11">
                    <c:v>300,44</c:v>
                  </c:pt>
                  <c:pt idx="12">
                    <c:v>201,26</c:v>
                  </c:pt>
                  <c:pt idx="13">
                    <c:v>300,62</c:v>
                  </c:pt>
                  <c:pt idx="14">
                    <c:v>300,44</c:v>
                  </c:pt>
                  <c:pt idx="16">
                    <c:v>250,18</c:v>
                  </c:pt>
                  <c:pt idx="17">
                    <c:v>300,26</c:v>
                  </c:pt>
                  <c:pt idx="18">
                    <c:v>352,34</c:v>
                  </c:pt>
                  <c:pt idx="19">
                    <c:v>300,52</c:v>
                  </c:pt>
                  <c:pt idx="20">
                    <c:v>286,78</c:v>
                  </c:pt>
                  <c:pt idx="21">
                    <c:v>300,24</c:v>
                  </c:pt>
                  <c:pt idx="22">
                    <c:v>312,18</c:v>
                  </c:pt>
                  <c:pt idx="24">
                    <c:v>400,00</c:v>
                  </c:pt>
                  <c:pt idx="25">
                    <c:v>302,09</c:v>
                  </c:pt>
                  <c:pt idx="26">
                    <c:v>399,93</c:v>
                  </c:pt>
                  <c:pt idx="27">
                    <c:v>300,55</c:v>
                  </c:pt>
                  <c:pt idx="28">
                    <c:v>299,78</c:v>
                  </c:pt>
                  <c:pt idx="29">
                    <c:v>400,03</c:v>
                  </c:pt>
                  <c:pt idx="30">
                    <c:v>350,33</c:v>
                  </c:pt>
                  <c:pt idx="31">
                    <c:v>300,15</c:v>
                  </c:pt>
                  <c:pt idx="32">
                    <c:v>300,23</c:v>
                  </c:pt>
                </c:lvl>
                <c:lvl>
                  <c:pt idx="0">
                    <c:v>289,32</c:v>
                  </c:pt>
                  <c:pt idx="1">
                    <c:v>301,93</c:v>
                  </c:pt>
                  <c:pt idx="2">
                    <c:v>299,50</c:v>
                  </c:pt>
                  <c:pt idx="3">
                    <c:v>299,90</c:v>
                  </c:pt>
                  <c:pt idx="4">
                    <c:v>300,29</c:v>
                  </c:pt>
                  <c:pt idx="5">
                    <c:v>400,89</c:v>
                  </c:pt>
                  <c:pt idx="6">
                    <c:v>300,00</c:v>
                  </c:pt>
                  <c:pt idx="8">
                    <c:v>300,01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356,96</c:v>
                  </c:pt>
                  <c:pt idx="31">
                    <c:v>132,87</c:v>
                  </c:pt>
                  <c:pt idx="32">
                    <c:v>282,61</c:v>
                  </c:pt>
                </c:lvl>
                <c:lvl>
                  <c:pt idx="0">
                    <c:v>15,24</c:v>
                  </c:pt>
                  <c:pt idx="1">
                    <c:v>170,95</c:v>
                  </c:pt>
                  <c:pt idx="2">
                    <c:v>300,06</c:v>
                  </c:pt>
                  <c:pt idx="3">
                    <c:v>299,90</c:v>
                  </c:pt>
                  <c:pt idx="4">
                    <c:v>271,39</c:v>
                  </c:pt>
                  <c:pt idx="5">
                    <c:v>200,33</c:v>
                  </c:pt>
                  <c:pt idx="6">
                    <c:v>300,39</c:v>
                  </c:pt>
                  <c:pt idx="8">
                    <c:v>275,77</c:v>
                  </c:pt>
                  <c:pt idx="9">
                    <c:v>350,84</c:v>
                  </c:pt>
                  <c:pt idx="10">
                    <c:v>316,31</c:v>
                  </c:pt>
                  <c:pt idx="11">
                    <c:v>250,32</c:v>
                  </c:pt>
                  <c:pt idx="12">
                    <c:v>300,76</c:v>
                  </c:pt>
                  <c:pt idx="13">
                    <c:v>317,46</c:v>
                  </c:pt>
                  <c:pt idx="14">
                    <c:v>296,90</c:v>
                  </c:pt>
                  <c:pt idx="16">
                    <c:v>279,43</c:v>
                  </c:pt>
                  <c:pt idx="17">
                    <c:v>262,75</c:v>
                  </c:pt>
                  <c:pt idx="18">
                    <c:v>303,69</c:v>
                  </c:pt>
                  <c:pt idx="19">
                    <c:v>299,91</c:v>
                  </c:pt>
                  <c:pt idx="20">
                    <c:v>320,74</c:v>
                  </c:pt>
                  <c:pt idx="21">
                    <c:v>300,12</c:v>
                  </c:pt>
                  <c:pt idx="22">
                    <c:v>300,24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499,41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263,45</c:v>
                  </c:pt>
                  <c:pt idx="4">
                    <c:v>293,16</c:v>
                  </c:pt>
                  <c:pt idx="5">
                    <c:v>350,37</c:v>
                  </c:pt>
                  <c:pt idx="6">
                    <c:v>300,75</c:v>
                  </c:pt>
                  <c:pt idx="8">
                    <c:v>300,02</c:v>
                  </c:pt>
                  <c:pt idx="9">
                    <c:v>300,65</c:v>
                  </c:pt>
                  <c:pt idx="10">
                    <c:v>381,17</c:v>
                  </c:pt>
                  <c:pt idx="11">
                    <c:v>274,23</c:v>
                  </c:pt>
                  <c:pt idx="12">
                    <c:v>300,95</c:v>
                  </c:pt>
                  <c:pt idx="13">
                    <c:v>310,59</c:v>
                  </c:pt>
                  <c:pt idx="14">
                    <c:v>239,48</c:v>
                  </c:pt>
                  <c:pt idx="16">
                    <c:v>318,34</c:v>
                  </c:pt>
                  <c:pt idx="17">
                    <c:v>300,27</c:v>
                  </c:pt>
                  <c:pt idx="18">
                    <c:v>287,59</c:v>
                  </c:pt>
                  <c:pt idx="19">
                    <c:v>235,38</c:v>
                  </c:pt>
                  <c:pt idx="20">
                    <c:v>299,88</c:v>
                  </c:pt>
                  <c:pt idx="21">
                    <c:v>313,83</c:v>
                  </c:pt>
                  <c:pt idx="22">
                    <c:v>301,01</c:v>
                  </c:pt>
                  <c:pt idx="24">
                    <c:v>295,99</c:v>
                  </c:pt>
                  <c:pt idx="25">
                    <c:v>283,18</c:v>
                  </c:pt>
                  <c:pt idx="26">
                    <c:v>250,45</c:v>
                  </c:pt>
                  <c:pt idx="27">
                    <c:v>391,60</c:v>
                  </c:pt>
                  <c:pt idx="28">
                    <c:v>269,42</c:v>
                  </c:pt>
                  <c:pt idx="29">
                    <c:v>297,84</c:v>
                  </c:pt>
                  <c:pt idx="30">
                    <c:v>246,25</c:v>
                  </c:pt>
                  <c:pt idx="31">
                    <c:v>236,30</c:v>
                  </c:pt>
                  <c:pt idx="32">
                    <c:v>282,40</c:v>
                  </c:pt>
                </c:lvl>
                <c:lvl>
                  <c:pt idx="0">
                    <c:v>329,28</c:v>
                  </c:pt>
                  <c:pt idx="1">
                    <c:v>299,99</c:v>
                  </c:pt>
                  <c:pt idx="2">
                    <c:v>267,65</c:v>
                  </c:pt>
                  <c:pt idx="3">
                    <c:v>300,54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471,60</c:v>
                  </c:pt>
                  <c:pt idx="21">
                    <c:v>202,95</c:v>
                  </c:pt>
                  <c:pt idx="22">
                    <c:v>268,66</c:v>
                  </c:pt>
                  <c:pt idx="24">
                    <c:v>400,50</c:v>
                  </c:pt>
                  <c:pt idx="25">
                    <c:v>327,97</c:v>
                  </c:pt>
                  <c:pt idx="26">
                    <c:v>218,34</c:v>
                  </c:pt>
                  <c:pt idx="27">
                    <c:v>280,29</c:v>
                  </c:pt>
                  <c:pt idx="28">
                    <c:v>250,07</c:v>
                  </c:pt>
                  <c:pt idx="29">
                    <c:v>250,22</c:v>
                  </c:pt>
                  <c:pt idx="30">
                    <c:v>399,98</c:v>
                  </c:pt>
                  <c:pt idx="31">
                    <c:v>242,84</c:v>
                  </c:pt>
                  <c:pt idx="32">
                    <c:v>309,72</c:v>
                  </c:pt>
                </c:lvl>
                <c:lvl>
                  <c:pt idx="0">
                    <c:v>269,19</c:v>
                  </c:pt>
                  <c:pt idx="1">
                    <c:v>261,76</c:v>
                  </c:pt>
                  <c:pt idx="2">
                    <c:v>190,88</c:v>
                  </c:pt>
                  <c:pt idx="3">
                    <c:v>273,66</c:v>
                  </c:pt>
                  <c:pt idx="4">
                    <c:v>281,89</c:v>
                  </c:pt>
                  <c:pt idx="5">
                    <c:v>255,39</c:v>
                  </c:pt>
                  <c:pt idx="6">
                    <c:v>272,28</c:v>
                  </c:pt>
                  <c:pt idx="8">
                    <c:v>247,13</c:v>
                  </c:pt>
                  <c:pt idx="9">
                    <c:v>256,05</c:v>
                  </c:pt>
                  <c:pt idx="10">
                    <c:v>260,53</c:v>
                  </c:pt>
                  <c:pt idx="11">
                    <c:v>255,44</c:v>
                  </c:pt>
                  <c:pt idx="12">
                    <c:v>244,99</c:v>
                  </c:pt>
                  <c:pt idx="13">
                    <c:v>283,96</c:v>
                  </c:pt>
                  <c:pt idx="14">
                    <c:v>243,27</c:v>
                  </c:pt>
                  <c:pt idx="16">
                    <c:v>243,42</c:v>
                  </c:pt>
                  <c:pt idx="17">
                    <c:v>272,97</c:v>
                  </c:pt>
                  <c:pt idx="18">
                    <c:v>273,68</c:v>
                  </c:pt>
                  <c:pt idx="19">
                    <c:v>251,90</c:v>
                  </c:pt>
                  <c:pt idx="20">
                    <c:v>269,94</c:v>
                  </c:pt>
                  <c:pt idx="21">
                    <c:v>257,13</c:v>
                  </c:pt>
                  <c:pt idx="22">
                    <c:v>241,13</c:v>
                  </c:pt>
                  <c:pt idx="24">
                    <c:v>400,37</c:v>
                  </c:pt>
                  <c:pt idx="25">
                    <c:v>269,33</c:v>
                  </c:pt>
                  <c:pt idx="26">
                    <c:v>250,07</c:v>
                  </c:pt>
                  <c:pt idx="27">
                    <c:v>285,47</c:v>
                  </c:pt>
                  <c:pt idx="28">
                    <c:v>271,12</c:v>
                  </c:pt>
                  <c:pt idx="29">
                    <c:v>248,97</c:v>
                  </c:pt>
                  <c:pt idx="30">
                    <c:v>249,99</c:v>
                  </c:pt>
                  <c:pt idx="31">
                    <c:v>266,40</c:v>
                  </c:pt>
                  <c:pt idx="32">
                    <c:v>280,49</c:v>
                  </c:pt>
                </c:lvl>
                <c:lvl>
                  <c:pt idx="0">
                    <c:v>323,06</c:v>
                  </c:pt>
                  <c:pt idx="1">
                    <c:v>227,24</c:v>
                  </c:pt>
                  <c:pt idx="2">
                    <c:v>321,28</c:v>
                  </c:pt>
                  <c:pt idx="3">
                    <c:v>300,49</c:v>
                  </c:pt>
                  <c:pt idx="4">
                    <c:v>417,27</c:v>
                  </c:pt>
                  <c:pt idx="5">
                    <c:v>252,97</c:v>
                  </c:pt>
                  <c:pt idx="6">
                    <c:v>217,63</c:v>
                  </c:pt>
                  <c:pt idx="8">
                    <c:v>227,02</c:v>
                  </c:pt>
                  <c:pt idx="9">
                    <c:v>300,31</c:v>
                  </c:pt>
                  <c:pt idx="10">
                    <c:v>328,04</c:v>
                  </c:pt>
                  <c:pt idx="11">
                    <c:v>334,07</c:v>
                  </c:pt>
                  <c:pt idx="12">
                    <c:v>337,05</c:v>
                  </c:pt>
                  <c:pt idx="13">
                    <c:v>306,72</c:v>
                  </c:pt>
                  <c:pt idx="14">
                    <c:v>377,90</c:v>
                  </c:pt>
                  <c:pt idx="16">
                    <c:v>374,38</c:v>
                  </c:pt>
                  <c:pt idx="17">
                    <c:v>258,53</c:v>
                  </c:pt>
                  <c:pt idx="18">
                    <c:v>308,15</c:v>
                  </c:pt>
                  <c:pt idx="19">
                    <c:v>339,92</c:v>
                  </c:pt>
                  <c:pt idx="20">
                    <c:v>350,48</c:v>
                  </c:pt>
                  <c:pt idx="21">
                    <c:v>322,15</c:v>
                  </c:pt>
                  <c:pt idx="22">
                    <c:v>345,03</c:v>
                  </c:pt>
                  <c:pt idx="24">
                    <c:v>300,22</c:v>
                  </c:pt>
                  <c:pt idx="25">
                    <c:v>316,54</c:v>
                  </c:pt>
                  <c:pt idx="26">
                    <c:v>54,58</c:v>
                  </c:pt>
                  <c:pt idx="27">
                    <c:v>284,87</c:v>
                  </c:pt>
                  <c:pt idx="28">
                    <c:v>352,01</c:v>
                  </c:pt>
                  <c:pt idx="29">
                    <c:v>300,02</c:v>
                  </c:pt>
                  <c:pt idx="30">
                    <c:v>350,27</c:v>
                  </c:pt>
                  <c:pt idx="31">
                    <c:v>249,30</c:v>
                  </c:pt>
                  <c:pt idx="32">
                    <c:v>88,29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400,20</c:v>
                  </c:pt>
                  <c:pt idx="1">
                    <c:v>379,81</c:v>
                  </c:pt>
                  <c:pt idx="2">
                    <c:v>420,92</c:v>
                  </c:pt>
                  <c:pt idx="3">
                    <c:v>351,52</c:v>
                  </c:pt>
                  <c:pt idx="4">
                    <c:v>352,22</c:v>
                  </c:pt>
                  <c:pt idx="5">
                    <c:v>400,01</c:v>
                  </c:pt>
                  <c:pt idx="6">
                    <c:v>400,05</c:v>
                  </c:pt>
                  <c:pt idx="8">
                    <c:v>250,02</c:v>
                  </c:pt>
                  <c:pt idx="9">
                    <c:v>FULL</c:v>
                  </c:pt>
                  <c:pt idx="10">
                    <c:v>150,26</c:v>
                  </c:pt>
                  <c:pt idx="11">
                    <c:v>FULL</c:v>
                  </c:pt>
                  <c:pt idx="12">
                    <c:v>349,92</c:v>
                  </c:pt>
                  <c:pt idx="13">
                    <c:v>FULL</c:v>
                  </c:pt>
                  <c:pt idx="14">
                    <c:v>250,26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97,07</c:v>
                  </c:pt>
                  <c:pt idx="19">
                    <c:v>130,06</c:v>
                  </c:pt>
                  <c:pt idx="20">
                    <c:v>500,18</c:v>
                  </c:pt>
                  <c:pt idx="21">
                    <c:v>500,02</c:v>
                  </c:pt>
                  <c:pt idx="22">
                    <c:v>400,39</c:v>
                  </c:pt>
                  <c:pt idx="24">
                    <c:v>400,48</c:v>
                  </c:pt>
                  <c:pt idx="25">
                    <c:v>500,53</c:v>
                  </c:pt>
                  <c:pt idx="26">
                    <c:v>500,25</c:v>
                  </c:pt>
                  <c:pt idx="27">
                    <c:v>399,51</c:v>
                  </c:pt>
                  <c:pt idx="28">
                    <c:v>500,23</c:v>
                  </c:pt>
                  <c:pt idx="29">
                    <c:v>500,47</c:v>
                  </c:pt>
                  <c:pt idx="30">
                    <c:v>365,65</c:v>
                  </c:pt>
                  <c:pt idx="31">
                    <c:v>334,00</c:v>
                  </c:pt>
                  <c:pt idx="32">
                    <c:v>500,65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400,79</c:v>
                  </c:pt>
                  <c:pt idx="1">
                    <c:v>131,06</c:v>
                  </c:pt>
                  <c:pt idx="2">
                    <c:v>320,69</c:v>
                  </c:pt>
                  <c:pt idx="3">
                    <c:v>456,08</c:v>
                  </c:pt>
                  <c:pt idx="4">
                    <c:v>FULL</c:v>
                  </c:pt>
                  <c:pt idx="5">
                    <c:v>400,14</c:v>
                  </c:pt>
                  <c:pt idx="6">
                    <c:v>350,22</c:v>
                  </c:pt>
                  <c:pt idx="8">
                    <c:v>450,36</c:v>
                  </c:pt>
                  <c:pt idx="9">
                    <c:v>400,60</c:v>
                  </c:pt>
                  <c:pt idx="10">
                    <c:v>500,23</c:v>
                  </c:pt>
                  <c:pt idx="11">
                    <c:v>400,54</c:v>
                  </c:pt>
                  <c:pt idx="12">
                    <c:v>350,67</c:v>
                  </c:pt>
                  <c:pt idx="13">
                    <c:v>300,71</c:v>
                  </c:pt>
                  <c:pt idx="14">
                    <c:v>503,25</c:v>
                  </c:pt>
                  <c:pt idx="16">
                    <c:v>300,24</c:v>
                  </c:pt>
                  <c:pt idx="17">
                    <c:v>300,19</c:v>
                  </c:pt>
                  <c:pt idx="18">
                    <c:v>273,45</c:v>
                  </c:pt>
                  <c:pt idx="19">
                    <c:v>300,07</c:v>
                  </c:pt>
                  <c:pt idx="20">
                    <c:v>350,33</c:v>
                  </c:pt>
                  <c:pt idx="21">
                    <c:v>350,34</c:v>
                  </c:pt>
                  <c:pt idx="22">
                    <c:v>300,13</c:v>
                  </c:pt>
                  <c:pt idx="24">
                    <c:v>200,21</c:v>
                  </c:pt>
                  <c:pt idx="25">
                    <c:v>351,07</c:v>
                  </c:pt>
                  <c:pt idx="26">
                    <c:v>350,46</c:v>
                  </c:pt>
                  <c:pt idx="27">
                    <c:v>400,06</c:v>
                  </c:pt>
                  <c:pt idx="28">
                    <c:v>400,10</c:v>
                  </c:pt>
                  <c:pt idx="29">
                    <c:v>350,22</c:v>
                  </c:pt>
                  <c:pt idx="30">
                    <c:v>350,20</c:v>
                  </c:pt>
                  <c:pt idx="31">
                    <c:v>300,37</c:v>
                  </c:pt>
                  <c:pt idx="32">
                    <c:v>300,25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299,94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250,88</c:v>
                  </c:pt>
                  <c:pt idx="10">
                    <c:v>400,21</c:v>
                  </c:pt>
                  <c:pt idx="11">
                    <c:v>300,58</c:v>
                  </c:pt>
                  <c:pt idx="12">
                    <c:v>268,81</c:v>
                  </c:pt>
                  <c:pt idx="13">
                    <c:v>310,58</c:v>
                  </c:pt>
                  <c:pt idx="14">
                    <c:v>380,46</c:v>
                  </c:pt>
                  <c:pt idx="16">
                    <c:v>199,95</c:v>
                  </c:pt>
                  <c:pt idx="17">
                    <c:v>300,86</c:v>
                  </c:pt>
                  <c:pt idx="18">
                    <c:v>168,72</c:v>
                  </c:pt>
                  <c:pt idx="19">
                    <c:v>FULL</c:v>
                  </c:pt>
                  <c:pt idx="20">
                    <c:v>250,01</c:v>
                  </c:pt>
                  <c:pt idx="21">
                    <c:v>FULL</c:v>
                  </c:pt>
                  <c:pt idx="22">
                    <c:v>352,67</c:v>
                  </c:pt>
                  <c:pt idx="24">
                    <c:v>150,62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300,10</c:v>
                  </c:pt>
                  <c:pt idx="29">
                    <c:v>100,01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400,46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300,34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350,81</c:v>
                  </c:pt>
                  <c:pt idx="10">
                    <c:v>350,48</c:v>
                  </c:pt>
                  <c:pt idx="11">
                    <c:v>269,22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299,88</c:v>
                  </c:pt>
                  <c:pt idx="1">
                    <c:v>230,78</c:v>
                  </c:pt>
                  <c:pt idx="2">
                    <c:v>333,84</c:v>
                  </c:pt>
                  <c:pt idx="3">
                    <c:v>278,99</c:v>
                  </c:pt>
                  <c:pt idx="4">
                    <c:v>89,87</c:v>
                  </c:pt>
                  <c:pt idx="5">
                    <c:v>401,11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10,83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299,97</c:v>
                  </c:pt>
                  <c:pt idx="26">
                    <c:v>301,29</c:v>
                  </c:pt>
                  <c:pt idx="27">
                    <c:v>258,15</c:v>
                  </c:pt>
                  <c:pt idx="28">
                    <c:v>400,22</c:v>
                  </c:pt>
                  <c:pt idx="29">
                    <c:v>117,26</c:v>
                  </c:pt>
                  <c:pt idx="30">
                    <c:v>300,13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323,06</c:v>
                  </c:pt>
                  <c:pt idx="1">
                    <c:v>299,98</c:v>
                  </c:pt>
                  <c:pt idx="2">
                    <c:v>200,74</c:v>
                  </c:pt>
                  <c:pt idx="3">
                    <c:v>192,08</c:v>
                  </c:pt>
                  <c:pt idx="4">
                    <c:v>226,39</c:v>
                  </c:pt>
                  <c:pt idx="5">
                    <c:v>399,85</c:v>
                  </c:pt>
                  <c:pt idx="6">
                    <c:v>350,18</c:v>
                  </c:pt>
                  <c:pt idx="8">
                    <c:v>200,39</c:v>
                  </c:pt>
                  <c:pt idx="9">
                    <c:v>251,86</c:v>
                  </c:pt>
                  <c:pt idx="10">
                    <c:v>250,32</c:v>
                  </c:pt>
                  <c:pt idx="11">
                    <c:v>249,98</c:v>
                  </c:pt>
                  <c:pt idx="12">
                    <c:v>200,22</c:v>
                  </c:pt>
                  <c:pt idx="13">
                    <c:v>200,91</c:v>
                  </c:pt>
                  <c:pt idx="14">
                    <c:v>251,15</c:v>
                  </c:pt>
                  <c:pt idx="16">
                    <c:v>250,31</c:v>
                  </c:pt>
                  <c:pt idx="17">
                    <c:v>250,23</c:v>
                  </c:pt>
                  <c:pt idx="18">
                    <c:v>250,46</c:v>
                  </c:pt>
                  <c:pt idx="19">
                    <c:v>200,29</c:v>
                  </c:pt>
                  <c:pt idx="20">
                    <c:v>300,44</c:v>
                  </c:pt>
                  <c:pt idx="21">
                    <c:v>150,65</c:v>
                  </c:pt>
                  <c:pt idx="22">
                    <c:v>249,94</c:v>
                  </c:pt>
                  <c:pt idx="24">
                    <c:v>250,37</c:v>
                  </c:pt>
                  <c:pt idx="25">
                    <c:v>200,14</c:v>
                  </c:pt>
                  <c:pt idx="26">
                    <c:v>150,69</c:v>
                  </c:pt>
                  <c:pt idx="27">
                    <c:v>250,55</c:v>
                  </c:pt>
                  <c:pt idx="28">
                    <c:v>250,14</c:v>
                  </c:pt>
                  <c:pt idx="29">
                    <c:v>250,46</c:v>
                  </c:pt>
                  <c:pt idx="30">
                    <c:v>200,51</c:v>
                  </c:pt>
                  <c:pt idx="31">
                    <c:v>199,78</c:v>
                  </c:pt>
                  <c:pt idx="32">
                    <c:v>300,39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500,51</c:v>
                  </c:pt>
                  <c:pt idx="4">
                    <c:v>338,26</c:v>
                  </c:pt>
                  <c:pt idx="5">
                    <c:v>400,01</c:v>
                  </c:pt>
                  <c:pt idx="6">
                    <c:v>400,09</c:v>
                  </c:pt>
                  <c:pt idx="8">
                    <c:v>200,59</c:v>
                  </c:pt>
                  <c:pt idx="9">
                    <c:v>269,98</c:v>
                  </c:pt>
                  <c:pt idx="10">
                    <c:v>239,05</c:v>
                  </c:pt>
                  <c:pt idx="11">
                    <c:v>240,66</c:v>
                  </c:pt>
                  <c:pt idx="12">
                    <c:v>100,47</c:v>
                  </c:pt>
                  <c:pt idx="13">
                    <c:v>150,27</c:v>
                  </c:pt>
                  <c:pt idx="14">
                    <c:v>249,33</c:v>
                  </c:pt>
                  <c:pt idx="16">
                    <c:v>264,13</c:v>
                  </c:pt>
                  <c:pt idx="17">
                    <c:v>161,54</c:v>
                  </c:pt>
                  <c:pt idx="18">
                    <c:v>329,41</c:v>
                  </c:pt>
                  <c:pt idx="19">
                    <c:v>150,26</c:v>
                  </c:pt>
                  <c:pt idx="20">
                    <c:v>250,55</c:v>
                  </c:pt>
                  <c:pt idx="21">
                    <c:v>FULL</c:v>
                  </c:pt>
                  <c:pt idx="22">
                    <c:v>359,62</c:v>
                  </c:pt>
                  <c:pt idx="24">
                    <c:v>250,50</c:v>
                  </c:pt>
                  <c:pt idx="25">
                    <c:v>402,85</c:v>
                  </c:pt>
                  <c:pt idx="26">
                    <c:v>300,33</c:v>
                  </c:pt>
                  <c:pt idx="27">
                    <c:v>277,28</c:v>
                  </c:pt>
                  <c:pt idx="28">
                    <c:v>400,24</c:v>
                  </c:pt>
                  <c:pt idx="29">
                    <c:v>237,32</c:v>
                  </c:pt>
                  <c:pt idx="30">
                    <c:v>400,65</c:v>
                  </c:pt>
                  <c:pt idx="31">
                    <c:v>385,22</c:v>
                  </c:pt>
                  <c:pt idx="32">
                    <c:v>156,17</c:v>
                  </c:pt>
                </c:lvl>
                <c:lvl>
                  <c:pt idx="0">
                    <c:v>199,93</c:v>
                  </c:pt>
                  <c:pt idx="1">
                    <c:v>300,06</c:v>
                  </c:pt>
                  <c:pt idx="2">
                    <c:v>300,13</c:v>
                  </c:pt>
                  <c:pt idx="3">
                    <c:v>250,74</c:v>
                  </c:pt>
                  <c:pt idx="4">
                    <c:v>209,70</c:v>
                  </c:pt>
                  <c:pt idx="5">
                    <c:v>FULL</c:v>
                  </c:pt>
                  <c:pt idx="6">
                    <c:v>400,05</c:v>
                  </c:pt>
                  <c:pt idx="8">
                    <c:v>150,38</c:v>
                  </c:pt>
                  <c:pt idx="9">
                    <c:v>299,91</c:v>
                  </c:pt>
                  <c:pt idx="10">
                    <c:v>500,35</c:v>
                  </c:pt>
                  <c:pt idx="11">
                    <c:v>400,54</c:v>
                  </c:pt>
                  <c:pt idx="12">
                    <c:v>150,28</c:v>
                  </c:pt>
                  <c:pt idx="13">
                    <c:v>350,97</c:v>
                  </c:pt>
                  <c:pt idx="14">
                    <c:v>250,73</c:v>
                  </c:pt>
                  <c:pt idx="16">
                    <c:v>FULL</c:v>
                  </c:pt>
                  <c:pt idx="17">
                    <c:v>300,16</c:v>
                  </c:pt>
                  <c:pt idx="18">
                    <c:v>351,43</c:v>
                  </c:pt>
                  <c:pt idx="19">
                    <c:v>250,39</c:v>
                  </c:pt>
                  <c:pt idx="20">
                    <c:v>350,34</c:v>
                  </c:pt>
                  <c:pt idx="21">
                    <c:v>250,14</c:v>
                  </c:pt>
                  <c:pt idx="22">
                    <c:v>248,77</c:v>
                  </c:pt>
                  <c:pt idx="24">
                    <c:v>400,83</c:v>
                  </c:pt>
                  <c:pt idx="25">
                    <c:v>214,45</c:v>
                  </c:pt>
                  <c:pt idx="26">
                    <c:v>200,19</c:v>
                  </c:pt>
                  <c:pt idx="27">
                    <c:v>299,79</c:v>
                  </c:pt>
                  <c:pt idx="28">
                    <c:v>250,34</c:v>
                  </c:pt>
                  <c:pt idx="29">
                    <c:v>250,55</c:v>
                  </c:pt>
                  <c:pt idx="30">
                    <c:v>250,42</c:v>
                  </c:pt>
                  <c:pt idx="31">
                    <c:v>249,51</c:v>
                  </c:pt>
                  <c:pt idx="32">
                    <c:v>251,06</c:v>
                  </c:pt>
                </c:lvl>
                <c:lvl>
                  <c:pt idx="0">
                    <c:v>299,87</c:v>
                  </c:pt>
                  <c:pt idx="1">
                    <c:v>300,08</c:v>
                  </c:pt>
                  <c:pt idx="2">
                    <c:v>299,94</c:v>
                  </c:pt>
                  <c:pt idx="3">
                    <c:v>200,94</c:v>
                  </c:pt>
                  <c:pt idx="4">
                    <c:v>278,18</c:v>
                  </c:pt>
                  <c:pt idx="5">
                    <c:v>399,99</c:v>
                  </c:pt>
                  <c:pt idx="6">
                    <c:v>349,98</c:v>
                  </c:pt>
                  <c:pt idx="8">
                    <c:v>300,01</c:v>
                  </c:pt>
                  <c:pt idx="9">
                    <c:v>299,93</c:v>
                  </c:pt>
                  <c:pt idx="10">
                    <c:v>300,19</c:v>
                  </c:pt>
                  <c:pt idx="11">
                    <c:v>300,17</c:v>
                  </c:pt>
                  <c:pt idx="12">
                    <c:v>300,08</c:v>
                  </c:pt>
                  <c:pt idx="13">
                    <c:v>300,15</c:v>
                  </c:pt>
                  <c:pt idx="14">
                    <c:v>250,24</c:v>
                  </c:pt>
                  <c:pt idx="16">
                    <c:v>187,27</c:v>
                  </c:pt>
                  <c:pt idx="17">
                    <c:v>112,21</c:v>
                  </c:pt>
                  <c:pt idx="18">
                    <c:v>79,38</c:v>
                  </c:pt>
                  <c:pt idx="19">
                    <c:v>300,33</c:v>
                  </c:pt>
                  <c:pt idx="20">
                    <c:v>319,98</c:v>
                  </c:pt>
                  <c:pt idx="21">
                    <c:v>250,05</c:v>
                  </c:pt>
                  <c:pt idx="22">
                    <c:v>357,35</c:v>
                  </c:pt>
                  <c:pt idx="24">
                    <c:v>250,13</c:v>
                  </c:pt>
                  <c:pt idx="25">
                    <c:v>402,92</c:v>
                  </c:pt>
                  <c:pt idx="26">
                    <c:v>200,36</c:v>
                  </c:pt>
                  <c:pt idx="27">
                    <c:v>93,11</c:v>
                  </c:pt>
                  <c:pt idx="28">
                    <c:v>400,10</c:v>
                  </c:pt>
                  <c:pt idx="29">
                    <c:v>106,41</c:v>
                  </c:pt>
                  <c:pt idx="30">
                    <c:v>FULL</c:v>
                  </c:pt>
                  <c:pt idx="31">
                    <c:v>199,52</c:v>
                  </c:pt>
                  <c:pt idx="32">
                    <c:v>333,21</c:v>
                  </c:pt>
                </c:lvl>
                <c:lvl>
                  <c:pt idx="0">
                    <c:v>300,48</c:v>
                  </c:pt>
                  <c:pt idx="1">
                    <c:v>300,05</c:v>
                  </c:pt>
                  <c:pt idx="2">
                    <c:v>250,28</c:v>
                  </c:pt>
                  <c:pt idx="3">
                    <c:v>266,16</c:v>
                  </c:pt>
                  <c:pt idx="4">
                    <c:v>306,31</c:v>
                  </c:pt>
                  <c:pt idx="5">
                    <c:v>350,10</c:v>
                  </c:pt>
                  <c:pt idx="6">
                    <c:v>250,35</c:v>
                  </c:pt>
                  <c:pt idx="8">
                    <c:v>250,35</c:v>
                  </c:pt>
                  <c:pt idx="9">
                    <c:v>150,76</c:v>
                  </c:pt>
                  <c:pt idx="10">
                    <c:v>250,16</c:v>
                  </c:pt>
                  <c:pt idx="11">
                    <c:v>350,34</c:v>
                  </c:pt>
                  <c:pt idx="12">
                    <c:v>200,83</c:v>
                  </c:pt>
                  <c:pt idx="13">
                    <c:v>300,81</c:v>
                  </c:pt>
                  <c:pt idx="14">
                    <c:v>350,33</c:v>
                  </c:pt>
                  <c:pt idx="16">
                    <c:v>292,91</c:v>
                  </c:pt>
                  <c:pt idx="17">
                    <c:v>200,11</c:v>
                  </c:pt>
                  <c:pt idx="18">
                    <c:v>351,09</c:v>
                  </c:pt>
                  <c:pt idx="19">
                    <c:v>200,68</c:v>
                  </c:pt>
                  <c:pt idx="20">
                    <c:v>400,18</c:v>
                  </c:pt>
                  <c:pt idx="21">
                    <c:v>250,27</c:v>
                  </c:pt>
                  <c:pt idx="22">
                    <c:v>320,17</c:v>
                  </c:pt>
                  <c:pt idx="24">
                    <c:v>300,00</c:v>
                  </c:pt>
                  <c:pt idx="25">
                    <c:v>299,96</c:v>
                  </c:pt>
                  <c:pt idx="26">
                    <c:v>352,12</c:v>
                  </c:pt>
                  <c:pt idx="27">
                    <c:v>349,98</c:v>
                  </c:pt>
                  <c:pt idx="28">
                    <c:v>400,14</c:v>
                  </c:pt>
                  <c:pt idx="29">
                    <c:v>200,44</c:v>
                  </c:pt>
                  <c:pt idx="30">
                    <c:v>250,64</c:v>
                  </c:pt>
                  <c:pt idx="31">
                    <c:v>299,74</c:v>
                  </c:pt>
                  <c:pt idx="32">
                    <c:v>300,59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299,55</c:v>
                  </c:pt>
                  <c:pt idx="2">
                    <c:v>299,87</c:v>
                  </c:pt>
                  <c:pt idx="3">
                    <c:v>200,89</c:v>
                  </c:pt>
                  <c:pt idx="4">
                    <c:v>386,22</c:v>
                  </c:pt>
                  <c:pt idx="5">
                    <c:v>350,10</c:v>
                  </c:pt>
                  <c:pt idx="6">
                    <c:v>350,18</c:v>
                  </c:pt>
                  <c:pt idx="8">
                    <c:v>120,23</c:v>
                  </c:pt>
                  <c:pt idx="9">
                    <c:v>250,17</c:v>
                  </c:pt>
                  <c:pt idx="10">
                    <c:v>250,30</c:v>
                  </c:pt>
                  <c:pt idx="11">
                    <c:v>300,12</c:v>
                  </c:pt>
                  <c:pt idx="12">
                    <c:v>200,35</c:v>
                  </c:pt>
                  <c:pt idx="13">
                    <c:v>300,78</c:v>
                  </c:pt>
                  <c:pt idx="14">
                    <c:v>300,40</c:v>
                  </c:pt>
                  <c:pt idx="16">
                    <c:v>199,94</c:v>
                  </c:pt>
                  <c:pt idx="17">
                    <c:v>200,21</c:v>
                  </c:pt>
                  <c:pt idx="18">
                    <c:v>351,86</c:v>
                  </c:pt>
                  <c:pt idx="19">
                    <c:v>200,18</c:v>
                  </c:pt>
                  <c:pt idx="20">
                    <c:v>250,57</c:v>
                  </c:pt>
                  <c:pt idx="21">
                    <c:v>FULL</c:v>
                  </c:pt>
                  <c:pt idx="22">
                    <c:v>451,09</c:v>
                  </c:pt>
                  <c:pt idx="24">
                    <c:v>400,43</c:v>
                  </c:pt>
                  <c:pt idx="25">
                    <c:v>300,21</c:v>
                  </c:pt>
                  <c:pt idx="26">
                    <c:v>250,98</c:v>
                  </c:pt>
                  <c:pt idx="27">
                    <c:v>165,78</c:v>
                  </c:pt>
                  <c:pt idx="28">
                    <c:v>200,43</c:v>
                  </c:pt>
                  <c:pt idx="29">
                    <c:v>250,06</c:v>
                  </c:pt>
                  <c:pt idx="30">
                    <c:v>350,33</c:v>
                  </c:pt>
                  <c:pt idx="31">
                    <c:v>199,76</c:v>
                  </c:pt>
                  <c:pt idx="32">
                    <c:v>200,35</c:v>
                  </c:pt>
                </c:lvl>
                <c:lvl>
                  <c:pt idx="0">
                    <c:v>400,20</c:v>
                  </c:pt>
                  <c:pt idx="1">
                    <c:v>349,90</c:v>
                  </c:pt>
                  <c:pt idx="2">
                    <c:v>350,19</c:v>
                  </c:pt>
                  <c:pt idx="3">
                    <c:v>250,85</c:v>
                  </c:pt>
                  <c:pt idx="4">
                    <c:v>208,67</c:v>
                  </c:pt>
                  <c:pt idx="5">
                    <c:v>400,18</c:v>
                  </c:pt>
                  <c:pt idx="6">
                    <c:v>300,18</c:v>
                  </c:pt>
                  <c:pt idx="8">
                    <c:v>200,26</c:v>
                  </c:pt>
                  <c:pt idx="9">
                    <c:v>FULL</c:v>
                  </c:pt>
                  <c:pt idx="10">
                    <c:v>400,24</c:v>
                  </c:pt>
                  <c:pt idx="11">
                    <c:v>250,51</c:v>
                  </c:pt>
                  <c:pt idx="12">
                    <c:v>200,37</c:v>
                  </c:pt>
                  <c:pt idx="13">
                    <c:v>300,61</c:v>
                  </c:pt>
                  <c:pt idx="14">
                    <c:v>303,09</c:v>
                  </c:pt>
                  <c:pt idx="16">
                    <c:v>200,63</c:v>
                  </c:pt>
                  <c:pt idx="17">
                    <c:v>207,86</c:v>
                  </c:pt>
                  <c:pt idx="18">
                    <c:v>270,84</c:v>
                  </c:pt>
                  <c:pt idx="19">
                    <c:v>200,49</c:v>
                  </c:pt>
                  <c:pt idx="20">
                    <c:v>250,35</c:v>
                  </c:pt>
                  <c:pt idx="21">
                    <c:v>250,56</c:v>
                  </c:pt>
                  <c:pt idx="22">
                    <c:v>357,35</c:v>
                  </c:pt>
                  <c:pt idx="24">
                    <c:v>300,05</c:v>
                  </c:pt>
                  <c:pt idx="25">
                    <c:v>200,82</c:v>
                  </c:pt>
                  <c:pt idx="26">
                    <c:v>249,94</c:v>
                  </c:pt>
                  <c:pt idx="27">
                    <c:v>250,78</c:v>
                  </c:pt>
                  <c:pt idx="28">
                    <c:v>250,78</c:v>
                  </c:pt>
                  <c:pt idx="29">
                    <c:v>250,52</c:v>
                  </c:pt>
                  <c:pt idx="30">
                    <c:v>250,13</c:v>
                  </c:pt>
                  <c:pt idx="31">
                    <c:v>305,44</c:v>
                  </c:pt>
                  <c:pt idx="32">
                    <c:v>251,46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270,61</c:v>
                  </c:pt>
                  <c:pt idx="3">
                    <c:v>269,87</c:v>
                  </c:pt>
                  <c:pt idx="4">
                    <c:v>FULL</c:v>
                  </c:pt>
                  <c:pt idx="5">
                    <c:v>500,18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121,42</c:v>
                  </c:pt>
                  <c:pt idx="10">
                    <c:v>FULL</c:v>
                  </c:pt>
                  <c:pt idx="11">
                    <c:v>370,62</c:v>
                  </c:pt>
                  <c:pt idx="12">
                    <c:v>350,25</c:v>
                  </c:pt>
                  <c:pt idx="13">
                    <c:v>400,69</c:v>
                  </c:pt>
                  <c:pt idx="14">
                    <c:v>500,12</c:v>
                  </c:pt>
                  <c:pt idx="16">
                    <c:v>200,62</c:v>
                  </c:pt>
                  <c:pt idx="17">
                    <c:v>FULL</c:v>
                  </c:pt>
                  <c:pt idx="18">
                    <c:v>452,92</c:v>
                  </c:pt>
                  <c:pt idx="19">
                    <c:v>399,94</c:v>
                  </c:pt>
                  <c:pt idx="20">
                    <c:v>400,00</c:v>
                  </c:pt>
                  <c:pt idx="21">
                    <c:v>499,94</c:v>
                  </c:pt>
                  <c:pt idx="22">
                    <c:v>415,63</c:v>
                  </c:pt>
                  <c:pt idx="24">
                    <c:v>500,27</c:v>
                  </c:pt>
                  <c:pt idx="25">
                    <c:v>251,18</c:v>
                  </c:pt>
                  <c:pt idx="26">
                    <c:v>FULL</c:v>
                  </c:pt>
                  <c:pt idx="27">
                    <c:v>400,30</c:v>
                  </c:pt>
                  <c:pt idx="28">
                    <c:v>400,09</c:v>
                  </c:pt>
                  <c:pt idx="29">
                    <c:v>400,13</c:v>
                  </c:pt>
                  <c:pt idx="30">
                    <c:v>400,14</c:v>
                  </c:pt>
                  <c:pt idx="31">
                    <c:v>499,62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71,76</c:v>
                  </c:pt>
                  <c:pt idx="2">
                    <c:v>380,46</c:v>
                  </c:pt>
                  <c:pt idx="3">
                    <c:v>323,93</c:v>
                  </c:pt>
                  <c:pt idx="4">
                    <c:v>391,29</c:v>
                  </c:pt>
                  <c:pt idx="5">
                    <c:v>400,18</c:v>
                  </c:pt>
                  <c:pt idx="6">
                    <c:v>400,26</c:v>
                  </c:pt>
                  <c:pt idx="8">
                    <c:v>500,16</c:v>
                  </c:pt>
                  <c:pt idx="9">
                    <c:v>270,49</c:v>
                  </c:pt>
                  <c:pt idx="10">
                    <c:v>450,20</c:v>
                  </c:pt>
                  <c:pt idx="11">
                    <c:v>500,34</c:v>
                  </c:pt>
                  <c:pt idx="12">
                    <c:v>400,09</c:v>
                  </c:pt>
                  <c:pt idx="13">
                    <c:v>400,84</c:v>
                  </c:pt>
                  <c:pt idx="14">
                    <c:v>283,81</c:v>
                  </c:pt>
                  <c:pt idx="16">
                    <c:v>350,19</c:v>
                  </c:pt>
                  <c:pt idx="17">
                    <c:v>350,43</c:v>
                  </c:pt>
                  <c:pt idx="18">
                    <c:v>119,49</c:v>
                  </c:pt>
                  <c:pt idx="19">
                    <c:v>500,19</c:v>
                  </c:pt>
                  <c:pt idx="20">
                    <c:v>400,51</c:v>
                  </c:pt>
                  <c:pt idx="21">
                    <c:v>400,23</c:v>
                  </c:pt>
                  <c:pt idx="22">
                    <c:v>419,57</c:v>
                  </c:pt>
                  <c:pt idx="24">
                    <c:v>300,50</c:v>
                  </c:pt>
                  <c:pt idx="25">
                    <c:v>312,27</c:v>
                  </c:pt>
                  <c:pt idx="26">
                    <c:v>450,83</c:v>
                  </c:pt>
                  <c:pt idx="27">
                    <c:v>369,96</c:v>
                  </c:pt>
                  <c:pt idx="28">
                    <c:v>400,19</c:v>
                  </c:pt>
                  <c:pt idx="29">
                    <c:v>399,92</c:v>
                  </c:pt>
                  <c:pt idx="30">
                    <c:v>400,22</c:v>
                  </c:pt>
                  <c:pt idx="31">
                    <c:v>299,92</c:v>
                  </c:pt>
                  <c:pt idx="32">
                    <c:v>450,55</c:v>
                  </c:pt>
                </c:lvl>
                <c:lvl>
                  <c:pt idx="7">
                    <c:v>GRAHA</c:v>
                  </c:pt>
                  <c:pt idx="15">
                    <c:v>GRAHA</c:v>
                  </c:pt>
                  <c:pt idx="23">
                    <c:v>GRAHA</c:v>
                  </c:pt>
                  <c:pt idx="34">
                    <c:v>GRAHA</c:v>
                  </c:pt>
                </c:lvl>
                <c:lvl>
                  <c:pt idx="0">
                    <c:v>57,69</c:v>
                  </c:pt>
                  <c:pt idx="1">
                    <c:v>67,25</c:v>
                  </c:pt>
                  <c:pt idx="2">
                    <c:v>418,37</c:v>
                  </c:pt>
                  <c:pt idx="3">
                    <c:v>293,43</c:v>
                  </c:pt>
                  <c:pt idx="4">
                    <c:v>490,71</c:v>
                  </c:pt>
                  <c:pt idx="5">
                    <c:v>399,99</c:v>
                  </c:pt>
                  <c:pt idx="6">
                    <c:v>352,83</c:v>
                  </c:pt>
                  <c:pt idx="8">
                    <c:v>200,39</c:v>
                  </c:pt>
                  <c:pt idx="9">
                    <c:v>232,41</c:v>
                  </c:pt>
                  <c:pt idx="10">
                    <c:v>35,71</c:v>
                  </c:pt>
                  <c:pt idx="11">
                    <c:v>50,04</c:v>
                  </c:pt>
                  <c:pt idx="12">
                    <c:v>89,06</c:v>
                  </c:pt>
                  <c:pt idx="13">
                    <c:v>412,37</c:v>
                  </c:pt>
                  <c:pt idx="14">
                    <c:v>334,29</c:v>
                  </c:pt>
                  <c:pt idx="16">
                    <c:v>502,21</c:v>
                  </c:pt>
                  <c:pt idx="17">
                    <c:v>400,31</c:v>
                  </c:pt>
                  <c:pt idx="18">
                    <c:v>434,69</c:v>
                  </c:pt>
                  <c:pt idx="19">
                    <c:v>355,10</c:v>
                  </c:pt>
                  <c:pt idx="20">
                    <c:v>267,25</c:v>
                  </c:pt>
                  <c:pt idx="21">
                    <c:v>209,37</c:v>
                  </c:pt>
                  <c:pt idx="22">
                    <c:v>500,42</c:v>
                  </c:pt>
                  <c:pt idx="24">
                    <c:v>268,41</c:v>
                  </c:pt>
                  <c:pt idx="25">
                    <c:v>FULL</c:v>
                  </c:pt>
                  <c:pt idx="26">
                    <c:v>173,75</c:v>
                  </c:pt>
                  <c:pt idx="27">
                    <c:v>486,51</c:v>
                  </c:pt>
                  <c:pt idx="28">
                    <c:v>400,40</c:v>
                  </c:pt>
                  <c:pt idx="29">
                    <c:v>68,68</c:v>
                  </c:pt>
                  <c:pt idx="30">
                    <c:v>400,04</c:v>
                  </c:pt>
                  <c:pt idx="31">
                    <c:v>65,22</c:v>
                  </c:pt>
                  <c:pt idx="32">
                    <c:v>16,90</c:v>
                  </c:pt>
                </c:lvl>
                <c:lvl>
                  <c:pt idx="0">
                    <c:v>450,81</c:v>
                  </c:pt>
                  <c:pt idx="1">
                    <c:v>403,52</c:v>
                  </c:pt>
                  <c:pt idx="2">
                    <c:v>450,90</c:v>
                  </c:pt>
                  <c:pt idx="3">
                    <c:v>355,16</c:v>
                  </c:pt>
                  <c:pt idx="4">
                    <c:v>483,87</c:v>
                  </c:pt>
                  <c:pt idx="5">
                    <c:v>500,17</c:v>
                  </c:pt>
                  <c:pt idx="6">
                    <c:v>350,48</c:v>
                  </c:pt>
                  <c:pt idx="8">
                    <c:v>350,32</c:v>
                  </c:pt>
                  <c:pt idx="9">
                    <c:v>353,28</c:v>
                  </c:pt>
                  <c:pt idx="10">
                    <c:v>300,46</c:v>
                  </c:pt>
                  <c:pt idx="11">
                    <c:v>205,25</c:v>
                  </c:pt>
                  <c:pt idx="12">
                    <c:v>500,08</c:v>
                  </c:pt>
                  <c:pt idx="13">
                    <c:v>463,80</c:v>
                  </c:pt>
                  <c:pt idx="14">
                    <c:v>480,25</c:v>
                  </c:pt>
                  <c:pt idx="16">
                    <c:v>400,36</c:v>
                  </c:pt>
                  <c:pt idx="17">
                    <c:v>400,75</c:v>
                  </c:pt>
                  <c:pt idx="18">
                    <c:v>450,36</c:v>
                  </c:pt>
                  <c:pt idx="19">
                    <c:v>399,85</c:v>
                  </c:pt>
                  <c:pt idx="20">
                    <c:v>400,47</c:v>
                  </c:pt>
                  <c:pt idx="21">
                    <c:v>500,19</c:v>
                  </c:pt>
                  <c:pt idx="22">
                    <c:v>499,97</c:v>
                  </c:pt>
                  <c:pt idx="24">
                    <c:v>500,15</c:v>
                  </c:pt>
                  <c:pt idx="25">
                    <c:v>500,06</c:v>
                  </c:pt>
                  <c:pt idx="26">
                    <c:v>500,33</c:v>
                  </c:pt>
                  <c:pt idx="27">
                    <c:v>499,61</c:v>
                  </c:pt>
                  <c:pt idx="28">
                    <c:v>500,60</c:v>
                  </c:pt>
                  <c:pt idx="29">
                    <c:v>500,34</c:v>
                  </c:pt>
                  <c:pt idx="30">
                    <c:v>500,18</c:v>
                  </c:pt>
                  <c:pt idx="31">
                    <c:v>477,14</c:v>
                  </c:pt>
                  <c:pt idx="32">
                    <c:v>500,13</c:v>
                  </c:pt>
                </c:lvl>
                <c:lvl>
                  <c:pt idx="0">
                    <c:v>399,71</c:v>
                  </c:pt>
                  <c:pt idx="1">
                    <c:v>501,49</c:v>
                  </c:pt>
                  <c:pt idx="2">
                    <c:v>500,28</c:v>
                  </c:pt>
                  <c:pt idx="3">
                    <c:v>500,45</c:v>
                  </c:pt>
                  <c:pt idx="4">
                    <c:v>415,33</c:v>
                  </c:pt>
                  <c:pt idx="5">
                    <c:v>399,85</c:v>
                  </c:pt>
                  <c:pt idx="6">
                    <c:v>400,40</c:v>
                  </c:pt>
                  <c:pt idx="8">
                    <c:v>457,89</c:v>
                  </c:pt>
                  <c:pt idx="9">
                    <c:v>372,57</c:v>
                  </c:pt>
                  <c:pt idx="10">
                    <c:v>454,62</c:v>
                  </c:pt>
                  <c:pt idx="11">
                    <c:v>400,39</c:v>
                  </c:pt>
                  <c:pt idx="12">
                    <c:v>500,25</c:v>
                  </c:pt>
                  <c:pt idx="13">
                    <c:v>497,85</c:v>
                  </c:pt>
                  <c:pt idx="14">
                    <c:v>462,09</c:v>
                  </c:pt>
                  <c:pt idx="16">
                    <c:v>457,14</c:v>
                  </c:pt>
                  <c:pt idx="17">
                    <c:v>400,12</c:v>
                  </c:pt>
                  <c:pt idx="18">
                    <c:v>499,69</c:v>
                  </c:pt>
                  <c:pt idx="19">
                    <c:v>400,11</c:v>
                  </c:pt>
                  <c:pt idx="20">
                    <c:v>500,49</c:v>
                  </c:pt>
                  <c:pt idx="21">
                    <c:v>499,98</c:v>
                  </c:pt>
                  <c:pt idx="22">
                    <c:v>498,80</c:v>
                  </c:pt>
                  <c:pt idx="24">
                    <c:v>432,69</c:v>
                  </c:pt>
                  <c:pt idx="25">
                    <c:v>465,73</c:v>
                  </c:pt>
                  <c:pt idx="26">
                    <c:v>451,69</c:v>
                  </c:pt>
                  <c:pt idx="27">
                    <c:v>499,91</c:v>
                  </c:pt>
                  <c:pt idx="28">
                    <c:v>494,90</c:v>
                  </c:pt>
                  <c:pt idx="29">
                    <c:v>400,16</c:v>
                  </c:pt>
                  <c:pt idx="30">
                    <c:v>FULL</c:v>
                  </c:pt>
                  <c:pt idx="31">
                    <c:v>500,56</c:v>
                  </c:pt>
                  <c:pt idx="32">
                    <c:v>498,26</c:v>
                  </c:pt>
                  <c:pt idx="36">
                    <c:v>05, 09,12,22,38, 43, 44.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 full BBM Solar -----------</c:v>
                  </c:pt>
                </c:lvl>
                <c:lvl>
                  <c:pt idx="0">
                    <c:v>400,23</c:v>
                  </c:pt>
                  <c:pt idx="1">
                    <c:v>499,41</c:v>
                  </c:pt>
                  <c:pt idx="2">
                    <c:v>400,19</c:v>
                  </c:pt>
                  <c:pt idx="3">
                    <c:v>500,51</c:v>
                  </c:pt>
                  <c:pt idx="4">
                    <c:v>500,52</c:v>
                  </c:pt>
                  <c:pt idx="5">
                    <c:v>400,01</c:v>
                  </c:pt>
                  <c:pt idx="6">
                    <c:v>265,71</c:v>
                  </c:pt>
                  <c:pt idx="8">
                    <c:v>FULL</c:v>
                  </c:pt>
                  <c:pt idx="9">
                    <c:v>331,44</c:v>
                  </c:pt>
                  <c:pt idx="10">
                    <c:v>500,19</c:v>
                  </c:pt>
                  <c:pt idx="11">
                    <c:v>500,15</c:v>
                  </c:pt>
                  <c:pt idx="12">
                    <c:v>500,08</c:v>
                  </c:pt>
                  <c:pt idx="13">
                    <c:v>500,31</c:v>
                  </c:pt>
                  <c:pt idx="14">
                    <c:v>470,21</c:v>
                  </c:pt>
                  <c:pt idx="16">
                    <c:v>400,34</c:v>
                  </c:pt>
                  <c:pt idx="17">
                    <c:v>400,09</c:v>
                  </c:pt>
                  <c:pt idx="18">
                    <c:v>500,96</c:v>
                  </c:pt>
                  <c:pt idx="19">
                    <c:v>500,19</c:v>
                  </c:pt>
                  <c:pt idx="20">
                    <c:v>500,09</c:v>
                  </c:pt>
                  <c:pt idx="21">
                    <c:v>450,06</c:v>
                  </c:pt>
                  <c:pt idx="22">
                    <c:v>500,03</c:v>
                  </c:pt>
                  <c:pt idx="24">
                    <c:v>500,73</c:v>
                  </c:pt>
                  <c:pt idx="25">
                    <c:v>499,84</c:v>
                  </c:pt>
                  <c:pt idx="26">
                    <c:v>500,81</c:v>
                  </c:pt>
                  <c:pt idx="27">
                    <c:v>500,05</c:v>
                  </c:pt>
                  <c:pt idx="28">
                    <c:v>500,41</c:v>
                  </c:pt>
                  <c:pt idx="29">
                    <c:v>500,27</c:v>
                  </c:pt>
                  <c:pt idx="30">
                    <c:v>500,57</c:v>
                  </c:pt>
                  <c:pt idx="31">
                    <c:v>499,95</c:v>
                  </c:pt>
                  <c:pt idx="32">
                    <c:v>500,41</c:v>
                  </c:pt>
                  <c:pt idx="36">
                    <c:v>. RTGC Standby status</c:v>
                  </c:pt>
                </c:lvl>
                <c:lvl>
                  <c:pt idx="0">
                    <c:v>500,07</c:v>
                  </c:pt>
                  <c:pt idx="1">
                    <c:v>450,04</c:v>
                  </c:pt>
                  <c:pt idx="2">
                    <c:v>400,17</c:v>
                  </c:pt>
                  <c:pt idx="3">
                    <c:v>500,17</c:v>
                  </c:pt>
                  <c:pt idx="4">
                    <c:v>500,72</c:v>
                  </c:pt>
                  <c:pt idx="5">
                    <c:v>499,88</c:v>
                  </c:pt>
                  <c:pt idx="6">
                    <c:v>400,09</c:v>
                  </c:pt>
                  <c:pt idx="8">
                    <c:v>450,21</c:v>
                  </c:pt>
                  <c:pt idx="9">
                    <c:v>400,82</c:v>
                  </c:pt>
                  <c:pt idx="10">
                    <c:v>500,12</c:v>
                  </c:pt>
                  <c:pt idx="11">
                    <c:v>500,36</c:v>
                  </c:pt>
                  <c:pt idx="12">
                    <c:v>500,13</c:v>
                  </c:pt>
                  <c:pt idx="13">
                    <c:v>500,51</c:v>
                  </c:pt>
                  <c:pt idx="14">
                    <c:v>450,23</c:v>
                  </c:pt>
                  <c:pt idx="16">
                    <c:v>450,21</c:v>
                  </c:pt>
                  <c:pt idx="17">
                    <c:v>400,33</c:v>
                  </c:pt>
                  <c:pt idx="18">
                    <c:v>500,02</c:v>
                  </c:pt>
                  <c:pt idx="19">
                    <c:v>400,08</c:v>
                  </c:pt>
                  <c:pt idx="20">
                    <c:v>500,61</c:v>
                  </c:pt>
                  <c:pt idx="21">
                    <c:v>500,68</c:v>
                  </c:pt>
                  <c:pt idx="22">
                    <c:v>500,80</c:v>
                  </c:pt>
                  <c:pt idx="24">
                    <c:v>400,10</c:v>
                  </c:pt>
                  <c:pt idx="25">
                    <c:v>500,16</c:v>
                  </c:pt>
                  <c:pt idx="26">
                    <c:v>500,22</c:v>
                  </c:pt>
                  <c:pt idx="27">
                    <c:v>400,20</c:v>
                  </c:pt>
                  <c:pt idx="28">
                    <c:v>502,68</c:v>
                  </c:pt>
                  <c:pt idx="29">
                    <c:v>500,23</c:v>
                  </c:pt>
                  <c:pt idx="30">
                    <c:v>500,10</c:v>
                  </c:pt>
                  <c:pt idx="31">
                    <c:v>300,61</c:v>
                  </c:pt>
                  <c:pt idx="32">
                    <c:v>400,50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21, 23, 24, 25.</c:v>
                  </c:pt>
                </c:lvl>
                <c:lvl>
                  <c:pt idx="0">
                    <c:v>400,56</c:v>
                  </c:pt>
                  <c:pt idx="1">
                    <c:v>344,71</c:v>
                  </c:pt>
                  <c:pt idx="2">
                    <c:v>449,99</c:v>
                  </c:pt>
                  <c:pt idx="3">
                    <c:v>361,62</c:v>
                  </c:pt>
                  <c:pt idx="4">
                    <c:v>432,63</c:v>
                  </c:pt>
                  <c:pt idx="5">
                    <c:v>350,37</c:v>
                  </c:pt>
                  <c:pt idx="6">
                    <c:v>400,55</c:v>
                  </c:pt>
                  <c:pt idx="8">
                    <c:v>201,31</c:v>
                  </c:pt>
                  <c:pt idx="9">
                    <c:v>FULL</c:v>
                  </c:pt>
                  <c:pt idx="10">
                    <c:v>300,53</c:v>
                  </c:pt>
                  <c:pt idx="11">
                    <c:v>400,47</c:v>
                  </c:pt>
                  <c:pt idx="12">
                    <c:v>450,27</c:v>
                  </c:pt>
                  <c:pt idx="13">
                    <c:v>400,55</c:v>
                  </c:pt>
                  <c:pt idx="14">
                    <c:v>354,76</c:v>
                  </c:pt>
                  <c:pt idx="16">
                    <c:v>386,71</c:v>
                  </c:pt>
                  <c:pt idx="17">
                    <c:v>399,97</c:v>
                  </c:pt>
                  <c:pt idx="18">
                    <c:v>307,37</c:v>
                  </c:pt>
                  <c:pt idx="19">
                    <c:v>400,32</c:v>
                  </c:pt>
                  <c:pt idx="20">
                    <c:v>260,40</c:v>
                  </c:pt>
                  <c:pt idx="21">
                    <c:v>399,63</c:v>
                  </c:pt>
                  <c:pt idx="22">
                    <c:v>420,22</c:v>
                  </c:pt>
                  <c:pt idx="24">
                    <c:v>450,52</c:v>
                  </c:pt>
                  <c:pt idx="25">
                    <c:v>350,01</c:v>
                  </c:pt>
                  <c:pt idx="26">
                    <c:v>500,55</c:v>
                  </c:pt>
                  <c:pt idx="27">
                    <c:v>349,87</c:v>
                  </c:pt>
                  <c:pt idx="28">
                    <c:v>412,66</c:v>
                  </c:pt>
                  <c:pt idx="29">
                    <c:v>400,38</c:v>
                  </c:pt>
                  <c:pt idx="30">
                    <c:v>418,29</c:v>
                  </c:pt>
                  <c:pt idx="31">
                    <c:v>398,94</c:v>
                  </c:pt>
                  <c:pt idx="32">
                    <c:v>400,33</c:v>
                  </c:pt>
                  <c:pt idx="36">
                    <c:v>. RTGC yg Dilelang Srucb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301,52</c:v>
                  </c:pt>
                  <c:pt idx="1">
                    <c:v>350,00</c:v>
                  </c:pt>
                  <c:pt idx="2">
                    <c:v>270,04</c:v>
                  </c:pt>
                  <c:pt idx="3">
                    <c:v>303,64</c:v>
                  </c:pt>
                  <c:pt idx="4">
                    <c:v>310,42</c:v>
                  </c:pt>
                  <c:pt idx="5">
                    <c:v>399,99</c:v>
                  </c:pt>
                  <c:pt idx="6">
                    <c:v>300,23</c:v>
                  </c:pt>
                  <c:pt idx="8">
                    <c:v>149,98</c:v>
                  </c:pt>
                  <c:pt idx="9">
                    <c:v>249,99</c:v>
                  </c:pt>
                  <c:pt idx="10">
                    <c:v>400,44</c:v>
                  </c:pt>
                  <c:pt idx="11">
                    <c:v>149,16</c:v>
                  </c:pt>
                  <c:pt idx="12">
                    <c:v>150,32</c:v>
                  </c:pt>
                  <c:pt idx="13">
                    <c:v>FULL</c:v>
                  </c:pt>
                  <c:pt idx="14">
                    <c:v>270,57</c:v>
                  </c:pt>
                  <c:pt idx="16">
                    <c:v>400,36</c:v>
                  </c:pt>
                  <c:pt idx="17">
                    <c:v>200,34</c:v>
                  </c:pt>
                  <c:pt idx="18">
                    <c:v>352,22</c:v>
                  </c:pt>
                  <c:pt idx="19">
                    <c:v>288,21</c:v>
                  </c:pt>
                  <c:pt idx="20">
                    <c:v>400,08</c:v>
                  </c:pt>
                  <c:pt idx="21">
                    <c:v>350,53</c:v>
                  </c:pt>
                  <c:pt idx="22">
                    <c:v>350,31</c:v>
                  </c:pt>
                  <c:pt idx="24">
                    <c:v>350,30</c:v>
                  </c:pt>
                  <c:pt idx="25">
                    <c:v>350,79</c:v>
                  </c:pt>
                  <c:pt idx="26">
                    <c:v>350,53</c:v>
                  </c:pt>
                  <c:pt idx="27">
                    <c:v>200,07</c:v>
                  </c:pt>
                  <c:pt idx="28">
                    <c:v>350,66</c:v>
                  </c:pt>
                  <c:pt idx="29">
                    <c:v>350,41</c:v>
                  </c:pt>
                  <c:pt idx="30">
                    <c:v>400,07</c:v>
                  </c:pt>
                  <c:pt idx="31">
                    <c:v>251,31</c:v>
                  </c:pt>
                  <c:pt idx="32">
                    <c:v>400,23</c:v>
                  </c:pt>
                  <c:pt idx="36">
                    <c:v>07, 26, 29, 35,36, 42, 63.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. RTGC PM ---------------</c:v>
                  </c:pt>
                </c:lvl>
                <c:lvl>
                  <c:pt idx="0">
                    <c:v>505,63</c:v>
                  </c:pt>
                  <c:pt idx="1">
                    <c:v>470,43</c:v>
                  </c:pt>
                  <c:pt idx="2">
                    <c:v>500,38</c:v>
                  </c:pt>
                  <c:pt idx="3">
                    <c:v>400,65</c:v>
                  </c:pt>
                  <c:pt idx="4">
                    <c:v>486,13</c:v>
                  </c:pt>
                  <c:pt idx="5">
                    <c:v>500,05</c:v>
                  </c:pt>
                  <c:pt idx="6">
                    <c:v>400,15</c:v>
                  </c:pt>
                  <c:pt idx="8">
                    <c:v>450,15</c:v>
                  </c:pt>
                  <c:pt idx="9">
                    <c:v>499,90</c:v>
                  </c:pt>
                  <c:pt idx="10">
                    <c:v>500,17</c:v>
                  </c:pt>
                  <c:pt idx="11">
                    <c:v>450,05</c:v>
                  </c:pt>
                  <c:pt idx="12">
                    <c:v>500,23</c:v>
                  </c:pt>
                  <c:pt idx="13">
                    <c:v>400,89</c:v>
                  </c:pt>
                  <c:pt idx="14">
                    <c:v>500,62</c:v>
                  </c:pt>
                  <c:pt idx="16">
                    <c:v>450,81</c:v>
                  </c:pt>
                  <c:pt idx="17">
                    <c:v>400,22</c:v>
                  </c:pt>
                  <c:pt idx="18">
                    <c:v>499,92</c:v>
                  </c:pt>
                  <c:pt idx="19">
                    <c:v>500,29</c:v>
                  </c:pt>
                  <c:pt idx="20">
                    <c:v>450,11</c:v>
                  </c:pt>
                  <c:pt idx="21">
                    <c:v>400,44</c:v>
                  </c:pt>
                  <c:pt idx="22">
                    <c:v>517,91</c:v>
                  </c:pt>
                  <c:pt idx="24">
                    <c:v>500,00</c:v>
                  </c:pt>
                  <c:pt idx="25">
                    <c:v>400,16</c:v>
                  </c:pt>
                  <c:pt idx="26">
                    <c:v>449,45</c:v>
                  </c:pt>
                  <c:pt idx="27">
                    <c:v>499,25</c:v>
                  </c:pt>
                  <c:pt idx="28">
                    <c:v>400,35</c:v>
                  </c:pt>
                  <c:pt idx="29">
                    <c:v>500,21</c:v>
                  </c:pt>
                  <c:pt idx="30">
                    <c:v>499,97</c:v>
                  </c:pt>
                  <c:pt idx="31">
                    <c:v>400,47</c:v>
                  </c:pt>
                  <c:pt idx="32">
                    <c:v>500,62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GraHa Segara</c:v>
                  </c:pt>
                </c:lvl>
                <c:lvl>
                  <c:pt idx="0">
                    <c:v>299,64</c:v>
                  </c:pt>
                  <c:pt idx="1">
                    <c:v>350,00</c:v>
                  </c:pt>
                  <c:pt idx="2">
                    <c:v>400,18</c:v>
                  </c:pt>
                  <c:pt idx="3">
                    <c:v>351,14</c:v>
                  </c:pt>
                  <c:pt idx="4">
                    <c:v>436,30</c:v>
                  </c:pt>
                  <c:pt idx="5">
                    <c:v>399,85</c:v>
                  </c:pt>
                  <c:pt idx="6">
                    <c:v>350,22</c:v>
                  </c:pt>
                  <c:pt idx="8">
                    <c:v>400,09</c:v>
                  </c:pt>
                  <c:pt idx="9">
                    <c:v>337,72</c:v>
                  </c:pt>
                  <c:pt idx="10">
                    <c:v>400,09</c:v>
                  </c:pt>
                  <c:pt idx="11">
                    <c:v>400,27</c:v>
                  </c:pt>
                  <c:pt idx="12">
                    <c:v>350,33</c:v>
                  </c:pt>
                  <c:pt idx="13">
                    <c:v>353,86</c:v>
                  </c:pt>
                  <c:pt idx="14">
                    <c:v>400,37</c:v>
                  </c:pt>
                  <c:pt idx="16">
                    <c:v>350,57</c:v>
                  </c:pt>
                  <c:pt idx="17">
                    <c:v>400,13</c:v>
                  </c:pt>
                  <c:pt idx="18">
                    <c:v>400,34</c:v>
                  </c:pt>
                  <c:pt idx="19">
                    <c:v>350,43</c:v>
                  </c:pt>
                  <c:pt idx="20">
                    <c:v>400,06</c:v>
                  </c:pt>
                  <c:pt idx="21">
                    <c:v>400,16</c:v>
                  </c:pt>
                  <c:pt idx="22">
                    <c:v>326,23</c:v>
                  </c:pt>
                  <c:pt idx="24">
                    <c:v>400,35</c:v>
                  </c:pt>
                  <c:pt idx="25">
                    <c:v>401,12</c:v>
                  </c:pt>
                  <c:pt idx="26">
                    <c:v>350,11</c:v>
                  </c:pt>
                  <c:pt idx="27">
                    <c:v>400,13</c:v>
                  </c:pt>
                  <c:pt idx="28">
                    <c:v>350,51</c:v>
                  </c:pt>
                  <c:pt idx="29">
                    <c:v>400,05</c:v>
                  </c:pt>
                  <c:pt idx="30">
                    <c:v>351,58</c:v>
                  </c:pt>
                  <c:pt idx="31">
                    <c:v>300,07</c:v>
                  </c:pt>
                  <c:pt idx="32">
                    <c:v>400,14</c:v>
                  </c:pt>
                  <c:pt idx="36">
                    <c:v>. RTGC 16 Disewakan ke</c:v>
                  </c:pt>
                </c:lvl>
                <c:lvl>
                  <c:pt idx="0">
                    <c:v>FULL</c:v>
                  </c:pt>
                  <c:pt idx="1">
                    <c:v>250,00</c:v>
                  </c:pt>
                  <c:pt idx="2">
                    <c:v>410,25</c:v>
                  </c:pt>
                  <c:pt idx="3">
                    <c:v>401,06</c:v>
                  </c:pt>
                  <c:pt idx="4">
                    <c:v>355,31</c:v>
                  </c:pt>
                  <c:pt idx="5">
                    <c:v>299,84</c:v>
                  </c:pt>
                  <c:pt idx="6">
                    <c:v>400,21</c:v>
                  </c:pt>
                  <c:pt idx="8">
                    <c:v>199,97</c:v>
                  </c:pt>
                  <c:pt idx="9">
                    <c:v>300,48</c:v>
                  </c:pt>
                  <c:pt idx="10">
                    <c:v>400,10</c:v>
                  </c:pt>
                  <c:pt idx="11">
                    <c:v>350,44</c:v>
                  </c:pt>
                  <c:pt idx="12">
                    <c:v>350,26</c:v>
                  </c:pt>
                  <c:pt idx="13">
                    <c:v>307,39</c:v>
                  </c:pt>
                  <c:pt idx="14">
                    <c:v>400,10</c:v>
                  </c:pt>
                  <c:pt idx="16">
                    <c:v>255,59</c:v>
                  </c:pt>
                  <c:pt idx="17">
                    <c:v>300,24</c:v>
                  </c:pt>
                  <c:pt idx="18">
                    <c:v>400,49</c:v>
                  </c:pt>
                  <c:pt idx="19">
                    <c:v>300,48</c:v>
                  </c:pt>
                  <c:pt idx="20">
                    <c:v>400,15</c:v>
                  </c:pt>
                  <c:pt idx="21">
                    <c:v>300,19</c:v>
                  </c:pt>
                  <c:pt idx="22">
                    <c:v>301,42</c:v>
                  </c:pt>
                  <c:pt idx="24">
                    <c:v>400,27</c:v>
                  </c:pt>
                  <c:pt idx="25">
                    <c:v>272,42</c:v>
                  </c:pt>
                  <c:pt idx="26">
                    <c:v>450,41</c:v>
                  </c:pt>
                  <c:pt idx="27">
                    <c:v>299,75</c:v>
                  </c:pt>
                  <c:pt idx="28">
                    <c:v>400,66</c:v>
                  </c:pt>
                  <c:pt idx="29">
                    <c:v>300,66</c:v>
                  </c:pt>
                  <c:pt idx="30">
                    <c:v>350,26</c:v>
                  </c:pt>
                  <c:pt idx="31">
                    <c:v>250,74</c:v>
                  </c:pt>
                  <c:pt idx="32">
                    <c:v>299,85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</c:multiLvlStrCache>
            </c:multiLvlStrRef>
          </c:cat>
          <c:val>
            <c:numRef>
              <c:f>'JUNI 2026'!$B$169:$AM$169</c:f>
              <c:numCache>
                <c:formatCode>General</c:formatCode>
                <c:ptCount val="37"/>
              </c:numCache>
            </c:numRef>
          </c:val>
        </c:ser>
        <c:ser>
          <c:idx val="3"/>
          <c:order val="3"/>
          <c:tx>
            <c:strRef>
              <c:f>'JUNI 2026'!$A$170</c:f>
              <c:strCache>
                <c:ptCount val="1"/>
                <c:pt idx="0">
                  <c:v>SL 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'JUNI 2026'!$B$1:$AM$166</c:f>
              <c:multiLvlStrCache>
                <c:ptCount val="3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6">
                    <c:v>Note</c:v>
                  </c:pt>
                </c:lvl>
                <c:lvl>
                  <c:pt idx="0">
                    <c:v>92.77</c:v>
                  </c:pt>
                  <c:pt idx="1">
                    <c:v>92.72</c:v>
                  </c:pt>
                  <c:pt idx="2">
                    <c:v>92.74</c:v>
                  </c:pt>
                  <c:pt idx="3">
                    <c:v>92.76</c:v>
                  </c:pt>
                  <c:pt idx="4">
                    <c:v>92.79</c:v>
                  </c:pt>
                  <c:pt idx="5">
                    <c:v>92.75</c:v>
                  </c:pt>
                  <c:pt idx="6">
                    <c:v>92.74</c:v>
                  </c:pt>
                  <c:pt idx="8">
                    <c:v>92.74</c:v>
                  </c:pt>
                  <c:pt idx="9">
                    <c:v>92.74</c:v>
                  </c:pt>
                  <c:pt idx="10">
                    <c:v>92.75</c:v>
                  </c:pt>
                  <c:pt idx="11">
                    <c:v>92.77</c:v>
                  </c:pt>
                  <c:pt idx="12">
                    <c:v>92.77</c:v>
                  </c:pt>
                  <c:pt idx="13">
                    <c:v>92.73</c:v>
                  </c:pt>
                  <c:pt idx="14">
                    <c:v>92.77</c:v>
                  </c:pt>
                  <c:pt idx="16">
                    <c:v>92.71</c:v>
                  </c:pt>
                  <c:pt idx="17">
                    <c:v>92.72</c:v>
                  </c:pt>
                  <c:pt idx="18">
                    <c:v>92.75</c:v>
                  </c:pt>
                  <c:pt idx="19">
                    <c:v>92.74</c:v>
                  </c:pt>
                  <c:pt idx="20">
                    <c:v>92.75</c:v>
                  </c:pt>
                  <c:pt idx="21">
                    <c:v>92.75</c:v>
                  </c:pt>
                  <c:pt idx="22">
                    <c:v>92.72</c:v>
                  </c:pt>
                  <c:pt idx="24">
                    <c:v>92.75</c:v>
                  </c:pt>
                  <c:pt idx="25">
                    <c:v>92.78</c:v>
                  </c:pt>
                  <c:pt idx="26">
                    <c:v>92.73</c:v>
                  </c:pt>
                  <c:pt idx="27">
                    <c:v>92.73</c:v>
                  </c:pt>
                  <c:pt idx="28">
                    <c:v>92.73</c:v>
                  </c:pt>
                  <c:pt idx="29">
                    <c:v>92.74</c:v>
                  </c:pt>
                  <c:pt idx="30">
                    <c:v>92.70</c:v>
                  </c:pt>
                  <c:pt idx="31">
                    <c:v>92.74</c:v>
                  </c:pt>
                  <c:pt idx="32">
                    <c:v>92.70</c:v>
                  </c:pt>
                </c:lvl>
                <c:lvl>
                  <c:pt idx="0">
                    <c:v>6662,40</c:v>
                  </c:pt>
                  <c:pt idx="1">
                    <c:v>6181,46</c:v>
                  </c:pt>
                  <c:pt idx="2">
                    <c:v>5449,10</c:v>
                  </c:pt>
                  <c:pt idx="3">
                    <c:v>5917,58</c:v>
                  </c:pt>
                  <c:pt idx="4">
                    <c:v>5481,75</c:v>
                  </c:pt>
                  <c:pt idx="5">
                    <c:v>5209,42</c:v>
                  </c:pt>
                  <c:pt idx="6">
                    <c:v>6470,01</c:v>
                  </c:pt>
                  <c:pt idx="7">
                    <c:v>41371,72</c:v>
                  </c:pt>
                  <c:pt idx="8">
                    <c:v>4919,99</c:v>
                  </c:pt>
                  <c:pt idx="9">
                    <c:v>6025,86</c:v>
                  </c:pt>
                  <c:pt idx="10">
                    <c:v>5631,71</c:v>
                  </c:pt>
                  <c:pt idx="11">
                    <c:v>6898,52</c:v>
                  </c:pt>
                  <c:pt idx="12">
                    <c:v>5969,85</c:v>
                  </c:pt>
                  <c:pt idx="13">
                    <c:v>5632,86</c:v>
                  </c:pt>
                  <c:pt idx="14">
                    <c:v>6170,18</c:v>
                  </c:pt>
                  <c:pt idx="15">
                    <c:v>41248,97</c:v>
                  </c:pt>
                  <c:pt idx="16">
                    <c:v>6556,14</c:v>
                  </c:pt>
                  <c:pt idx="17">
                    <c:v>6351,87</c:v>
                  </c:pt>
                  <c:pt idx="18">
                    <c:v>6159,44</c:v>
                  </c:pt>
                  <c:pt idx="19">
                    <c:v>5595,52</c:v>
                  </c:pt>
                  <c:pt idx="20">
                    <c:v>6263,54</c:v>
                  </c:pt>
                  <c:pt idx="21">
                    <c:v>5953,98</c:v>
                  </c:pt>
                  <c:pt idx="22">
                    <c:v>5971,14</c:v>
                  </c:pt>
                  <c:pt idx="23">
                    <c:v>42851,63</c:v>
                  </c:pt>
                  <c:pt idx="24">
                    <c:v>6694,38</c:v>
                  </c:pt>
                  <c:pt idx="25">
                    <c:v>6869,59</c:v>
                  </c:pt>
                  <c:pt idx="26">
                    <c:v>5926,68</c:v>
                  </c:pt>
                  <c:pt idx="27">
                    <c:v>5421,42</c:v>
                  </c:pt>
                  <c:pt idx="28">
                    <c:v>6222,84</c:v>
                  </c:pt>
                  <c:pt idx="29">
                    <c:v>5964,21</c:v>
                  </c:pt>
                  <c:pt idx="30">
                    <c:v>6111,90</c:v>
                  </c:pt>
                  <c:pt idx="31">
                    <c:v>5306,48</c:v>
                  </c:pt>
                  <c:pt idx="32">
                    <c:v>5897,44</c:v>
                  </c:pt>
                  <c:pt idx="34">
                    <c:v>54414,94</c:v>
                  </c:pt>
                  <c:pt idx="35">
                    <c:v>179884,26</c:v>
                  </c:pt>
                </c:lvl>
                <c:lvl>
                  <c:pt idx="0">
                    <c:v>69,87</c:v>
                  </c:pt>
                  <c:pt idx="1">
                    <c:v>85,55</c:v>
                  </c:pt>
                  <c:pt idx="2">
                    <c:v>40,04</c:v>
                  </c:pt>
                  <c:pt idx="3">
                    <c:v>89,88</c:v>
                  </c:pt>
                  <c:pt idx="4">
                    <c:v>51,52</c:v>
                  </c:pt>
                  <c:pt idx="5">
                    <c:v>76,86</c:v>
                  </c:pt>
                  <c:pt idx="6">
                    <c:v>95,85</c:v>
                  </c:pt>
                  <c:pt idx="8">
                    <c:v>66,97</c:v>
                  </c:pt>
                  <c:pt idx="9">
                    <c:v>73,35</c:v>
                  </c:pt>
                  <c:pt idx="10">
                    <c:v>57,55</c:v>
                  </c:pt>
                  <c:pt idx="11">
                    <c:v>77,65</c:v>
                  </c:pt>
                  <c:pt idx="12">
                    <c:v>75,78</c:v>
                  </c:pt>
                  <c:pt idx="13">
                    <c:v>62,34</c:v>
                  </c:pt>
                  <c:pt idx="14">
                    <c:v>74,62</c:v>
                  </c:pt>
                  <c:pt idx="16">
                    <c:v>105,49</c:v>
                  </c:pt>
                  <c:pt idx="17">
                    <c:v>103,53</c:v>
                  </c:pt>
                  <c:pt idx="18">
                    <c:v>84,69</c:v>
                  </c:pt>
                  <c:pt idx="19">
                    <c:v>46,34</c:v>
                  </c:pt>
                  <c:pt idx="20">
                    <c:v>92,17</c:v>
                  </c:pt>
                  <c:pt idx="21">
                    <c:v>62,58</c:v>
                  </c:pt>
                  <c:pt idx="22">
                    <c:v>68,39</c:v>
                  </c:pt>
                  <c:pt idx="24">
                    <c:v>86,57</c:v>
                  </c:pt>
                  <c:pt idx="25">
                    <c:v>82,13</c:v>
                  </c:pt>
                  <c:pt idx="26">
                    <c:v>88,08</c:v>
                  </c:pt>
                  <c:pt idx="27">
                    <c:v>70,33</c:v>
                  </c:pt>
                  <c:pt idx="28">
                    <c:v>65,48</c:v>
                  </c:pt>
                  <c:pt idx="29">
                    <c:v>64,07</c:v>
                  </c:pt>
                  <c:pt idx="30">
                    <c:v>85,37</c:v>
                  </c:pt>
                  <c:pt idx="31">
                    <c:v>76,35</c:v>
                  </c:pt>
                  <c:pt idx="32">
                    <c:v>68,54</c:v>
                  </c:pt>
                </c:lvl>
                <c:lvl>
                  <c:pt idx="0">
                    <c:v>94,88</c:v>
                  </c:pt>
                  <c:pt idx="1">
                    <c:v>94,75</c:v>
                  </c:pt>
                  <c:pt idx="2">
                    <c:v>70,80</c:v>
                  </c:pt>
                  <c:pt idx="3">
                    <c:v>25,54</c:v>
                  </c:pt>
                  <c:pt idx="4">
                    <c:v>49,63</c:v>
                  </c:pt>
                  <c:pt idx="5">
                    <c:v>87,58</c:v>
                  </c:pt>
                  <c:pt idx="6">
                    <c:v>93,40</c:v>
                  </c:pt>
                  <c:pt idx="8">
                    <c:v>72,07</c:v>
                  </c:pt>
                  <c:pt idx="9">
                    <c:v>93,76</c:v>
                  </c:pt>
                  <c:pt idx="10">
                    <c:v>74,24</c:v>
                  </c:pt>
                  <c:pt idx="11">
                    <c:v>109,58</c:v>
                  </c:pt>
                  <c:pt idx="12">
                    <c:v>85,04</c:v>
                  </c:pt>
                  <c:pt idx="13">
                    <c:v>90,95</c:v>
                  </c:pt>
                  <c:pt idx="14">
                    <c:v>84,75</c:v>
                  </c:pt>
                  <c:pt idx="16">
                    <c:v>84,80</c:v>
                  </c:pt>
                  <c:pt idx="17">
                    <c:v>72,30</c:v>
                  </c:pt>
                  <c:pt idx="18">
                    <c:v>112,35</c:v>
                  </c:pt>
                  <c:pt idx="19">
                    <c:v>95,67</c:v>
                  </c:pt>
                  <c:pt idx="20">
                    <c:v>84,10</c:v>
                  </c:pt>
                  <c:pt idx="21">
                    <c:v>77,54</c:v>
                  </c:pt>
                  <c:pt idx="22">
                    <c:v>51,38</c:v>
                  </c:pt>
                  <c:pt idx="24">
                    <c:v>114,77</c:v>
                  </c:pt>
                  <c:pt idx="25">
                    <c:v>96,62</c:v>
                  </c:pt>
                  <c:pt idx="26">
                    <c:v>93,24</c:v>
                  </c:pt>
                  <c:pt idx="27">
                    <c:v>88,30</c:v>
                  </c:pt>
                  <c:pt idx="28">
                    <c:v>98,59</c:v>
                  </c:pt>
                  <c:pt idx="29">
                    <c:v>101,45</c:v>
                  </c:pt>
                  <c:pt idx="30">
                    <c:v>87,19</c:v>
                  </c:pt>
                  <c:pt idx="31">
                    <c:v>79,44</c:v>
                  </c:pt>
                  <c:pt idx="32">
                    <c:v>93,48</c:v>
                  </c:pt>
                  <c:pt idx="35">
                    <c:v>54411,94</c:v>
                  </c:pt>
                </c:lvl>
                <c:lvl>
                  <c:pt idx="0">
                    <c:v>75,82</c:v>
                  </c:pt>
                  <c:pt idx="1">
                    <c:v>71,36</c:v>
                  </c:pt>
                  <c:pt idx="2">
                    <c:v>68,11</c:v>
                  </c:pt>
                  <c:pt idx="3">
                    <c:v>82,01</c:v>
                  </c:pt>
                  <c:pt idx="4">
                    <c:v>86,56</c:v>
                  </c:pt>
                  <c:pt idx="5">
                    <c:v>72,14</c:v>
                  </c:pt>
                  <c:pt idx="6">
                    <c:v>107,02</c:v>
                  </c:pt>
                  <c:pt idx="8">
                    <c:v>45,71</c:v>
                  </c:pt>
                  <c:pt idx="9">
                    <c:v>61,93</c:v>
                  </c:pt>
                  <c:pt idx="11">
                    <c:v>208,17</c:v>
                  </c:pt>
                  <c:pt idx="12">
                    <c:v>57,00</c:v>
                  </c:pt>
                  <c:pt idx="13">
                    <c:v>82,06</c:v>
                  </c:pt>
                  <c:pt idx="14">
                    <c:v>83,60</c:v>
                  </c:pt>
                  <c:pt idx="16">
                    <c:v>80,28</c:v>
                  </c:pt>
                  <c:pt idx="17">
                    <c:v>90,96</c:v>
                  </c:pt>
                  <c:pt idx="18">
                    <c:v>110,84</c:v>
                  </c:pt>
                  <c:pt idx="19">
                    <c:v>86,21</c:v>
                  </c:pt>
                  <c:pt idx="20">
                    <c:v>93,82</c:v>
                  </c:pt>
                  <c:pt idx="21">
                    <c:v>70,26</c:v>
                  </c:pt>
                  <c:pt idx="22">
                    <c:v>69,18</c:v>
                  </c:pt>
                  <c:pt idx="24">
                    <c:v>100,47</c:v>
                  </c:pt>
                  <c:pt idx="25">
                    <c:v>81,75</c:v>
                  </c:pt>
                  <c:pt idx="26">
                    <c:v>75,77</c:v>
                  </c:pt>
                  <c:pt idx="27">
                    <c:v>106,83</c:v>
                  </c:pt>
                  <c:pt idx="28">
                    <c:v>78,26</c:v>
                  </c:pt>
                  <c:pt idx="29">
                    <c:v>76,14</c:v>
                  </c:pt>
                  <c:pt idx="30">
                    <c:v>79,02</c:v>
                  </c:pt>
                  <c:pt idx="31">
                    <c:v>88,27</c:v>
                  </c:pt>
                  <c:pt idx="32">
                    <c:v>118,74</c:v>
                  </c:pt>
                  <c:pt idx="35">
                    <c:v>42851,63</c:v>
                  </c:pt>
                </c:lvl>
                <c:lvl>
                  <c:pt idx="0">
                    <c:v>83,22</c:v>
                  </c:pt>
                  <c:pt idx="1">
                    <c:v>88,58</c:v>
                  </c:pt>
                  <c:pt idx="2">
                    <c:v>75,59</c:v>
                  </c:pt>
                  <c:pt idx="3">
                    <c:v>73,95</c:v>
                  </c:pt>
                  <c:pt idx="4">
                    <c:v>97,83</c:v>
                  </c:pt>
                  <c:pt idx="5">
                    <c:v>86,42</c:v>
                  </c:pt>
                  <c:pt idx="6">
                    <c:v>79,55</c:v>
                  </c:pt>
                  <c:pt idx="8">
                    <c:v>79,73</c:v>
                  </c:pt>
                  <c:pt idx="9">
                    <c:v>92,33</c:v>
                  </c:pt>
                  <c:pt idx="10">
                    <c:v>72,43</c:v>
                  </c:pt>
                  <c:pt idx="11">
                    <c:v>94,35</c:v>
                  </c:pt>
                  <c:pt idx="12">
                    <c:v>63,14</c:v>
                  </c:pt>
                  <c:pt idx="13">
                    <c:v>98,05</c:v>
                  </c:pt>
                  <c:pt idx="14">
                    <c:v>69,22</c:v>
                  </c:pt>
                  <c:pt idx="16">
                    <c:v>101,45</c:v>
                  </c:pt>
                  <c:pt idx="17">
                    <c:v>96,95</c:v>
                  </c:pt>
                  <c:pt idx="18">
                    <c:v>89,41</c:v>
                  </c:pt>
                  <c:pt idx="19">
                    <c:v>87,28</c:v>
                  </c:pt>
                  <c:pt idx="20">
                    <c:v>68,28</c:v>
                  </c:pt>
                  <c:pt idx="21">
                    <c:v>68,95</c:v>
                  </c:pt>
                  <c:pt idx="22">
                    <c:v>92,22</c:v>
                  </c:pt>
                  <c:pt idx="24">
                    <c:v>99,83</c:v>
                  </c:pt>
                  <c:pt idx="25">
                    <c:v>76,17</c:v>
                  </c:pt>
                  <c:pt idx="26">
                    <c:v>86,33</c:v>
                  </c:pt>
                  <c:pt idx="27">
                    <c:v>79,07</c:v>
                  </c:pt>
                  <c:pt idx="28">
                    <c:v>95,91</c:v>
                  </c:pt>
                  <c:pt idx="29">
                    <c:v>68,55</c:v>
                  </c:pt>
                  <c:pt idx="32">
                    <c:v>55,67</c:v>
                  </c:pt>
                  <c:pt idx="35">
                    <c:v>41248,97</c:v>
                  </c:pt>
                </c:lvl>
                <c:lvl>
                  <c:pt idx="0">
                    <c:v>71,14</c:v>
                  </c:pt>
                  <c:pt idx="1">
                    <c:v>91,53</c:v>
                  </c:pt>
                  <c:pt idx="2">
                    <c:v>97,02</c:v>
                  </c:pt>
                  <c:pt idx="3">
                    <c:v>73,32</c:v>
                  </c:pt>
                  <c:pt idx="4">
                    <c:v>83,64</c:v>
                  </c:pt>
                  <c:pt idx="5">
                    <c:v>61,23</c:v>
                  </c:pt>
                  <c:pt idx="6">
                    <c:v>108,55</c:v>
                  </c:pt>
                  <c:pt idx="8">
                    <c:v>65,76</c:v>
                  </c:pt>
                  <c:pt idx="9">
                    <c:v>71,06</c:v>
                  </c:pt>
                  <c:pt idx="10">
                    <c:v>91,45</c:v>
                  </c:pt>
                  <c:pt idx="11">
                    <c:v>93,90</c:v>
                  </c:pt>
                  <c:pt idx="12">
                    <c:v>71,61</c:v>
                  </c:pt>
                  <c:pt idx="13">
                    <c:v>79,68</c:v>
                  </c:pt>
                  <c:pt idx="14">
                    <c:v>95,14</c:v>
                  </c:pt>
                  <c:pt idx="16">
                    <c:v>75,92</c:v>
                  </c:pt>
                  <c:pt idx="17">
                    <c:v>91,03</c:v>
                  </c:pt>
                  <c:pt idx="18">
                    <c:v>73,67</c:v>
                  </c:pt>
                  <c:pt idx="19">
                    <c:v>66,78</c:v>
                  </c:pt>
                  <c:pt idx="21">
                    <c:v>166,54</c:v>
                  </c:pt>
                  <c:pt idx="22">
                    <c:v>88,08</c:v>
                  </c:pt>
                  <c:pt idx="24">
                    <c:v>93,32</c:v>
                  </c:pt>
                  <c:pt idx="25">
                    <c:v>95,06</c:v>
                  </c:pt>
                  <c:pt idx="26">
                    <c:v>104,77</c:v>
                  </c:pt>
                  <c:pt idx="27">
                    <c:v>81,16</c:v>
                  </c:pt>
                  <c:pt idx="28">
                    <c:v>87,83</c:v>
                  </c:pt>
                  <c:pt idx="29">
                    <c:v>87,67</c:v>
                  </c:pt>
                  <c:pt idx="30">
                    <c:v>86,01</c:v>
                  </c:pt>
                  <c:pt idx="31">
                    <c:v>71,07</c:v>
                  </c:pt>
                  <c:pt idx="32">
                    <c:v>81,96</c:v>
                  </c:pt>
                  <c:pt idx="35">
                    <c:v>41371,72</c:v>
                  </c:pt>
                </c:lvl>
                <c:lvl>
                  <c:pt idx="0">
                    <c:v>73,25</c:v>
                  </c:pt>
                  <c:pt idx="1">
                    <c:v>55,04</c:v>
                  </c:pt>
                  <c:pt idx="2">
                    <c:v>93,73</c:v>
                  </c:pt>
                  <c:pt idx="3">
                    <c:v>81,04</c:v>
                  </c:pt>
                  <c:pt idx="4">
                    <c:v>77,13</c:v>
                  </c:pt>
                  <c:pt idx="5">
                    <c:v>94,58</c:v>
                  </c:pt>
                  <c:pt idx="6">
                    <c:v>109,16</c:v>
                  </c:pt>
                  <c:pt idx="8">
                    <c:v>119,34</c:v>
                  </c:pt>
                  <c:pt idx="9">
                    <c:v>55,48</c:v>
                  </c:pt>
                  <c:pt idx="10">
                    <c:v>76,91</c:v>
                  </c:pt>
                  <c:pt idx="11">
                    <c:v>109,88</c:v>
                  </c:pt>
                  <c:pt idx="12">
                    <c:v>92,36</c:v>
                  </c:pt>
                  <c:pt idx="13">
                    <c:v>66,60</c:v>
                  </c:pt>
                  <c:pt idx="14">
                    <c:v>109,70</c:v>
                  </c:pt>
                  <c:pt idx="16">
                    <c:v>114,44</c:v>
                  </c:pt>
                  <c:pt idx="18">
                    <c:v>104,75</c:v>
                  </c:pt>
                  <c:pt idx="19">
                    <c:v>67,51</c:v>
                  </c:pt>
                  <c:pt idx="20">
                    <c:v>111,04</c:v>
                  </c:pt>
                  <c:pt idx="21">
                    <c:v>79,73</c:v>
                  </c:pt>
                  <c:pt idx="22">
                    <c:v>68,97</c:v>
                  </c:pt>
                  <c:pt idx="24">
                    <c:v>89,93</c:v>
                  </c:pt>
                  <c:pt idx="25">
                    <c:v>103,39</c:v>
                  </c:pt>
                  <c:pt idx="26">
                    <c:v>81,32</c:v>
                  </c:pt>
                  <c:pt idx="27">
                    <c:v>58,79</c:v>
                  </c:pt>
                  <c:pt idx="28">
                    <c:v>85,94</c:v>
                  </c:pt>
                  <c:pt idx="29">
                    <c:v>72,27</c:v>
                  </c:pt>
                  <c:pt idx="30">
                    <c:v>78,67</c:v>
                  </c:pt>
                  <c:pt idx="31">
                    <c:v>74,98</c:v>
                  </c:pt>
                  <c:pt idx="32">
                    <c:v>79,81</c:v>
                  </c:pt>
                </c:lvl>
                <c:lvl>
                  <c:pt idx="0">
                    <c:v>92,89</c:v>
                  </c:pt>
                  <c:pt idx="1">
                    <c:v>84,31</c:v>
                  </c:pt>
                  <c:pt idx="3">
                    <c:v>147,73</c:v>
                  </c:pt>
                  <c:pt idx="4">
                    <c:v>94,66</c:v>
                  </c:pt>
                  <c:pt idx="5">
                    <c:v>80,83</c:v>
                  </c:pt>
                  <c:pt idx="6">
                    <c:v>66,35</c:v>
                  </c:pt>
                  <c:pt idx="8">
                    <c:v>64,10</c:v>
                  </c:pt>
                  <c:pt idx="9">
                    <c:v>85,22</c:v>
                  </c:pt>
                  <c:pt idx="10">
                    <c:v>68,05</c:v>
                  </c:pt>
                  <c:pt idx="11">
                    <c:v>56,92</c:v>
                  </c:pt>
                  <c:pt idx="12">
                    <c:v>84,95</c:v>
                  </c:pt>
                  <c:pt idx="13">
                    <c:v>85,46</c:v>
                  </c:pt>
                  <c:pt idx="14">
                    <c:v>74,70</c:v>
                  </c:pt>
                  <c:pt idx="16">
                    <c:v>103,31</c:v>
                  </c:pt>
                  <c:pt idx="17">
                    <c:v>77,21</c:v>
                  </c:pt>
                  <c:pt idx="18">
                    <c:v>79,33</c:v>
                  </c:pt>
                  <c:pt idx="19">
                    <c:v>70,44</c:v>
                  </c:pt>
                  <c:pt idx="20">
                    <c:v>88,74</c:v>
                  </c:pt>
                  <c:pt idx="21">
                    <c:v>67,04</c:v>
                  </c:pt>
                  <c:pt idx="22">
                    <c:v>80,56</c:v>
                  </c:pt>
                  <c:pt idx="24">
                    <c:v>91,29</c:v>
                  </c:pt>
                  <c:pt idx="25">
                    <c:v>87,01</c:v>
                  </c:pt>
                  <c:pt idx="26">
                    <c:v>66,10</c:v>
                  </c:pt>
                  <c:pt idx="27">
                    <c:v>70,86</c:v>
                  </c:pt>
                  <c:pt idx="28">
                    <c:v>83,31</c:v>
                  </c:pt>
                  <c:pt idx="29">
                    <c:v>71,50</c:v>
                  </c:pt>
                  <c:pt idx="30">
                    <c:v>84,84</c:v>
                  </c:pt>
                  <c:pt idx="31">
                    <c:v>117,15</c:v>
                  </c:pt>
                  <c:pt idx="32">
                    <c:v>70,71</c:v>
                  </c:pt>
                </c:lvl>
                <c:lvl>
                  <c:pt idx="0">
                    <c:v>99,05</c:v>
                  </c:pt>
                  <c:pt idx="1">
                    <c:v>88,36</c:v>
                  </c:pt>
                  <c:pt idx="2">
                    <c:v>86,32</c:v>
                  </c:pt>
                  <c:pt idx="3">
                    <c:v>82,26</c:v>
                  </c:pt>
                  <c:pt idx="4">
                    <c:v>81,09</c:v>
                  </c:pt>
                  <c:pt idx="5">
                    <c:v>67,51</c:v>
                  </c:pt>
                  <c:pt idx="6">
                    <c:v>118,29</c:v>
                  </c:pt>
                  <c:pt idx="8">
                    <c:v>77,87</c:v>
                  </c:pt>
                  <c:pt idx="9">
                    <c:v>93,74</c:v>
                  </c:pt>
                  <c:pt idx="10">
                    <c:v>69,90</c:v>
                  </c:pt>
                  <c:pt idx="11">
                    <c:v>126,30</c:v>
                  </c:pt>
                  <c:pt idx="12">
                    <c:v>72,96</c:v>
                  </c:pt>
                  <c:pt idx="13">
                    <c:v>97,78</c:v>
                  </c:pt>
                  <c:pt idx="14">
                    <c:v>99,16</c:v>
                  </c:pt>
                  <c:pt idx="16">
                    <c:v>104,64</c:v>
                  </c:pt>
                  <c:pt idx="17">
                    <c:v>77,16</c:v>
                  </c:pt>
                  <c:pt idx="18">
                    <c:v>73,22</c:v>
                  </c:pt>
                  <c:pt idx="21">
                    <c:v>124,93</c:v>
                  </c:pt>
                  <c:pt idx="22">
                    <c:v>100,04</c:v>
                  </c:pt>
                  <c:pt idx="24">
                    <c:v>73,88</c:v>
                  </c:pt>
                  <c:pt idx="25">
                    <c:v>90,92</c:v>
                  </c:pt>
                  <c:pt idx="26">
                    <c:v>97,25</c:v>
                  </c:pt>
                  <c:pt idx="27">
                    <c:v>93,86</c:v>
                  </c:pt>
                  <c:pt idx="28">
                    <c:v>90,08</c:v>
                  </c:pt>
                  <c:pt idx="29">
                    <c:v>86,73</c:v>
                  </c:pt>
                  <c:pt idx="30">
                    <c:v>100,07</c:v>
                  </c:pt>
                  <c:pt idx="31">
                    <c:v>90,25</c:v>
                  </c:pt>
                  <c:pt idx="32">
                    <c:v>82,02</c:v>
                  </c:pt>
                </c:lvl>
                <c:lvl>
                  <c:pt idx="0">
                    <c:v>75,15</c:v>
                  </c:pt>
                  <c:pt idx="1">
                    <c:v>90,26</c:v>
                  </c:pt>
                  <c:pt idx="2">
                    <c:v>62,29</c:v>
                  </c:pt>
                  <c:pt idx="3">
                    <c:v>69,72</c:v>
                  </c:pt>
                  <c:pt idx="4">
                    <c:v>64,88</c:v>
                  </c:pt>
                  <c:pt idx="5">
                    <c:v>70,23</c:v>
                  </c:pt>
                  <c:pt idx="6">
                    <c:v>72,94</c:v>
                  </c:pt>
                  <c:pt idx="8">
                    <c:v>64,22</c:v>
                  </c:pt>
                  <c:pt idx="9">
                    <c:v>74,55</c:v>
                  </c:pt>
                  <c:pt idx="10">
                    <c:v>71,92</c:v>
                  </c:pt>
                  <c:pt idx="11">
                    <c:v>76,72</c:v>
                  </c:pt>
                  <c:pt idx="12">
                    <c:v>82,02</c:v>
                  </c:pt>
                  <c:pt idx="13">
                    <c:v>59,58</c:v>
                  </c:pt>
                  <c:pt idx="14">
                    <c:v>60,07</c:v>
                  </c:pt>
                  <c:pt idx="16">
                    <c:v>93,00</c:v>
                  </c:pt>
                  <c:pt idx="17">
                    <c:v>89,43</c:v>
                  </c:pt>
                  <c:pt idx="18">
                    <c:v>74,49</c:v>
                  </c:pt>
                  <c:pt idx="19">
                    <c:v>68,50</c:v>
                  </c:pt>
                  <c:pt idx="20">
                    <c:v>83,91</c:v>
                  </c:pt>
                  <c:pt idx="21">
                    <c:v>54,01</c:v>
                  </c:pt>
                  <c:pt idx="22">
                    <c:v>73,88</c:v>
                  </c:pt>
                  <c:pt idx="24">
                    <c:v>110,53</c:v>
                  </c:pt>
                  <c:pt idx="25">
                    <c:v>56,49</c:v>
                  </c:pt>
                  <c:pt idx="26">
                    <c:v>68,71</c:v>
                  </c:pt>
                  <c:pt idx="27">
                    <c:v>32,45</c:v>
                  </c:pt>
                  <c:pt idx="28">
                    <c:v>89,78</c:v>
                  </c:pt>
                  <c:pt idx="29">
                    <c:v>78,64</c:v>
                  </c:pt>
                  <c:pt idx="30">
                    <c:v>77,70</c:v>
                  </c:pt>
                  <c:pt idx="31">
                    <c:v>77,65</c:v>
                  </c:pt>
                  <c:pt idx="32">
                    <c:v>68,72</c:v>
                  </c:pt>
                </c:lvl>
                <c:lvl>
                  <c:pt idx="0">
                    <c:v>93,20</c:v>
                  </c:pt>
                  <c:pt idx="1">
                    <c:v>65,52</c:v>
                  </c:pt>
                  <c:pt idx="2">
                    <c:v>94,15</c:v>
                  </c:pt>
                  <c:pt idx="3">
                    <c:v>72,57</c:v>
                  </c:pt>
                  <c:pt idx="4">
                    <c:v>78,98</c:v>
                  </c:pt>
                  <c:pt idx="5">
                    <c:v>82,10</c:v>
                  </c:pt>
                  <c:pt idx="6">
                    <c:v>71,42</c:v>
                  </c:pt>
                  <c:pt idx="8">
                    <c:v>60,46</c:v>
                  </c:pt>
                  <c:pt idx="9">
                    <c:v>70,40</c:v>
                  </c:pt>
                  <c:pt idx="10">
                    <c:v>84,01</c:v>
                  </c:pt>
                  <c:pt idx="11">
                    <c:v>101,32</c:v>
                  </c:pt>
                  <c:pt idx="12">
                    <c:v>87,07</c:v>
                  </c:pt>
                  <c:pt idx="13">
                    <c:v>80,92</c:v>
                  </c:pt>
                  <c:pt idx="14">
                    <c:v>25,75</c:v>
                  </c:pt>
                  <c:pt idx="16">
                    <c:v>40,02</c:v>
                  </c:pt>
                  <c:pt idx="17">
                    <c:v>99,48</c:v>
                  </c:pt>
                  <c:pt idx="18">
                    <c:v>47,40</c:v>
                  </c:pt>
                  <c:pt idx="19">
                    <c:v>67,32</c:v>
                  </c:pt>
                  <c:pt idx="20">
                    <c:v>91,77</c:v>
                  </c:pt>
                  <c:pt idx="21">
                    <c:v>85,95</c:v>
                  </c:pt>
                  <c:pt idx="22">
                    <c:v>79,78</c:v>
                  </c:pt>
                  <c:pt idx="24">
                    <c:v>101,61</c:v>
                  </c:pt>
                  <c:pt idx="25">
                    <c:v>105,49</c:v>
                  </c:pt>
                  <c:pt idx="26">
                    <c:v>56,11</c:v>
                  </c:pt>
                  <c:pt idx="27">
                    <c:v>72,05</c:v>
                  </c:pt>
                  <c:pt idx="28">
                    <c:v>89,39</c:v>
                  </c:pt>
                  <c:pt idx="29">
                    <c:v>100,5</c:v>
                  </c:pt>
                  <c:pt idx="30">
                    <c:v>98,67</c:v>
                  </c:pt>
                  <c:pt idx="31">
                    <c:v>63,65</c:v>
                  </c:pt>
                  <c:pt idx="32">
                    <c:v>74,31</c:v>
                  </c:pt>
                </c:lvl>
                <c:lvl>
                  <c:pt idx="0">
                    <c:v>82,75</c:v>
                  </c:pt>
                  <c:pt idx="1">
                    <c:v>84,04</c:v>
                  </c:pt>
                  <c:pt idx="2">
                    <c:v>117,67</c:v>
                  </c:pt>
                  <c:pt idx="3">
                    <c:v>70,62</c:v>
                  </c:pt>
                  <c:pt idx="4">
                    <c:v>76,00</c:v>
                  </c:pt>
                  <c:pt idx="5">
                    <c:v>51,44</c:v>
                  </c:pt>
                  <c:pt idx="6">
                    <c:v>96,46</c:v>
                  </c:pt>
                  <c:pt idx="8">
                    <c:v>61,04</c:v>
                  </c:pt>
                  <c:pt idx="9">
                    <c:v>115,77</c:v>
                  </c:pt>
                  <c:pt idx="10">
                    <c:v>58,51</c:v>
                  </c:pt>
                  <c:pt idx="11">
                    <c:v>110,18</c:v>
                  </c:pt>
                  <c:pt idx="12">
                    <c:v>56,91</c:v>
                  </c:pt>
                  <c:pt idx="13">
                    <c:v>71,18</c:v>
                  </c:pt>
                  <c:pt idx="14">
                    <c:v>100,92</c:v>
                  </c:pt>
                  <c:pt idx="16">
                    <c:v>99,33</c:v>
                  </c:pt>
                  <c:pt idx="19">
                    <c:v>78,58</c:v>
                  </c:pt>
                  <c:pt idx="20">
                    <c:v>124,02</c:v>
                  </c:pt>
                  <c:pt idx="21">
                    <c:v>69,26</c:v>
                  </c:pt>
                  <c:pt idx="22">
                    <c:v>88,41</c:v>
                  </c:pt>
                  <c:pt idx="24">
                    <c:v>101,71</c:v>
                  </c:pt>
                  <c:pt idx="25">
                    <c:v>101,78</c:v>
                  </c:pt>
                  <c:pt idx="26">
                    <c:v>95,57</c:v>
                  </c:pt>
                  <c:pt idx="27">
                    <c:v>58,05</c:v>
                  </c:pt>
                  <c:pt idx="28">
                    <c:v>103,57</c:v>
                  </c:pt>
                  <c:pt idx="29">
                    <c:v>67,07</c:v>
                  </c:pt>
                  <c:pt idx="30">
                    <c:v>85,80</c:v>
                  </c:pt>
                  <c:pt idx="31">
                    <c:v>70,53</c:v>
                  </c:pt>
                  <c:pt idx="32">
                    <c:v>137,15</c:v>
                  </c:pt>
                </c:lvl>
                <c:lvl>
                  <c:pt idx="0">
                    <c:v>85,16</c:v>
                  </c:pt>
                  <c:pt idx="1">
                    <c:v>95,79</c:v>
                  </c:pt>
                  <c:pt idx="2">
                    <c:v>69,40</c:v>
                  </c:pt>
                  <c:pt idx="3">
                    <c:v>61,82</c:v>
                  </c:pt>
                  <c:pt idx="4">
                    <c:v>115,15</c:v>
                  </c:pt>
                  <c:pt idx="5">
                    <c:v>80,05</c:v>
                  </c:pt>
                  <c:pt idx="6">
                    <c:v>92,17</c:v>
                  </c:pt>
                  <c:pt idx="8">
                    <c:v>52,20</c:v>
                  </c:pt>
                  <c:pt idx="9">
                    <c:v>104,08</c:v>
                  </c:pt>
                  <c:pt idx="10">
                    <c:v>100,60</c:v>
                  </c:pt>
                  <c:pt idx="11">
                    <c:v>99,49</c:v>
                  </c:pt>
                  <c:pt idx="12">
                    <c:v>77,75</c:v>
                  </c:pt>
                  <c:pt idx="13">
                    <c:v>86,00</c:v>
                  </c:pt>
                  <c:pt idx="14">
                    <c:v>103,32</c:v>
                  </c:pt>
                  <c:pt idx="16">
                    <c:v>117,08</c:v>
                  </c:pt>
                  <c:pt idx="17">
                    <c:v>81,14</c:v>
                  </c:pt>
                  <c:pt idx="18">
                    <c:v>99,79</c:v>
                  </c:pt>
                  <c:pt idx="19">
                    <c:v>85,97</c:v>
                  </c:pt>
                  <c:pt idx="20">
                    <c:v>80,34</c:v>
                  </c:pt>
                  <c:pt idx="21">
                    <c:v>96,73</c:v>
                  </c:pt>
                  <c:pt idx="22">
                    <c:v>88,02</c:v>
                  </c:pt>
                  <c:pt idx="24">
                    <c:v>109,33</c:v>
                  </c:pt>
                  <c:pt idx="25">
                    <c:v>80,54</c:v>
                  </c:pt>
                  <c:pt idx="26">
                    <c:v>80,04</c:v>
                  </c:pt>
                  <c:pt idx="27">
                    <c:v>92,43</c:v>
                  </c:pt>
                  <c:pt idx="28">
                    <c:v>101,64</c:v>
                  </c:pt>
                  <c:pt idx="29">
                    <c:v>108,68</c:v>
                  </c:pt>
                  <c:pt idx="30">
                    <c:v>97,76</c:v>
                  </c:pt>
                  <c:pt idx="31">
                    <c:v>73,82</c:v>
                  </c:pt>
                  <c:pt idx="32">
                    <c:v>118,55</c:v>
                  </c:pt>
                </c:lvl>
                <c:lvl>
                  <c:pt idx="0">
                    <c:v>68,97</c:v>
                  </c:pt>
                  <c:pt idx="1">
                    <c:v>69,15</c:v>
                  </c:pt>
                  <c:pt idx="2">
                    <c:v>87,42</c:v>
                  </c:pt>
                  <c:pt idx="3">
                    <c:v>67,64</c:v>
                  </c:pt>
                  <c:pt idx="4">
                    <c:v>54,71</c:v>
                  </c:pt>
                  <c:pt idx="5">
                    <c:v>52,97</c:v>
                  </c:pt>
                  <c:pt idx="6">
                    <c:v>78,70</c:v>
                  </c:pt>
                  <c:pt idx="8">
                    <c:v>66,39</c:v>
                  </c:pt>
                  <c:pt idx="9">
                    <c:v>93,62</c:v>
                  </c:pt>
                  <c:pt idx="10">
                    <c:v>65,94</c:v>
                  </c:pt>
                  <c:pt idx="11">
                    <c:v>65,00</c:v>
                  </c:pt>
                  <c:pt idx="12">
                    <c:v>74,89</c:v>
                  </c:pt>
                  <c:pt idx="13">
                    <c:v>74,79</c:v>
                  </c:pt>
                  <c:pt idx="14">
                    <c:v>76,22</c:v>
                  </c:pt>
                  <c:pt idx="16">
                    <c:v>85,89</c:v>
                  </c:pt>
                  <c:pt idx="17">
                    <c:v>78,49</c:v>
                  </c:pt>
                  <c:pt idx="18">
                    <c:v>83,99</c:v>
                  </c:pt>
                  <c:pt idx="19">
                    <c:v>50,91</c:v>
                  </c:pt>
                  <c:pt idx="20">
                    <c:v>58,61</c:v>
                  </c:pt>
                  <c:pt idx="21">
                    <c:v>54,78</c:v>
                  </c:pt>
                  <c:pt idx="22">
                    <c:v>66,80</c:v>
                  </c:pt>
                  <c:pt idx="24">
                    <c:v>87,48</c:v>
                  </c:pt>
                  <c:pt idx="25">
                    <c:v>80,38</c:v>
                  </c:pt>
                  <c:pt idx="26">
                    <c:v>72,12</c:v>
                  </c:pt>
                  <c:pt idx="27">
                    <c:v>61,93</c:v>
                  </c:pt>
                  <c:pt idx="28">
                    <c:v>55,95</c:v>
                  </c:pt>
                  <c:pt idx="29">
                    <c:v>84,29</c:v>
                  </c:pt>
                  <c:pt idx="30">
                    <c:v>96,81</c:v>
                  </c:pt>
                  <c:pt idx="31">
                    <c:v>67,32</c:v>
                  </c:pt>
                  <c:pt idx="32">
                    <c:v>69,39</c:v>
                  </c:pt>
                  <c:pt idx="36">
                    <c:v>. HT 204 - 216, 230 Liter</c:v>
                  </c:pt>
                </c:lvl>
                <c:lvl>
                  <c:pt idx="0">
                    <c:v>97,21</c:v>
                  </c:pt>
                  <c:pt idx="1">
                    <c:v>92,37</c:v>
                  </c:pt>
                  <c:pt idx="2">
                    <c:v>61,16</c:v>
                  </c:pt>
                  <c:pt idx="3">
                    <c:v>68,80</c:v>
                  </c:pt>
                  <c:pt idx="4">
                    <c:v>53,87</c:v>
                  </c:pt>
                  <c:pt idx="5">
                    <c:v>65,60</c:v>
                  </c:pt>
                  <c:pt idx="6">
                    <c:v>59,99</c:v>
                  </c:pt>
                  <c:pt idx="8">
                    <c:v>70,85</c:v>
                  </c:pt>
                  <c:pt idx="9">
                    <c:v>73,91</c:v>
                  </c:pt>
                  <c:pt idx="10">
                    <c:v>77,92</c:v>
                  </c:pt>
                  <c:pt idx="11">
                    <c:v>62,11</c:v>
                  </c:pt>
                  <c:pt idx="12">
                    <c:v>63,19</c:v>
                  </c:pt>
                  <c:pt idx="13">
                    <c:v>60,43</c:v>
                  </c:pt>
                  <c:pt idx="14">
                    <c:v>81,71</c:v>
                  </c:pt>
                  <c:pt idx="16">
                    <c:v>79,41</c:v>
                  </c:pt>
                  <c:pt idx="17">
                    <c:v>84,77</c:v>
                  </c:pt>
                  <c:pt idx="18">
                    <c:v>64,93</c:v>
                  </c:pt>
                  <c:pt idx="19">
                    <c:v>71,54</c:v>
                  </c:pt>
                  <c:pt idx="20">
                    <c:v>72,53</c:v>
                  </c:pt>
                  <c:pt idx="21">
                    <c:v>70,48</c:v>
                  </c:pt>
                  <c:pt idx="22">
                    <c:v>69,68</c:v>
                  </c:pt>
                  <c:pt idx="24">
                    <c:v>74,47</c:v>
                  </c:pt>
                  <c:pt idx="25">
                    <c:v>81,72</c:v>
                  </c:pt>
                  <c:pt idx="26">
                    <c:v>65,13</c:v>
                  </c:pt>
                  <c:pt idx="27">
                    <c:v>82,61</c:v>
                  </c:pt>
                  <c:pt idx="28">
                    <c:v>78,99</c:v>
                  </c:pt>
                  <c:pt idx="29">
                    <c:v>68,72</c:v>
                  </c:pt>
                  <c:pt idx="30">
                    <c:v>73,10</c:v>
                  </c:pt>
                  <c:pt idx="31">
                    <c:v>16,93</c:v>
                  </c:pt>
                  <c:pt idx="32">
                    <c:v>43,96</c:v>
                  </c:pt>
                </c:lvl>
                <c:lvl>
                  <c:pt idx="0">
                    <c:v>74,48</c:v>
                  </c:pt>
                  <c:pt idx="1">
                    <c:v>57,38</c:v>
                  </c:pt>
                  <c:pt idx="2">
                    <c:v>50,97</c:v>
                  </c:pt>
                  <c:pt idx="3">
                    <c:v>68,85</c:v>
                  </c:pt>
                  <c:pt idx="4">
                    <c:v>87,90</c:v>
                  </c:pt>
                  <c:pt idx="5">
                    <c:v>54,86</c:v>
                  </c:pt>
                  <c:pt idx="6">
                    <c:v>68,65</c:v>
                  </c:pt>
                  <c:pt idx="8">
                    <c:v>50,80</c:v>
                  </c:pt>
                  <c:pt idx="9">
                    <c:v>66,89</c:v>
                  </c:pt>
                  <c:pt idx="10">
                    <c:v>50,13</c:v>
                  </c:pt>
                  <c:pt idx="11">
                    <c:v>74,61</c:v>
                  </c:pt>
                  <c:pt idx="12">
                    <c:v>77,51</c:v>
                  </c:pt>
                  <c:pt idx="13">
                    <c:v>77,75</c:v>
                  </c:pt>
                  <c:pt idx="14">
                    <c:v>90,87</c:v>
                  </c:pt>
                  <c:pt idx="16">
                    <c:v>82,76</c:v>
                  </c:pt>
                  <c:pt idx="17">
                    <c:v>91,06</c:v>
                  </c:pt>
                  <c:pt idx="18">
                    <c:v>78,70</c:v>
                  </c:pt>
                  <c:pt idx="19">
                    <c:v>85,10</c:v>
                  </c:pt>
                  <c:pt idx="20">
                    <c:v>66,28</c:v>
                  </c:pt>
                  <c:pt idx="21">
                    <c:v>70,62</c:v>
                  </c:pt>
                  <c:pt idx="22">
                    <c:v>84,26</c:v>
                  </c:pt>
                  <c:pt idx="24">
                    <c:v>80,96</c:v>
                  </c:pt>
                  <c:pt idx="25">
                    <c:v>96,53</c:v>
                  </c:pt>
                  <c:pt idx="26">
                    <c:v>63,91</c:v>
                  </c:pt>
                  <c:pt idx="27">
                    <c:v>68,97</c:v>
                  </c:pt>
                  <c:pt idx="28">
                    <c:v>78,55</c:v>
                  </c:pt>
                  <c:pt idx="29">
                    <c:v>54,59</c:v>
                  </c:pt>
                  <c:pt idx="30">
                    <c:v>78,69</c:v>
                  </c:pt>
                  <c:pt idx="31">
                    <c:v>61,34</c:v>
                  </c:pt>
                  <c:pt idx="32">
                    <c:v>75,85</c:v>
                  </c:pt>
                </c:lvl>
                <c:lvl>
                  <c:pt idx="0">
                    <c:v>77,73</c:v>
                  </c:pt>
                  <c:pt idx="1">
                    <c:v>71,14</c:v>
                  </c:pt>
                  <c:pt idx="2">
                    <c:v>73,86</c:v>
                  </c:pt>
                  <c:pt idx="3">
                    <c:v>88,48</c:v>
                  </c:pt>
                  <c:pt idx="4">
                    <c:v>70,15</c:v>
                  </c:pt>
                  <c:pt idx="5">
                    <c:v>59,67</c:v>
                  </c:pt>
                  <c:pt idx="6">
                    <c:v>85,29</c:v>
                  </c:pt>
                  <c:pt idx="8">
                    <c:v>60,32</c:v>
                  </c:pt>
                  <c:pt idx="9">
                    <c:v>74,05</c:v>
                  </c:pt>
                  <c:pt idx="10">
                    <c:v>84,71</c:v>
                  </c:pt>
                  <c:pt idx="11">
                    <c:v>80,83</c:v>
                  </c:pt>
                  <c:pt idx="12">
                    <c:v>83,74</c:v>
                  </c:pt>
                  <c:pt idx="13">
                    <c:v>82,17</c:v>
                  </c:pt>
                  <c:pt idx="14">
                    <c:v>84,70</c:v>
                  </c:pt>
                  <c:pt idx="16">
                    <c:v>97,47</c:v>
                  </c:pt>
                  <c:pt idx="17">
                    <c:v>114,55</c:v>
                  </c:pt>
                  <c:pt idx="18">
                    <c:v>53,37</c:v>
                  </c:pt>
                  <c:pt idx="19">
                    <c:v>65,01</c:v>
                  </c:pt>
                  <c:pt idx="20">
                    <c:v>69,88</c:v>
                  </c:pt>
                  <c:pt idx="21">
                    <c:v>65,82</c:v>
                  </c:pt>
                  <c:pt idx="22">
                    <c:v>96,47</c:v>
                  </c:pt>
                  <c:pt idx="24">
                    <c:v>75,44</c:v>
                  </c:pt>
                  <c:pt idx="25">
                    <c:v>78,89</c:v>
                  </c:pt>
                  <c:pt idx="26">
                    <c:v>68,56</c:v>
                  </c:pt>
                  <c:pt idx="27">
                    <c:v>72,66</c:v>
                  </c:pt>
                  <c:pt idx="28">
                    <c:v>83,22</c:v>
                  </c:pt>
                  <c:pt idx="29">
                    <c:v>76,11</c:v>
                  </c:pt>
                  <c:pt idx="30">
                    <c:v>87,74</c:v>
                  </c:pt>
                  <c:pt idx="31">
                    <c:v>65,48</c:v>
                  </c:pt>
                  <c:pt idx="32">
                    <c:v>74,19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74,99</c:v>
                  </c:pt>
                  <c:pt idx="1">
                    <c:v>62,39</c:v>
                  </c:pt>
                  <c:pt idx="2">
                    <c:v>61,34</c:v>
                  </c:pt>
                  <c:pt idx="3">
                    <c:v>59,79</c:v>
                  </c:pt>
                  <c:pt idx="4">
                    <c:v>54,93</c:v>
                  </c:pt>
                  <c:pt idx="5">
                    <c:v>56,69</c:v>
                  </c:pt>
                  <c:pt idx="6">
                    <c:v>64,03</c:v>
                  </c:pt>
                  <c:pt idx="8">
                    <c:v>58,99</c:v>
                  </c:pt>
                  <c:pt idx="9">
                    <c:v>75,37</c:v>
                  </c:pt>
                  <c:pt idx="10">
                    <c:v>76,72</c:v>
                  </c:pt>
                  <c:pt idx="11">
                    <c:v>73,40</c:v>
                  </c:pt>
                  <c:pt idx="12">
                    <c:v>67,65</c:v>
                  </c:pt>
                  <c:pt idx="13">
                    <c:v>55,00</c:v>
                  </c:pt>
                  <c:pt idx="14">
                    <c:v>69,87</c:v>
                  </c:pt>
                  <c:pt idx="16">
                    <c:v>84,42</c:v>
                  </c:pt>
                  <c:pt idx="17">
                    <c:v>58,19</c:v>
                  </c:pt>
                  <c:pt idx="18">
                    <c:v>70,23</c:v>
                  </c:pt>
                  <c:pt idx="19">
                    <c:v>55,11</c:v>
                  </c:pt>
                  <c:pt idx="20">
                    <c:v>75,18</c:v>
                  </c:pt>
                  <c:pt idx="21">
                    <c:v>65,18</c:v>
                  </c:pt>
                  <c:pt idx="22">
                    <c:v>70,81</c:v>
                  </c:pt>
                  <c:pt idx="24">
                    <c:v>71,20</c:v>
                  </c:pt>
                  <c:pt idx="25">
                    <c:v>74,04</c:v>
                  </c:pt>
                  <c:pt idx="26">
                    <c:v>61,91</c:v>
                  </c:pt>
                  <c:pt idx="27">
                    <c:v>78,69</c:v>
                  </c:pt>
                  <c:pt idx="28">
                    <c:v>66,47</c:v>
                  </c:pt>
                  <c:pt idx="29">
                    <c:v>75,08</c:v>
                  </c:pt>
                  <c:pt idx="30">
                    <c:v>71,44</c:v>
                  </c:pt>
                  <c:pt idx="31">
                    <c:v>73,81</c:v>
                  </c:pt>
                  <c:pt idx="32">
                    <c:v>78,07</c:v>
                  </c:pt>
                </c:lvl>
                <c:lvl>
                  <c:pt idx="0">
                    <c:v>108,56</c:v>
                  </c:pt>
                  <c:pt idx="1">
                    <c:v>104,74</c:v>
                  </c:pt>
                  <c:pt idx="2">
                    <c:v>96,37</c:v>
                  </c:pt>
                  <c:pt idx="3">
                    <c:v>86,22</c:v>
                  </c:pt>
                  <c:pt idx="4">
                    <c:v>82,19</c:v>
                  </c:pt>
                  <c:pt idx="5">
                    <c:v>83,37</c:v>
                  </c:pt>
                  <c:pt idx="6">
                    <c:v>81,25</c:v>
                  </c:pt>
                  <c:pt idx="8">
                    <c:v>102,31</c:v>
                  </c:pt>
                  <c:pt idx="9">
                    <c:v>99,87</c:v>
                  </c:pt>
                  <c:pt idx="10">
                    <c:v>92,46</c:v>
                  </c:pt>
                  <c:pt idx="11">
                    <c:v>102,75</c:v>
                  </c:pt>
                  <c:pt idx="12">
                    <c:v>76,33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69,83</c:v>
                  </c:pt>
                  <c:pt idx="1">
                    <c:v>74,23</c:v>
                  </c:pt>
                  <c:pt idx="2">
                    <c:v>73,72</c:v>
                  </c:pt>
                  <c:pt idx="3">
                    <c:v>65,74</c:v>
                  </c:pt>
                  <c:pt idx="4">
                    <c:v>59,91</c:v>
                  </c:pt>
                  <c:pt idx="5">
                    <c:v>74,53</c:v>
                  </c:pt>
                  <c:pt idx="6">
                    <c:v>67,65</c:v>
                  </c:pt>
                  <c:pt idx="8">
                    <c:v>49,85</c:v>
                  </c:pt>
                  <c:pt idx="9">
                    <c:v>72,69</c:v>
                  </c:pt>
                  <c:pt idx="10">
                    <c:v>65,45</c:v>
                  </c:pt>
                  <c:pt idx="11">
                    <c:v>75,78</c:v>
                  </c:pt>
                  <c:pt idx="12">
                    <c:v>70,73</c:v>
                  </c:pt>
                  <c:pt idx="13">
                    <c:v>76,04</c:v>
                  </c:pt>
                  <c:pt idx="14">
                    <c:v>65,83</c:v>
                  </c:pt>
                  <c:pt idx="16">
                    <c:v>86,63</c:v>
                  </c:pt>
                  <c:pt idx="17">
                    <c:v>80,43</c:v>
                  </c:pt>
                  <c:pt idx="18">
                    <c:v>70,40</c:v>
                  </c:pt>
                  <c:pt idx="20">
                    <c:v>66,48</c:v>
                  </c:pt>
                  <c:pt idx="21">
                    <c:v>68,75</c:v>
                  </c:pt>
                  <c:pt idx="22">
                    <c:v>75,21</c:v>
                  </c:pt>
                  <c:pt idx="24">
                    <c:v>99,14</c:v>
                  </c:pt>
                  <c:pt idx="25">
                    <c:v>76,46</c:v>
                  </c:pt>
                  <c:pt idx="26">
                    <c:v>66,65</c:v>
                  </c:pt>
                  <c:pt idx="27">
                    <c:v>43,46</c:v>
                  </c:pt>
                  <c:pt idx="28">
                    <c:v>80,36</c:v>
                  </c:pt>
                  <c:pt idx="29">
                    <c:v>66,98</c:v>
                  </c:pt>
                  <c:pt idx="30">
                    <c:v>87,00</c:v>
                  </c:pt>
                  <c:pt idx="31">
                    <c:v>73,52</c:v>
                  </c:pt>
                  <c:pt idx="32">
                    <c:v>82,27</c:v>
                  </c:pt>
                </c:lvl>
                <c:lvl>
                  <c:pt idx="0">
                    <c:v>87,02</c:v>
                  </c:pt>
                  <c:pt idx="1">
                    <c:v>69,61</c:v>
                  </c:pt>
                  <c:pt idx="2">
                    <c:v>95,97</c:v>
                  </c:pt>
                  <c:pt idx="3">
                    <c:v>88,96</c:v>
                  </c:pt>
                  <c:pt idx="4">
                    <c:v>66,97</c:v>
                  </c:pt>
                  <c:pt idx="5">
                    <c:v>81,11</c:v>
                  </c:pt>
                  <c:pt idx="6">
                    <c:v>79,28</c:v>
                  </c:pt>
                  <c:pt idx="8">
                    <c:v>70,37</c:v>
                  </c:pt>
                  <c:pt idx="9">
                    <c:v>90,54</c:v>
                  </c:pt>
                  <c:pt idx="10">
                    <c:v>73,13</c:v>
                  </c:pt>
                  <c:pt idx="12">
                    <c:v>129,99</c:v>
                  </c:pt>
                  <c:pt idx="13">
                    <c:v>78,30</c:v>
                  </c:pt>
                  <c:pt idx="14">
                    <c:v>90,69</c:v>
                  </c:pt>
                  <c:pt idx="16">
                    <c:v>107,10</c:v>
                  </c:pt>
                  <c:pt idx="17">
                    <c:v>94,25</c:v>
                  </c:pt>
                  <c:pt idx="18">
                    <c:v>89,24</c:v>
                  </c:pt>
                  <c:pt idx="19">
                    <c:v>80,86</c:v>
                  </c:pt>
                  <c:pt idx="20">
                    <c:v>76,66</c:v>
                  </c:pt>
                  <c:pt idx="21">
                    <c:v>102,29</c:v>
                  </c:pt>
                  <c:pt idx="22">
                    <c:v>90,62</c:v>
                  </c:pt>
                  <c:pt idx="24">
                    <c:v>97,63</c:v>
                  </c:pt>
                  <c:pt idx="25">
                    <c:v>100,68</c:v>
                  </c:pt>
                  <c:pt idx="26">
                    <c:v>77,06</c:v>
                  </c:pt>
                  <c:pt idx="27">
                    <c:v>74,12</c:v>
                  </c:pt>
                  <c:pt idx="28">
                    <c:v>100,53</c:v>
                  </c:pt>
                  <c:pt idx="29">
                    <c:v>88,32</c:v>
                  </c:pt>
                  <c:pt idx="30">
                    <c:v>25,14</c:v>
                  </c:pt>
                  <c:pt idx="31">
                    <c:v>55,86</c:v>
                  </c:pt>
                  <c:pt idx="32">
                    <c:v>87,61</c:v>
                  </c:pt>
                </c:lvl>
                <c:lvl>
                  <c:pt idx="0">
                    <c:v>75,35</c:v>
                  </c:pt>
                  <c:pt idx="1">
                    <c:v>70,68</c:v>
                  </c:pt>
                  <c:pt idx="2">
                    <c:v>81,70</c:v>
                  </c:pt>
                  <c:pt idx="3">
                    <c:v>98,85</c:v>
                  </c:pt>
                  <c:pt idx="4">
                    <c:v>48,46</c:v>
                  </c:pt>
                  <c:pt idx="5">
                    <c:v>3,87</c:v>
                  </c:pt>
                  <c:pt idx="6">
                    <c:v>69,30</c:v>
                  </c:pt>
                  <c:pt idx="8">
                    <c:v>57,61</c:v>
                  </c:pt>
                  <c:pt idx="9">
                    <c:v>81,47</c:v>
                  </c:pt>
                  <c:pt idx="10">
                    <c:v>85,20</c:v>
                  </c:pt>
                  <c:pt idx="11">
                    <c:v>87,57</c:v>
                  </c:pt>
                  <c:pt idx="12">
                    <c:v>66,61</c:v>
                  </c:pt>
                  <c:pt idx="13">
                    <c:v>77,86</c:v>
                  </c:pt>
                  <c:pt idx="14">
                    <c:v>81,37</c:v>
                  </c:pt>
                  <c:pt idx="16">
                    <c:v>87,75</c:v>
                  </c:pt>
                  <c:pt idx="17">
                    <c:v>92,59</c:v>
                  </c:pt>
                  <c:pt idx="18">
                    <c:v>73,39</c:v>
                  </c:pt>
                  <c:pt idx="19">
                    <c:v>79,19</c:v>
                  </c:pt>
                  <c:pt idx="20">
                    <c:v>85,19</c:v>
                  </c:pt>
                  <c:pt idx="21">
                    <c:v>77,15</c:v>
                  </c:pt>
                  <c:pt idx="22">
                    <c:v>88,22</c:v>
                  </c:pt>
                  <c:pt idx="24">
                    <c:v>89,01</c:v>
                  </c:pt>
                  <c:pt idx="25">
                    <c:v>72,14</c:v>
                  </c:pt>
                  <c:pt idx="26">
                    <c:v>87,79</c:v>
                  </c:pt>
                  <c:pt idx="27">
                    <c:v>119,59</c:v>
                  </c:pt>
                  <c:pt idx="28">
                    <c:v>93,15</c:v>
                  </c:pt>
                  <c:pt idx="29">
                    <c:v>69,65</c:v>
                  </c:pt>
                  <c:pt idx="30">
                    <c:v>108,13</c:v>
                  </c:pt>
                  <c:pt idx="31">
                    <c:v>57,78</c:v>
                  </c:pt>
                  <c:pt idx="32">
                    <c:v>86,51</c:v>
                  </c:pt>
                </c:lvl>
                <c:lvl>
                  <c:pt idx="0">
                    <c:v>76,22</c:v>
                  </c:pt>
                  <c:pt idx="1">
                    <c:v>83,13</c:v>
                  </c:pt>
                  <c:pt idx="2">
                    <c:v>71,11</c:v>
                  </c:pt>
                  <c:pt idx="3">
                    <c:v>75,42</c:v>
                  </c:pt>
                  <c:pt idx="4">
                    <c:v>68,93</c:v>
                  </c:pt>
                  <c:pt idx="5">
                    <c:v>70,64</c:v>
                  </c:pt>
                  <c:pt idx="6">
                    <c:v>83,44</c:v>
                  </c:pt>
                  <c:pt idx="8">
                    <c:v>70,48</c:v>
                  </c:pt>
                  <c:pt idx="9">
                    <c:v>85,35</c:v>
                  </c:pt>
                  <c:pt idx="10">
                    <c:v>94,85</c:v>
                  </c:pt>
                  <c:pt idx="11">
                    <c:v>81,38</c:v>
                  </c:pt>
                  <c:pt idx="12">
                    <c:v>79,76</c:v>
                  </c:pt>
                  <c:pt idx="13">
                    <c:v>76,84</c:v>
                  </c:pt>
                  <c:pt idx="14">
                    <c:v>68,37</c:v>
                  </c:pt>
                  <c:pt idx="16">
                    <c:v>97,82</c:v>
                  </c:pt>
                  <c:pt idx="17">
                    <c:v>76,49</c:v>
                  </c:pt>
                  <c:pt idx="18">
                    <c:v>71,75</c:v>
                  </c:pt>
                  <c:pt idx="19">
                    <c:v>97,51</c:v>
                  </c:pt>
                  <c:pt idx="20">
                    <c:v>82,36</c:v>
                  </c:pt>
                  <c:pt idx="21">
                    <c:v>76,44</c:v>
                  </c:pt>
                  <c:pt idx="22">
                    <c:v>82,17</c:v>
                  </c:pt>
                  <c:pt idx="24">
                    <c:v>93,95</c:v>
                  </c:pt>
                  <c:pt idx="25">
                    <c:v>85,99</c:v>
                  </c:pt>
                  <c:pt idx="26">
                    <c:v>66,34</c:v>
                  </c:pt>
                  <c:pt idx="27">
                    <c:v>65,13</c:v>
                  </c:pt>
                  <c:pt idx="28">
                    <c:v>92,59</c:v>
                  </c:pt>
                  <c:pt idx="29">
                    <c:v>71,62</c:v>
                  </c:pt>
                  <c:pt idx="30">
                    <c:v>94,73</c:v>
                  </c:pt>
                  <c:pt idx="31">
                    <c:v>62,48</c:v>
                  </c:pt>
                  <c:pt idx="32">
                    <c:v>84,82</c:v>
                  </c:pt>
                </c:lvl>
                <c:lvl>
                  <c:pt idx="0">
                    <c:v>75,98</c:v>
                  </c:pt>
                  <c:pt idx="1">
                    <c:v>86,42</c:v>
                  </c:pt>
                  <c:pt idx="2">
                    <c:v>70,74</c:v>
                  </c:pt>
                  <c:pt idx="3">
                    <c:v>66,66</c:v>
                  </c:pt>
                  <c:pt idx="4">
                    <c:v>76,39</c:v>
                  </c:pt>
                  <c:pt idx="5">
                    <c:v>66,95</c:v>
                  </c:pt>
                  <c:pt idx="6">
                    <c:v>76,41</c:v>
                  </c:pt>
                  <c:pt idx="8">
                    <c:v>68,83</c:v>
                  </c:pt>
                  <c:pt idx="9">
                    <c:v>80,94</c:v>
                  </c:pt>
                  <c:pt idx="10">
                    <c:v>66,48</c:v>
                  </c:pt>
                  <c:pt idx="11">
                    <c:v>78,66</c:v>
                  </c:pt>
                  <c:pt idx="12">
                    <c:v>71,02</c:v>
                  </c:pt>
                  <c:pt idx="13">
                    <c:v>64,75</c:v>
                  </c:pt>
                  <c:pt idx="14">
                    <c:v>81,53</c:v>
                  </c:pt>
                  <c:pt idx="16">
                    <c:v>91,39</c:v>
                  </c:pt>
                  <c:pt idx="17">
                    <c:v>89,37</c:v>
                  </c:pt>
                  <c:pt idx="18">
                    <c:v>91,17</c:v>
                  </c:pt>
                  <c:pt idx="19">
                    <c:v>77,60</c:v>
                  </c:pt>
                  <c:pt idx="20">
                    <c:v>75,55</c:v>
                  </c:pt>
                  <c:pt idx="21">
                    <c:v>75,30</c:v>
                  </c:pt>
                  <c:pt idx="22">
                    <c:v>84,20</c:v>
                  </c:pt>
                  <c:pt idx="24">
                    <c:v>88,45</c:v>
                  </c:pt>
                  <c:pt idx="25">
                    <c:v>80,17</c:v>
                  </c:pt>
                  <c:pt idx="26">
                    <c:v>80,12</c:v>
                  </c:pt>
                  <c:pt idx="27">
                    <c:v>57,31</c:v>
                  </c:pt>
                  <c:pt idx="28">
                    <c:v>58,31</c:v>
                  </c:pt>
                </c:lvl>
                <c:lvl>
                  <c:pt idx="0">
                    <c:v>76,23</c:v>
                  </c:pt>
                  <c:pt idx="1">
                    <c:v>78,95</c:v>
                  </c:pt>
                  <c:pt idx="2">
                    <c:v>43,03</c:v>
                  </c:pt>
                  <c:pt idx="3">
                    <c:v>89,27</c:v>
                  </c:pt>
                  <c:pt idx="4">
                    <c:v>61,53</c:v>
                  </c:pt>
                  <c:pt idx="5">
                    <c:v>41,99</c:v>
                  </c:pt>
                  <c:pt idx="6">
                    <c:v>82,37</c:v>
                  </c:pt>
                  <c:pt idx="8">
                    <c:v>60,84</c:v>
                  </c:pt>
                  <c:pt idx="9">
                    <c:v>71,25</c:v>
                  </c:pt>
                  <c:pt idx="10">
                    <c:v>90,58</c:v>
                  </c:pt>
                  <c:pt idx="11">
                    <c:v>78,95</c:v>
                  </c:pt>
                  <c:pt idx="12">
                    <c:v>77,94</c:v>
                  </c:pt>
                  <c:pt idx="13">
                    <c:v>80,88</c:v>
                  </c:pt>
                  <c:pt idx="14">
                    <c:v>76,39</c:v>
                  </c:pt>
                  <c:pt idx="16">
                    <c:v>85,08</c:v>
                  </c:pt>
                  <c:pt idx="17">
                    <c:v>101,07</c:v>
                  </c:pt>
                  <c:pt idx="18">
                    <c:v>64,61</c:v>
                  </c:pt>
                  <c:pt idx="19">
                    <c:v>70,57</c:v>
                  </c:pt>
                  <c:pt idx="20">
                    <c:v>66,33</c:v>
                  </c:pt>
                  <c:pt idx="22">
                    <c:v>116,51</c:v>
                  </c:pt>
                  <c:pt idx="24">
                    <c:v>72,60</c:v>
                  </c:pt>
                  <c:pt idx="25">
                    <c:v>88,93</c:v>
                  </c:pt>
                  <c:pt idx="27">
                    <c:v>48,35</c:v>
                  </c:pt>
                  <c:pt idx="28">
                    <c:v>75,30</c:v>
                  </c:pt>
                  <c:pt idx="29">
                    <c:v>72,34</c:v>
                  </c:pt>
                  <c:pt idx="30">
                    <c:v>87,71</c:v>
                  </c:pt>
                  <c:pt idx="31">
                    <c:v>66,90</c:v>
                  </c:pt>
                  <c:pt idx="32">
                    <c:v>87,51</c:v>
                  </c:pt>
                </c:lvl>
                <c:lvl>
                  <c:pt idx="0">
                    <c:v>92,58</c:v>
                  </c:pt>
                  <c:pt idx="1">
                    <c:v>78,93</c:v>
                  </c:pt>
                  <c:pt idx="2">
                    <c:v>64,34</c:v>
                  </c:pt>
                  <c:pt idx="3">
                    <c:v>70,15</c:v>
                  </c:pt>
                  <c:pt idx="4">
                    <c:v>84,40</c:v>
                  </c:pt>
                  <c:pt idx="5">
                    <c:v>66,36</c:v>
                  </c:pt>
                  <c:pt idx="6">
                    <c:v>74,53</c:v>
                  </c:pt>
                  <c:pt idx="8">
                    <c:v>54,36</c:v>
                  </c:pt>
                  <c:pt idx="9">
                    <c:v>86,41</c:v>
                  </c:pt>
                  <c:pt idx="10">
                    <c:v>87,61</c:v>
                  </c:pt>
                  <c:pt idx="11">
                    <c:v>65,03</c:v>
                  </c:pt>
                  <c:pt idx="12">
                    <c:v>73,94</c:v>
                  </c:pt>
                  <c:pt idx="13">
                    <c:v>78,62</c:v>
                  </c:pt>
                  <c:pt idx="14">
                    <c:v>70,96</c:v>
                  </c:pt>
                  <c:pt idx="16">
                    <c:v>92,35</c:v>
                  </c:pt>
                  <c:pt idx="17">
                    <c:v>93,40</c:v>
                  </c:pt>
                  <c:pt idx="18">
                    <c:v>84,86</c:v>
                  </c:pt>
                  <c:pt idx="19">
                    <c:v>72,84</c:v>
                  </c:pt>
                  <c:pt idx="20">
                    <c:v>54,86</c:v>
                  </c:pt>
                  <c:pt idx="21">
                    <c:v>81,55</c:v>
                  </c:pt>
                  <c:pt idx="22">
                    <c:v>77,26</c:v>
                  </c:pt>
                  <c:pt idx="24">
                    <c:v>82,90</c:v>
                  </c:pt>
                  <c:pt idx="25">
                    <c:v>71,74</c:v>
                  </c:pt>
                  <c:pt idx="26">
                    <c:v>85,01</c:v>
                  </c:pt>
                  <c:pt idx="27">
                    <c:v>86,37</c:v>
                  </c:pt>
                  <c:pt idx="28">
                    <c:v>92,56</c:v>
                  </c:pt>
                  <c:pt idx="29">
                    <c:v>66,32</c:v>
                  </c:pt>
                  <c:pt idx="30">
                    <c:v>72,22</c:v>
                  </c:pt>
                </c:lvl>
                <c:lvl>
                  <c:pt idx="0">
                    <c:v>69,56</c:v>
                  </c:pt>
                  <c:pt idx="1">
                    <c:v>39,42</c:v>
                  </c:pt>
                  <c:pt idx="2">
                    <c:v>81,50</c:v>
                  </c:pt>
                  <c:pt idx="3">
                    <c:v>86,14</c:v>
                  </c:pt>
                  <c:pt idx="4">
                    <c:v>58,31</c:v>
                  </c:pt>
                  <c:pt idx="5">
                    <c:v>73,76</c:v>
                  </c:pt>
                  <c:pt idx="8">
                    <c:v>87,56</c:v>
                  </c:pt>
                  <c:pt idx="9">
                    <c:v>82,90</c:v>
                  </c:pt>
                  <c:pt idx="10">
                    <c:v>78,18</c:v>
                  </c:pt>
                  <c:pt idx="11">
                    <c:v>61,05</c:v>
                  </c:pt>
                  <c:pt idx="12">
                    <c:v>66,59</c:v>
                  </c:pt>
                  <c:pt idx="14">
                    <c:v>30,08</c:v>
                  </c:pt>
                  <c:pt idx="18">
                    <c:v>41,00</c:v>
                  </c:pt>
                  <c:pt idx="19">
                    <c:v>15,07</c:v>
                  </c:pt>
                  <c:pt idx="20">
                    <c:v>73,08</c:v>
                  </c:pt>
                  <c:pt idx="21">
                    <c:v>66,52</c:v>
                  </c:pt>
                  <c:pt idx="22">
                    <c:v>69,91</c:v>
                  </c:pt>
                  <c:pt idx="24">
                    <c:v>111,07</c:v>
                  </c:pt>
                  <c:pt idx="25">
                    <c:v>60,83</c:v>
                  </c:pt>
                  <c:pt idx="27">
                    <c:v>95,72</c:v>
                  </c:pt>
                  <c:pt idx="29">
                    <c:v>62,53</c:v>
                  </c:pt>
                  <c:pt idx="30">
                    <c:v>82,15</c:v>
                  </c:pt>
                  <c:pt idx="31">
                    <c:v>86,28</c:v>
                  </c:pt>
                </c:lvl>
                <c:lvl>
                  <c:pt idx="0">
                    <c:v>97,27</c:v>
                  </c:pt>
                  <c:pt idx="1">
                    <c:v>80,43</c:v>
                  </c:pt>
                  <c:pt idx="2">
                    <c:v>62,21</c:v>
                  </c:pt>
                  <c:pt idx="3">
                    <c:v>90,58</c:v>
                  </c:pt>
                  <c:pt idx="4">
                    <c:v>49,73</c:v>
                  </c:pt>
                  <c:pt idx="5">
                    <c:v>67,11</c:v>
                  </c:pt>
                  <c:pt idx="6">
                    <c:v>96,93</c:v>
                  </c:pt>
                  <c:pt idx="8">
                    <c:v>60,80</c:v>
                  </c:pt>
                  <c:pt idx="9">
                    <c:v>90,43</c:v>
                  </c:pt>
                  <c:pt idx="10">
                    <c:v>67,70</c:v>
                  </c:pt>
                  <c:pt idx="11">
                    <c:v>67,19</c:v>
                  </c:pt>
                  <c:pt idx="12">
                    <c:v>89,45</c:v>
                  </c:pt>
                  <c:pt idx="13">
                    <c:v>63,89</c:v>
                  </c:pt>
                  <c:pt idx="14">
                    <c:v>65,89</c:v>
                  </c:pt>
                  <c:pt idx="16">
                    <c:v>91,85</c:v>
                  </c:pt>
                  <c:pt idx="17">
                    <c:v>94,45</c:v>
                  </c:pt>
                  <c:pt idx="18">
                    <c:v>87,57</c:v>
                  </c:pt>
                  <c:pt idx="19">
                    <c:v>76,77</c:v>
                  </c:pt>
                  <c:pt idx="20">
                    <c:v>68,11</c:v>
                  </c:pt>
                  <c:pt idx="21">
                    <c:v>81,09</c:v>
                  </c:pt>
                  <c:pt idx="22">
                    <c:v>74,07</c:v>
                  </c:pt>
                  <c:pt idx="24">
                    <c:v>74,93</c:v>
                  </c:pt>
                  <c:pt idx="26">
                    <c:v>138,97</c:v>
                  </c:pt>
                  <c:pt idx="27">
                    <c:v>43,38</c:v>
                  </c:pt>
                  <c:pt idx="29">
                    <c:v>100,66</c:v>
                  </c:pt>
                  <c:pt idx="30">
                    <c:v>84,43</c:v>
                  </c:pt>
                  <c:pt idx="31">
                    <c:v>71,78</c:v>
                  </c:pt>
                </c:lvl>
                <c:lvl>
                  <c:pt idx="0">
                    <c:v>76,46</c:v>
                  </c:pt>
                  <c:pt idx="1">
                    <c:v>42,89</c:v>
                  </c:pt>
                  <c:pt idx="2">
                    <c:v>78,79</c:v>
                  </c:pt>
                  <c:pt idx="3">
                    <c:v>72,21</c:v>
                  </c:pt>
                  <c:pt idx="4">
                    <c:v>47,30</c:v>
                  </c:pt>
                  <c:pt idx="5">
                    <c:v>49,50</c:v>
                  </c:pt>
                  <c:pt idx="8">
                    <c:v>13,06</c:v>
                  </c:pt>
                  <c:pt idx="9">
                    <c:v>67,91</c:v>
                  </c:pt>
                  <c:pt idx="10">
                    <c:v>70,45</c:v>
                  </c:pt>
                  <c:pt idx="11">
                    <c:v>109,44</c:v>
                  </c:pt>
                  <c:pt idx="12">
                    <c:v>52,89</c:v>
                  </c:pt>
                  <c:pt idx="13">
                    <c:v>71,24</c:v>
                  </c:pt>
                  <c:pt idx="14">
                    <c:v>95,92</c:v>
                  </c:pt>
                  <c:pt idx="16">
                    <c:v>111,92</c:v>
                  </c:pt>
                  <c:pt idx="17">
                    <c:v>62,30</c:v>
                  </c:pt>
                  <c:pt idx="18">
                    <c:v>81,23</c:v>
                  </c:pt>
                  <c:pt idx="19">
                    <c:v>87,58</c:v>
                  </c:pt>
                  <c:pt idx="20">
                    <c:v>84,78</c:v>
                  </c:pt>
                  <c:pt idx="21">
                    <c:v>77,57</c:v>
                  </c:pt>
                  <c:pt idx="24">
                    <c:v>91,17</c:v>
                  </c:pt>
                  <c:pt idx="25">
                    <c:v>86,40</c:v>
                  </c:pt>
                  <c:pt idx="26">
                    <c:v>78,22</c:v>
                  </c:pt>
                  <c:pt idx="27">
                    <c:v>73,24</c:v>
                  </c:pt>
                  <c:pt idx="28">
                    <c:v>63,96</c:v>
                  </c:pt>
                  <c:pt idx="29">
                    <c:v>61,70</c:v>
                  </c:pt>
                  <c:pt idx="31">
                    <c:v>35,57</c:v>
                  </c:pt>
                  <c:pt idx="32">
                    <c:v>87,32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94,35</c:v>
                  </c:pt>
                  <c:pt idx="1">
                    <c:v>59,74</c:v>
                  </c:pt>
                  <c:pt idx="2">
                    <c:v>81,91</c:v>
                  </c:pt>
                  <c:pt idx="3">
                    <c:v>71,16</c:v>
                  </c:pt>
                  <c:pt idx="4">
                    <c:v>40,01</c:v>
                  </c:pt>
                  <c:pt idx="5">
                    <c:v>66,38</c:v>
                  </c:pt>
                  <c:pt idx="6">
                    <c:v>87,00</c:v>
                  </c:pt>
                  <c:pt idx="8">
                    <c:v>62,03</c:v>
                  </c:pt>
                  <c:pt idx="9">
                    <c:v>81,03</c:v>
                  </c:pt>
                  <c:pt idx="10">
                    <c:v>76,29</c:v>
                  </c:pt>
                  <c:pt idx="11">
                    <c:v>82,95</c:v>
                  </c:pt>
                  <c:pt idx="12">
                    <c:v>80,21</c:v>
                  </c:pt>
                  <c:pt idx="13">
                    <c:v>71,35</c:v>
                  </c:pt>
                  <c:pt idx="14">
                    <c:v>67,35</c:v>
                  </c:pt>
                  <c:pt idx="16">
                    <c:v>76,59</c:v>
                  </c:pt>
                  <c:pt idx="17">
                    <c:v>65,78</c:v>
                  </c:pt>
                  <c:pt idx="18">
                    <c:v>56,07</c:v>
                  </c:pt>
                  <c:pt idx="19">
                    <c:v>71,92</c:v>
                  </c:pt>
                  <c:pt idx="20">
                    <c:v>75,96</c:v>
                  </c:pt>
                  <c:pt idx="21">
                    <c:v>58,95</c:v>
                  </c:pt>
                  <c:pt idx="22">
                    <c:v>66,21</c:v>
                  </c:pt>
                  <c:pt idx="24">
                    <c:v>135,00</c:v>
                  </c:pt>
                  <c:pt idx="25">
                    <c:v>76,09</c:v>
                  </c:pt>
                  <c:pt idx="26">
                    <c:v>77,09</c:v>
                  </c:pt>
                </c:lvl>
                <c:lvl>
                  <c:pt idx="0">
                    <c:v>71,96</c:v>
                  </c:pt>
                  <c:pt idx="1">
                    <c:v>79,02</c:v>
                  </c:pt>
                  <c:pt idx="2">
                    <c:v>64,51</c:v>
                  </c:pt>
                  <c:pt idx="3">
                    <c:v>84,47</c:v>
                  </c:pt>
                  <c:pt idx="4">
                    <c:v>75,25</c:v>
                  </c:pt>
                  <c:pt idx="5">
                    <c:v>49,48</c:v>
                  </c:pt>
                  <c:pt idx="6">
                    <c:v>70,06</c:v>
                  </c:pt>
                  <c:pt idx="8">
                    <c:v>69,40</c:v>
                  </c:pt>
                  <c:pt idx="9">
                    <c:v>70,39</c:v>
                  </c:pt>
                  <c:pt idx="10">
                    <c:v>76,19</c:v>
                  </c:pt>
                  <c:pt idx="11">
                    <c:v>79,70</c:v>
                  </c:pt>
                  <c:pt idx="12">
                    <c:v>74,77</c:v>
                  </c:pt>
                  <c:pt idx="13">
                    <c:v>82,78</c:v>
                  </c:pt>
                  <c:pt idx="14">
                    <c:v>71,92</c:v>
                  </c:pt>
                  <c:pt idx="16">
                    <c:v>91,44</c:v>
                  </c:pt>
                  <c:pt idx="17">
                    <c:v>69,09</c:v>
                  </c:pt>
                  <c:pt idx="18">
                    <c:v>65,01</c:v>
                  </c:pt>
                  <c:pt idx="19">
                    <c:v>40,17</c:v>
                  </c:pt>
                  <c:pt idx="20">
                    <c:v>48,83</c:v>
                  </c:pt>
                  <c:pt idx="21">
                    <c:v>82,77</c:v>
                  </c:pt>
                  <c:pt idx="22">
                    <c:v>60,30</c:v>
                  </c:pt>
                  <c:pt idx="24">
                    <c:v>84,35</c:v>
                  </c:pt>
                  <c:pt idx="25">
                    <c:v>53,55</c:v>
                  </c:pt>
                  <c:pt idx="26">
                    <c:v>72,03</c:v>
                  </c:pt>
                  <c:pt idx="27">
                    <c:v>67,84</c:v>
                  </c:pt>
                  <c:pt idx="28">
                    <c:v>91,10</c:v>
                  </c:pt>
                  <c:pt idx="29">
                    <c:v>85,24</c:v>
                  </c:pt>
                  <c:pt idx="30">
                    <c:v>76,72</c:v>
                  </c:pt>
                  <c:pt idx="31">
                    <c:v>69,23</c:v>
                  </c:pt>
                  <c:pt idx="32">
                    <c:v>93,23</c:v>
                  </c:pt>
                </c:lvl>
                <c:lvl>
                  <c:pt idx="0">
                    <c:v>90,94</c:v>
                  </c:pt>
                  <c:pt idx="1">
                    <c:v>58,43</c:v>
                  </c:pt>
                  <c:pt idx="2">
                    <c:v>82,52</c:v>
                  </c:pt>
                  <c:pt idx="3">
                    <c:v>63,62</c:v>
                  </c:pt>
                  <c:pt idx="4">
                    <c:v>50,96</c:v>
                  </c:pt>
                  <c:pt idx="5">
                    <c:v>56,79</c:v>
                  </c:pt>
                  <c:pt idx="6">
                    <c:v>75,28</c:v>
                  </c:pt>
                  <c:pt idx="8">
                    <c:v>38,73</c:v>
                  </c:pt>
                  <c:pt idx="9">
                    <c:v>95,13</c:v>
                  </c:pt>
                  <c:pt idx="10">
                    <c:v>56,33</c:v>
                  </c:pt>
                  <c:pt idx="11">
                    <c:v>66,09</c:v>
                  </c:pt>
                  <c:pt idx="12">
                    <c:v>111,84</c:v>
                  </c:pt>
                  <c:pt idx="13">
                    <c:v>83,90</c:v>
                  </c:pt>
                  <c:pt idx="14">
                    <c:v>66,44</c:v>
                  </c:pt>
                  <c:pt idx="16">
                    <c:v>54,80</c:v>
                  </c:pt>
                  <c:pt idx="17">
                    <c:v>106,78</c:v>
                  </c:pt>
                  <c:pt idx="18">
                    <c:v>93,12</c:v>
                  </c:pt>
                  <c:pt idx="19">
                    <c:v>84,61</c:v>
                  </c:pt>
                  <c:pt idx="20">
                    <c:v>149,34</c:v>
                  </c:pt>
                  <c:pt idx="21">
                    <c:v>80,88</c:v>
                  </c:pt>
                  <c:pt idx="22">
                    <c:v>71,18</c:v>
                  </c:pt>
                  <c:pt idx="24">
                    <c:v>96,43</c:v>
                  </c:pt>
                  <c:pt idx="25">
                    <c:v>56,67</c:v>
                  </c:pt>
                  <c:pt idx="26">
                    <c:v>51,03</c:v>
                  </c:pt>
                  <c:pt idx="27">
                    <c:v>63,52</c:v>
                  </c:pt>
                  <c:pt idx="28">
                    <c:v>60,06</c:v>
                  </c:pt>
                  <c:pt idx="29">
                    <c:v>90,06</c:v>
                  </c:pt>
                  <c:pt idx="31">
                    <c:v>47,61</c:v>
                  </c:pt>
                  <c:pt idx="32">
                    <c:v>74,98</c:v>
                  </c:pt>
                </c:lvl>
                <c:lvl>
                  <c:pt idx="0">
                    <c:v>183,85</c:v>
                  </c:pt>
                  <c:pt idx="1">
                    <c:v>87,54</c:v>
                  </c:pt>
                  <c:pt idx="2">
                    <c:v>55,67</c:v>
                  </c:pt>
                  <c:pt idx="3">
                    <c:v>89,17</c:v>
                  </c:pt>
                  <c:pt idx="4">
                    <c:v>77,56</c:v>
                  </c:pt>
                  <c:pt idx="5">
                    <c:v>78,02</c:v>
                  </c:pt>
                  <c:pt idx="6">
                    <c:v>82,07</c:v>
                  </c:pt>
                  <c:pt idx="8">
                    <c:v>76,95</c:v>
                  </c:pt>
                  <c:pt idx="9">
                    <c:v>82,23</c:v>
                  </c:pt>
                  <c:pt idx="10">
                    <c:v>78,44</c:v>
                  </c:pt>
                  <c:pt idx="11">
                    <c:v>78,65</c:v>
                  </c:pt>
                  <c:pt idx="12">
                    <c:v>83,91</c:v>
                  </c:pt>
                  <c:pt idx="13">
                    <c:v>86,75</c:v>
                  </c:pt>
                  <c:pt idx="14">
                    <c:v>75,19</c:v>
                  </c:pt>
                  <c:pt idx="23">
                    <c:v>PM</c:v>
                  </c:pt>
                  <c:pt idx="24">
                    <c:v>69,24</c:v>
                  </c:pt>
                  <c:pt idx="25">
                    <c:v>85,39</c:v>
                  </c:pt>
                  <c:pt idx="26">
                    <c:v>91,09</c:v>
                  </c:pt>
                  <c:pt idx="27">
                    <c:v>101,77</c:v>
                  </c:pt>
                  <c:pt idx="28">
                    <c:v>58,79</c:v>
                  </c:pt>
                  <c:pt idx="29">
                    <c:v>75,51</c:v>
                  </c:pt>
                  <c:pt idx="30">
                    <c:v>69,12</c:v>
                  </c:pt>
                  <c:pt idx="31">
                    <c:v>84,09</c:v>
                  </c:pt>
                  <c:pt idx="32">
                    <c:v>78,71</c:v>
                  </c:pt>
                </c:lvl>
                <c:lvl>
                  <c:pt idx="0">
                    <c:v>87,73</c:v>
                  </c:pt>
                  <c:pt idx="1">
                    <c:v>78,89</c:v>
                  </c:pt>
                  <c:pt idx="2">
                    <c:v>47,73</c:v>
                  </c:pt>
                  <c:pt idx="3">
                    <c:v>77,33</c:v>
                  </c:pt>
                  <c:pt idx="4">
                    <c:v>46,27</c:v>
                  </c:pt>
                  <c:pt idx="5">
                    <c:v>77,53</c:v>
                  </c:pt>
                  <c:pt idx="6">
                    <c:v>72,95</c:v>
                  </c:pt>
                  <c:pt idx="8">
                    <c:v>54,93</c:v>
                  </c:pt>
                  <c:pt idx="9">
                    <c:v>80,61</c:v>
                  </c:pt>
                  <c:pt idx="10">
                    <c:v>60,08</c:v>
                  </c:pt>
                  <c:pt idx="11">
                    <c:v>68,84</c:v>
                  </c:pt>
                  <c:pt idx="12">
                    <c:v>73,26</c:v>
                  </c:pt>
                  <c:pt idx="13">
                    <c:v>83,14</c:v>
                  </c:pt>
                  <c:pt idx="14">
                    <c:v>71,26</c:v>
                  </c:pt>
                  <c:pt idx="16">
                    <c:v>91,08</c:v>
                  </c:pt>
                  <c:pt idx="17">
                    <c:v>85,07</c:v>
                  </c:pt>
                  <c:pt idx="18">
                    <c:v>90,18</c:v>
                  </c:pt>
                  <c:pt idx="19">
                    <c:v>84,95</c:v>
                  </c:pt>
                  <c:pt idx="20">
                    <c:v>71,98</c:v>
                  </c:pt>
                  <c:pt idx="21">
                    <c:v>84,20</c:v>
                  </c:pt>
                  <c:pt idx="22">
                    <c:v>97,00</c:v>
                  </c:pt>
                  <c:pt idx="25">
                    <c:v>117,39</c:v>
                  </c:pt>
                  <c:pt idx="26">
                    <c:v>79,07</c:v>
                  </c:pt>
                  <c:pt idx="27">
                    <c:v>82,65</c:v>
                  </c:pt>
                  <c:pt idx="28">
                    <c:v>78,82</c:v>
                  </c:pt>
                  <c:pt idx="29">
                    <c:v>81,23</c:v>
                  </c:pt>
                  <c:pt idx="30">
                    <c:v>76,75</c:v>
                  </c:pt>
                  <c:pt idx="31">
                    <c:v>62,69</c:v>
                  </c:pt>
                  <c:pt idx="32">
                    <c:v>75,41</c:v>
                  </c:pt>
                </c:lvl>
                <c:lvl>
                  <c:pt idx="0">
                    <c:v>146,97</c:v>
                  </c:pt>
                  <c:pt idx="1">
                    <c:v>102,95</c:v>
                  </c:pt>
                  <c:pt idx="3">
                    <c:v>39,43</c:v>
                  </c:pt>
                  <c:pt idx="4">
                    <c:v>39,21</c:v>
                  </c:pt>
                  <c:pt idx="5">
                    <c:v>114,60</c:v>
                  </c:pt>
                  <c:pt idx="6">
                    <c:v>90,08</c:v>
                  </c:pt>
                  <c:pt idx="8">
                    <c:v>77,79</c:v>
                  </c:pt>
                  <c:pt idx="9">
                    <c:v>90,04</c:v>
                  </c:pt>
                  <c:pt idx="10">
                    <c:v>88,25</c:v>
                  </c:pt>
                  <c:pt idx="11">
                    <c:v>86,79</c:v>
                  </c:pt>
                  <c:pt idx="13">
                    <c:v>58,84</c:v>
                  </c:pt>
                  <c:pt idx="14">
                    <c:v>87,18</c:v>
                  </c:pt>
                  <c:pt idx="16">
                    <c:v>52,12</c:v>
                  </c:pt>
                  <c:pt idx="17">
                    <c:v>75,91</c:v>
                  </c:pt>
                  <c:pt idx="18">
                    <c:v>21,04</c:v>
                  </c:pt>
                  <c:pt idx="19">
                    <c:v>77,97</c:v>
                  </c:pt>
                  <c:pt idx="20">
                    <c:v>51,61</c:v>
                  </c:pt>
                  <c:pt idx="21">
                    <c:v>90,73</c:v>
                  </c:pt>
                  <c:pt idx="22">
                    <c:v>115,72</c:v>
                  </c:pt>
                  <c:pt idx="24">
                    <c:v>70,52</c:v>
                  </c:pt>
                  <c:pt idx="25">
                    <c:v>48,80</c:v>
                  </c:pt>
                  <c:pt idx="26">
                    <c:v>52,41</c:v>
                  </c:pt>
                  <c:pt idx="27">
                    <c:v>77,42</c:v>
                  </c:pt>
                  <c:pt idx="28">
                    <c:v>65,54</c:v>
                  </c:pt>
                  <c:pt idx="29">
                    <c:v>64,56</c:v>
                  </c:pt>
                  <c:pt idx="30">
                    <c:v>57,80</c:v>
                  </c:pt>
                  <c:pt idx="31">
                    <c:v>165,60</c:v>
                  </c:pt>
                  <c:pt idx="32">
                    <c:v>89,09</c:v>
                  </c:pt>
                </c:lvl>
                <c:lvl>
                  <c:pt idx="1">
                    <c:v>134,42</c:v>
                  </c:pt>
                  <c:pt idx="8">
                    <c:v>103,47</c:v>
                  </c:pt>
                  <c:pt idx="10">
                    <c:v>41,81</c:v>
                  </c:pt>
                  <c:pt idx="12">
                    <c:v>29,15</c:v>
                  </c:pt>
                  <c:pt idx="16">
                    <c:v>85,27</c:v>
                  </c:pt>
                  <c:pt idx="18">
                    <c:v>82,45</c:v>
                  </c:pt>
                  <c:pt idx="25">
                    <c:v>196,66</c:v>
                  </c:pt>
                  <c:pt idx="26">
                    <c:v>30,86</c:v>
                  </c:pt>
                </c:lvl>
                <c:lvl>
                  <c:pt idx="0">
                    <c:v>96,91</c:v>
                  </c:pt>
                  <c:pt idx="2">
                    <c:v>65,34</c:v>
                  </c:pt>
                  <c:pt idx="3">
                    <c:v>79,58</c:v>
                  </c:pt>
                  <c:pt idx="4">
                    <c:v>70,57</c:v>
                  </c:pt>
                  <c:pt idx="5">
                    <c:v>56,23</c:v>
                  </c:pt>
                  <c:pt idx="6">
                    <c:v>126,32</c:v>
                  </c:pt>
                  <c:pt idx="8">
                    <c:v>77,40</c:v>
                  </c:pt>
                  <c:pt idx="9">
                    <c:v>55,81</c:v>
                  </c:pt>
                  <c:pt idx="10">
                    <c:v>44,01</c:v>
                  </c:pt>
                  <c:pt idx="11">
                    <c:v>143,07</c:v>
                  </c:pt>
                  <c:pt idx="12">
                    <c:v>78,43</c:v>
                  </c:pt>
                  <c:pt idx="13">
                    <c:v>68,51</c:v>
                  </c:pt>
                  <c:pt idx="14">
                    <c:v>72,63</c:v>
                  </c:pt>
                  <c:pt idx="16">
                    <c:v>131,35</c:v>
                  </c:pt>
                  <c:pt idx="17">
                    <c:v>83,03</c:v>
                  </c:pt>
                  <c:pt idx="18">
                    <c:v>84,81</c:v>
                  </c:pt>
                  <c:pt idx="19">
                    <c:v>71,86</c:v>
                  </c:pt>
                  <c:pt idx="20">
                    <c:v>78,52</c:v>
                  </c:pt>
                  <c:pt idx="21">
                    <c:v>71,09</c:v>
                  </c:pt>
                  <c:pt idx="22">
                    <c:v>85,08</c:v>
                  </c:pt>
                  <c:pt idx="24">
                    <c:v>111,49</c:v>
                  </c:pt>
                  <c:pt idx="25">
                    <c:v>105,34</c:v>
                  </c:pt>
                  <c:pt idx="26">
                    <c:v>84,41</c:v>
                  </c:pt>
                  <c:pt idx="27">
                    <c:v>67,97</c:v>
                  </c:pt>
                  <c:pt idx="28">
                    <c:v>95,36</c:v>
                  </c:pt>
                  <c:pt idx="29">
                    <c:v>101,59</c:v>
                  </c:pt>
                  <c:pt idx="30">
                    <c:v>80,12</c:v>
                  </c:pt>
                  <c:pt idx="31">
                    <c:v>70,31</c:v>
                  </c:pt>
                  <c:pt idx="32">
                    <c:v>90,96</c:v>
                  </c:pt>
                </c:lvl>
                <c:lvl>
                  <c:pt idx="0">
                    <c:v>87,99</c:v>
                  </c:pt>
                  <c:pt idx="1">
                    <c:v>82,39</c:v>
                  </c:pt>
                  <c:pt idx="2">
                    <c:v>66,15</c:v>
                  </c:pt>
                  <c:pt idx="3">
                    <c:v>77,75</c:v>
                  </c:pt>
                  <c:pt idx="4">
                    <c:v>55,75</c:v>
                  </c:pt>
                  <c:pt idx="9">
                    <c:v>53,91</c:v>
                  </c:pt>
                  <c:pt idx="10">
                    <c:v>66,25</c:v>
                  </c:pt>
                  <c:pt idx="11">
                    <c:v>76,22</c:v>
                  </c:pt>
                  <c:pt idx="12">
                    <c:v>67,59</c:v>
                  </c:pt>
                  <c:pt idx="13">
                    <c:v>86,00</c:v>
                  </c:pt>
                  <c:pt idx="14">
                    <c:v>74,05</c:v>
                  </c:pt>
                  <c:pt idx="16">
                    <c:v>92,74</c:v>
                  </c:pt>
                  <c:pt idx="17">
                    <c:v>92,52</c:v>
                  </c:pt>
                  <c:pt idx="18">
                    <c:v>87,84</c:v>
                  </c:pt>
                  <c:pt idx="19">
                    <c:v>95,48</c:v>
                  </c:pt>
                  <c:pt idx="20">
                    <c:v>49,33</c:v>
                  </c:pt>
                  <c:pt idx="21">
                    <c:v>75,12</c:v>
                  </c:pt>
                  <c:pt idx="22">
                    <c:v>77,94</c:v>
                  </c:pt>
                  <c:pt idx="24">
                    <c:v>78,21</c:v>
                  </c:pt>
                  <c:pt idx="25">
                    <c:v>91,09</c:v>
                  </c:pt>
                  <c:pt idx="26">
                    <c:v>68,80</c:v>
                  </c:pt>
                  <c:pt idx="27">
                    <c:v>79,71</c:v>
                  </c:pt>
                  <c:pt idx="28">
                    <c:v>79,86</c:v>
                  </c:pt>
                  <c:pt idx="29">
                    <c:v>61,66</c:v>
                  </c:pt>
                  <c:pt idx="31">
                    <c:v>82,89</c:v>
                  </c:pt>
                  <c:pt idx="32">
                    <c:v>79,74</c:v>
                  </c:pt>
                </c:lvl>
                <c:lvl>
                  <c:pt idx="7">
                    <c:v>PM</c:v>
                  </c:pt>
                  <c:pt idx="13">
                    <c:v>65,17</c:v>
                  </c:pt>
                  <c:pt idx="19">
                    <c:v>41,34</c:v>
                  </c:pt>
                  <c:pt idx="20">
                    <c:v>53,35</c:v>
                  </c:pt>
                  <c:pt idx="21">
                    <c:v>73,62</c:v>
                  </c:pt>
                  <c:pt idx="22">
                    <c:v>82,82</c:v>
                  </c:pt>
                  <c:pt idx="24">
                    <c:v>77,32</c:v>
                  </c:pt>
                  <c:pt idx="25">
                    <c:v>82,36</c:v>
                  </c:pt>
                  <c:pt idx="26">
                    <c:v>71,73</c:v>
                  </c:pt>
                  <c:pt idx="28">
                    <c:v>109,50</c:v>
                  </c:pt>
                  <c:pt idx="29">
                    <c:v>60,18</c:v>
                  </c:pt>
                  <c:pt idx="30">
                    <c:v>83,47</c:v>
                  </c:pt>
                  <c:pt idx="31">
                    <c:v>72,47</c:v>
                  </c:pt>
                  <c:pt idx="32">
                    <c:v>77,93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67,25</c:v>
                  </c:pt>
                  <c:pt idx="1">
                    <c:v>68,73</c:v>
                  </c:pt>
                  <c:pt idx="2">
                    <c:v>62,01</c:v>
                  </c:pt>
                  <c:pt idx="3">
                    <c:v>71,54</c:v>
                  </c:pt>
                  <c:pt idx="4">
                    <c:v>68,27</c:v>
                  </c:pt>
                  <c:pt idx="5">
                    <c:v>56,06</c:v>
                  </c:pt>
                  <c:pt idx="6">
                    <c:v>75,96</c:v>
                  </c:pt>
                  <c:pt idx="8">
                    <c:v>62,35</c:v>
                  </c:pt>
                  <c:pt idx="9">
                    <c:v>64,59</c:v>
                  </c:pt>
                  <c:pt idx="10">
                    <c:v>68,66</c:v>
                  </c:pt>
                  <c:pt idx="11">
                    <c:v>78,85</c:v>
                  </c:pt>
                  <c:pt idx="12">
                    <c:v>57,30</c:v>
                  </c:pt>
                  <c:pt idx="13">
                    <c:v>58,83</c:v>
                  </c:pt>
                  <c:pt idx="14">
                    <c:v>69,06</c:v>
                  </c:pt>
                  <c:pt idx="16">
                    <c:v>76,45</c:v>
                  </c:pt>
                  <c:pt idx="17">
                    <c:v>66,94</c:v>
                  </c:pt>
                  <c:pt idx="18">
                    <c:v>68,59</c:v>
                  </c:pt>
                  <c:pt idx="19">
                    <c:v>73,38</c:v>
                  </c:pt>
                  <c:pt idx="20">
                    <c:v>78,57</c:v>
                  </c:pt>
                  <c:pt idx="21">
                    <c:v>73,02</c:v>
                  </c:pt>
                  <c:pt idx="22">
                    <c:v>58,93</c:v>
                  </c:pt>
                  <c:pt idx="24">
                    <c:v>74,06</c:v>
                  </c:pt>
                  <c:pt idx="25">
                    <c:v>81,15</c:v>
                  </c:pt>
                  <c:pt idx="26">
                    <c:v>75,97</c:v>
                  </c:pt>
                  <c:pt idx="27">
                    <c:v>62,05</c:v>
                  </c:pt>
                  <c:pt idx="28">
                    <c:v>60,69</c:v>
                  </c:pt>
                  <c:pt idx="29">
                    <c:v>71,56</c:v>
                  </c:pt>
                  <c:pt idx="30">
                    <c:v>72,26</c:v>
                  </c:pt>
                  <c:pt idx="31">
                    <c:v>42,54</c:v>
                  </c:pt>
                  <c:pt idx="32">
                    <c:v>78,58</c:v>
                  </c:pt>
                  <c:pt idx="36">
                    <c:v>   </c:v>
                  </c:pt>
                </c:lvl>
                <c:lvl>
                  <c:pt idx="0">
                    <c:v>89,29</c:v>
                  </c:pt>
                  <c:pt idx="1">
                    <c:v>62,06</c:v>
                  </c:pt>
                  <c:pt idx="2">
                    <c:v>51,83</c:v>
                  </c:pt>
                  <c:pt idx="3">
                    <c:v>73,70</c:v>
                  </c:pt>
                  <c:pt idx="4">
                    <c:v>44,71</c:v>
                  </c:pt>
                  <c:pt idx="5">
                    <c:v>55,01</c:v>
                  </c:pt>
                  <c:pt idx="6">
                    <c:v>80,66</c:v>
                  </c:pt>
                  <c:pt idx="8">
                    <c:v>50,19</c:v>
                  </c:pt>
                  <c:pt idx="11">
                    <c:v>74,22</c:v>
                  </c:pt>
                  <c:pt idx="12">
                    <c:v>74,47</c:v>
                  </c:pt>
                  <c:pt idx="13">
                    <c:v>78,45</c:v>
                  </c:pt>
                  <c:pt idx="14">
                    <c:v>75,70</c:v>
                  </c:pt>
                  <c:pt idx="16">
                    <c:v>84,20</c:v>
                  </c:pt>
                  <c:pt idx="17">
                    <c:v>75,22</c:v>
                  </c:pt>
                  <c:pt idx="18">
                    <c:v>84,26</c:v>
                  </c:pt>
                  <c:pt idx="19">
                    <c:v>73,79</c:v>
                  </c:pt>
                  <c:pt idx="20">
                    <c:v>75,88</c:v>
                  </c:pt>
                  <c:pt idx="21">
                    <c:v>73,64</c:v>
                  </c:pt>
                  <c:pt idx="22">
                    <c:v>60,29</c:v>
                  </c:pt>
                  <c:pt idx="24">
                    <c:v>69,34</c:v>
                  </c:pt>
                  <c:pt idx="25">
                    <c:v>77,70</c:v>
                  </c:pt>
                  <c:pt idx="26">
                    <c:v>78,35</c:v>
                  </c:pt>
                  <c:pt idx="27">
                    <c:v>74,35</c:v>
                  </c:pt>
                  <c:pt idx="28">
                    <c:v>66,24</c:v>
                  </c:pt>
                  <c:pt idx="29">
                    <c:v>70,78</c:v>
                  </c:pt>
                  <c:pt idx="31">
                    <c:v>113,02</c:v>
                  </c:pt>
                  <c:pt idx="32">
                    <c:v>57,48</c:v>
                  </c:pt>
                  <c:pt idx="36">
                    <c:v>. HT 174 - 203, 190 Liter</c:v>
                  </c:pt>
                </c:lvl>
                <c:lvl>
                  <c:pt idx="7">
                    <c:v>PM</c:v>
                  </c:pt>
                  <c:pt idx="11">
                    <c:v>90,52</c:v>
                  </c:pt>
                  <c:pt idx="16">
                    <c:v>85,50</c:v>
                  </c:pt>
                  <c:pt idx="25">
                    <c:v>72,16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6">
                    <c:v>253,32</c:v>
                  </c:pt>
                  <c:pt idx="17">
                    <c:v>17,70</c:v>
                  </c:pt>
                  <c:pt idx="34">
                    <c:v>PM</c:v>
                  </c:pt>
                </c:lvl>
                <c:lvl>
                  <c:pt idx="0">
                    <c:v>73,89</c:v>
                  </c:pt>
                  <c:pt idx="1">
                    <c:v>89,87</c:v>
                  </c:pt>
                  <c:pt idx="2">
                    <c:v>79,28</c:v>
                  </c:pt>
                  <c:pt idx="3">
                    <c:v>89,54</c:v>
                  </c:pt>
                  <c:pt idx="4">
                    <c:v>78,38</c:v>
                  </c:pt>
                  <c:pt idx="5">
                    <c:v>73,28</c:v>
                  </c:pt>
                  <c:pt idx="6">
                    <c:v>82,93</c:v>
                  </c:pt>
                  <c:pt idx="8">
                    <c:v>66,43</c:v>
                  </c:pt>
                  <c:pt idx="9">
                    <c:v>89,12</c:v>
                  </c:pt>
                  <c:pt idx="10">
                    <c:v>78,59</c:v>
                  </c:pt>
                  <c:pt idx="11">
                    <c:v>81,48</c:v>
                  </c:pt>
                  <c:pt idx="12">
                    <c:v>71,47</c:v>
                  </c:pt>
                  <c:pt idx="13">
                    <c:v>92,19</c:v>
                  </c:pt>
                  <c:pt idx="14">
                    <c:v>91,57</c:v>
                  </c:pt>
                  <c:pt idx="17">
                    <c:v>189,35</c:v>
                  </c:pt>
                  <c:pt idx="18">
                    <c:v>99,38</c:v>
                  </c:pt>
                  <c:pt idx="19">
                    <c:v>84,31</c:v>
                  </c:pt>
                  <c:pt idx="20">
                    <c:v>69,15</c:v>
                  </c:pt>
                  <c:pt idx="21">
                    <c:v>66,47</c:v>
                  </c:pt>
                  <c:pt idx="22">
                    <c:v>110,82</c:v>
                  </c:pt>
                  <c:pt idx="24">
                    <c:v>97,98</c:v>
                  </c:pt>
                  <c:pt idx="25">
                    <c:v>77,40</c:v>
                  </c:pt>
                  <c:pt idx="27">
                    <c:v>64,20</c:v>
                  </c:pt>
                  <c:pt idx="28">
                    <c:v>110,34</c:v>
                  </c:pt>
                  <c:pt idx="29">
                    <c:v>49,29</c:v>
                  </c:pt>
                  <c:pt idx="30">
                    <c:v>102,71</c:v>
                  </c:pt>
                  <c:pt idx="31">
                    <c:v>151,81</c:v>
                  </c:pt>
                </c:lvl>
                <c:lvl>
                  <c:pt idx="0">
                    <c:v>115,43</c:v>
                  </c:pt>
                  <c:pt idx="1">
                    <c:v>84,01</c:v>
                  </c:pt>
                  <c:pt idx="2">
                    <c:v>68,57</c:v>
                  </c:pt>
                  <c:pt idx="3">
                    <c:v>94,62</c:v>
                  </c:pt>
                  <c:pt idx="4">
                    <c:v>93,43</c:v>
                  </c:pt>
                  <c:pt idx="5">
                    <c:v>85,68</c:v>
                  </c:pt>
                  <c:pt idx="6">
                    <c:v>83,89</c:v>
                  </c:pt>
                  <c:pt idx="8">
                    <c:v>83,87</c:v>
                  </c:pt>
                  <c:pt idx="9">
                    <c:v>93,11</c:v>
                  </c:pt>
                  <c:pt idx="10">
                    <c:v>115,05</c:v>
                  </c:pt>
                  <c:pt idx="11">
                    <c:v>103,49</c:v>
                  </c:pt>
                  <c:pt idx="12">
                    <c:v>85,14</c:v>
                  </c:pt>
                  <c:pt idx="13">
                    <c:v>80,66</c:v>
                  </c:pt>
                  <c:pt idx="14">
                    <c:v>83,47</c:v>
                  </c:pt>
                  <c:pt idx="16">
                    <c:v>92,45</c:v>
                  </c:pt>
                  <c:pt idx="17">
                    <c:v>95,21</c:v>
                  </c:pt>
                  <c:pt idx="18">
                    <c:v>98,97</c:v>
                  </c:pt>
                  <c:pt idx="19">
                    <c:v>82,77</c:v>
                  </c:pt>
                  <c:pt idx="20">
                    <c:v>94,74</c:v>
                  </c:pt>
                  <c:pt idx="21">
                    <c:v>80,41</c:v>
                  </c:pt>
                  <c:pt idx="22">
                    <c:v>88,98</c:v>
                  </c:pt>
                  <c:pt idx="24">
                    <c:v>88,07</c:v>
                  </c:pt>
                  <c:pt idx="25">
                    <c:v>85,72</c:v>
                  </c:pt>
                  <c:pt idx="26">
                    <c:v>69,27</c:v>
                  </c:pt>
                  <c:pt idx="27">
                    <c:v>85,07</c:v>
                  </c:pt>
                  <c:pt idx="28">
                    <c:v>100,66</c:v>
                  </c:pt>
                  <c:pt idx="29">
                    <c:v>106,18</c:v>
                  </c:pt>
                  <c:pt idx="30">
                    <c:v>87,73</c:v>
                  </c:pt>
                  <c:pt idx="31">
                    <c:v>92,23</c:v>
                  </c:pt>
                  <c:pt idx="32">
                    <c:v>83,91</c:v>
                  </c:pt>
                </c:lvl>
                <c:lvl>
                  <c:pt idx="0">
                    <c:v>87,91</c:v>
                  </c:pt>
                  <c:pt idx="1">
                    <c:v>72,51</c:v>
                  </c:pt>
                  <c:pt idx="2">
                    <c:v>66,19</c:v>
                  </c:pt>
                  <c:pt idx="12">
                    <c:v>58,56</c:v>
                  </c:pt>
                  <c:pt idx="13">
                    <c:v>84,14</c:v>
                  </c:pt>
                  <c:pt idx="14">
                    <c:v>93,38</c:v>
                  </c:pt>
                  <c:pt idx="16">
                    <c:v>93,22</c:v>
                  </c:pt>
                  <c:pt idx="17">
                    <c:v>94,94</c:v>
                  </c:pt>
                  <c:pt idx="18">
                    <c:v>76,73</c:v>
                  </c:pt>
                  <c:pt idx="19">
                    <c:v>92,52</c:v>
                  </c:pt>
                  <c:pt idx="20">
                    <c:v>99,44</c:v>
                  </c:pt>
                  <c:pt idx="21">
                    <c:v>85,29</c:v>
                  </c:pt>
                  <c:pt idx="22">
                    <c:v>108,37</c:v>
                  </c:pt>
                  <c:pt idx="24">
                    <c:v>85,61</c:v>
                  </c:pt>
                  <c:pt idx="25">
                    <c:v>92,18</c:v>
                  </c:pt>
                  <c:pt idx="26">
                    <c:v>88,55</c:v>
                  </c:pt>
                  <c:pt idx="27">
                    <c:v>65,18</c:v>
                  </c:pt>
                  <c:pt idx="28">
                    <c:v>92,70</c:v>
                  </c:pt>
                  <c:pt idx="29">
                    <c:v>84,01</c:v>
                  </c:pt>
                  <c:pt idx="30">
                    <c:v>91,21</c:v>
                  </c:pt>
                  <c:pt idx="31">
                    <c:v>108,86</c:v>
                  </c:pt>
                  <c:pt idx="32">
                    <c:v>69,30</c:v>
                  </c:pt>
                </c:lvl>
                <c:lvl>
                  <c:pt idx="0">
                    <c:v>72,69</c:v>
                  </c:pt>
                  <c:pt idx="1">
                    <c:v>80,03</c:v>
                  </c:pt>
                  <c:pt idx="2">
                    <c:v>74,79</c:v>
                  </c:pt>
                  <c:pt idx="3">
                    <c:v>61,85</c:v>
                  </c:pt>
                  <c:pt idx="4">
                    <c:v>71,41</c:v>
                  </c:pt>
                  <c:pt idx="5">
                    <c:v>77,16</c:v>
                  </c:pt>
                  <c:pt idx="6">
                    <c:v>89,96</c:v>
                  </c:pt>
                  <c:pt idx="8">
                    <c:v>53,90</c:v>
                  </c:pt>
                  <c:pt idx="9">
                    <c:v>84,11</c:v>
                  </c:pt>
                  <c:pt idx="10">
                    <c:v>70,94</c:v>
                  </c:pt>
                  <c:pt idx="11">
                    <c:v>90,81</c:v>
                  </c:pt>
                  <c:pt idx="12">
                    <c:v>76,83</c:v>
                  </c:pt>
                  <c:pt idx="13">
                    <c:v>70,09</c:v>
                  </c:pt>
                  <c:pt idx="14">
                    <c:v>77,18</c:v>
                  </c:pt>
                  <c:pt idx="16">
                    <c:v>91,02</c:v>
                  </c:pt>
                  <c:pt idx="17">
                    <c:v>68,44</c:v>
                  </c:pt>
                  <c:pt idx="18">
                    <c:v>77,60</c:v>
                  </c:pt>
                  <c:pt idx="19">
                    <c:v>79,39</c:v>
                  </c:pt>
                  <c:pt idx="20">
                    <c:v>119,49</c:v>
                  </c:pt>
                  <c:pt idx="21">
                    <c:v>93,48</c:v>
                  </c:pt>
                  <c:pt idx="22">
                    <c:v>90,30</c:v>
                  </c:pt>
                  <c:pt idx="24">
                    <c:v>82,40</c:v>
                  </c:pt>
                  <c:pt idx="25">
                    <c:v>101,08</c:v>
                  </c:pt>
                  <c:pt idx="26">
                    <c:v>90,46</c:v>
                  </c:pt>
                  <c:pt idx="27">
                    <c:v>62,48</c:v>
                  </c:pt>
                  <c:pt idx="28">
                    <c:v>83,34</c:v>
                  </c:pt>
                  <c:pt idx="29">
                    <c:v>87,14</c:v>
                  </c:pt>
                  <c:pt idx="30">
                    <c:v>108,94</c:v>
                  </c:pt>
                  <c:pt idx="31">
                    <c:v>72,40</c:v>
                  </c:pt>
                  <c:pt idx="32">
                    <c:v>88,30</c:v>
                  </c:pt>
                </c:lvl>
                <c:lvl>
                  <c:pt idx="0">
                    <c:v>112,36</c:v>
                  </c:pt>
                  <c:pt idx="1">
                    <c:v>84,49</c:v>
                  </c:pt>
                  <c:pt idx="3">
                    <c:v>72,24</c:v>
                  </c:pt>
                  <c:pt idx="4">
                    <c:v>76,00</c:v>
                  </c:pt>
                  <c:pt idx="5">
                    <c:v>52,10</c:v>
                  </c:pt>
                  <c:pt idx="6">
                    <c:v>91,47</c:v>
                  </c:pt>
                  <c:pt idx="8">
                    <c:v>79,84</c:v>
                  </c:pt>
                  <c:pt idx="9">
                    <c:v>71,92</c:v>
                  </c:pt>
                  <c:pt idx="11">
                    <c:v>56,25</c:v>
                  </c:pt>
                  <c:pt idx="12">
                    <c:v>53,45</c:v>
                  </c:pt>
                  <c:pt idx="14">
                    <c:v>44,88</c:v>
                  </c:pt>
                  <c:pt idx="16">
                    <c:v>31,41</c:v>
                  </c:pt>
                  <c:pt idx="17">
                    <c:v>24,36</c:v>
                  </c:pt>
                  <c:pt idx="18">
                    <c:v>68,83</c:v>
                  </c:pt>
                  <c:pt idx="19">
                    <c:v>77,35</c:v>
                  </c:pt>
                  <c:pt idx="20">
                    <c:v>100,63</c:v>
                  </c:pt>
                  <c:pt idx="21">
                    <c:v>46,39</c:v>
                  </c:pt>
                  <c:pt idx="22">
                    <c:v>86,19</c:v>
                  </c:pt>
                  <c:pt idx="24">
                    <c:v>116,55</c:v>
                  </c:pt>
                  <c:pt idx="25">
                    <c:v>104,71</c:v>
                  </c:pt>
                  <c:pt idx="26">
                    <c:v>86,38</c:v>
                  </c:pt>
                  <c:pt idx="27">
                    <c:v>64,53</c:v>
                  </c:pt>
                  <c:pt idx="28">
                    <c:v>128,19</c:v>
                  </c:pt>
                  <c:pt idx="29">
                    <c:v>78,95</c:v>
                  </c:pt>
                  <c:pt idx="30">
                    <c:v>105,20</c:v>
                  </c:pt>
                  <c:pt idx="31">
                    <c:v>61,44</c:v>
                  </c:pt>
                </c:lvl>
                <c:lvl>
                  <c:pt idx="0">
                    <c:v>79,06</c:v>
                  </c:pt>
                  <c:pt idx="1">
                    <c:v>73,66</c:v>
                  </c:pt>
                  <c:pt idx="2">
                    <c:v>61,32</c:v>
                  </c:pt>
                  <c:pt idx="3">
                    <c:v>67,77</c:v>
                  </c:pt>
                  <c:pt idx="4">
                    <c:v>69,93</c:v>
                  </c:pt>
                  <c:pt idx="5">
                    <c:v>65,94</c:v>
                  </c:pt>
                  <c:pt idx="6">
                    <c:v>62,07</c:v>
                  </c:pt>
                  <c:pt idx="8">
                    <c:v>45,54</c:v>
                  </c:pt>
                  <c:pt idx="9">
                    <c:v>71,13</c:v>
                  </c:pt>
                  <c:pt idx="10">
                    <c:v>74,87</c:v>
                  </c:pt>
                  <c:pt idx="11">
                    <c:v>69,28</c:v>
                  </c:pt>
                  <c:pt idx="12">
                    <c:v>84,17</c:v>
                  </c:pt>
                  <c:pt idx="13">
                    <c:v>82,70</c:v>
                  </c:pt>
                  <c:pt idx="14">
                    <c:v>70,60</c:v>
                  </c:pt>
                  <c:pt idx="16">
                    <c:v>83,86</c:v>
                  </c:pt>
                  <c:pt idx="17">
                    <c:v>85,65</c:v>
                  </c:pt>
                  <c:pt idx="18">
                    <c:v>64,74</c:v>
                  </c:pt>
                  <c:pt idx="19">
                    <c:v>83,53</c:v>
                  </c:pt>
                  <c:pt idx="20">
                    <c:v>71,05</c:v>
                  </c:pt>
                  <c:pt idx="21">
                    <c:v>74,19</c:v>
                  </c:pt>
                  <c:pt idx="22">
                    <c:v>82,24</c:v>
                  </c:pt>
                  <c:pt idx="24">
                    <c:v>97,62</c:v>
                  </c:pt>
                  <c:pt idx="25">
                    <c:v>76,05</c:v>
                  </c:pt>
                  <c:pt idx="26">
                    <c:v>70,26</c:v>
                  </c:pt>
                  <c:pt idx="27">
                    <c:v>60,08</c:v>
                  </c:pt>
                  <c:pt idx="28">
                    <c:v>77,06</c:v>
                  </c:pt>
                  <c:pt idx="29">
                    <c:v>68,08</c:v>
                  </c:pt>
                  <c:pt idx="30">
                    <c:v>87,05</c:v>
                  </c:pt>
                  <c:pt idx="31">
                    <c:v>59,28</c:v>
                  </c:pt>
                  <c:pt idx="32">
                    <c:v>76,36</c:v>
                  </c:pt>
                </c:lvl>
                <c:lvl>
                  <c:pt idx="0">
                    <c:v>80,41</c:v>
                  </c:pt>
                  <c:pt idx="1">
                    <c:v>92,81</c:v>
                  </c:pt>
                  <c:pt idx="2">
                    <c:v>70,01</c:v>
                  </c:pt>
                  <c:pt idx="3">
                    <c:v>61,52</c:v>
                  </c:pt>
                  <c:pt idx="4">
                    <c:v>116,47</c:v>
                  </c:pt>
                  <c:pt idx="5">
                    <c:v>71,69</c:v>
                  </c:pt>
                  <c:pt idx="6">
                    <c:v>91,45</c:v>
                  </c:pt>
                  <c:pt idx="8">
                    <c:v>67,44</c:v>
                  </c:pt>
                  <c:pt idx="9">
                    <c:v>76,31</c:v>
                  </c:pt>
                  <c:pt idx="10">
                    <c:v>64,26</c:v>
                  </c:pt>
                  <c:pt idx="11">
                    <c:v>94,38</c:v>
                  </c:pt>
                  <c:pt idx="12">
                    <c:v>84,97</c:v>
                  </c:pt>
                  <c:pt idx="13">
                    <c:v>68,59</c:v>
                  </c:pt>
                  <c:pt idx="14">
                    <c:v>81,63</c:v>
                  </c:pt>
                  <c:pt idx="17">
                    <c:v>99,13</c:v>
                  </c:pt>
                  <c:pt idx="18">
                    <c:v>133,94</c:v>
                  </c:pt>
                  <c:pt idx="19">
                    <c:v>68,68</c:v>
                  </c:pt>
                  <c:pt idx="20">
                    <c:v>85,04</c:v>
                  </c:pt>
                  <c:pt idx="21">
                    <c:v>81,31</c:v>
                  </c:pt>
                  <c:pt idx="22">
                    <c:v>82,70</c:v>
                  </c:pt>
                  <c:pt idx="24">
                    <c:v>69,98</c:v>
                  </c:pt>
                  <c:pt idx="25">
                    <c:v>106,92</c:v>
                  </c:pt>
                  <c:pt idx="26">
                    <c:v>102,81</c:v>
                  </c:pt>
                  <c:pt idx="27">
                    <c:v>58,06</c:v>
                  </c:pt>
                  <c:pt idx="28">
                    <c:v>48,84</c:v>
                  </c:pt>
                  <c:pt idx="29">
                    <c:v>85,67</c:v>
                  </c:pt>
                  <c:pt idx="30">
                    <c:v>80,25</c:v>
                  </c:pt>
                  <c:pt idx="31">
                    <c:v>72,47</c:v>
                  </c:pt>
                  <c:pt idx="32">
                    <c:v>73,68</c:v>
                  </c:pt>
                </c:lvl>
                <c:lvl>
                  <c:pt idx="0">
                    <c:v>67,44</c:v>
                  </c:pt>
                  <c:pt idx="1">
                    <c:v>79,16</c:v>
                  </c:pt>
                  <c:pt idx="2">
                    <c:v>61,79</c:v>
                  </c:pt>
                  <c:pt idx="3">
                    <c:v>48,02</c:v>
                  </c:pt>
                  <c:pt idx="4">
                    <c:v>71,21</c:v>
                  </c:pt>
                  <c:pt idx="5">
                    <c:v>76,98</c:v>
                  </c:pt>
                  <c:pt idx="6">
                    <c:v>89,35</c:v>
                  </c:pt>
                  <c:pt idx="8">
                    <c:v>70,04</c:v>
                  </c:pt>
                  <c:pt idx="9">
                    <c:v>83,48</c:v>
                  </c:pt>
                  <c:pt idx="10">
                    <c:v>51,74</c:v>
                  </c:pt>
                  <c:pt idx="11">
                    <c:v>102,20</c:v>
                  </c:pt>
                  <c:pt idx="12">
                    <c:v>76,17</c:v>
                  </c:pt>
                  <c:pt idx="13">
                    <c:v>63,59</c:v>
                  </c:pt>
                  <c:pt idx="14">
                    <c:v>85,66</c:v>
                  </c:pt>
                  <c:pt idx="16">
                    <c:v>83,04</c:v>
                  </c:pt>
                  <c:pt idx="17">
                    <c:v>84,85</c:v>
                  </c:pt>
                  <c:pt idx="18">
                    <c:v>81,32</c:v>
                  </c:pt>
                  <c:pt idx="19">
                    <c:v>59,65</c:v>
                  </c:pt>
                  <c:pt idx="20">
                    <c:v>96,49</c:v>
                  </c:pt>
                  <c:pt idx="21">
                    <c:v>66,98</c:v>
                  </c:pt>
                  <c:pt idx="22">
                    <c:v>91,88</c:v>
                  </c:pt>
                  <c:pt idx="24">
                    <c:v>112,89</c:v>
                  </c:pt>
                  <c:pt idx="25">
                    <c:v>93,04</c:v>
                  </c:pt>
                  <c:pt idx="26">
                    <c:v>80,24</c:v>
                  </c:pt>
                  <c:pt idx="27">
                    <c:v>60,07</c:v>
                  </c:pt>
                  <c:pt idx="28">
                    <c:v>84,94</c:v>
                  </c:pt>
                  <c:pt idx="29">
                    <c:v>75,58</c:v>
                  </c:pt>
                  <c:pt idx="30">
                    <c:v>87,74</c:v>
                  </c:pt>
                  <c:pt idx="31">
                    <c:v>58,46</c:v>
                  </c:pt>
                  <c:pt idx="32">
                    <c:v>86,14</c:v>
                  </c:pt>
                </c:lvl>
                <c:lvl>
                  <c:pt idx="0">
                    <c:v>81,90</c:v>
                  </c:pt>
                  <c:pt idx="1">
                    <c:v>79,69</c:v>
                  </c:pt>
                  <c:pt idx="2">
                    <c:v>58,21</c:v>
                  </c:pt>
                  <c:pt idx="3">
                    <c:v>67,35</c:v>
                  </c:pt>
                  <c:pt idx="4">
                    <c:v>65,81</c:v>
                  </c:pt>
                  <c:pt idx="5">
                    <c:v>74,69</c:v>
                  </c:pt>
                  <c:pt idx="6">
                    <c:v>109,95</c:v>
                  </c:pt>
                  <c:pt idx="8">
                    <c:v>80,24</c:v>
                  </c:pt>
                  <c:pt idx="9">
                    <c:v>82,95</c:v>
                  </c:pt>
                  <c:pt idx="10">
                    <c:v>87,65</c:v>
                  </c:pt>
                  <c:pt idx="11">
                    <c:v>107,50</c:v>
                  </c:pt>
                  <c:pt idx="12">
                    <c:v>83,03</c:v>
                  </c:pt>
                  <c:pt idx="13">
                    <c:v>62,26</c:v>
                  </c:pt>
                  <c:pt idx="14">
                    <c:v>100,43</c:v>
                  </c:pt>
                  <c:pt idx="16">
                    <c:v>116,43</c:v>
                  </c:pt>
                  <c:pt idx="17">
                    <c:v>99,85</c:v>
                  </c:pt>
                  <c:pt idx="18">
                    <c:v>73,53</c:v>
                  </c:pt>
                  <c:pt idx="19">
                    <c:v>67,37</c:v>
                  </c:pt>
                  <c:pt idx="20">
                    <c:v>88,90</c:v>
                  </c:pt>
                  <c:pt idx="21">
                    <c:v>83,12</c:v>
                  </c:pt>
                  <c:pt idx="22">
                    <c:v>85,57</c:v>
                  </c:pt>
                  <c:pt idx="24">
                    <c:v>100,28</c:v>
                  </c:pt>
                  <c:pt idx="25">
                    <c:v>105,02</c:v>
                  </c:pt>
                  <c:pt idx="26">
                    <c:v>94,38</c:v>
                  </c:pt>
                  <c:pt idx="27">
                    <c:v>75,46</c:v>
                  </c:pt>
                  <c:pt idx="28">
                    <c:v>68,72</c:v>
                  </c:pt>
                  <c:pt idx="29">
                    <c:v>91,76</c:v>
                  </c:pt>
                  <c:pt idx="30">
                    <c:v>100,96</c:v>
                  </c:pt>
                  <c:pt idx="31">
                    <c:v>44,11</c:v>
                  </c:pt>
                  <c:pt idx="32">
                    <c:v>103,13</c:v>
                  </c:pt>
                </c:lvl>
                <c:lvl>
                  <c:pt idx="0">
                    <c:v>97,88</c:v>
                  </c:pt>
                  <c:pt idx="1">
                    <c:v>66,01</c:v>
                  </c:pt>
                  <c:pt idx="2">
                    <c:v>58,79</c:v>
                  </c:pt>
                  <c:pt idx="3">
                    <c:v>72,41</c:v>
                  </c:pt>
                  <c:pt idx="4">
                    <c:v>60,05</c:v>
                  </c:pt>
                  <c:pt idx="5">
                    <c:v>68,88</c:v>
                  </c:pt>
                  <c:pt idx="6">
                    <c:v>75,65</c:v>
                  </c:pt>
                  <c:pt idx="8">
                    <c:v>56,31</c:v>
                  </c:pt>
                  <c:pt idx="9">
                    <c:v>81,41</c:v>
                  </c:pt>
                  <c:pt idx="10">
                    <c:v>76,28</c:v>
                  </c:pt>
                  <c:pt idx="11">
                    <c:v>80,75</c:v>
                  </c:pt>
                  <c:pt idx="12">
                    <c:v>96,57</c:v>
                  </c:pt>
                  <c:pt idx="13">
                    <c:v>65,62</c:v>
                  </c:pt>
                  <c:pt idx="14">
                    <c:v>78,58</c:v>
                  </c:pt>
                  <c:pt idx="17">
                    <c:v>137,73</c:v>
                  </c:pt>
                  <c:pt idx="19">
                    <c:v>71,37</c:v>
                  </c:pt>
                  <c:pt idx="20">
                    <c:v>46,93</c:v>
                  </c:pt>
                  <c:pt idx="21">
                    <c:v>85,45</c:v>
                  </c:pt>
                  <c:pt idx="22">
                    <c:v>101,49</c:v>
                  </c:pt>
                  <c:pt idx="24">
                    <c:v>66,28</c:v>
                  </c:pt>
                  <c:pt idx="25">
                    <c:v>77,47</c:v>
                  </c:pt>
                  <c:pt idx="26">
                    <c:v>76,39</c:v>
                  </c:pt>
                  <c:pt idx="27">
                    <c:v>54,72</c:v>
                  </c:pt>
                  <c:pt idx="28">
                    <c:v>87,66</c:v>
                  </c:pt>
                  <c:pt idx="29">
                    <c:v>77,43</c:v>
                  </c:pt>
                  <c:pt idx="30">
                    <c:v>87,91</c:v>
                  </c:pt>
                  <c:pt idx="31">
                    <c:v>66,72</c:v>
                  </c:pt>
                  <c:pt idx="32">
                    <c:v>83,81</c:v>
                  </c:pt>
                </c:lvl>
                <c:lvl>
                  <c:pt idx="0">
                    <c:v>81,69</c:v>
                  </c:pt>
                  <c:pt idx="1">
                    <c:v>92,71</c:v>
                  </c:pt>
                  <c:pt idx="2">
                    <c:v>78,02</c:v>
                  </c:pt>
                  <c:pt idx="3">
                    <c:v>97,74</c:v>
                  </c:pt>
                  <c:pt idx="4">
                    <c:v>77,63</c:v>
                  </c:pt>
                  <c:pt idx="5">
                    <c:v>67,53</c:v>
                  </c:pt>
                  <c:pt idx="6">
                    <c:v>78,52</c:v>
                  </c:pt>
                  <c:pt idx="8">
                    <c:v>76,07</c:v>
                  </c:pt>
                  <c:pt idx="9">
                    <c:v>82,02</c:v>
                  </c:pt>
                  <c:pt idx="10">
                    <c:v>67,47</c:v>
                  </c:pt>
                  <c:pt idx="11">
                    <c:v>80,58</c:v>
                  </c:pt>
                  <c:pt idx="12">
                    <c:v>66,12</c:v>
                  </c:pt>
                  <c:pt idx="13">
                    <c:v>94,07</c:v>
                  </c:pt>
                  <c:pt idx="14">
                    <c:v>75,93</c:v>
                  </c:pt>
                  <c:pt idx="16">
                    <c:v>85,37</c:v>
                  </c:pt>
                  <c:pt idx="17">
                    <c:v>84,52</c:v>
                  </c:pt>
                  <c:pt idx="18">
                    <c:v>68,71</c:v>
                  </c:pt>
                  <c:pt idx="19">
                    <c:v>72,18</c:v>
                  </c:pt>
                  <c:pt idx="20">
                    <c:v>87,98</c:v>
                  </c:pt>
                  <c:pt idx="21">
                    <c:v>71,21</c:v>
                  </c:pt>
                  <c:pt idx="22">
                    <c:v>77,89</c:v>
                  </c:pt>
                  <c:pt idx="24">
                    <c:v>85,37</c:v>
                  </c:pt>
                  <c:pt idx="25">
                    <c:v>86,13</c:v>
                  </c:pt>
                  <c:pt idx="26">
                    <c:v>90,25</c:v>
                  </c:pt>
                  <c:pt idx="27">
                    <c:v>56,32</c:v>
                  </c:pt>
                  <c:pt idx="28">
                    <c:v>73,03</c:v>
                  </c:pt>
                  <c:pt idx="29">
                    <c:v>80,67</c:v>
                  </c:pt>
                  <c:pt idx="30">
                    <c:v>78,26</c:v>
                  </c:pt>
                  <c:pt idx="31">
                    <c:v>78,42</c:v>
                  </c:pt>
                  <c:pt idx="32">
                    <c:v>75,73</c:v>
                  </c:pt>
                </c:lvl>
                <c:lvl>
                  <c:pt idx="7">
                    <c:v>PM</c:v>
                  </c:pt>
                  <c:pt idx="8">
                    <c:v>51,13</c:v>
                  </c:pt>
                  <c:pt idx="9">
                    <c:v>82,45</c:v>
                  </c:pt>
                  <c:pt idx="10">
                    <c:v>71,75</c:v>
                  </c:pt>
                  <c:pt idx="11">
                    <c:v>108,61</c:v>
                  </c:pt>
                  <c:pt idx="12">
                    <c:v>86,22</c:v>
                  </c:pt>
                  <c:pt idx="14">
                    <c:v>120,31</c:v>
                  </c:pt>
                  <c:pt idx="17">
                    <c:v>156,25</c:v>
                  </c:pt>
                  <c:pt idx="18">
                    <c:v>87,37</c:v>
                  </c:pt>
                  <c:pt idx="19">
                    <c:v>67,57</c:v>
                  </c:pt>
                  <c:pt idx="20">
                    <c:v>101,95</c:v>
                  </c:pt>
                  <c:pt idx="21">
                    <c:v>65,26</c:v>
                  </c:pt>
                  <c:pt idx="22">
                    <c:v>113,99</c:v>
                  </c:pt>
                  <c:pt idx="24">
                    <c:v>109,04</c:v>
                  </c:pt>
                  <c:pt idx="25">
                    <c:v>90,99</c:v>
                  </c:pt>
                  <c:pt idx="26">
                    <c:v>96,05</c:v>
                  </c:pt>
                  <c:pt idx="27">
                    <c:v>81,89</c:v>
                  </c:pt>
                  <c:pt idx="28">
                    <c:v>86,33</c:v>
                  </c:pt>
                  <c:pt idx="29">
                    <c:v>88,10</c:v>
                  </c:pt>
                  <c:pt idx="30">
                    <c:v>101,41</c:v>
                  </c:pt>
                  <c:pt idx="31">
                    <c:v>67,89</c:v>
                  </c:pt>
                  <c:pt idx="32">
                    <c:v>79,13</c:v>
                  </c:pt>
                </c:lvl>
                <c:lvl>
                  <c:pt idx="0">
                    <c:v>88,92</c:v>
                  </c:pt>
                  <c:pt idx="1">
                    <c:v>79,76</c:v>
                  </c:pt>
                  <c:pt idx="2">
                    <c:v>76,65</c:v>
                  </c:pt>
                  <c:pt idx="3">
                    <c:v>97,87</c:v>
                  </c:pt>
                  <c:pt idx="4">
                    <c:v>88,24</c:v>
                  </c:pt>
                  <c:pt idx="5">
                    <c:v>85,75</c:v>
                  </c:pt>
                  <c:pt idx="6">
                    <c:v>99,41</c:v>
                  </c:pt>
                  <c:pt idx="8">
                    <c:v>47,50</c:v>
                  </c:pt>
                  <c:pt idx="9">
                    <c:v>97,66</c:v>
                  </c:pt>
                  <c:pt idx="10">
                    <c:v>80,07</c:v>
                  </c:pt>
                  <c:pt idx="11">
                    <c:v>91,39</c:v>
                  </c:pt>
                  <c:pt idx="12">
                    <c:v>90,68</c:v>
                  </c:pt>
                  <c:pt idx="13">
                    <c:v>88,57</c:v>
                  </c:pt>
                  <c:pt idx="14">
                    <c:v>99,59</c:v>
                  </c:pt>
                  <c:pt idx="16">
                    <c:v>107,12</c:v>
                  </c:pt>
                  <c:pt idx="17">
                    <c:v>62,56</c:v>
                  </c:pt>
                  <c:pt idx="18">
                    <c:v>78,89</c:v>
                  </c:pt>
                  <c:pt idx="19">
                    <c:v>68,98</c:v>
                  </c:pt>
                  <c:pt idx="20">
                    <c:v>69,28</c:v>
                  </c:pt>
                  <c:pt idx="21">
                    <c:v>79,54</c:v>
                  </c:pt>
                  <c:pt idx="22">
                    <c:v>96,14</c:v>
                  </c:pt>
                  <c:pt idx="24">
                    <c:v>100,37</c:v>
                  </c:pt>
                  <c:pt idx="25">
                    <c:v>96,86</c:v>
                  </c:pt>
                  <c:pt idx="26">
                    <c:v>98,30</c:v>
                  </c:pt>
                  <c:pt idx="27">
                    <c:v>80,20</c:v>
                  </c:pt>
                  <c:pt idx="28">
                    <c:v>106,73</c:v>
                  </c:pt>
                  <c:pt idx="29">
                    <c:v>94,37</c:v>
                  </c:pt>
                  <c:pt idx="30">
                    <c:v>82,63</c:v>
                  </c:pt>
                  <c:pt idx="31">
                    <c:v>86,75</c:v>
                  </c:pt>
                  <c:pt idx="32">
                    <c:v>76,19</c:v>
                  </c:pt>
                </c:lvl>
                <c:lvl>
                  <c:pt idx="0">
                    <c:v>83,19</c:v>
                  </c:pt>
                  <c:pt idx="1">
                    <c:v>55,01</c:v>
                  </c:pt>
                  <c:pt idx="2">
                    <c:v>63,41</c:v>
                  </c:pt>
                  <c:pt idx="3">
                    <c:v>93,18</c:v>
                  </c:pt>
                  <c:pt idx="4">
                    <c:v>75,53</c:v>
                  </c:pt>
                  <c:pt idx="5">
                    <c:v>70,08</c:v>
                  </c:pt>
                  <c:pt idx="6">
                    <c:v>94,05</c:v>
                  </c:pt>
                  <c:pt idx="8">
                    <c:v>64,73</c:v>
                  </c:pt>
                  <c:pt idx="9">
                    <c:v>81,62</c:v>
                  </c:pt>
                  <c:pt idx="10">
                    <c:v>81,51</c:v>
                  </c:pt>
                  <c:pt idx="11">
                    <c:v>97,44</c:v>
                  </c:pt>
                  <c:pt idx="12">
                    <c:v>74,91</c:v>
                  </c:pt>
                  <c:pt idx="13">
                    <c:v>63,04</c:v>
                  </c:pt>
                  <c:pt idx="14">
                    <c:v>90,26</c:v>
                  </c:pt>
                  <c:pt idx="16">
                    <c:v>21,07</c:v>
                  </c:pt>
                  <c:pt idx="17">
                    <c:v>66,52</c:v>
                  </c:pt>
                  <c:pt idx="18">
                    <c:v>75,62</c:v>
                  </c:pt>
                  <c:pt idx="19">
                    <c:v>68,23</c:v>
                  </c:pt>
                  <c:pt idx="20">
                    <c:v>75,27</c:v>
                  </c:pt>
                  <c:pt idx="21">
                    <c:v>100,55</c:v>
                  </c:pt>
                  <c:pt idx="22">
                    <c:v>70,85</c:v>
                  </c:pt>
                  <c:pt idx="24">
                    <c:v>79,98</c:v>
                  </c:pt>
                  <c:pt idx="25">
                    <c:v>85,64</c:v>
                  </c:pt>
                  <c:pt idx="26">
                    <c:v>98,91</c:v>
                  </c:pt>
                  <c:pt idx="27">
                    <c:v>57,18</c:v>
                  </c:pt>
                  <c:pt idx="28">
                    <c:v>82,86</c:v>
                  </c:pt>
                  <c:pt idx="29">
                    <c:v>83,05</c:v>
                  </c:pt>
                  <c:pt idx="30">
                    <c:v>98,19</c:v>
                  </c:pt>
                  <c:pt idx="31">
                    <c:v>46,18</c:v>
                  </c:pt>
                  <c:pt idx="32">
                    <c:v>85,49</c:v>
                  </c:pt>
                </c:lvl>
                <c:lvl>
                  <c:pt idx="0">
                    <c:v>93,28</c:v>
                  </c:pt>
                  <c:pt idx="1">
                    <c:v>88,74</c:v>
                  </c:pt>
                  <c:pt idx="2">
                    <c:v>80,08</c:v>
                  </c:pt>
                  <c:pt idx="3">
                    <c:v>87,88</c:v>
                  </c:pt>
                  <c:pt idx="4">
                    <c:v>83,14</c:v>
                  </c:pt>
                  <c:pt idx="5">
                    <c:v>52,57</c:v>
                  </c:pt>
                  <c:pt idx="6">
                    <c:v>88,00</c:v>
                  </c:pt>
                  <c:pt idx="8">
                    <c:v>84,58</c:v>
                  </c:pt>
                  <c:pt idx="9">
                    <c:v>99,15</c:v>
                  </c:pt>
                  <c:pt idx="10">
                    <c:v>85,68</c:v>
                  </c:pt>
                  <c:pt idx="11">
                    <c:v>77,26</c:v>
                  </c:pt>
                  <c:pt idx="12">
                    <c:v>95,62</c:v>
                  </c:pt>
                  <c:pt idx="13">
                    <c:v>84,47</c:v>
                  </c:pt>
                  <c:pt idx="14">
                    <c:v>59,95</c:v>
                  </c:pt>
                  <c:pt idx="16">
                    <c:v>107,44</c:v>
                  </c:pt>
                  <c:pt idx="17">
                    <c:v>90,16</c:v>
                  </c:pt>
                  <c:pt idx="18">
                    <c:v>95,01</c:v>
                  </c:pt>
                  <c:pt idx="19">
                    <c:v>61,58</c:v>
                  </c:pt>
                  <c:pt idx="20">
                    <c:v>80,43</c:v>
                  </c:pt>
                  <c:pt idx="21">
                    <c:v>89,09</c:v>
                  </c:pt>
                  <c:pt idx="24">
                    <c:v>101,39</c:v>
                  </c:pt>
                  <c:pt idx="25">
                    <c:v>70,98</c:v>
                  </c:pt>
                  <c:pt idx="26">
                    <c:v>89,57</c:v>
                  </c:pt>
                  <c:pt idx="27">
                    <c:v>90,50</c:v>
                  </c:pt>
                  <c:pt idx="28">
                    <c:v>82,24</c:v>
                  </c:pt>
                  <c:pt idx="29">
                    <c:v>71,47</c:v>
                  </c:pt>
                  <c:pt idx="30">
                    <c:v>95,07</c:v>
                  </c:pt>
                  <c:pt idx="31">
                    <c:v>63,95</c:v>
                  </c:pt>
                  <c:pt idx="32">
                    <c:v>86,95</c:v>
                  </c:pt>
                </c:lvl>
                <c:lvl>
                  <c:pt idx="0">
                    <c:v>98,38</c:v>
                  </c:pt>
                  <c:pt idx="1">
                    <c:v>88,48</c:v>
                  </c:pt>
                  <c:pt idx="2">
                    <c:v>105,55</c:v>
                  </c:pt>
                  <c:pt idx="3">
                    <c:v>91,01</c:v>
                  </c:pt>
                  <c:pt idx="4">
                    <c:v>87,86</c:v>
                  </c:pt>
                  <c:pt idx="5">
                    <c:v>76,81</c:v>
                  </c:pt>
                  <c:pt idx="6">
                    <c:v>92,60</c:v>
                  </c:pt>
                  <c:pt idx="15">
                    <c:v>PM</c:v>
                  </c:pt>
                  <c:pt idx="19">
                    <c:v>84,94</c:v>
                  </c:pt>
                  <c:pt idx="34">
                    <c:v>PM</c:v>
                  </c:pt>
                </c:lvl>
                <c:lvl>
                  <c:pt idx="0">
                    <c:v>65,41</c:v>
                  </c:pt>
                  <c:pt idx="1">
                    <c:v>71,25</c:v>
                  </c:pt>
                  <c:pt idx="2">
                    <c:v>78,41</c:v>
                  </c:pt>
                  <c:pt idx="3">
                    <c:v>57,37</c:v>
                  </c:pt>
                  <c:pt idx="4">
                    <c:v>77,24</c:v>
                  </c:pt>
                  <c:pt idx="5">
                    <c:v>70,40</c:v>
                  </c:pt>
                  <c:pt idx="6">
                    <c:v>73,43</c:v>
                  </c:pt>
                  <c:pt idx="8">
                    <c:v>43,20</c:v>
                  </c:pt>
                  <c:pt idx="9">
                    <c:v>75,78</c:v>
                  </c:pt>
                  <c:pt idx="10">
                    <c:v>51,72</c:v>
                  </c:pt>
                  <c:pt idx="11">
                    <c:v>89,51</c:v>
                  </c:pt>
                  <c:pt idx="12">
                    <c:v>80,31</c:v>
                  </c:pt>
                  <c:pt idx="13">
                    <c:v>83,04</c:v>
                  </c:pt>
                  <c:pt idx="14">
                    <c:v>79,31</c:v>
                  </c:pt>
                  <c:pt idx="16">
                    <c:v>95,94</c:v>
                  </c:pt>
                  <c:pt idx="17">
                    <c:v>95,65</c:v>
                  </c:pt>
                  <c:pt idx="18">
                    <c:v>67,36</c:v>
                  </c:pt>
                  <c:pt idx="20">
                    <c:v>80,21</c:v>
                  </c:pt>
                  <c:pt idx="21">
                    <c:v>84,14</c:v>
                  </c:pt>
                  <c:pt idx="22">
                    <c:v>84,32</c:v>
                  </c:pt>
                  <c:pt idx="24">
                    <c:v>96,15</c:v>
                  </c:pt>
                  <c:pt idx="25">
                    <c:v>86,23</c:v>
                  </c:pt>
                  <c:pt idx="26">
                    <c:v>79,73</c:v>
                  </c:pt>
                  <c:pt idx="27">
                    <c:v>72,26</c:v>
                  </c:pt>
                  <c:pt idx="28">
                    <c:v>85,67</c:v>
                  </c:pt>
                  <c:pt idx="29">
                    <c:v>97,10</c:v>
                  </c:pt>
                  <c:pt idx="30">
                    <c:v>86,95</c:v>
                  </c:pt>
                  <c:pt idx="31">
                    <c:v>62,13</c:v>
                  </c:pt>
                  <c:pt idx="32">
                    <c:v>74,15</c:v>
                  </c:pt>
                </c:lvl>
                <c:lvl>
                  <c:pt idx="0">
                    <c:v>96,87</c:v>
                  </c:pt>
                  <c:pt idx="1">
                    <c:v>80,99</c:v>
                  </c:pt>
                  <c:pt idx="2">
                    <c:v>82,57</c:v>
                  </c:pt>
                  <c:pt idx="3">
                    <c:v>65,64</c:v>
                  </c:pt>
                  <c:pt idx="4">
                    <c:v>51,43</c:v>
                  </c:pt>
                  <c:pt idx="5">
                    <c:v>56,40</c:v>
                  </c:pt>
                  <c:pt idx="6">
                    <c:v>81,85</c:v>
                  </c:pt>
                  <c:pt idx="8">
                    <c:v>58,57</c:v>
                  </c:pt>
                  <c:pt idx="9">
                    <c:v>69,01</c:v>
                  </c:pt>
                  <c:pt idx="10">
                    <c:v>64,42</c:v>
                  </c:pt>
                  <c:pt idx="11">
                    <c:v>107,46</c:v>
                  </c:pt>
                  <c:pt idx="12">
                    <c:v>90,81</c:v>
                  </c:pt>
                  <c:pt idx="13">
                    <c:v>70,14</c:v>
                  </c:pt>
                  <c:pt idx="14">
                    <c:v>70,46</c:v>
                  </c:pt>
                  <c:pt idx="16">
                    <c:v>83,14</c:v>
                  </c:pt>
                  <c:pt idx="17">
                    <c:v>94,84</c:v>
                  </c:pt>
                  <c:pt idx="18">
                    <c:v>55,34</c:v>
                  </c:pt>
                  <c:pt idx="19">
                    <c:v>75,03</c:v>
                  </c:pt>
                  <c:pt idx="20">
                    <c:v>83,71</c:v>
                  </c:pt>
                  <c:pt idx="21">
                    <c:v>78,81</c:v>
                  </c:pt>
                  <c:pt idx="22">
                    <c:v>63,13</c:v>
                  </c:pt>
                  <c:pt idx="24">
                    <c:v>82,15</c:v>
                  </c:pt>
                  <c:pt idx="25">
                    <c:v>95,85</c:v>
                  </c:pt>
                  <c:pt idx="26">
                    <c:v>71,07</c:v>
                  </c:pt>
                  <c:pt idx="27">
                    <c:v>72,56</c:v>
                  </c:pt>
                  <c:pt idx="28">
                    <c:v>90,28</c:v>
                  </c:pt>
                  <c:pt idx="29">
                    <c:v>100,99</c:v>
                  </c:pt>
                  <c:pt idx="30">
                    <c:v>68,52</c:v>
                  </c:pt>
                  <c:pt idx="31">
                    <c:v>71,39</c:v>
                  </c:pt>
                  <c:pt idx="32">
                    <c:v>76,90</c:v>
                  </c:pt>
                </c:lvl>
                <c:lvl>
                  <c:pt idx="0">
                    <c:v>64,82</c:v>
                  </c:pt>
                  <c:pt idx="1">
                    <c:v>91,72</c:v>
                  </c:pt>
                  <c:pt idx="2">
                    <c:v>74,92</c:v>
                  </c:pt>
                  <c:pt idx="3">
                    <c:v>86,05</c:v>
                  </c:pt>
                  <c:pt idx="4">
                    <c:v>68,64</c:v>
                  </c:pt>
                  <c:pt idx="5">
                    <c:v>66,38</c:v>
                  </c:pt>
                  <c:pt idx="6">
                    <c:v>91,48</c:v>
                  </c:pt>
                  <c:pt idx="8">
                    <c:v>86,70</c:v>
                  </c:pt>
                  <c:pt idx="9">
                    <c:v>85,41</c:v>
                  </c:pt>
                  <c:pt idx="10">
                    <c:v>73,91</c:v>
                  </c:pt>
                  <c:pt idx="11">
                    <c:v>55,03</c:v>
                  </c:pt>
                  <c:pt idx="12">
                    <c:v>102,40</c:v>
                  </c:pt>
                  <c:pt idx="13">
                    <c:v>80,63</c:v>
                  </c:pt>
                  <c:pt idx="14">
                    <c:v>101,05</c:v>
                  </c:pt>
                  <c:pt idx="16">
                    <c:v>102,53</c:v>
                  </c:pt>
                  <c:pt idx="17">
                    <c:v>71,94</c:v>
                  </c:pt>
                  <c:pt idx="18">
                    <c:v>92,71</c:v>
                  </c:pt>
                  <c:pt idx="19">
                    <c:v>73,72</c:v>
                  </c:pt>
                  <c:pt idx="20">
                    <c:v>92,64</c:v>
                  </c:pt>
                  <c:pt idx="21">
                    <c:v>83,17</c:v>
                  </c:pt>
                  <c:pt idx="22">
                    <c:v>85,26</c:v>
                  </c:pt>
                  <c:pt idx="24">
                    <c:v>101,99</c:v>
                  </c:pt>
                  <c:pt idx="25">
                    <c:v>95,32</c:v>
                  </c:pt>
                  <c:pt idx="26">
                    <c:v>102,19</c:v>
                  </c:pt>
                  <c:pt idx="27">
                    <c:v>69,80</c:v>
                  </c:pt>
                  <c:pt idx="28">
                    <c:v>106,37</c:v>
                  </c:pt>
                  <c:pt idx="29">
                    <c:v>86,05</c:v>
                  </c:pt>
                  <c:pt idx="30">
                    <c:v>97,07</c:v>
                  </c:pt>
                  <c:pt idx="31">
                    <c:v>78,74</c:v>
                  </c:pt>
                  <c:pt idx="32">
                    <c:v>93,73</c:v>
                  </c:pt>
                </c:lvl>
                <c:lvl>
                  <c:pt idx="0">
                    <c:v>84,02</c:v>
                  </c:pt>
                  <c:pt idx="1">
                    <c:v>80,44</c:v>
                  </c:pt>
                  <c:pt idx="2">
                    <c:v>77,28</c:v>
                  </c:pt>
                  <c:pt idx="3">
                    <c:v>74,48</c:v>
                  </c:pt>
                  <c:pt idx="4">
                    <c:v>54,82</c:v>
                  </c:pt>
                  <c:pt idx="5">
                    <c:v>76,25</c:v>
                  </c:pt>
                  <c:pt idx="6">
                    <c:v>72,30</c:v>
                  </c:pt>
                  <c:pt idx="8">
                    <c:v>93,65</c:v>
                  </c:pt>
                  <c:pt idx="9">
                    <c:v>72,51</c:v>
                  </c:pt>
                  <c:pt idx="10">
                    <c:v>73,49</c:v>
                  </c:pt>
                  <c:pt idx="11">
                    <c:v>88,90</c:v>
                  </c:pt>
                  <c:pt idx="12">
                    <c:v>85,43</c:v>
                  </c:pt>
                  <c:pt idx="13">
                    <c:v>80,09</c:v>
                  </c:pt>
                  <c:pt idx="14">
                    <c:v>93,75</c:v>
                  </c:pt>
                  <c:pt idx="16">
                    <c:v>83,40</c:v>
                  </c:pt>
                  <c:pt idx="17">
                    <c:v>127,41</c:v>
                  </c:pt>
                  <c:pt idx="18">
                    <c:v>79,18</c:v>
                  </c:pt>
                  <c:pt idx="19">
                    <c:v>55,27</c:v>
                  </c:pt>
                  <c:pt idx="20">
                    <c:v>85,74</c:v>
                  </c:pt>
                  <c:pt idx="21">
                    <c:v>85,29</c:v>
                  </c:pt>
                  <c:pt idx="22">
                    <c:v>78,90</c:v>
                  </c:pt>
                  <c:pt idx="24">
                    <c:v>78,93</c:v>
                  </c:pt>
                  <c:pt idx="25">
                    <c:v>96,46</c:v>
                  </c:pt>
                  <c:pt idx="26">
                    <c:v>74,97</c:v>
                  </c:pt>
                  <c:pt idx="27">
                    <c:v>90,19</c:v>
                  </c:pt>
                  <c:pt idx="28">
                    <c:v>79,06</c:v>
                  </c:pt>
                  <c:pt idx="29">
                    <c:v>87,56</c:v>
                  </c:pt>
                  <c:pt idx="30">
                    <c:v>75,25</c:v>
                  </c:pt>
                  <c:pt idx="31">
                    <c:v>67,22</c:v>
                  </c:pt>
                  <c:pt idx="32">
                    <c:v>80,16</c:v>
                  </c:pt>
                </c:lvl>
                <c:lvl>
                  <c:pt idx="0">
                    <c:v>59,98</c:v>
                  </c:pt>
                  <c:pt idx="1">
                    <c:v>83,64</c:v>
                  </c:pt>
                  <c:pt idx="2">
                    <c:v>79,14</c:v>
                  </c:pt>
                  <c:pt idx="3">
                    <c:v>75,29</c:v>
                  </c:pt>
                  <c:pt idx="4">
                    <c:v>66,88</c:v>
                  </c:pt>
                  <c:pt idx="5">
                    <c:v>62,66</c:v>
                  </c:pt>
                  <c:pt idx="6">
                    <c:v>101,81</c:v>
                  </c:pt>
                  <c:pt idx="8">
                    <c:v>69,43</c:v>
                  </c:pt>
                  <c:pt idx="9">
                    <c:v>52,42</c:v>
                  </c:pt>
                  <c:pt idx="10">
                    <c:v>73,67</c:v>
                  </c:pt>
                  <c:pt idx="11">
                    <c:v>104,57</c:v>
                  </c:pt>
                  <c:pt idx="12">
                    <c:v>95,40</c:v>
                  </c:pt>
                  <c:pt idx="13">
                    <c:v>80,31</c:v>
                  </c:pt>
                  <c:pt idx="14">
                    <c:v>85,40</c:v>
                  </c:pt>
                  <c:pt idx="16">
                    <c:v>84,14</c:v>
                  </c:pt>
                  <c:pt idx="17">
                    <c:v>123,28</c:v>
                  </c:pt>
                  <c:pt idx="18">
                    <c:v>63,88</c:v>
                  </c:pt>
                  <c:pt idx="19">
                    <c:v>83,67</c:v>
                  </c:pt>
                  <c:pt idx="20">
                    <c:v>95,24</c:v>
                  </c:pt>
                  <c:pt idx="21">
                    <c:v>80,63</c:v>
                  </c:pt>
                  <c:pt idx="22">
                    <c:v>93,77</c:v>
                  </c:pt>
                  <c:pt idx="24">
                    <c:v>88,74</c:v>
                  </c:pt>
                  <c:pt idx="25">
                    <c:v>67,15</c:v>
                  </c:pt>
                  <c:pt idx="26">
                    <c:v>92,09</c:v>
                  </c:pt>
                  <c:pt idx="27">
                    <c:v>82,55</c:v>
                  </c:pt>
                  <c:pt idx="28">
                    <c:v>96,43</c:v>
                  </c:pt>
                  <c:pt idx="29">
                    <c:v>97,90</c:v>
                  </c:pt>
                  <c:pt idx="30">
                    <c:v>79,63</c:v>
                  </c:pt>
                  <c:pt idx="31">
                    <c:v>78,66</c:v>
                  </c:pt>
                  <c:pt idx="32">
                    <c:v>88,75</c:v>
                  </c:pt>
                </c:lvl>
                <c:lvl>
                  <c:pt idx="0">
                    <c:v>89,79</c:v>
                  </c:pt>
                  <c:pt idx="1">
                    <c:v>71,87</c:v>
                  </c:pt>
                  <c:pt idx="2">
                    <c:v>67,88</c:v>
                  </c:pt>
                  <c:pt idx="3">
                    <c:v>87,49</c:v>
                  </c:pt>
                  <c:pt idx="4">
                    <c:v>80,51</c:v>
                  </c:pt>
                  <c:pt idx="5">
                    <c:v>67,94</c:v>
                  </c:pt>
                  <c:pt idx="6">
                    <c:v>85,45</c:v>
                  </c:pt>
                  <c:pt idx="8">
                    <c:v>49,71</c:v>
                  </c:pt>
                  <c:pt idx="9">
                    <c:v>86,55</c:v>
                  </c:pt>
                  <c:pt idx="10">
                    <c:v>80,24</c:v>
                  </c:pt>
                  <c:pt idx="11">
                    <c:v>93,32</c:v>
                  </c:pt>
                  <c:pt idx="12">
                    <c:v>65,19</c:v>
                  </c:pt>
                  <c:pt idx="13">
                    <c:v>77,26</c:v>
                  </c:pt>
                  <c:pt idx="14">
                    <c:v>106,68</c:v>
                  </c:pt>
                  <c:pt idx="17">
                    <c:v>119,31</c:v>
                  </c:pt>
                  <c:pt idx="18">
                    <c:v>100,30</c:v>
                  </c:pt>
                  <c:pt idx="19">
                    <c:v>78,54</c:v>
                  </c:pt>
                  <c:pt idx="20">
                    <c:v>75,04</c:v>
                  </c:pt>
                  <c:pt idx="21">
                    <c:v>87,06</c:v>
                  </c:pt>
                  <c:pt idx="22">
                    <c:v>66,52</c:v>
                  </c:pt>
                  <c:pt idx="24">
                    <c:v>78,53</c:v>
                  </c:pt>
                  <c:pt idx="25">
                    <c:v>118,42</c:v>
                  </c:pt>
                  <c:pt idx="26">
                    <c:v>67,16</c:v>
                  </c:pt>
                  <c:pt idx="28">
                    <c:v>84,27</c:v>
                  </c:pt>
                  <c:pt idx="29">
                    <c:v>73,10</c:v>
                  </c:pt>
                  <c:pt idx="30">
                    <c:v>91,28</c:v>
                  </c:pt>
                  <c:pt idx="31">
                    <c:v>68,97</c:v>
                  </c:pt>
                  <c:pt idx="32">
                    <c:v>77,88</c:v>
                  </c:pt>
                </c:lvl>
                <c:lvl>
                  <c:pt idx="0">
                    <c:v>60,45</c:v>
                  </c:pt>
                  <c:pt idx="1">
                    <c:v>93,51</c:v>
                  </c:pt>
                  <c:pt idx="2">
                    <c:v>61,97</c:v>
                  </c:pt>
                  <c:pt idx="3">
                    <c:v>83,16</c:v>
                  </c:pt>
                  <c:pt idx="4">
                    <c:v>66,74</c:v>
                  </c:pt>
                  <c:pt idx="5">
                    <c:v>72,58</c:v>
                  </c:pt>
                  <c:pt idx="6">
                    <c:v>83,46</c:v>
                  </c:pt>
                  <c:pt idx="8">
                    <c:v>47,22</c:v>
                  </c:pt>
                  <c:pt idx="9">
                    <c:v>70,81</c:v>
                  </c:pt>
                  <c:pt idx="10">
                    <c:v>66,16</c:v>
                  </c:pt>
                  <c:pt idx="11">
                    <c:v>81,52</c:v>
                  </c:pt>
                  <c:pt idx="12">
                    <c:v>80,55</c:v>
                  </c:pt>
                  <c:pt idx="13">
                    <c:v>63,90</c:v>
                  </c:pt>
                  <c:pt idx="14">
                    <c:v>83,92</c:v>
                  </c:pt>
                  <c:pt idx="16">
                    <c:v>101,68</c:v>
                  </c:pt>
                  <c:pt idx="17">
                    <c:v>91,98</c:v>
                  </c:pt>
                  <c:pt idx="18">
                    <c:v>52,53</c:v>
                  </c:pt>
                  <c:pt idx="19">
                    <c:v>89,14</c:v>
                  </c:pt>
                  <c:pt idx="20">
                    <c:v>92,64</c:v>
                  </c:pt>
                  <c:pt idx="21">
                    <c:v>49,41</c:v>
                  </c:pt>
                  <c:pt idx="34">
                    <c:v>PM</c:v>
                  </c:pt>
                </c:lvl>
                <c:lvl>
                  <c:pt idx="0">
                    <c:v>104,65</c:v>
                  </c:pt>
                  <c:pt idx="1">
                    <c:v>97,57</c:v>
                  </c:pt>
                  <c:pt idx="2">
                    <c:v>89,55</c:v>
                  </c:pt>
                  <c:pt idx="3">
                    <c:v>103,32</c:v>
                  </c:pt>
                  <c:pt idx="4">
                    <c:v>77,33</c:v>
                  </c:pt>
                  <c:pt idx="5">
                    <c:v>89,49</c:v>
                  </c:pt>
                  <c:pt idx="6">
                    <c:v>105,43</c:v>
                  </c:pt>
                  <c:pt idx="8">
                    <c:v>88,21</c:v>
                  </c:pt>
                  <c:pt idx="9">
                    <c:v>114,38</c:v>
                  </c:pt>
                  <c:pt idx="10">
                    <c:v>55,68</c:v>
                  </c:pt>
                  <c:pt idx="11">
                    <c:v>124,85</c:v>
                  </c:pt>
                  <c:pt idx="14">
                    <c:v>111,90</c:v>
                  </c:pt>
                  <c:pt idx="16">
                    <c:v>90,41</c:v>
                  </c:pt>
                  <c:pt idx="17">
                    <c:v>32,11</c:v>
                  </c:pt>
                  <c:pt idx="18">
                    <c:v>72,49</c:v>
                  </c:pt>
                  <c:pt idx="20">
                    <c:v>179,98</c:v>
                  </c:pt>
                  <c:pt idx="21">
                    <c:v>99,97</c:v>
                  </c:pt>
                  <c:pt idx="22">
                    <c:v>84,79</c:v>
                  </c:pt>
                  <c:pt idx="24">
                    <c:v>64,33</c:v>
                  </c:pt>
                  <c:pt idx="25">
                    <c:v>91,99</c:v>
                  </c:pt>
                  <c:pt idx="26">
                    <c:v>107,22</c:v>
                  </c:pt>
                  <c:pt idx="27">
                    <c:v>27,60</c:v>
                  </c:pt>
                  <c:pt idx="28">
                    <c:v>91,75</c:v>
                  </c:pt>
                  <c:pt idx="29">
                    <c:v>87,55</c:v>
                  </c:pt>
                  <c:pt idx="30">
                    <c:v>117,90</c:v>
                  </c:pt>
                  <c:pt idx="31">
                    <c:v>42,91</c:v>
                  </c:pt>
                  <c:pt idx="32">
                    <c:v>113,92</c:v>
                  </c:pt>
                </c:lvl>
                <c:lvl>
                  <c:pt idx="0">
                    <c:v>65,38</c:v>
                  </c:pt>
                  <c:pt idx="1">
                    <c:v>106,02</c:v>
                  </c:pt>
                  <c:pt idx="2">
                    <c:v>78,31</c:v>
                  </c:pt>
                  <c:pt idx="3">
                    <c:v>60,92</c:v>
                  </c:pt>
                  <c:pt idx="4">
                    <c:v>75,80</c:v>
                  </c:pt>
                  <c:pt idx="5">
                    <c:v>57,63</c:v>
                  </c:pt>
                  <c:pt idx="6">
                    <c:v>133,01</c:v>
                  </c:pt>
                  <c:pt idx="8">
                    <c:v>61,28</c:v>
                  </c:pt>
                  <c:pt idx="9">
                    <c:v>58,57</c:v>
                  </c:pt>
                  <c:pt idx="10">
                    <c:v>76,40</c:v>
                  </c:pt>
                  <c:pt idx="11">
                    <c:v>100,88</c:v>
                  </c:pt>
                  <c:pt idx="12">
                    <c:v>63,33</c:v>
                  </c:pt>
                  <c:pt idx="13">
                    <c:v>95,33</c:v>
                  </c:pt>
                  <c:pt idx="14">
                    <c:v>88,49</c:v>
                  </c:pt>
                  <c:pt idx="16">
                    <c:v>80,07</c:v>
                  </c:pt>
                  <c:pt idx="18">
                    <c:v>132,15</c:v>
                  </c:pt>
                  <c:pt idx="19">
                    <c:v>78,85</c:v>
                  </c:pt>
                  <c:pt idx="20">
                    <c:v>100,83</c:v>
                  </c:pt>
                  <c:pt idx="21">
                    <c:v>80,37</c:v>
                  </c:pt>
                  <c:pt idx="22">
                    <c:v>98,10</c:v>
                  </c:pt>
                  <c:pt idx="24">
                    <c:v>103,88</c:v>
                  </c:pt>
                  <c:pt idx="25">
                    <c:v>120,42</c:v>
                  </c:pt>
                  <c:pt idx="26">
                    <c:v>80,33</c:v>
                  </c:pt>
                  <c:pt idx="27">
                    <c:v>90,18</c:v>
                  </c:pt>
                  <c:pt idx="28">
                    <c:v>90,45</c:v>
                  </c:pt>
                  <c:pt idx="29">
                    <c:v>99,45</c:v>
                  </c:pt>
                  <c:pt idx="30">
                    <c:v>85,79</c:v>
                  </c:pt>
                  <c:pt idx="31">
                    <c:v>62,55</c:v>
                  </c:pt>
                  <c:pt idx="32">
                    <c:v>88,16</c:v>
                  </c:pt>
                </c:lvl>
                <c:lvl>
                  <c:pt idx="0">
                    <c:v>74,59</c:v>
                  </c:pt>
                  <c:pt idx="1">
                    <c:v>76,94</c:v>
                  </c:pt>
                  <c:pt idx="2">
                    <c:v>74,04</c:v>
                  </c:pt>
                  <c:pt idx="4">
                    <c:v>54,52</c:v>
                  </c:pt>
                  <c:pt idx="5">
                    <c:v>53,48</c:v>
                  </c:pt>
                  <c:pt idx="6">
                    <c:v>82,91</c:v>
                  </c:pt>
                  <c:pt idx="9">
                    <c:v>120,44</c:v>
                  </c:pt>
                  <c:pt idx="10">
                    <c:v>76,61</c:v>
                  </c:pt>
                  <c:pt idx="11">
                    <c:v>84,83</c:v>
                  </c:pt>
                  <c:pt idx="12">
                    <c:v>76,93</c:v>
                  </c:pt>
                  <c:pt idx="13">
                    <c:v>73,82</c:v>
                  </c:pt>
                  <c:pt idx="14">
                    <c:v>75,78</c:v>
                  </c:pt>
                  <c:pt idx="16">
                    <c:v>100,56</c:v>
                  </c:pt>
                  <c:pt idx="17">
                    <c:v>70,56</c:v>
                  </c:pt>
                  <c:pt idx="18">
                    <c:v>78,24</c:v>
                  </c:pt>
                  <c:pt idx="19">
                    <c:v>77,61</c:v>
                  </c:pt>
                  <c:pt idx="20">
                    <c:v>88,67</c:v>
                  </c:pt>
                  <c:pt idx="21">
                    <c:v>91,02</c:v>
                  </c:pt>
                  <c:pt idx="22">
                    <c:v>106,43</c:v>
                  </c:pt>
                  <c:pt idx="24">
                    <c:v>80,19</c:v>
                  </c:pt>
                  <c:pt idx="25">
                    <c:v>84,61</c:v>
                  </c:pt>
                  <c:pt idx="26">
                    <c:v>83,22</c:v>
                  </c:pt>
                  <c:pt idx="27">
                    <c:v>81,53</c:v>
                  </c:pt>
                  <c:pt idx="28">
                    <c:v>75,89</c:v>
                  </c:pt>
                  <c:pt idx="29">
                    <c:v>77,98</c:v>
                  </c:pt>
                  <c:pt idx="30">
                    <c:v>72,39</c:v>
                  </c:pt>
                  <c:pt idx="31">
                    <c:v>57,88</c:v>
                  </c:pt>
                  <c:pt idx="32">
                    <c:v>80,70</c:v>
                  </c:pt>
                </c:lvl>
                <c:lvl>
                  <c:pt idx="0">
                    <c:v>88,44</c:v>
                  </c:pt>
                  <c:pt idx="1">
                    <c:v>91,28</c:v>
                  </c:pt>
                  <c:pt idx="2">
                    <c:v>91,94</c:v>
                  </c:pt>
                  <c:pt idx="3">
                    <c:v>93,60</c:v>
                  </c:pt>
                  <c:pt idx="4">
                    <c:v>61,64</c:v>
                  </c:pt>
                  <c:pt idx="6">
                    <c:v>94,64</c:v>
                  </c:pt>
                  <c:pt idx="8">
                    <c:v>67,23</c:v>
                  </c:pt>
                  <c:pt idx="9">
                    <c:v>94,09</c:v>
                  </c:pt>
                  <c:pt idx="10">
                    <c:v>77,74</c:v>
                  </c:pt>
                  <c:pt idx="11">
                    <c:v>91,29</c:v>
                  </c:pt>
                  <c:pt idx="12">
                    <c:v>102,72</c:v>
                  </c:pt>
                  <c:pt idx="14">
                    <c:v>87,74</c:v>
                  </c:pt>
                  <c:pt idx="16">
                    <c:v>108,17</c:v>
                  </c:pt>
                  <c:pt idx="18">
                    <c:v>127,84</c:v>
                  </c:pt>
                  <c:pt idx="19">
                    <c:v>91,63</c:v>
                  </c:pt>
                  <c:pt idx="20">
                    <c:v>82,33</c:v>
                  </c:pt>
                  <c:pt idx="21">
                    <c:v>99,79</c:v>
                  </c:pt>
                  <c:pt idx="22">
                    <c:v>85,30</c:v>
                  </c:pt>
                  <c:pt idx="24">
                    <c:v>100,82</c:v>
                  </c:pt>
                  <c:pt idx="25">
                    <c:v>79,58</c:v>
                  </c:pt>
                  <c:pt idx="26">
                    <c:v>78,67</c:v>
                  </c:pt>
                  <c:pt idx="27">
                    <c:v>91,10</c:v>
                  </c:pt>
                  <c:pt idx="28">
                    <c:v>95,97</c:v>
                  </c:pt>
                  <c:pt idx="29">
                    <c:v>95,97</c:v>
                  </c:pt>
                  <c:pt idx="30">
                    <c:v>101,31</c:v>
                  </c:pt>
                  <c:pt idx="31">
                    <c:v>67,10</c:v>
                  </c:pt>
                  <c:pt idx="32">
                    <c:v>73,94</c:v>
                  </c:pt>
                  <c:pt idx="36">
                    <c:v> 92 Unit</c:v>
                  </c:pt>
                </c:lvl>
                <c:lvl>
                  <c:pt idx="0">
                    <c:v>57,60</c:v>
                  </c:pt>
                  <c:pt idx="1">
                    <c:v>81,11</c:v>
                  </c:pt>
                  <c:pt idx="2">
                    <c:v>62,92</c:v>
                  </c:pt>
                  <c:pt idx="3">
                    <c:v>81,36</c:v>
                  </c:pt>
                  <c:pt idx="4">
                    <c:v>82,47</c:v>
                  </c:pt>
                  <c:pt idx="5">
                    <c:v>75,78</c:v>
                  </c:pt>
                  <c:pt idx="6">
                    <c:v>100,60</c:v>
                  </c:pt>
                  <c:pt idx="8">
                    <c:v>88,15</c:v>
                  </c:pt>
                  <c:pt idx="9">
                    <c:v>67,51</c:v>
                  </c:pt>
                  <c:pt idx="10">
                    <c:v>81,38</c:v>
                  </c:pt>
                  <c:pt idx="11">
                    <c:v>123,11</c:v>
                  </c:pt>
                  <c:pt idx="12">
                    <c:v>93,16</c:v>
                  </c:pt>
                  <c:pt idx="13">
                    <c:v>83,44</c:v>
                  </c:pt>
                  <c:pt idx="14">
                    <c:v>66,41</c:v>
                  </c:pt>
                  <c:pt idx="16">
                    <c:v>86,28</c:v>
                  </c:pt>
                  <c:pt idx="17">
                    <c:v>102,25</c:v>
                  </c:pt>
                  <c:pt idx="18">
                    <c:v>71,34</c:v>
                  </c:pt>
                  <c:pt idx="19">
                    <c:v>70,59</c:v>
                  </c:pt>
                  <c:pt idx="20">
                    <c:v>89,22</c:v>
                  </c:pt>
                  <c:pt idx="21">
                    <c:v>66,20</c:v>
                  </c:pt>
                  <c:pt idx="22">
                    <c:v>70,79</c:v>
                  </c:pt>
                  <c:pt idx="24">
                    <c:v>78,27</c:v>
                  </c:pt>
                  <c:pt idx="25">
                    <c:v>89,01</c:v>
                  </c:pt>
                  <c:pt idx="26">
                    <c:v>86,61</c:v>
                  </c:pt>
                  <c:pt idx="27">
                    <c:v>76,98</c:v>
                  </c:pt>
                  <c:pt idx="28">
                    <c:v>79,52</c:v>
                  </c:pt>
                  <c:pt idx="29">
                    <c:v>95,27</c:v>
                  </c:pt>
                  <c:pt idx="30">
                    <c:v>82,10</c:v>
                  </c:pt>
                  <c:pt idx="31">
                    <c:v>85,14</c:v>
                  </c:pt>
                  <c:pt idx="32">
                    <c:v>65,10</c:v>
                  </c:pt>
                  <c:pt idx="36">
                    <c:v>Total HT utk OPS</c:v>
                  </c:pt>
                </c:lvl>
                <c:lvl>
                  <c:pt idx="0">
                    <c:v>99,58</c:v>
                  </c:pt>
                  <c:pt idx="1">
                    <c:v>90,09</c:v>
                  </c:pt>
                  <c:pt idx="2">
                    <c:v>98,19</c:v>
                  </c:pt>
                  <c:pt idx="3">
                    <c:v>55,97</c:v>
                  </c:pt>
                  <c:pt idx="4">
                    <c:v>76,98</c:v>
                  </c:pt>
                  <c:pt idx="5">
                    <c:v>78,96</c:v>
                  </c:pt>
                  <c:pt idx="6">
                    <c:v>106,11</c:v>
                  </c:pt>
                  <c:pt idx="10">
                    <c:v>110,37</c:v>
                  </c:pt>
                  <c:pt idx="11">
                    <c:v>109,73</c:v>
                  </c:pt>
                  <c:pt idx="12">
                    <c:v>89,31</c:v>
                  </c:pt>
                  <c:pt idx="13">
                    <c:v>69,14</c:v>
                  </c:pt>
                  <c:pt idx="14">
                    <c:v>83,31</c:v>
                  </c:pt>
                  <c:pt idx="16">
                    <c:v>101,08</c:v>
                  </c:pt>
                  <c:pt idx="17">
                    <c:v>96,73</c:v>
                  </c:pt>
                  <c:pt idx="18">
                    <c:v>96,43</c:v>
                  </c:pt>
                  <c:pt idx="19">
                    <c:v>92,85</c:v>
                  </c:pt>
                  <c:pt idx="20">
                    <c:v>93,72</c:v>
                  </c:pt>
                  <c:pt idx="21">
                    <c:v>99,19</c:v>
                  </c:pt>
                  <c:pt idx="22">
                    <c:v>84,05</c:v>
                  </c:pt>
                  <c:pt idx="24">
                    <c:v>101,55</c:v>
                  </c:pt>
                  <c:pt idx="25">
                    <c:v>105,54</c:v>
                  </c:pt>
                  <c:pt idx="26">
                    <c:v>97,02</c:v>
                  </c:pt>
                  <c:pt idx="27">
                    <c:v>102,30</c:v>
                  </c:pt>
                  <c:pt idx="28">
                    <c:v>90,48</c:v>
                  </c:pt>
                  <c:pt idx="29">
                    <c:v>92,22</c:v>
                  </c:pt>
                  <c:pt idx="30">
                    <c:v>103,79</c:v>
                  </c:pt>
                  <c:pt idx="31">
                    <c:v>63,36</c:v>
                  </c:pt>
                  <c:pt idx="32">
                    <c:v>89,92</c:v>
                  </c:pt>
                </c:lvl>
                <c:lvl>
                  <c:pt idx="0">
                    <c:v>73,66</c:v>
                  </c:pt>
                  <c:pt idx="1">
                    <c:v>56,95</c:v>
                  </c:pt>
                  <c:pt idx="2">
                    <c:v>57,20</c:v>
                  </c:pt>
                  <c:pt idx="3">
                    <c:v>63,32</c:v>
                  </c:pt>
                  <c:pt idx="4">
                    <c:v>75,76</c:v>
                  </c:pt>
                  <c:pt idx="5">
                    <c:v>93,19</c:v>
                  </c:pt>
                  <c:pt idx="6">
                    <c:v>94,10</c:v>
                  </c:pt>
                  <c:pt idx="8">
                    <c:v>45,77</c:v>
                  </c:pt>
                  <c:pt idx="9">
                    <c:v>90,19</c:v>
                  </c:pt>
                  <c:pt idx="10">
                    <c:v>88,84</c:v>
                  </c:pt>
                  <c:pt idx="11">
                    <c:v>80,47</c:v>
                  </c:pt>
                  <c:pt idx="12">
                    <c:v>78,52</c:v>
                  </c:pt>
                  <c:pt idx="13">
                    <c:v>69,41</c:v>
                  </c:pt>
                  <c:pt idx="14">
                    <c:v>75,45</c:v>
                  </c:pt>
                  <c:pt idx="16">
                    <c:v>88,27</c:v>
                  </c:pt>
                  <c:pt idx="17">
                    <c:v>96,61</c:v>
                  </c:pt>
                  <c:pt idx="19">
                    <c:v>93,55</c:v>
                  </c:pt>
                  <c:pt idx="20">
                    <c:v>86,20</c:v>
                  </c:pt>
                  <c:pt idx="21">
                    <c:v>68,93</c:v>
                  </c:pt>
                  <c:pt idx="22">
                    <c:v>99,04</c:v>
                  </c:pt>
                  <c:pt idx="24">
                    <c:v>100,15</c:v>
                  </c:pt>
                  <c:pt idx="25">
                    <c:v>103,81</c:v>
                  </c:pt>
                  <c:pt idx="26">
                    <c:v>80,74</c:v>
                  </c:pt>
                  <c:pt idx="27">
                    <c:v>76,73</c:v>
                  </c:pt>
                  <c:pt idx="28">
                    <c:v>89,65</c:v>
                  </c:pt>
                  <c:pt idx="29">
                    <c:v>89,08</c:v>
                  </c:pt>
                  <c:pt idx="30">
                    <c:v>105,83</c:v>
                  </c:pt>
                  <c:pt idx="31">
                    <c:v>83,11</c:v>
                  </c:pt>
                  <c:pt idx="32">
                    <c:v>105,86</c:v>
                  </c:pt>
                  <c:pt idx="36">
                    <c:v> Total  24 Unit di Scrub</c:v>
                  </c:pt>
                </c:lvl>
                <c:lvl>
                  <c:pt idx="0">
                    <c:v>69,50</c:v>
                  </c:pt>
                  <c:pt idx="1">
                    <c:v>74,53</c:v>
                  </c:pt>
                  <c:pt idx="2">
                    <c:v>69,74</c:v>
                  </c:pt>
                  <c:pt idx="3">
                    <c:v>79,11</c:v>
                  </c:pt>
                  <c:pt idx="4">
                    <c:v>65,53</c:v>
                  </c:pt>
                  <c:pt idx="5">
                    <c:v>63,10</c:v>
                  </c:pt>
                  <c:pt idx="6">
                    <c:v>75,12</c:v>
                  </c:pt>
                  <c:pt idx="8">
                    <c:v>59,27</c:v>
                  </c:pt>
                  <c:pt idx="9">
                    <c:v>84,68</c:v>
                  </c:pt>
                  <c:pt idx="10">
                    <c:v>71,10</c:v>
                  </c:pt>
                  <c:pt idx="11">
                    <c:v>84,36</c:v>
                  </c:pt>
                  <c:pt idx="12">
                    <c:v>73,77</c:v>
                  </c:pt>
                  <c:pt idx="13">
                    <c:v>83,65</c:v>
                  </c:pt>
                  <c:pt idx="14">
                    <c:v>61,41</c:v>
                  </c:pt>
                  <c:pt idx="17">
                    <c:v>43,01</c:v>
                  </c:pt>
                  <c:pt idx="18">
                    <c:v>87,73</c:v>
                  </c:pt>
                  <c:pt idx="19">
                    <c:v>63,01</c:v>
                  </c:pt>
                  <c:pt idx="20">
                    <c:v>86,39</c:v>
                  </c:pt>
                  <c:pt idx="21">
                    <c:v>67,70</c:v>
                  </c:pt>
                  <c:pt idx="22">
                    <c:v>76,43</c:v>
                  </c:pt>
                  <c:pt idx="24">
                    <c:v>91,72</c:v>
                  </c:pt>
                  <c:pt idx="25">
                    <c:v>61,44</c:v>
                  </c:pt>
                  <c:pt idx="26">
                    <c:v>83,19</c:v>
                  </c:pt>
                  <c:pt idx="27">
                    <c:v>91,69</c:v>
                  </c:pt>
                  <c:pt idx="28">
                    <c:v>78,46</c:v>
                  </c:pt>
                  <c:pt idx="29">
                    <c:v>62,68</c:v>
                  </c:pt>
                  <c:pt idx="30">
                    <c:v>102,45</c:v>
                  </c:pt>
                  <c:pt idx="31">
                    <c:v>65,29</c:v>
                  </c:pt>
                  <c:pt idx="32">
                    <c:v>74,51</c:v>
                  </c:pt>
                </c:lvl>
                <c:lvl>
                  <c:pt idx="0">
                    <c:v>82,40</c:v>
                  </c:pt>
                  <c:pt idx="1">
                    <c:v>77,93</c:v>
                  </c:pt>
                  <c:pt idx="2">
                    <c:v>80,82</c:v>
                  </c:pt>
                  <c:pt idx="3">
                    <c:v>74,10</c:v>
                  </c:pt>
                  <c:pt idx="4">
                    <c:v>74,30</c:v>
                  </c:pt>
                  <c:pt idx="5">
                    <c:v>73,75</c:v>
                  </c:pt>
                  <c:pt idx="6">
                    <c:v>78,94</c:v>
                  </c:pt>
                  <c:pt idx="8">
                    <c:v>73,85</c:v>
                  </c:pt>
                  <c:pt idx="9">
                    <c:v>85,28</c:v>
                  </c:pt>
                  <c:pt idx="10">
                    <c:v>80,53</c:v>
                  </c:pt>
                  <c:pt idx="11">
                    <c:v>89,55</c:v>
                  </c:pt>
                  <c:pt idx="12">
                    <c:v>80,53</c:v>
                  </c:pt>
                  <c:pt idx="13">
                    <c:v>86,75</c:v>
                  </c:pt>
                  <c:pt idx="14">
                    <c:v>65,85</c:v>
                  </c:pt>
                  <c:pt idx="17">
                    <c:v>112,99</c:v>
                  </c:pt>
                  <c:pt idx="18">
                    <c:v>75,57</c:v>
                  </c:pt>
                  <c:pt idx="19">
                    <c:v>67,32</c:v>
                  </c:pt>
                  <c:pt idx="20">
                    <c:v>93,74</c:v>
                  </c:pt>
                  <c:pt idx="21">
                    <c:v>67,26</c:v>
                  </c:pt>
                  <c:pt idx="22">
                    <c:v>86,53</c:v>
                  </c:pt>
                  <c:pt idx="24">
                    <c:v>72,84</c:v>
                  </c:pt>
                  <c:pt idx="25">
                    <c:v>81,37</c:v>
                  </c:pt>
                  <c:pt idx="26">
                    <c:v>91,93</c:v>
                  </c:pt>
                  <c:pt idx="27">
                    <c:v>49,00</c:v>
                  </c:pt>
                  <c:pt idx="28">
                    <c:v>70,63</c:v>
                  </c:pt>
                  <c:pt idx="29">
                    <c:v>95,76</c:v>
                  </c:pt>
                  <c:pt idx="30">
                    <c:v>94,38</c:v>
                  </c:pt>
                  <c:pt idx="31">
                    <c:v>72,48</c:v>
                  </c:pt>
                  <c:pt idx="32">
                    <c:v>87,11</c:v>
                  </c:pt>
                  <c:pt idx="36">
                    <c:v>  106,107 . Lelang srcub</c:v>
                  </c:pt>
                </c:lvl>
                <c:lvl>
                  <c:pt idx="0">
                    <c:v>84,28</c:v>
                  </c:pt>
                  <c:pt idx="1">
                    <c:v>90,50</c:v>
                  </c:pt>
                  <c:pt idx="3">
                    <c:v>91,55</c:v>
                  </c:pt>
                  <c:pt idx="4">
                    <c:v>87,61</c:v>
                  </c:pt>
                  <c:pt idx="5">
                    <c:v>61,45</c:v>
                  </c:pt>
                  <c:pt idx="6">
                    <c:v>92,95</c:v>
                  </c:pt>
                  <c:pt idx="8">
                    <c:v>65,26</c:v>
                  </c:pt>
                  <c:pt idx="9">
                    <c:v>107,61</c:v>
                  </c:pt>
                  <c:pt idx="10">
                    <c:v>106,40</c:v>
                  </c:pt>
                  <c:pt idx="11">
                    <c:v>74,57</c:v>
                  </c:pt>
                  <c:pt idx="12">
                    <c:v>87,76</c:v>
                  </c:pt>
                  <c:pt idx="13">
                    <c:v>89,21</c:v>
                  </c:pt>
                  <c:pt idx="14">
                    <c:v>85,08</c:v>
                  </c:pt>
                  <c:pt idx="16">
                    <c:v>81,20</c:v>
                  </c:pt>
                  <c:pt idx="17">
                    <c:v>96,58</c:v>
                  </c:pt>
                  <c:pt idx="18">
                    <c:v>97,36</c:v>
                  </c:pt>
                  <c:pt idx="19">
                    <c:v>106,18</c:v>
                  </c:pt>
                  <c:pt idx="20">
                    <c:v>71,93</c:v>
                  </c:pt>
                  <c:pt idx="21">
                    <c:v>90,31</c:v>
                  </c:pt>
                  <c:pt idx="25">
                    <c:v>150,41</c:v>
                  </c:pt>
                  <c:pt idx="26">
                    <c:v>78,82</c:v>
                  </c:pt>
                  <c:pt idx="27">
                    <c:v>89,92</c:v>
                  </c:pt>
                  <c:pt idx="28">
                    <c:v>114,13</c:v>
                  </c:pt>
                  <c:pt idx="29">
                    <c:v>58,00</c:v>
                  </c:pt>
                  <c:pt idx="30">
                    <c:v>87,75</c:v>
                  </c:pt>
                  <c:pt idx="31">
                    <c:v>86,64</c:v>
                  </c:pt>
                  <c:pt idx="32">
                    <c:v>101,31</c:v>
                  </c:pt>
                  <c:pt idx="36">
                    <c:v>   99, 101. 102, 103, 105,</c:v>
                  </c:pt>
                </c:lvl>
                <c:lvl>
                  <c:pt idx="0">
                    <c:v>83,69</c:v>
                  </c:pt>
                  <c:pt idx="1">
                    <c:v>77,52</c:v>
                  </c:pt>
                  <c:pt idx="2">
                    <c:v>72,94</c:v>
                  </c:pt>
                  <c:pt idx="3">
                    <c:v>81,88</c:v>
                  </c:pt>
                  <c:pt idx="4">
                    <c:v>92,15</c:v>
                  </c:pt>
                  <c:pt idx="5">
                    <c:v>75,05</c:v>
                  </c:pt>
                  <c:pt idx="6">
                    <c:v>79,70</c:v>
                  </c:pt>
                  <c:pt idx="8">
                    <c:v>75,18</c:v>
                  </c:pt>
                  <c:pt idx="9">
                    <c:v>81,91</c:v>
                  </c:pt>
                  <c:pt idx="10">
                    <c:v>76,57</c:v>
                  </c:pt>
                  <c:pt idx="11">
                    <c:v>74,98</c:v>
                  </c:pt>
                  <c:pt idx="12">
                    <c:v>52,46</c:v>
                  </c:pt>
                  <c:pt idx="13">
                    <c:v>80,17</c:v>
                  </c:pt>
                  <c:pt idx="14">
                    <c:v>64,75</c:v>
                  </c:pt>
                  <c:pt idx="16">
                    <c:v>91,34</c:v>
                  </c:pt>
                  <c:pt idx="17">
                    <c:v>81,11</c:v>
                  </c:pt>
                  <c:pt idx="18">
                    <c:v>83,38</c:v>
                  </c:pt>
                  <c:pt idx="19">
                    <c:v>75,04</c:v>
                  </c:pt>
                  <c:pt idx="20">
                    <c:v>85,26</c:v>
                  </c:pt>
                  <c:pt idx="21">
                    <c:v>72,78</c:v>
                  </c:pt>
                  <c:pt idx="22">
                    <c:v>77,69</c:v>
                  </c:pt>
                  <c:pt idx="24">
                    <c:v>83,09</c:v>
                  </c:pt>
                  <c:pt idx="25">
                    <c:v>83,97</c:v>
                  </c:pt>
                  <c:pt idx="26">
                    <c:v>68,51</c:v>
                  </c:pt>
                  <c:pt idx="27">
                    <c:v>80,24</c:v>
                  </c:pt>
                  <c:pt idx="28">
                    <c:v>87,23</c:v>
                  </c:pt>
                  <c:pt idx="29">
                    <c:v>70,46</c:v>
                  </c:pt>
                  <c:pt idx="30">
                    <c:v>85,58</c:v>
                  </c:pt>
                  <c:pt idx="31">
                    <c:v>73,97</c:v>
                  </c:pt>
                  <c:pt idx="32">
                    <c:v>78,67</c:v>
                  </c:pt>
                  <c:pt idx="36">
                    <c:v>   89, 91, 92, 94, 96, 97,</c:v>
                  </c:pt>
                </c:lvl>
                <c:lvl>
                  <c:pt idx="0">
                    <c:v>97,85</c:v>
                  </c:pt>
                  <c:pt idx="1">
                    <c:v>96,28</c:v>
                  </c:pt>
                  <c:pt idx="2">
                    <c:v>85,24</c:v>
                  </c:pt>
                  <c:pt idx="3">
                    <c:v>84,06</c:v>
                  </c:pt>
                  <c:pt idx="4">
                    <c:v>46,22</c:v>
                  </c:pt>
                  <c:pt idx="5">
                    <c:v>54,70</c:v>
                  </c:pt>
                  <c:pt idx="6">
                    <c:v>88,00</c:v>
                  </c:pt>
                  <c:pt idx="8">
                    <c:v>73,47</c:v>
                  </c:pt>
                  <c:pt idx="9">
                    <c:v>95,05</c:v>
                  </c:pt>
                  <c:pt idx="10">
                    <c:v>86,32</c:v>
                  </c:pt>
                  <c:pt idx="11">
                    <c:v>94,94</c:v>
                  </c:pt>
                  <c:pt idx="12">
                    <c:v>84,38</c:v>
                  </c:pt>
                  <c:pt idx="13">
                    <c:v>78,04</c:v>
                  </c:pt>
                  <c:pt idx="14">
                    <c:v>77,99</c:v>
                  </c:pt>
                  <c:pt idx="16">
                    <c:v>74,51</c:v>
                  </c:pt>
                  <c:pt idx="17">
                    <c:v>90,88</c:v>
                  </c:pt>
                  <c:pt idx="18">
                    <c:v>86,13</c:v>
                  </c:pt>
                  <c:pt idx="19">
                    <c:v>87,62</c:v>
                  </c:pt>
                  <c:pt idx="20">
                    <c:v>104,7</c:v>
                  </c:pt>
                  <c:pt idx="21">
                    <c:v>75,89</c:v>
                  </c:pt>
                  <c:pt idx="22">
                    <c:v>81,94</c:v>
                  </c:pt>
                  <c:pt idx="24">
                    <c:v>87,49</c:v>
                  </c:pt>
                  <c:pt idx="25">
                    <c:v>112,00</c:v>
                  </c:pt>
                  <c:pt idx="26">
                    <c:v>87,68</c:v>
                  </c:pt>
                  <c:pt idx="27">
                    <c:v>93,70</c:v>
                  </c:pt>
                  <c:pt idx="28">
                    <c:v>73,55</c:v>
                  </c:pt>
                  <c:pt idx="29">
                    <c:v>57,28</c:v>
                  </c:pt>
                  <c:pt idx="30">
                    <c:v>103,70</c:v>
                  </c:pt>
                  <c:pt idx="31">
                    <c:v>89,39</c:v>
                  </c:pt>
                  <c:pt idx="32">
                    <c:v>83,15</c:v>
                  </c:pt>
                  <c:pt idx="36">
                    <c:v>   82, 84, 85, 86, 87, 88, </c:v>
                  </c:pt>
                </c:lvl>
                <c:lvl>
                  <c:pt idx="0">
                    <c:v>110,23</c:v>
                  </c:pt>
                  <c:pt idx="1">
                    <c:v>94,25</c:v>
                  </c:pt>
                  <c:pt idx="2">
                    <c:v>23,23</c:v>
                  </c:pt>
                  <c:pt idx="3">
                    <c:v>78,50</c:v>
                  </c:pt>
                  <c:pt idx="4">
                    <c:v>100,68</c:v>
                  </c:pt>
                  <c:pt idx="5">
                    <c:v>62,78</c:v>
                  </c:pt>
                  <c:pt idx="6">
                    <c:v>89,48</c:v>
                  </c:pt>
                  <c:pt idx="8">
                    <c:v>77,35</c:v>
                  </c:pt>
                  <c:pt idx="9">
                    <c:v>88,52</c:v>
                  </c:pt>
                  <c:pt idx="10">
                    <c:v>95,13</c:v>
                  </c:pt>
                  <c:pt idx="11">
                    <c:v>102,15</c:v>
                  </c:pt>
                  <c:pt idx="12">
                    <c:v>100,10</c:v>
                  </c:pt>
                  <c:pt idx="13">
                    <c:v>76,09</c:v>
                  </c:pt>
                  <c:pt idx="14">
                    <c:v>99,20</c:v>
                  </c:pt>
                  <c:pt idx="16">
                    <c:v>112,17</c:v>
                  </c:pt>
                  <c:pt idx="17">
                    <c:v>90,67</c:v>
                  </c:pt>
                  <c:pt idx="18">
                    <c:v>82,95</c:v>
                  </c:pt>
                  <c:pt idx="19">
                    <c:v>105,57</c:v>
                  </c:pt>
                  <c:pt idx="20">
                    <c:v>85,01</c:v>
                  </c:pt>
                  <c:pt idx="21">
                    <c:v>86,31</c:v>
                  </c:pt>
                  <c:pt idx="22">
                    <c:v>101,83</c:v>
                  </c:pt>
                  <c:pt idx="24">
                    <c:v>86,67</c:v>
                  </c:pt>
                  <c:pt idx="25">
                    <c:v>73,16</c:v>
                  </c:pt>
                  <c:pt idx="28">
                    <c:v>78,47</c:v>
                  </c:pt>
                  <c:pt idx="29">
                    <c:v>78,61</c:v>
                  </c:pt>
                  <c:pt idx="30">
                    <c:v>68,95</c:v>
                  </c:pt>
                  <c:pt idx="31">
                    <c:v>81,53</c:v>
                  </c:pt>
                  <c:pt idx="32">
                    <c:v>93,07</c:v>
                  </c:pt>
                  <c:pt idx="36">
                    <c:v>. HT 129, 130, 146, 160, </c:v>
                  </c:pt>
                </c:lvl>
                <c:lvl>
                  <c:pt idx="0">
                    <c:v>78,99</c:v>
                  </c:pt>
                  <c:pt idx="1">
                    <c:v>78,99</c:v>
                  </c:pt>
                  <c:pt idx="2">
                    <c:v>64,39</c:v>
                  </c:pt>
                  <c:pt idx="3">
                    <c:v>105,05</c:v>
                  </c:pt>
                  <c:pt idx="4">
                    <c:v>86,22</c:v>
                  </c:pt>
                  <c:pt idx="5">
                    <c:v>83,68</c:v>
                  </c:pt>
                  <c:pt idx="6">
                    <c:v>107,81</c:v>
                  </c:pt>
                  <c:pt idx="8">
                    <c:v>58,66</c:v>
                  </c:pt>
                  <c:pt idx="9">
                    <c:v>82,64</c:v>
                  </c:pt>
                  <c:pt idx="10">
                    <c:v>70,99</c:v>
                  </c:pt>
                  <c:pt idx="11">
                    <c:v>73,94</c:v>
                  </c:pt>
                  <c:pt idx="12">
                    <c:v>100,04</c:v>
                  </c:pt>
                  <c:pt idx="13">
                    <c:v>69,40</c:v>
                  </c:pt>
                  <c:pt idx="14">
                    <c:v>76,05</c:v>
                  </c:pt>
                  <c:pt idx="16">
                    <c:v>101,61</c:v>
                  </c:pt>
                  <c:pt idx="17">
                    <c:v>71,20</c:v>
                  </c:pt>
                  <c:pt idx="18">
                    <c:v>110,72</c:v>
                  </c:pt>
                  <c:pt idx="19">
                    <c:v>80,20</c:v>
                  </c:pt>
                  <c:pt idx="20">
                    <c:v>73,49</c:v>
                  </c:pt>
                  <c:pt idx="21">
                    <c:v>99,71</c:v>
                  </c:pt>
                  <c:pt idx="22">
                    <c:v>80,69</c:v>
                  </c:pt>
                  <c:pt idx="24">
                    <c:v>119,94</c:v>
                  </c:pt>
                  <c:pt idx="25">
                    <c:v>77,09</c:v>
                  </c:pt>
                  <c:pt idx="27">
                    <c:v>77,87</c:v>
                  </c:pt>
                  <c:pt idx="28">
                    <c:v>96,62</c:v>
                  </c:pt>
                  <c:pt idx="29">
                    <c:v>114,82</c:v>
                  </c:pt>
                  <c:pt idx="30">
                    <c:v>117,07</c:v>
                  </c:pt>
                  <c:pt idx="31">
                    <c:v>60,91</c:v>
                  </c:pt>
                  <c:pt idx="32">
                    <c:v>102,82</c:v>
                  </c:pt>
                  <c:pt idx="36">
                    <c:v>  Hasil dilapangan</c:v>
                  </c:pt>
                </c:lvl>
                <c:lvl>
                  <c:pt idx="0">
                    <c:v>89,25</c:v>
                  </c:pt>
                  <c:pt idx="2">
                    <c:v>147,51</c:v>
                  </c:pt>
                  <c:pt idx="3">
                    <c:v>70,92</c:v>
                  </c:pt>
                  <c:pt idx="4">
                    <c:v>83,18</c:v>
                  </c:pt>
                  <c:pt idx="5">
                    <c:v>63,87</c:v>
                  </c:pt>
                  <c:pt idx="6">
                    <c:v>93,92</c:v>
                  </c:pt>
                  <c:pt idx="8">
                    <c:v>62,43</c:v>
                  </c:pt>
                  <c:pt idx="9">
                    <c:v>75,35</c:v>
                  </c:pt>
                  <c:pt idx="10">
                    <c:v>60,60</c:v>
                  </c:pt>
                  <c:pt idx="11">
                    <c:v>86,53</c:v>
                  </c:pt>
                  <c:pt idx="12">
                    <c:v>72,29</c:v>
                  </c:pt>
                  <c:pt idx="13">
                    <c:v>98,38</c:v>
                  </c:pt>
                  <c:pt idx="14">
                    <c:v>76,53</c:v>
                  </c:pt>
                  <c:pt idx="16">
                    <c:v>95,59</c:v>
                  </c:pt>
                  <c:pt idx="17">
                    <c:v>89,32</c:v>
                  </c:pt>
                  <c:pt idx="18">
                    <c:v>63,84</c:v>
                  </c:pt>
                  <c:pt idx="19">
                    <c:v>72,22</c:v>
                  </c:pt>
                  <c:pt idx="20">
                    <c:v>70,61</c:v>
                  </c:pt>
                  <c:pt idx="21">
                    <c:v>68,91</c:v>
                  </c:pt>
                  <c:pt idx="22">
                    <c:v>79,68</c:v>
                  </c:pt>
                  <c:pt idx="24">
                    <c:v>88,22</c:v>
                  </c:pt>
                  <c:pt idx="25">
                    <c:v>85,66</c:v>
                  </c:pt>
                  <c:pt idx="26">
                    <c:v>73,84</c:v>
                  </c:pt>
                  <c:pt idx="27">
                    <c:v>80,03</c:v>
                  </c:pt>
                  <c:pt idx="29">
                    <c:v>84,78</c:v>
                  </c:pt>
                  <c:pt idx="30">
                    <c:v>92,75</c:v>
                  </c:pt>
                  <c:pt idx="31">
                    <c:v>60,81</c:v>
                  </c:pt>
                  <c:pt idx="32">
                    <c:v>81,08</c:v>
                  </c:pt>
                </c:lvl>
                <c:lvl>
                  <c:pt idx="0">
                    <c:v>65,89</c:v>
                  </c:pt>
                  <c:pt idx="1">
                    <c:v>69,72</c:v>
                  </c:pt>
                  <c:pt idx="2">
                    <c:v>66,68</c:v>
                  </c:pt>
                  <c:pt idx="3">
                    <c:v>72,75</c:v>
                  </c:pt>
                  <c:pt idx="4">
                    <c:v>62,51</c:v>
                  </c:pt>
                  <c:pt idx="5">
                    <c:v>70,32</c:v>
                  </c:pt>
                  <c:pt idx="6">
                    <c:v>83,78</c:v>
                  </c:pt>
                  <c:pt idx="8">
                    <c:v>77,62</c:v>
                  </c:pt>
                  <c:pt idx="9">
                    <c:v>56,13</c:v>
                  </c:pt>
                  <c:pt idx="10">
                    <c:v>66,98</c:v>
                  </c:pt>
                  <c:pt idx="11">
                    <c:v>88,02</c:v>
                  </c:pt>
                  <c:pt idx="12">
                    <c:v>66,37</c:v>
                  </c:pt>
                  <c:pt idx="13">
                    <c:v>77,99</c:v>
                  </c:pt>
                  <c:pt idx="14">
                    <c:v>75,30</c:v>
                  </c:pt>
                  <c:pt idx="16">
                    <c:v>79,73</c:v>
                  </c:pt>
                  <c:pt idx="17">
                    <c:v>85,07</c:v>
                  </c:pt>
                  <c:pt idx="18">
                    <c:v>66,10</c:v>
                  </c:pt>
                  <c:pt idx="19">
                    <c:v>81,97</c:v>
                  </c:pt>
                  <c:pt idx="20">
                    <c:v>63,24</c:v>
                  </c:pt>
                  <c:pt idx="21">
                    <c:v>82,97</c:v>
                  </c:pt>
                  <c:pt idx="22">
                    <c:v>77,09</c:v>
                  </c:pt>
                  <c:pt idx="24">
                    <c:v>91,75</c:v>
                  </c:pt>
                  <c:pt idx="25">
                    <c:v>79,79</c:v>
                  </c:pt>
                  <c:pt idx="26">
                    <c:v>92,49</c:v>
                  </c:pt>
                  <c:pt idx="27">
                    <c:v>73,46</c:v>
                  </c:pt>
                  <c:pt idx="28">
                    <c:v>108,49</c:v>
                  </c:pt>
                  <c:pt idx="29">
                    <c:v>103,14</c:v>
                  </c:pt>
                  <c:pt idx="30">
                    <c:v>92,46</c:v>
                  </c:pt>
                  <c:pt idx="31">
                    <c:v>48,62</c:v>
                  </c:pt>
                  <c:pt idx="32">
                    <c:v>88,27</c:v>
                  </c:pt>
                  <c:pt idx="36">
                    <c:v>. HT 118 Utk Behandle</c:v>
                  </c:pt>
                </c:lvl>
                <c:lvl>
                  <c:pt idx="0">
                    <c:v>79,17</c:v>
                  </c:pt>
                  <c:pt idx="1">
                    <c:v>78,64</c:v>
                  </c:pt>
                  <c:pt idx="2">
                    <c:v>84,42</c:v>
                  </c:pt>
                  <c:pt idx="3">
                    <c:v>83,47</c:v>
                  </c:pt>
                  <c:pt idx="4">
                    <c:v>74,39</c:v>
                  </c:pt>
                  <c:pt idx="5">
                    <c:v>80,96</c:v>
                  </c:pt>
                  <c:pt idx="6">
                    <c:v>97,68</c:v>
                  </c:pt>
                  <c:pt idx="8">
                    <c:v>64,03</c:v>
                  </c:pt>
                  <c:pt idx="9">
                    <c:v>75,57</c:v>
                  </c:pt>
                  <c:pt idx="10">
                    <c:v>82,89</c:v>
                  </c:pt>
                  <c:pt idx="11">
                    <c:v>92,25</c:v>
                  </c:pt>
                  <c:pt idx="12">
                    <c:v>78,67</c:v>
                  </c:pt>
                  <c:pt idx="13">
                    <c:v>79,34</c:v>
                  </c:pt>
                  <c:pt idx="14">
                    <c:v>94,82</c:v>
                  </c:pt>
                  <c:pt idx="16">
                    <c:v>89,03</c:v>
                  </c:pt>
                  <c:pt idx="17">
                    <c:v>101,35</c:v>
                  </c:pt>
                  <c:pt idx="18">
                    <c:v>104,65</c:v>
                  </c:pt>
                  <c:pt idx="19">
                    <c:v>80,21</c:v>
                  </c:pt>
                  <c:pt idx="20">
                    <c:v>88,76</c:v>
                  </c:pt>
                  <c:pt idx="25">
                    <c:v>71,13</c:v>
                  </c:pt>
                  <c:pt idx="26">
                    <c:v>89,84</c:v>
                  </c:pt>
                  <c:pt idx="27">
                    <c:v>73,14</c:v>
                  </c:pt>
                  <c:pt idx="28">
                    <c:v>90,30</c:v>
                  </c:pt>
                  <c:pt idx="29">
                    <c:v>72,16</c:v>
                  </c:pt>
                  <c:pt idx="30">
                    <c:v>88,83</c:v>
                  </c:pt>
                  <c:pt idx="31">
                    <c:v>80,41</c:v>
                  </c:pt>
                  <c:pt idx="32">
                    <c:v>92,42</c:v>
                  </c:pt>
                  <c:pt idx="36">
                    <c:v>. HT 23 Utk Alban BM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8">
                    <c:v>137,32</c:v>
                  </c:pt>
                  <c:pt idx="34">
                    <c:v>PM</c:v>
                  </c:pt>
                  <c:pt idx="36">
                    <c:v>Khusus HT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Full tanki BBM Solar</c:v>
                  </c:pt>
                </c:lvl>
                <c:lvl>
                  <c:pt idx="0">
                    <c:v>109,42</c:v>
                  </c:pt>
                  <c:pt idx="1">
                    <c:v>91,66</c:v>
                  </c:pt>
                  <c:pt idx="2">
                    <c:v>70,13</c:v>
                  </c:pt>
                  <c:pt idx="3">
                    <c:v>103,25</c:v>
                  </c:pt>
                  <c:pt idx="4">
                    <c:v>71,80</c:v>
                  </c:pt>
                  <c:pt idx="5">
                    <c:v>109,43</c:v>
                  </c:pt>
                  <c:pt idx="6">
                    <c:v>107,39</c:v>
                  </c:pt>
                  <c:pt idx="10">
                    <c:v>68,32</c:v>
                  </c:pt>
                  <c:pt idx="11">
                    <c:v>106,23</c:v>
                  </c:pt>
                  <c:pt idx="12">
                    <c:v>25,76</c:v>
                  </c:pt>
                  <c:pt idx="13">
                    <c:v>84,46</c:v>
                  </c:pt>
                  <c:pt idx="14">
                    <c:v>88,00</c:v>
                  </c:pt>
                  <c:pt idx="16">
                    <c:v>136,40</c:v>
                  </c:pt>
                  <c:pt idx="17">
                    <c:v>98,86</c:v>
                  </c:pt>
                  <c:pt idx="18">
                    <c:v>103,51</c:v>
                  </c:pt>
                  <c:pt idx="19">
                    <c:v>103,58</c:v>
                  </c:pt>
                  <c:pt idx="20">
                    <c:v>100,03</c:v>
                  </c:pt>
                  <c:pt idx="21">
                    <c:v>98,34</c:v>
                  </c:pt>
                  <c:pt idx="22">
                    <c:v>50,88</c:v>
                  </c:pt>
                  <c:pt idx="24">
                    <c:v>93,57</c:v>
                  </c:pt>
                  <c:pt idx="25">
                    <c:v>72,39</c:v>
                  </c:pt>
                  <c:pt idx="26">
                    <c:v>89,62</c:v>
                  </c:pt>
                  <c:pt idx="27">
                    <c:v>109,66</c:v>
                  </c:pt>
                  <c:pt idx="28">
                    <c:v>99,85</c:v>
                  </c:pt>
                  <c:pt idx="30">
                    <c:v>88,28</c:v>
                  </c:pt>
                  <c:pt idx="31">
                    <c:v>77,64</c:v>
                  </c:pt>
                  <c:pt idx="32">
                    <c:v>134,47</c:v>
                  </c:pt>
                  <c:pt idx="36">
                    <c:v>semua Uni HT diisi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Tgl 14 Desember '25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83 - 104, 230 Liter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23, 230 Liter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  <c:lvl>
                  <c:pt idx="0">
                    <c:v>39.18.11</c:v>
                  </c:pt>
                  <c:pt idx="1">
                    <c:v>36.16.11</c:v>
                  </c:pt>
                  <c:pt idx="2">
                    <c:v>39.13.11</c:v>
                  </c:pt>
                  <c:pt idx="3">
                    <c:v>41.11.11</c:v>
                  </c:pt>
                  <c:pt idx="4">
                    <c:v>36.16.11</c:v>
                  </c:pt>
                  <c:pt idx="5">
                    <c:v>38.14.11</c:v>
                  </c:pt>
                  <c:pt idx="6">
                    <c:v>37.15.11</c:v>
                  </c:pt>
                  <c:pt idx="8">
                    <c:v>36.16.11</c:v>
                  </c:pt>
                  <c:pt idx="9">
                    <c:v>36.16.11</c:v>
                  </c:pt>
                  <c:pt idx="10">
                    <c:v>38.14.11</c:v>
                  </c:pt>
                  <c:pt idx="11">
                    <c:v>38.14.11</c:v>
                  </c:pt>
                  <c:pt idx="12">
                    <c:v>38.14.11</c:v>
                  </c:pt>
                  <c:pt idx="13">
                    <c:v>36.16.11</c:v>
                  </c:pt>
                  <c:pt idx="14">
                    <c:v>38.14.11</c:v>
                  </c:pt>
                  <c:pt idx="16">
                    <c:v>39.13.11</c:v>
                  </c:pt>
                  <c:pt idx="17">
                    <c:v>35.17.11</c:v>
                  </c:pt>
                  <c:pt idx="18">
                    <c:v>37.15.11</c:v>
                  </c:pt>
                  <c:pt idx="19">
                    <c:v>37.15.11</c:v>
                  </c:pt>
                  <c:pt idx="20">
                    <c:v>38.14.11</c:v>
                  </c:pt>
                  <c:pt idx="21">
                    <c:v>36.16.11</c:v>
                  </c:pt>
                  <c:pt idx="22">
                    <c:v>39.13.11</c:v>
                  </c:pt>
                  <c:pt idx="24">
                    <c:v>38.14.11</c:v>
                  </c:pt>
                  <c:pt idx="25">
                    <c:v>36.16.11</c:v>
                  </c:pt>
                  <c:pt idx="26">
                    <c:v>37.15.11</c:v>
                  </c:pt>
                  <c:pt idx="27">
                    <c:v>38.14.11</c:v>
                  </c:pt>
                  <c:pt idx="28">
                    <c:v>39.13.11</c:v>
                  </c:pt>
                  <c:pt idx="29">
                    <c:v>39.13.11</c:v>
                  </c:pt>
                  <c:pt idx="30">
                    <c:v>39.13.11</c:v>
                  </c:pt>
                  <c:pt idx="31">
                    <c:v>36.16.11</c:v>
                  </c:pt>
                  <c:pt idx="32">
                    <c:v>39.13.11</c:v>
                  </c:pt>
                </c:lvl>
                <c:lvl>
                  <c:pt idx="0">
                    <c:v>9895,89</c:v>
                  </c:pt>
                  <c:pt idx="1">
                    <c:v>9964,69</c:v>
                  </c:pt>
                  <c:pt idx="2">
                    <c:v>12307,57</c:v>
                  </c:pt>
                  <c:pt idx="3">
                    <c:v>12254,61</c:v>
                  </c:pt>
                  <c:pt idx="4">
                    <c:v>11498,34</c:v>
                  </c:pt>
                  <c:pt idx="5">
                    <c:v>13113,87</c:v>
                  </c:pt>
                  <c:pt idx="6">
                    <c:v>11218,15</c:v>
                  </c:pt>
                  <c:pt idx="7">
                    <c:v>80253,12</c:v>
                  </c:pt>
                  <c:pt idx="8">
                    <c:v>9399,98</c:v>
                  </c:pt>
                  <c:pt idx="9">
                    <c:v>9968,22</c:v>
                  </c:pt>
                  <c:pt idx="10">
                    <c:v>12174,80</c:v>
                  </c:pt>
                  <c:pt idx="11">
                    <c:v>11162,21</c:v>
                  </c:pt>
                  <c:pt idx="12">
                    <c:v>10601,86</c:v>
                  </c:pt>
                  <c:pt idx="13">
                    <c:v>10912,59</c:v>
                  </c:pt>
                  <c:pt idx="14">
                    <c:v>12360,61</c:v>
                  </c:pt>
                  <c:pt idx="15">
                    <c:v>76580,27</c:v>
                  </c:pt>
                  <c:pt idx="16">
                    <c:v>10272,45</c:v>
                  </c:pt>
                  <c:pt idx="17">
                    <c:v>9894,73</c:v>
                  </c:pt>
                  <c:pt idx="18">
                    <c:v>11561,29</c:v>
                  </c:pt>
                  <c:pt idx="19">
                    <c:v>10410,12</c:v>
                  </c:pt>
                  <c:pt idx="20">
                    <c:v>12458,33</c:v>
                  </c:pt>
                  <c:pt idx="21">
                    <c:v>11463,59</c:v>
                  </c:pt>
                  <c:pt idx="22">
                    <c:v>13208,32</c:v>
                  </c:pt>
                  <c:pt idx="23">
                    <c:v>79268,83</c:v>
                  </c:pt>
                  <c:pt idx="24">
                    <c:v>12417,02</c:v>
                  </c:pt>
                  <c:pt idx="25">
                    <c:v>11331,55</c:v>
                  </c:pt>
                  <c:pt idx="26">
                    <c:v>11398,18</c:v>
                  </c:pt>
                  <c:pt idx="27">
                    <c:v>11498,11</c:v>
                  </c:pt>
                  <c:pt idx="28">
                    <c:v>13013,03</c:v>
                  </c:pt>
                  <c:pt idx="29">
                    <c:v>11538,36</c:v>
                  </c:pt>
                  <c:pt idx="30">
                    <c:v>11894,62</c:v>
                  </c:pt>
                  <c:pt idx="31">
                    <c:v>10027,87</c:v>
                  </c:pt>
                  <c:pt idx="32">
                    <c:v>12099,92</c:v>
                  </c:pt>
                  <c:pt idx="34">
                    <c:v>105218,66</c:v>
                  </c:pt>
                  <c:pt idx="35">
                    <c:v>341320,88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202,24</c:v>
                  </c:pt>
                  <c:pt idx="1">
                    <c:v>199,91</c:v>
                  </c:pt>
                  <c:pt idx="2">
                    <c:v>250,86</c:v>
                  </c:pt>
                  <c:pt idx="3">
                    <c:v>250,30</c:v>
                  </c:pt>
                  <c:pt idx="4">
                    <c:v>251,22</c:v>
                  </c:pt>
                  <c:pt idx="5">
                    <c:v>300,21</c:v>
                  </c:pt>
                  <c:pt idx="6">
                    <c:v>200,48</c:v>
                  </c:pt>
                  <c:pt idx="8">
                    <c:v>200,31</c:v>
                  </c:pt>
                  <c:pt idx="9">
                    <c:v>200,20</c:v>
                  </c:pt>
                  <c:pt idx="10">
                    <c:v>300,21</c:v>
                  </c:pt>
                  <c:pt idx="11">
                    <c:v>200,18</c:v>
                  </c:pt>
                  <c:pt idx="12">
                    <c:v>250,14</c:v>
                  </c:pt>
                  <c:pt idx="13">
                    <c:v>137,68</c:v>
                  </c:pt>
                  <c:pt idx="14">
                    <c:v>300,36</c:v>
                  </c:pt>
                  <c:pt idx="16">
                    <c:v>200,58</c:v>
                  </c:pt>
                  <c:pt idx="17">
                    <c:v>250,31</c:v>
                  </c:pt>
                  <c:pt idx="18">
                    <c:v>199,75</c:v>
                  </c:pt>
                  <c:pt idx="19">
                    <c:v>200,53</c:v>
                  </c:pt>
                  <c:pt idx="20">
                    <c:v>250,48</c:v>
                  </c:pt>
                  <c:pt idx="21">
                    <c:v>299,85</c:v>
                  </c:pt>
                  <c:pt idx="22">
                    <c:v>451,65</c:v>
                  </c:pt>
                  <c:pt idx="24">
                    <c:v>300,19</c:v>
                  </c:pt>
                  <c:pt idx="25">
                    <c:v>200,76</c:v>
                  </c:pt>
                  <c:pt idx="26">
                    <c:v>250,72</c:v>
                  </c:pt>
                  <c:pt idx="27">
                    <c:v>200,51</c:v>
                  </c:pt>
                  <c:pt idx="28">
                    <c:v>250,43</c:v>
                  </c:pt>
                  <c:pt idx="29">
                    <c:v>200,42</c:v>
                  </c:pt>
                  <c:pt idx="30">
                    <c:v>200,33</c:v>
                  </c:pt>
                  <c:pt idx="31">
                    <c:v>200,13</c:v>
                  </c:pt>
                  <c:pt idx="32">
                    <c:v>200,25</c:v>
                  </c:pt>
                  <c:pt idx="35">
                    <c:v>105218,66</c:v>
                  </c:pt>
                </c:lvl>
                <c:lvl>
                  <c:pt idx="0">
                    <c:v>250,12</c:v>
                  </c:pt>
                  <c:pt idx="1">
                    <c:v>200,09</c:v>
                  </c:pt>
                  <c:pt idx="2">
                    <c:v>200,03</c:v>
                  </c:pt>
                  <c:pt idx="3">
                    <c:v>199,84</c:v>
                  </c:pt>
                  <c:pt idx="4">
                    <c:v>247,99</c:v>
                  </c:pt>
                  <c:pt idx="5">
                    <c:v>199,95</c:v>
                  </c:pt>
                  <c:pt idx="6">
                    <c:v>200,62</c:v>
                  </c:pt>
                  <c:pt idx="8">
                    <c:v>250,28</c:v>
                  </c:pt>
                  <c:pt idx="9">
                    <c:v>300,23</c:v>
                  </c:pt>
                  <c:pt idx="10">
                    <c:v>250,55</c:v>
                  </c:pt>
                  <c:pt idx="11">
                    <c:v>254,25</c:v>
                  </c:pt>
                  <c:pt idx="12">
                    <c:v>200,19</c:v>
                  </c:pt>
                  <c:pt idx="13">
                    <c:v>250,45</c:v>
                  </c:pt>
                  <c:pt idx="14">
                    <c:v>300,00</c:v>
                  </c:pt>
                  <c:pt idx="16">
                    <c:v>249,97</c:v>
                  </c:pt>
                  <c:pt idx="17">
                    <c:v>200,17</c:v>
                  </c:pt>
                  <c:pt idx="18">
                    <c:v>300,24</c:v>
                  </c:pt>
                  <c:pt idx="19">
                    <c:v>200,16</c:v>
                  </c:pt>
                  <c:pt idx="20">
                    <c:v>300,77</c:v>
                  </c:pt>
                  <c:pt idx="21">
                    <c:v>250,56</c:v>
                  </c:pt>
                  <c:pt idx="22">
                    <c:v>250,95</c:v>
                  </c:pt>
                  <c:pt idx="24">
                    <c:v>200,57</c:v>
                  </c:pt>
                  <c:pt idx="25">
                    <c:v>200,48</c:v>
                  </c:pt>
                  <c:pt idx="26">
                    <c:v>199,99</c:v>
                  </c:pt>
                  <c:pt idx="27">
                    <c:v>200,18</c:v>
                  </c:pt>
                  <c:pt idx="28">
                    <c:v>250,38</c:v>
                  </c:pt>
                  <c:pt idx="29">
                    <c:v>300,01</c:v>
                  </c:pt>
                  <c:pt idx="30">
                    <c:v>200,35</c:v>
                  </c:pt>
                  <c:pt idx="31">
                    <c:v>200,21</c:v>
                  </c:pt>
                  <c:pt idx="32">
                    <c:v>251,63</c:v>
                  </c:pt>
                  <c:pt idx="35">
                    <c:v>79268,83</c:v>
                  </c:pt>
                </c:lvl>
                <c:lvl>
                  <c:pt idx="0">
                    <c:v>321,22</c:v>
                  </c:pt>
                  <c:pt idx="1">
                    <c:v>150,02</c:v>
                  </c:pt>
                  <c:pt idx="2">
                    <c:v>201,08</c:v>
                  </c:pt>
                  <c:pt idx="3">
                    <c:v>250,28</c:v>
                  </c:pt>
                  <c:pt idx="4">
                    <c:v>250,85</c:v>
                  </c:pt>
                  <c:pt idx="5">
                    <c:v>300,04</c:v>
                  </c:pt>
                  <c:pt idx="6">
                    <c:v>200,64</c:v>
                  </c:pt>
                  <c:pt idx="8">
                    <c:v>200,65</c:v>
                  </c:pt>
                  <c:pt idx="9">
                    <c:v>250,15</c:v>
                  </c:pt>
                  <c:pt idx="10">
                    <c:v>300,36</c:v>
                  </c:pt>
                  <c:pt idx="11">
                    <c:v>200,26</c:v>
                  </c:pt>
                  <c:pt idx="12">
                    <c:v>250,35</c:v>
                  </c:pt>
                  <c:pt idx="13">
                    <c:v>200,41</c:v>
                  </c:pt>
                  <c:pt idx="14">
                    <c:v>350,57</c:v>
                  </c:pt>
                  <c:pt idx="16">
                    <c:v>200,28</c:v>
                  </c:pt>
                  <c:pt idx="17">
                    <c:v>250,27</c:v>
                  </c:pt>
                  <c:pt idx="18">
                    <c:v>250,01</c:v>
                  </c:pt>
                  <c:pt idx="19">
                    <c:v>250,31</c:v>
                  </c:pt>
                  <c:pt idx="20">
                    <c:v>250,28</c:v>
                  </c:pt>
                  <c:pt idx="21">
                    <c:v>200,65</c:v>
                  </c:pt>
                  <c:pt idx="22">
                    <c:v>200,14</c:v>
                  </c:pt>
                  <c:pt idx="24">
                    <c:v>300,34</c:v>
                  </c:pt>
                  <c:pt idx="25">
                    <c:v>203,09</c:v>
                  </c:pt>
                  <c:pt idx="26">
                    <c:v>299,90</c:v>
                  </c:pt>
                  <c:pt idx="27">
                    <c:v>250,34</c:v>
                  </c:pt>
                  <c:pt idx="28">
                    <c:v>250,47</c:v>
                  </c:pt>
                  <c:pt idx="29">
                    <c:v>250,94</c:v>
                  </c:pt>
                  <c:pt idx="30">
                    <c:v>350,33</c:v>
                  </c:pt>
                  <c:pt idx="31">
                    <c:v>300,30</c:v>
                  </c:pt>
                  <c:pt idx="32">
                    <c:v>250,16</c:v>
                  </c:pt>
                  <c:pt idx="35">
                    <c:v>76580,27</c:v>
                  </c:pt>
                </c:lvl>
                <c:lvl>
                  <c:pt idx="0">
                    <c:v>250,23</c:v>
                  </c:pt>
                  <c:pt idx="1">
                    <c:v>200,98</c:v>
                  </c:pt>
                  <c:pt idx="2">
                    <c:v>250,49</c:v>
                  </c:pt>
                  <c:pt idx="3">
                    <c:v>200,90</c:v>
                  </c:pt>
                  <c:pt idx="4">
                    <c:v>147,13</c:v>
                  </c:pt>
                  <c:pt idx="5">
                    <c:v>299,70</c:v>
                  </c:pt>
                  <c:pt idx="6">
                    <c:v>200,40</c:v>
                  </c:pt>
                  <c:pt idx="8">
                    <c:v>200,24</c:v>
                  </c:pt>
                  <c:pt idx="9">
                    <c:v>250,18</c:v>
                  </c:pt>
                  <c:pt idx="10">
                    <c:v>249,98</c:v>
                  </c:pt>
                  <c:pt idx="11">
                    <c:v>200,30</c:v>
                  </c:pt>
                  <c:pt idx="12">
                    <c:v>200,27</c:v>
                  </c:pt>
                  <c:pt idx="13">
                    <c:v>199,60</c:v>
                  </c:pt>
                  <c:pt idx="14">
                    <c:v>250,89</c:v>
                  </c:pt>
                  <c:pt idx="16">
                    <c:v>250,24</c:v>
                  </c:pt>
                  <c:pt idx="17">
                    <c:v>250,15</c:v>
                  </c:pt>
                  <c:pt idx="18">
                    <c:v>201,15</c:v>
                  </c:pt>
                  <c:pt idx="19">
                    <c:v>200,39</c:v>
                  </c:pt>
                  <c:pt idx="20">
                    <c:v>200,49</c:v>
                  </c:pt>
                  <c:pt idx="21">
                    <c:v>250,22</c:v>
                  </c:pt>
                  <c:pt idx="22">
                    <c:v>200,05</c:v>
                  </c:pt>
                  <c:pt idx="24">
                    <c:v>250,44</c:v>
                  </c:pt>
                  <c:pt idx="25">
                    <c:v>249,88</c:v>
                  </c:pt>
                  <c:pt idx="26">
                    <c:v>235,46</c:v>
                  </c:pt>
                  <c:pt idx="27">
                    <c:v>200,59</c:v>
                  </c:pt>
                  <c:pt idx="28">
                    <c:v>250,55</c:v>
                  </c:pt>
                  <c:pt idx="29">
                    <c:v>250,50</c:v>
                  </c:pt>
                  <c:pt idx="30">
                    <c:v>300,13</c:v>
                  </c:pt>
                  <c:pt idx="31">
                    <c:v>199,73</c:v>
                  </c:pt>
                  <c:pt idx="32">
                    <c:v>250,52</c:v>
                  </c:pt>
                  <c:pt idx="35">
                    <c:v>80253,12</c:v>
                  </c:pt>
                </c:lvl>
                <c:lvl>
                  <c:pt idx="0">
                    <c:v>150,16</c:v>
                  </c:pt>
                  <c:pt idx="1">
                    <c:v>99,82</c:v>
                  </c:pt>
                  <c:pt idx="2">
                    <c:v>146,00</c:v>
                  </c:pt>
                  <c:pt idx="3">
                    <c:v>100,63</c:v>
                  </c:pt>
                  <c:pt idx="4">
                    <c:v>FULL</c:v>
                  </c:pt>
                  <c:pt idx="5">
                    <c:v>199,68</c:v>
                  </c:pt>
                  <c:pt idx="6">
                    <c:v>200,35</c:v>
                  </c:pt>
                  <c:pt idx="8">
                    <c:v>250,31</c:v>
                  </c:pt>
                  <c:pt idx="9">
                    <c:v>200,22</c:v>
                  </c:pt>
                  <c:pt idx="10">
                    <c:v>200,19</c:v>
                  </c:pt>
                  <c:pt idx="11">
                    <c:v>250,56</c:v>
                  </c:pt>
                  <c:pt idx="12">
                    <c:v>200,27</c:v>
                  </c:pt>
                  <c:pt idx="13">
                    <c:v>201,22</c:v>
                  </c:pt>
                  <c:pt idx="14">
                    <c:v>250,70</c:v>
                  </c:pt>
                  <c:pt idx="16">
                    <c:v>200,39</c:v>
                  </c:pt>
                  <c:pt idx="17">
                    <c:v>200,48</c:v>
                  </c:pt>
                  <c:pt idx="18">
                    <c:v>249,98</c:v>
                  </c:pt>
                  <c:pt idx="19">
                    <c:v>200,20</c:v>
                  </c:pt>
                  <c:pt idx="20">
                    <c:v>250,12</c:v>
                  </c:pt>
                  <c:pt idx="21">
                    <c:v>250,24</c:v>
                  </c:pt>
                  <c:pt idx="22">
                    <c:v>250,95</c:v>
                  </c:pt>
                  <c:pt idx="24">
                    <c:v>250,37</c:v>
                  </c:pt>
                  <c:pt idx="25">
                    <c:v>199,71</c:v>
                  </c:pt>
                  <c:pt idx="26">
                    <c:v>200,43</c:v>
                  </c:pt>
                  <c:pt idx="27">
                    <c:v>201,39</c:v>
                  </c:pt>
                  <c:pt idx="28">
                    <c:v>250,03</c:v>
                  </c:pt>
                  <c:pt idx="29">
                    <c:v>250,80</c:v>
                  </c:pt>
                  <c:pt idx="30">
                    <c:v>200,15</c:v>
                  </c:pt>
                  <c:pt idx="31">
                    <c:v>250,14</c:v>
                  </c:pt>
                  <c:pt idx="32">
                    <c:v>301,03</c:v>
                  </c:pt>
                </c:lvl>
                <c:lvl>
                  <c:pt idx="0">
                    <c:v>254,05</c:v>
                  </c:pt>
                  <c:pt idx="1">
                    <c:v>250,44</c:v>
                  </c:pt>
                  <c:pt idx="2">
                    <c:v>299,86</c:v>
                  </c:pt>
                  <c:pt idx="3">
                    <c:v>250,79</c:v>
                  </c:pt>
                  <c:pt idx="4">
                    <c:v>296,47</c:v>
                  </c:pt>
                  <c:pt idx="5">
                    <c:v>300,12</c:v>
                  </c:pt>
                  <c:pt idx="6">
                    <c:v>200,30</c:v>
                  </c:pt>
                  <c:pt idx="8">
                    <c:v>211,77</c:v>
                  </c:pt>
                  <c:pt idx="9">
                    <c:v>300,05</c:v>
                  </c:pt>
                  <c:pt idx="10">
                    <c:v>200,33</c:v>
                  </c:pt>
                  <c:pt idx="11">
                    <c:v>250,25</c:v>
                  </c:pt>
                  <c:pt idx="12">
                    <c:v>250,40</c:v>
                  </c:pt>
                  <c:pt idx="13">
                    <c:v>201,70</c:v>
                  </c:pt>
                  <c:pt idx="14">
                    <c:v>350,80</c:v>
                  </c:pt>
                  <c:pt idx="16">
                    <c:v>200,44</c:v>
                  </c:pt>
                  <c:pt idx="17">
                    <c:v>200,28</c:v>
                  </c:pt>
                  <c:pt idx="18">
                    <c:v>248,76</c:v>
                  </c:pt>
                  <c:pt idx="19">
                    <c:v>200,21</c:v>
                  </c:pt>
                  <c:pt idx="20">
                    <c:v>251,36</c:v>
                  </c:pt>
                  <c:pt idx="21">
                    <c:v>300,12</c:v>
                  </c:pt>
                  <c:pt idx="22">
                    <c:v>251,00</c:v>
                  </c:pt>
                  <c:pt idx="24">
                    <c:v>200,18</c:v>
                  </c:pt>
                  <c:pt idx="25">
                    <c:v>199,79</c:v>
                  </c:pt>
                  <c:pt idx="26">
                    <c:v>299,76</c:v>
                  </c:pt>
                  <c:pt idx="27">
                    <c:v>200,39</c:v>
                  </c:pt>
                  <c:pt idx="28">
                    <c:v>300,13</c:v>
                  </c:pt>
                  <c:pt idx="29">
                    <c:v>250,21</c:v>
                  </c:pt>
                  <c:pt idx="30">
                    <c:v>250,51</c:v>
                  </c:pt>
                  <c:pt idx="31">
                    <c:v>200,26</c:v>
                  </c:pt>
                  <c:pt idx="32">
                    <c:v>250,35</c:v>
                  </c:pt>
                </c:lvl>
                <c:lvl>
                  <c:pt idx="0">
                    <c:v>250,53</c:v>
                  </c:pt>
                  <c:pt idx="1">
                    <c:v>150,08</c:v>
                  </c:pt>
                  <c:pt idx="2">
                    <c:v>250,09</c:v>
                  </c:pt>
                  <c:pt idx="3">
                    <c:v>250,30</c:v>
                  </c:pt>
                  <c:pt idx="4">
                    <c:v>300,45</c:v>
                  </c:pt>
                  <c:pt idx="5">
                    <c:v>250,49</c:v>
                  </c:pt>
                  <c:pt idx="6">
                    <c:v>200,45</c:v>
                  </c:pt>
                  <c:pt idx="8">
                    <c:v>251,09</c:v>
                  </c:pt>
                  <c:pt idx="9">
                    <c:v>250,76</c:v>
                  </c:pt>
                  <c:pt idx="10">
                    <c:v>200,29</c:v>
                  </c:pt>
                  <c:pt idx="11">
                    <c:v>200,12</c:v>
                  </c:pt>
                  <c:pt idx="12">
                    <c:v>200,13</c:v>
                  </c:pt>
                  <c:pt idx="13">
                    <c:v>200,59</c:v>
                  </c:pt>
                  <c:pt idx="14">
                    <c:v>249,99</c:v>
                  </c:pt>
                  <c:pt idx="16">
                    <c:v>203,48</c:v>
                  </c:pt>
                  <c:pt idx="17">
                    <c:v>300,12</c:v>
                  </c:pt>
                  <c:pt idx="18">
                    <c:v>200,00</c:v>
                  </c:pt>
                  <c:pt idx="19">
                    <c:v>250,67</c:v>
                  </c:pt>
                  <c:pt idx="20">
                    <c:v>250,40</c:v>
                  </c:pt>
                  <c:pt idx="21">
                    <c:v>350,26</c:v>
                  </c:pt>
                  <c:pt idx="22">
                    <c:v>200,24</c:v>
                  </c:pt>
                  <c:pt idx="24">
                    <c:v>250,33</c:v>
                  </c:pt>
                  <c:pt idx="25">
                    <c:v>199,50</c:v>
                  </c:pt>
                  <c:pt idx="26">
                    <c:v>250,71</c:v>
                  </c:pt>
                  <c:pt idx="27">
                    <c:v>200,25</c:v>
                  </c:pt>
                  <c:pt idx="28">
                    <c:v>250,50</c:v>
                  </c:pt>
                  <c:pt idx="29">
                    <c:v>200,51</c:v>
                  </c:pt>
                  <c:pt idx="30">
                    <c:v>150,41</c:v>
                  </c:pt>
                  <c:pt idx="31">
                    <c:v>FULL</c:v>
                  </c:pt>
                  <c:pt idx="32">
                    <c:v>250,90</c:v>
                  </c:pt>
                </c:lvl>
                <c:lvl>
                  <c:pt idx="0">
                    <c:v>160,45</c:v>
                  </c:pt>
                  <c:pt idx="1">
                    <c:v>101,31</c:v>
                  </c:pt>
                  <c:pt idx="2">
                    <c:v>250,39</c:v>
                  </c:pt>
                  <c:pt idx="3">
                    <c:v>200,29</c:v>
                  </c:pt>
                  <c:pt idx="4">
                    <c:v>248,85</c:v>
                  </c:pt>
                  <c:pt idx="5">
                    <c:v>250,32</c:v>
                  </c:pt>
                  <c:pt idx="6">
                    <c:v>350,14</c:v>
                  </c:pt>
                  <c:pt idx="8">
                    <c:v>100,09</c:v>
                  </c:pt>
                  <c:pt idx="9">
                    <c:v>200,49</c:v>
                  </c:pt>
                  <c:pt idx="10">
                    <c:v>200,64</c:v>
                  </c:pt>
                  <c:pt idx="11">
                    <c:v>200,49</c:v>
                  </c:pt>
                  <c:pt idx="12">
                    <c:v>250,38</c:v>
                  </c:pt>
                  <c:pt idx="13">
                    <c:v>200,60</c:v>
                  </c:pt>
                  <c:pt idx="14">
                    <c:v>300,58</c:v>
                  </c:pt>
                  <c:pt idx="16">
                    <c:v>200,41</c:v>
                  </c:pt>
                  <c:pt idx="17">
                    <c:v>300,01</c:v>
                  </c:pt>
                  <c:pt idx="18">
                    <c:v>235,89</c:v>
                  </c:pt>
                  <c:pt idx="19">
                    <c:v>150,72</c:v>
                  </c:pt>
                  <c:pt idx="20">
                    <c:v>FULL</c:v>
                  </c:pt>
                  <c:pt idx="21">
                    <c:v>200,41</c:v>
                  </c:pt>
                  <c:pt idx="22">
                    <c:v>200,43</c:v>
                  </c:pt>
                  <c:pt idx="24">
                    <c:v>250,14</c:v>
                  </c:pt>
                  <c:pt idx="25">
                    <c:v>251,10</c:v>
                  </c:pt>
                  <c:pt idx="26">
                    <c:v>251,38</c:v>
                  </c:pt>
                  <c:pt idx="27">
                    <c:v>250,41</c:v>
                  </c:pt>
                  <c:pt idx="28">
                    <c:v>200,20</c:v>
                  </c:pt>
                  <c:pt idx="29">
                    <c:v>251,27</c:v>
                  </c:pt>
                  <c:pt idx="30">
                    <c:v>250,44</c:v>
                  </c:pt>
                  <c:pt idx="31">
                    <c:v>130,35</c:v>
                  </c:pt>
                  <c:pt idx="32">
                    <c:v>250,50</c:v>
                  </c:pt>
                </c:lvl>
                <c:lvl>
                  <c:pt idx="0">
                    <c:v>200,46</c:v>
                  </c:pt>
                  <c:pt idx="1">
                    <c:v>149,95</c:v>
                  </c:pt>
                  <c:pt idx="2">
                    <c:v>200,14</c:v>
                  </c:pt>
                  <c:pt idx="3">
                    <c:v>250,99</c:v>
                  </c:pt>
                  <c:pt idx="4">
                    <c:v>251,25</c:v>
                  </c:pt>
                  <c:pt idx="5">
                    <c:v>200,20</c:v>
                  </c:pt>
                  <c:pt idx="6">
                    <c:v>200,30</c:v>
                  </c:pt>
                  <c:pt idx="8">
                    <c:v>250,86</c:v>
                  </c:pt>
                  <c:pt idx="9">
                    <c:v>200,32</c:v>
                  </c:pt>
                  <c:pt idx="10">
                    <c:v>300,37</c:v>
                  </c:pt>
                  <c:pt idx="11">
                    <c:v>250,19</c:v>
                  </c:pt>
                  <c:pt idx="12">
                    <c:v>100,38</c:v>
                  </c:pt>
                  <c:pt idx="13">
                    <c:v>245,49</c:v>
                  </c:pt>
                  <c:pt idx="14">
                    <c:v>200,80</c:v>
                  </c:pt>
                  <c:pt idx="16">
                    <c:v>200,18</c:v>
                  </c:pt>
                  <c:pt idx="17">
                    <c:v>211,39</c:v>
                  </c:pt>
                  <c:pt idx="18">
                    <c:v>299,54</c:v>
                  </c:pt>
                  <c:pt idx="19">
                    <c:v>200,18</c:v>
                  </c:pt>
                  <c:pt idx="20">
                    <c:v>201,06</c:v>
                  </c:pt>
                  <c:pt idx="21">
                    <c:v>300,26</c:v>
                  </c:pt>
                  <c:pt idx="22">
                    <c:v>200,05</c:v>
                  </c:pt>
                  <c:pt idx="24">
                    <c:v>250,26</c:v>
                  </c:pt>
                  <c:pt idx="25">
                    <c:v>200,26</c:v>
                  </c:pt>
                  <c:pt idx="26">
                    <c:v>250,27</c:v>
                  </c:pt>
                  <c:pt idx="27">
                    <c:v>200,22</c:v>
                  </c:pt>
                  <c:pt idx="28">
                    <c:v>250,26</c:v>
                  </c:pt>
                  <c:pt idx="29">
                    <c:v>250,44</c:v>
                  </c:pt>
                  <c:pt idx="30">
                    <c:v>247,65</c:v>
                  </c:pt>
                  <c:pt idx="31">
                    <c:v>200,73</c:v>
                  </c:pt>
                  <c:pt idx="32">
                    <c:v>200,35</c:v>
                  </c:pt>
                </c:lvl>
                <c:lvl>
                  <c:pt idx="0">
                    <c:v>189,48</c:v>
                  </c:pt>
                  <c:pt idx="1">
                    <c:v>250,20</c:v>
                  </c:pt>
                  <c:pt idx="2">
                    <c:v>300,21</c:v>
                  </c:pt>
                  <c:pt idx="3">
                    <c:v>250,28</c:v>
                  </c:pt>
                  <c:pt idx="4">
                    <c:v>242,01</c:v>
                  </c:pt>
                  <c:pt idx="5">
                    <c:v>201,12</c:v>
                  </c:pt>
                  <c:pt idx="6">
                    <c:v>200,21</c:v>
                  </c:pt>
                  <c:pt idx="8">
                    <c:v>150,63</c:v>
                  </c:pt>
                  <c:pt idx="9">
                    <c:v>200,16</c:v>
                  </c:pt>
                  <c:pt idx="10">
                    <c:v>250,50</c:v>
                  </c:pt>
                  <c:pt idx="11">
                    <c:v>200,42</c:v>
                  </c:pt>
                  <c:pt idx="12">
                    <c:v>150,47</c:v>
                  </c:pt>
                  <c:pt idx="13">
                    <c:v>200,39</c:v>
                  </c:pt>
                  <c:pt idx="14">
                    <c:v>200,19</c:v>
                  </c:pt>
                  <c:pt idx="16">
                    <c:v>199,58</c:v>
                  </c:pt>
                  <c:pt idx="17">
                    <c:v>250,47</c:v>
                  </c:pt>
                  <c:pt idx="18">
                    <c:v>200,46</c:v>
                  </c:pt>
                  <c:pt idx="19">
                    <c:v>200,22</c:v>
                  </c:pt>
                  <c:pt idx="20">
                    <c:v>200,48</c:v>
                  </c:pt>
                  <c:pt idx="21">
                    <c:v>250,29</c:v>
                  </c:pt>
                  <c:pt idx="22">
                    <c:v>320,17</c:v>
                  </c:pt>
                  <c:pt idx="24">
                    <c:v>250,36</c:v>
                  </c:pt>
                  <c:pt idx="25">
                    <c:v>250,91</c:v>
                  </c:pt>
                  <c:pt idx="26">
                    <c:v>250,68</c:v>
                  </c:pt>
                  <c:pt idx="27">
                    <c:v>200,46</c:v>
                  </c:pt>
                  <c:pt idx="28">
                    <c:v>250,40</c:v>
                  </c:pt>
                  <c:pt idx="29">
                    <c:v>300,66</c:v>
                  </c:pt>
                  <c:pt idx="30">
                    <c:v>200,53</c:v>
                  </c:pt>
                  <c:pt idx="31">
                    <c:v>FULL</c:v>
                  </c:pt>
                  <c:pt idx="32">
                    <c:v>250,31</c:v>
                  </c:pt>
                </c:lvl>
                <c:lvl>
                  <c:pt idx="0">
                    <c:v>200,34</c:v>
                  </c:pt>
                  <c:pt idx="1">
                    <c:v>350,00</c:v>
                  </c:pt>
                  <c:pt idx="2">
                    <c:v>200,46</c:v>
                  </c:pt>
                  <c:pt idx="3">
                    <c:v>200,90</c:v>
                  </c:pt>
                  <c:pt idx="4">
                    <c:v>200,17</c:v>
                  </c:pt>
                  <c:pt idx="5">
                    <c:v>300,03</c:v>
                  </c:pt>
                  <c:pt idx="6">
                    <c:v>200,52</c:v>
                  </c:pt>
                  <c:pt idx="8">
                    <c:v>200,53</c:v>
                  </c:pt>
                  <c:pt idx="9">
                    <c:v>250,42</c:v>
                  </c:pt>
                  <c:pt idx="10">
                    <c:v>200,34</c:v>
                  </c:pt>
                  <c:pt idx="11">
                    <c:v>200,49</c:v>
                  </c:pt>
                  <c:pt idx="12">
                    <c:v>200,52</c:v>
                  </c:pt>
                  <c:pt idx="13">
                    <c:v>200,26</c:v>
                  </c:pt>
                  <c:pt idx="14">
                    <c:v>151,08</c:v>
                  </c:pt>
                  <c:pt idx="16">
                    <c:v>200,66</c:v>
                  </c:pt>
                  <c:pt idx="17">
                    <c:v>FULL</c:v>
                  </c:pt>
                  <c:pt idx="18">
                    <c:v>207,88</c:v>
                  </c:pt>
                  <c:pt idx="19">
                    <c:v>200,96</c:v>
                  </c:pt>
                  <c:pt idx="20">
                    <c:v>200,32</c:v>
                  </c:pt>
                  <c:pt idx="21">
                    <c:v>200,88</c:v>
                  </c:pt>
                  <c:pt idx="22">
                    <c:v>265,65</c:v>
                  </c:pt>
                  <c:pt idx="24">
                    <c:v>208,85</c:v>
                  </c:pt>
                  <c:pt idx="25">
                    <c:v>200,30</c:v>
                  </c:pt>
                  <c:pt idx="26">
                    <c:v>200,22</c:v>
                  </c:pt>
                  <c:pt idx="27">
                    <c:v>199,99</c:v>
                  </c:pt>
                  <c:pt idx="28">
                    <c:v>200,35</c:v>
                  </c:pt>
                  <c:pt idx="29">
                    <c:v>200,36</c:v>
                  </c:pt>
                  <c:pt idx="30">
                    <c:v>149,93</c:v>
                  </c:pt>
                  <c:pt idx="31">
                    <c:v>200,27</c:v>
                  </c:pt>
                  <c:pt idx="32">
                    <c:v>238,26</c:v>
                  </c:pt>
                </c:lvl>
                <c:lvl>
                  <c:pt idx="0">
                    <c:v>300,25</c:v>
                  </c:pt>
                  <c:pt idx="1">
                    <c:v>250,14</c:v>
                  </c:pt>
                  <c:pt idx="2">
                    <c:v>450,23</c:v>
                  </c:pt>
                  <c:pt idx="3">
                    <c:v>300,44</c:v>
                  </c:pt>
                  <c:pt idx="4">
                    <c:v>298,90</c:v>
                  </c:pt>
                  <c:pt idx="5">
                    <c:v>300,21</c:v>
                  </c:pt>
                  <c:pt idx="6">
                    <c:v>300,28</c:v>
                  </c:pt>
                  <c:pt idx="8">
                    <c:v>300,21</c:v>
                  </c:pt>
                  <c:pt idx="9">
                    <c:v>150,94</c:v>
                  </c:pt>
                  <c:pt idx="10">
                    <c:v>400,57</c:v>
                  </c:pt>
                  <c:pt idx="11">
                    <c:v>300,44</c:v>
                  </c:pt>
                  <c:pt idx="12">
                    <c:v>201,26</c:v>
                  </c:pt>
                  <c:pt idx="13">
                    <c:v>300,62</c:v>
                  </c:pt>
                  <c:pt idx="14">
                    <c:v>300,44</c:v>
                  </c:pt>
                  <c:pt idx="16">
                    <c:v>250,18</c:v>
                  </c:pt>
                  <c:pt idx="17">
                    <c:v>300,26</c:v>
                  </c:pt>
                  <c:pt idx="18">
                    <c:v>352,34</c:v>
                  </c:pt>
                  <c:pt idx="19">
                    <c:v>300,52</c:v>
                  </c:pt>
                  <c:pt idx="20">
                    <c:v>286,78</c:v>
                  </c:pt>
                  <c:pt idx="21">
                    <c:v>300,24</c:v>
                  </c:pt>
                  <c:pt idx="22">
                    <c:v>312,18</c:v>
                  </c:pt>
                  <c:pt idx="24">
                    <c:v>400,00</c:v>
                  </c:pt>
                  <c:pt idx="25">
                    <c:v>302,09</c:v>
                  </c:pt>
                  <c:pt idx="26">
                    <c:v>399,93</c:v>
                  </c:pt>
                  <c:pt idx="27">
                    <c:v>300,55</c:v>
                  </c:pt>
                  <c:pt idx="28">
                    <c:v>299,78</c:v>
                  </c:pt>
                  <c:pt idx="29">
                    <c:v>400,03</c:v>
                  </c:pt>
                  <c:pt idx="30">
                    <c:v>350,33</c:v>
                  </c:pt>
                  <c:pt idx="31">
                    <c:v>300,15</c:v>
                  </c:pt>
                  <c:pt idx="32">
                    <c:v>300,23</c:v>
                  </c:pt>
                </c:lvl>
                <c:lvl>
                  <c:pt idx="0">
                    <c:v>289,32</c:v>
                  </c:pt>
                  <c:pt idx="1">
                    <c:v>301,93</c:v>
                  </c:pt>
                  <c:pt idx="2">
                    <c:v>299,50</c:v>
                  </c:pt>
                  <c:pt idx="3">
                    <c:v>299,90</c:v>
                  </c:pt>
                  <c:pt idx="4">
                    <c:v>300,29</c:v>
                  </c:pt>
                  <c:pt idx="5">
                    <c:v>400,89</c:v>
                  </c:pt>
                  <c:pt idx="6">
                    <c:v>300,00</c:v>
                  </c:pt>
                  <c:pt idx="8">
                    <c:v>300,01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356,96</c:v>
                  </c:pt>
                  <c:pt idx="31">
                    <c:v>132,87</c:v>
                  </c:pt>
                  <c:pt idx="32">
                    <c:v>282,61</c:v>
                  </c:pt>
                </c:lvl>
                <c:lvl>
                  <c:pt idx="0">
                    <c:v>15,24</c:v>
                  </c:pt>
                  <c:pt idx="1">
                    <c:v>170,95</c:v>
                  </c:pt>
                  <c:pt idx="2">
                    <c:v>300,06</c:v>
                  </c:pt>
                  <c:pt idx="3">
                    <c:v>299,90</c:v>
                  </c:pt>
                  <c:pt idx="4">
                    <c:v>271,39</c:v>
                  </c:pt>
                  <c:pt idx="5">
                    <c:v>200,33</c:v>
                  </c:pt>
                  <c:pt idx="6">
                    <c:v>300,39</c:v>
                  </c:pt>
                  <c:pt idx="8">
                    <c:v>275,77</c:v>
                  </c:pt>
                  <c:pt idx="9">
                    <c:v>350,84</c:v>
                  </c:pt>
                  <c:pt idx="10">
                    <c:v>316,31</c:v>
                  </c:pt>
                  <c:pt idx="11">
                    <c:v>250,32</c:v>
                  </c:pt>
                  <c:pt idx="12">
                    <c:v>300,76</c:v>
                  </c:pt>
                  <c:pt idx="13">
                    <c:v>317,46</c:v>
                  </c:pt>
                  <c:pt idx="14">
                    <c:v>296,90</c:v>
                  </c:pt>
                  <c:pt idx="16">
                    <c:v>279,43</c:v>
                  </c:pt>
                  <c:pt idx="17">
                    <c:v>262,75</c:v>
                  </c:pt>
                  <c:pt idx="18">
                    <c:v>303,69</c:v>
                  </c:pt>
                  <c:pt idx="19">
                    <c:v>299,91</c:v>
                  </c:pt>
                  <c:pt idx="20">
                    <c:v>320,74</c:v>
                  </c:pt>
                  <c:pt idx="21">
                    <c:v>300,12</c:v>
                  </c:pt>
                  <c:pt idx="22">
                    <c:v>300,24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499,41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263,45</c:v>
                  </c:pt>
                  <c:pt idx="4">
                    <c:v>293,16</c:v>
                  </c:pt>
                  <c:pt idx="5">
                    <c:v>350,37</c:v>
                  </c:pt>
                  <c:pt idx="6">
                    <c:v>300,75</c:v>
                  </c:pt>
                  <c:pt idx="8">
                    <c:v>300,02</c:v>
                  </c:pt>
                  <c:pt idx="9">
                    <c:v>300,65</c:v>
                  </c:pt>
                  <c:pt idx="10">
                    <c:v>381,17</c:v>
                  </c:pt>
                  <c:pt idx="11">
                    <c:v>274,23</c:v>
                  </c:pt>
                  <c:pt idx="12">
                    <c:v>300,95</c:v>
                  </c:pt>
                  <c:pt idx="13">
                    <c:v>310,59</c:v>
                  </c:pt>
                  <c:pt idx="14">
                    <c:v>239,48</c:v>
                  </c:pt>
                  <c:pt idx="16">
                    <c:v>318,34</c:v>
                  </c:pt>
                  <c:pt idx="17">
                    <c:v>300,27</c:v>
                  </c:pt>
                  <c:pt idx="18">
                    <c:v>287,59</c:v>
                  </c:pt>
                  <c:pt idx="19">
                    <c:v>235,38</c:v>
                  </c:pt>
                  <c:pt idx="20">
                    <c:v>299,88</c:v>
                  </c:pt>
                  <c:pt idx="21">
                    <c:v>313,83</c:v>
                  </c:pt>
                  <c:pt idx="22">
                    <c:v>301,01</c:v>
                  </c:pt>
                  <c:pt idx="24">
                    <c:v>295,99</c:v>
                  </c:pt>
                  <c:pt idx="25">
                    <c:v>283,18</c:v>
                  </c:pt>
                  <c:pt idx="26">
                    <c:v>250,45</c:v>
                  </c:pt>
                  <c:pt idx="27">
                    <c:v>391,60</c:v>
                  </c:pt>
                  <c:pt idx="28">
                    <c:v>269,42</c:v>
                  </c:pt>
                  <c:pt idx="29">
                    <c:v>297,84</c:v>
                  </c:pt>
                  <c:pt idx="30">
                    <c:v>246,25</c:v>
                  </c:pt>
                  <c:pt idx="31">
                    <c:v>236,30</c:v>
                  </c:pt>
                  <c:pt idx="32">
                    <c:v>282,40</c:v>
                  </c:pt>
                </c:lvl>
                <c:lvl>
                  <c:pt idx="0">
                    <c:v>329,28</c:v>
                  </c:pt>
                  <c:pt idx="1">
                    <c:v>299,99</c:v>
                  </c:pt>
                  <c:pt idx="2">
                    <c:v>267,65</c:v>
                  </c:pt>
                  <c:pt idx="3">
                    <c:v>300,54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471,60</c:v>
                  </c:pt>
                  <c:pt idx="21">
                    <c:v>202,95</c:v>
                  </c:pt>
                  <c:pt idx="22">
                    <c:v>268,66</c:v>
                  </c:pt>
                  <c:pt idx="24">
                    <c:v>400,50</c:v>
                  </c:pt>
                  <c:pt idx="25">
                    <c:v>327,97</c:v>
                  </c:pt>
                  <c:pt idx="26">
                    <c:v>218,34</c:v>
                  </c:pt>
                  <c:pt idx="27">
                    <c:v>280,29</c:v>
                  </c:pt>
                  <c:pt idx="28">
                    <c:v>250,07</c:v>
                  </c:pt>
                  <c:pt idx="29">
                    <c:v>250,22</c:v>
                  </c:pt>
                  <c:pt idx="30">
                    <c:v>399,98</c:v>
                  </c:pt>
                  <c:pt idx="31">
                    <c:v>242,84</c:v>
                  </c:pt>
                  <c:pt idx="32">
                    <c:v>309,72</c:v>
                  </c:pt>
                </c:lvl>
                <c:lvl>
                  <c:pt idx="0">
                    <c:v>269,19</c:v>
                  </c:pt>
                  <c:pt idx="1">
                    <c:v>261,76</c:v>
                  </c:pt>
                  <c:pt idx="2">
                    <c:v>190,88</c:v>
                  </c:pt>
                  <c:pt idx="3">
                    <c:v>273,66</c:v>
                  </c:pt>
                  <c:pt idx="4">
                    <c:v>281,89</c:v>
                  </c:pt>
                  <c:pt idx="5">
                    <c:v>255,39</c:v>
                  </c:pt>
                  <c:pt idx="6">
                    <c:v>272,28</c:v>
                  </c:pt>
                  <c:pt idx="8">
                    <c:v>247,13</c:v>
                  </c:pt>
                  <c:pt idx="9">
                    <c:v>256,05</c:v>
                  </c:pt>
                  <c:pt idx="10">
                    <c:v>260,53</c:v>
                  </c:pt>
                  <c:pt idx="11">
                    <c:v>255,44</c:v>
                  </c:pt>
                  <c:pt idx="12">
                    <c:v>244,99</c:v>
                  </c:pt>
                  <c:pt idx="13">
                    <c:v>283,96</c:v>
                  </c:pt>
                  <c:pt idx="14">
                    <c:v>243,27</c:v>
                  </c:pt>
                  <c:pt idx="16">
                    <c:v>243,42</c:v>
                  </c:pt>
                  <c:pt idx="17">
                    <c:v>272,97</c:v>
                  </c:pt>
                  <c:pt idx="18">
                    <c:v>273,68</c:v>
                  </c:pt>
                  <c:pt idx="19">
                    <c:v>251,90</c:v>
                  </c:pt>
                  <c:pt idx="20">
                    <c:v>269,94</c:v>
                  </c:pt>
                  <c:pt idx="21">
                    <c:v>257,13</c:v>
                  </c:pt>
                  <c:pt idx="22">
                    <c:v>241,13</c:v>
                  </c:pt>
                  <c:pt idx="24">
                    <c:v>400,37</c:v>
                  </c:pt>
                  <c:pt idx="25">
                    <c:v>269,33</c:v>
                  </c:pt>
                  <c:pt idx="26">
                    <c:v>250,07</c:v>
                  </c:pt>
                  <c:pt idx="27">
                    <c:v>285,47</c:v>
                  </c:pt>
                  <c:pt idx="28">
                    <c:v>271,12</c:v>
                  </c:pt>
                  <c:pt idx="29">
                    <c:v>248,97</c:v>
                  </c:pt>
                  <c:pt idx="30">
                    <c:v>249,99</c:v>
                  </c:pt>
                  <c:pt idx="31">
                    <c:v>266,40</c:v>
                  </c:pt>
                  <c:pt idx="32">
                    <c:v>280,49</c:v>
                  </c:pt>
                </c:lvl>
                <c:lvl>
                  <c:pt idx="0">
                    <c:v>323,06</c:v>
                  </c:pt>
                  <c:pt idx="1">
                    <c:v>227,24</c:v>
                  </c:pt>
                  <c:pt idx="2">
                    <c:v>321,28</c:v>
                  </c:pt>
                  <c:pt idx="3">
                    <c:v>300,49</c:v>
                  </c:pt>
                  <c:pt idx="4">
                    <c:v>417,27</c:v>
                  </c:pt>
                  <c:pt idx="5">
                    <c:v>252,97</c:v>
                  </c:pt>
                  <c:pt idx="6">
                    <c:v>217,63</c:v>
                  </c:pt>
                  <c:pt idx="8">
                    <c:v>227,02</c:v>
                  </c:pt>
                  <c:pt idx="9">
                    <c:v>300,31</c:v>
                  </c:pt>
                  <c:pt idx="10">
                    <c:v>328,04</c:v>
                  </c:pt>
                  <c:pt idx="11">
                    <c:v>334,07</c:v>
                  </c:pt>
                  <c:pt idx="12">
                    <c:v>337,05</c:v>
                  </c:pt>
                  <c:pt idx="13">
                    <c:v>306,72</c:v>
                  </c:pt>
                  <c:pt idx="14">
                    <c:v>377,90</c:v>
                  </c:pt>
                  <c:pt idx="16">
                    <c:v>374,38</c:v>
                  </c:pt>
                  <c:pt idx="17">
                    <c:v>258,53</c:v>
                  </c:pt>
                  <c:pt idx="18">
                    <c:v>308,15</c:v>
                  </c:pt>
                  <c:pt idx="19">
                    <c:v>339,92</c:v>
                  </c:pt>
                  <c:pt idx="20">
                    <c:v>350,48</c:v>
                  </c:pt>
                  <c:pt idx="21">
                    <c:v>322,15</c:v>
                  </c:pt>
                  <c:pt idx="22">
                    <c:v>345,03</c:v>
                  </c:pt>
                  <c:pt idx="24">
                    <c:v>300,22</c:v>
                  </c:pt>
                  <c:pt idx="25">
                    <c:v>316,54</c:v>
                  </c:pt>
                  <c:pt idx="26">
                    <c:v>54,58</c:v>
                  </c:pt>
                  <c:pt idx="27">
                    <c:v>284,87</c:v>
                  </c:pt>
                  <c:pt idx="28">
                    <c:v>352,01</c:v>
                  </c:pt>
                  <c:pt idx="29">
                    <c:v>300,02</c:v>
                  </c:pt>
                  <c:pt idx="30">
                    <c:v>350,27</c:v>
                  </c:pt>
                  <c:pt idx="31">
                    <c:v>249,30</c:v>
                  </c:pt>
                  <c:pt idx="32">
                    <c:v>88,29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400,20</c:v>
                  </c:pt>
                  <c:pt idx="1">
                    <c:v>379,81</c:v>
                  </c:pt>
                  <c:pt idx="2">
                    <c:v>420,92</c:v>
                  </c:pt>
                  <c:pt idx="3">
                    <c:v>351,52</c:v>
                  </c:pt>
                  <c:pt idx="4">
                    <c:v>352,22</c:v>
                  </c:pt>
                  <c:pt idx="5">
                    <c:v>400,01</c:v>
                  </c:pt>
                  <c:pt idx="6">
                    <c:v>400,05</c:v>
                  </c:pt>
                  <c:pt idx="8">
                    <c:v>250,02</c:v>
                  </c:pt>
                  <c:pt idx="9">
                    <c:v>FULL</c:v>
                  </c:pt>
                  <c:pt idx="10">
                    <c:v>150,26</c:v>
                  </c:pt>
                  <c:pt idx="11">
                    <c:v>FULL</c:v>
                  </c:pt>
                  <c:pt idx="12">
                    <c:v>349,92</c:v>
                  </c:pt>
                  <c:pt idx="13">
                    <c:v>FULL</c:v>
                  </c:pt>
                  <c:pt idx="14">
                    <c:v>250,26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97,07</c:v>
                  </c:pt>
                  <c:pt idx="19">
                    <c:v>130,06</c:v>
                  </c:pt>
                  <c:pt idx="20">
                    <c:v>500,18</c:v>
                  </c:pt>
                  <c:pt idx="21">
                    <c:v>500,02</c:v>
                  </c:pt>
                  <c:pt idx="22">
                    <c:v>400,39</c:v>
                  </c:pt>
                  <c:pt idx="24">
                    <c:v>400,48</c:v>
                  </c:pt>
                  <c:pt idx="25">
                    <c:v>500,53</c:v>
                  </c:pt>
                  <c:pt idx="26">
                    <c:v>500,25</c:v>
                  </c:pt>
                  <c:pt idx="27">
                    <c:v>399,51</c:v>
                  </c:pt>
                  <c:pt idx="28">
                    <c:v>500,23</c:v>
                  </c:pt>
                  <c:pt idx="29">
                    <c:v>500,47</c:v>
                  </c:pt>
                  <c:pt idx="30">
                    <c:v>365,65</c:v>
                  </c:pt>
                  <c:pt idx="31">
                    <c:v>334,00</c:v>
                  </c:pt>
                  <c:pt idx="32">
                    <c:v>500,65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400,79</c:v>
                  </c:pt>
                  <c:pt idx="1">
                    <c:v>131,06</c:v>
                  </c:pt>
                  <c:pt idx="2">
                    <c:v>320,69</c:v>
                  </c:pt>
                  <c:pt idx="3">
                    <c:v>456,08</c:v>
                  </c:pt>
                  <c:pt idx="4">
                    <c:v>FULL</c:v>
                  </c:pt>
                  <c:pt idx="5">
                    <c:v>400,14</c:v>
                  </c:pt>
                  <c:pt idx="6">
                    <c:v>350,22</c:v>
                  </c:pt>
                  <c:pt idx="8">
                    <c:v>450,36</c:v>
                  </c:pt>
                  <c:pt idx="9">
                    <c:v>400,60</c:v>
                  </c:pt>
                  <c:pt idx="10">
                    <c:v>500,23</c:v>
                  </c:pt>
                  <c:pt idx="11">
                    <c:v>400,54</c:v>
                  </c:pt>
                  <c:pt idx="12">
                    <c:v>350,67</c:v>
                  </c:pt>
                  <c:pt idx="13">
                    <c:v>300,71</c:v>
                  </c:pt>
                  <c:pt idx="14">
                    <c:v>503,25</c:v>
                  </c:pt>
                  <c:pt idx="16">
                    <c:v>300,24</c:v>
                  </c:pt>
                  <c:pt idx="17">
                    <c:v>300,19</c:v>
                  </c:pt>
                  <c:pt idx="18">
                    <c:v>273,45</c:v>
                  </c:pt>
                  <c:pt idx="19">
                    <c:v>300,07</c:v>
                  </c:pt>
                  <c:pt idx="20">
                    <c:v>350,33</c:v>
                  </c:pt>
                  <c:pt idx="21">
                    <c:v>350,34</c:v>
                  </c:pt>
                  <c:pt idx="22">
                    <c:v>300,13</c:v>
                  </c:pt>
                  <c:pt idx="24">
                    <c:v>200,21</c:v>
                  </c:pt>
                  <c:pt idx="25">
                    <c:v>351,07</c:v>
                  </c:pt>
                  <c:pt idx="26">
                    <c:v>350,46</c:v>
                  </c:pt>
                  <c:pt idx="27">
                    <c:v>400,06</c:v>
                  </c:pt>
                  <c:pt idx="28">
                    <c:v>400,10</c:v>
                  </c:pt>
                  <c:pt idx="29">
                    <c:v>350,22</c:v>
                  </c:pt>
                  <c:pt idx="30">
                    <c:v>350,20</c:v>
                  </c:pt>
                  <c:pt idx="31">
                    <c:v>300,37</c:v>
                  </c:pt>
                  <c:pt idx="32">
                    <c:v>300,25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299,94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250,88</c:v>
                  </c:pt>
                  <c:pt idx="10">
                    <c:v>400,21</c:v>
                  </c:pt>
                  <c:pt idx="11">
                    <c:v>300,58</c:v>
                  </c:pt>
                  <c:pt idx="12">
                    <c:v>268,81</c:v>
                  </c:pt>
                  <c:pt idx="13">
                    <c:v>310,58</c:v>
                  </c:pt>
                  <c:pt idx="14">
                    <c:v>380,46</c:v>
                  </c:pt>
                  <c:pt idx="16">
                    <c:v>199,95</c:v>
                  </c:pt>
                  <c:pt idx="17">
                    <c:v>300,86</c:v>
                  </c:pt>
                  <c:pt idx="18">
                    <c:v>168,72</c:v>
                  </c:pt>
                  <c:pt idx="19">
                    <c:v>FULL</c:v>
                  </c:pt>
                  <c:pt idx="20">
                    <c:v>250,01</c:v>
                  </c:pt>
                  <c:pt idx="21">
                    <c:v>FULL</c:v>
                  </c:pt>
                  <c:pt idx="22">
                    <c:v>352,67</c:v>
                  </c:pt>
                  <c:pt idx="24">
                    <c:v>150,62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300,10</c:v>
                  </c:pt>
                  <c:pt idx="29">
                    <c:v>100,01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400,46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300,34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350,81</c:v>
                  </c:pt>
                  <c:pt idx="10">
                    <c:v>350,48</c:v>
                  </c:pt>
                  <c:pt idx="11">
                    <c:v>269,22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299,88</c:v>
                  </c:pt>
                  <c:pt idx="1">
                    <c:v>230,78</c:v>
                  </c:pt>
                  <c:pt idx="2">
                    <c:v>333,84</c:v>
                  </c:pt>
                  <c:pt idx="3">
                    <c:v>278,99</c:v>
                  </c:pt>
                  <c:pt idx="4">
                    <c:v>89,87</c:v>
                  </c:pt>
                  <c:pt idx="5">
                    <c:v>401,11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10,83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299,97</c:v>
                  </c:pt>
                  <c:pt idx="26">
                    <c:v>301,29</c:v>
                  </c:pt>
                  <c:pt idx="27">
                    <c:v>258,15</c:v>
                  </c:pt>
                  <c:pt idx="28">
                    <c:v>400,22</c:v>
                  </c:pt>
                  <c:pt idx="29">
                    <c:v>117,26</c:v>
                  </c:pt>
                  <c:pt idx="30">
                    <c:v>300,13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323,06</c:v>
                  </c:pt>
                  <c:pt idx="1">
                    <c:v>299,98</c:v>
                  </c:pt>
                  <c:pt idx="2">
                    <c:v>200,74</c:v>
                  </c:pt>
                  <c:pt idx="3">
                    <c:v>192,08</c:v>
                  </c:pt>
                  <c:pt idx="4">
                    <c:v>226,39</c:v>
                  </c:pt>
                  <c:pt idx="5">
                    <c:v>399,85</c:v>
                  </c:pt>
                  <c:pt idx="6">
                    <c:v>350,18</c:v>
                  </c:pt>
                  <c:pt idx="8">
                    <c:v>200,39</c:v>
                  </c:pt>
                  <c:pt idx="9">
                    <c:v>251,86</c:v>
                  </c:pt>
                  <c:pt idx="10">
                    <c:v>250,32</c:v>
                  </c:pt>
                  <c:pt idx="11">
                    <c:v>249,98</c:v>
                  </c:pt>
                  <c:pt idx="12">
                    <c:v>200,22</c:v>
                  </c:pt>
                  <c:pt idx="13">
                    <c:v>200,91</c:v>
                  </c:pt>
                  <c:pt idx="14">
                    <c:v>251,15</c:v>
                  </c:pt>
                  <c:pt idx="16">
                    <c:v>250,31</c:v>
                  </c:pt>
                  <c:pt idx="17">
                    <c:v>250,23</c:v>
                  </c:pt>
                  <c:pt idx="18">
                    <c:v>250,46</c:v>
                  </c:pt>
                  <c:pt idx="19">
                    <c:v>200,29</c:v>
                  </c:pt>
                  <c:pt idx="20">
                    <c:v>300,44</c:v>
                  </c:pt>
                  <c:pt idx="21">
                    <c:v>150,65</c:v>
                  </c:pt>
                  <c:pt idx="22">
                    <c:v>249,94</c:v>
                  </c:pt>
                  <c:pt idx="24">
                    <c:v>250,37</c:v>
                  </c:pt>
                  <c:pt idx="25">
                    <c:v>200,14</c:v>
                  </c:pt>
                  <c:pt idx="26">
                    <c:v>150,69</c:v>
                  </c:pt>
                  <c:pt idx="27">
                    <c:v>250,55</c:v>
                  </c:pt>
                  <c:pt idx="28">
                    <c:v>250,14</c:v>
                  </c:pt>
                  <c:pt idx="29">
                    <c:v>250,46</c:v>
                  </c:pt>
                  <c:pt idx="30">
                    <c:v>200,51</c:v>
                  </c:pt>
                  <c:pt idx="31">
                    <c:v>199,78</c:v>
                  </c:pt>
                  <c:pt idx="32">
                    <c:v>300,39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500,51</c:v>
                  </c:pt>
                  <c:pt idx="4">
                    <c:v>338,26</c:v>
                  </c:pt>
                  <c:pt idx="5">
                    <c:v>400,01</c:v>
                  </c:pt>
                  <c:pt idx="6">
                    <c:v>400,09</c:v>
                  </c:pt>
                  <c:pt idx="8">
                    <c:v>200,59</c:v>
                  </c:pt>
                  <c:pt idx="9">
                    <c:v>269,98</c:v>
                  </c:pt>
                  <c:pt idx="10">
                    <c:v>239,05</c:v>
                  </c:pt>
                  <c:pt idx="11">
                    <c:v>240,66</c:v>
                  </c:pt>
                  <c:pt idx="12">
                    <c:v>100,47</c:v>
                  </c:pt>
                  <c:pt idx="13">
                    <c:v>150,27</c:v>
                  </c:pt>
                  <c:pt idx="14">
                    <c:v>249,33</c:v>
                  </c:pt>
                  <c:pt idx="16">
                    <c:v>264,13</c:v>
                  </c:pt>
                  <c:pt idx="17">
                    <c:v>161,54</c:v>
                  </c:pt>
                  <c:pt idx="18">
                    <c:v>329,41</c:v>
                  </c:pt>
                  <c:pt idx="19">
                    <c:v>150,26</c:v>
                  </c:pt>
                  <c:pt idx="20">
                    <c:v>250,55</c:v>
                  </c:pt>
                  <c:pt idx="21">
                    <c:v>FULL</c:v>
                  </c:pt>
                  <c:pt idx="22">
                    <c:v>359,62</c:v>
                  </c:pt>
                  <c:pt idx="24">
                    <c:v>250,50</c:v>
                  </c:pt>
                  <c:pt idx="25">
                    <c:v>402,85</c:v>
                  </c:pt>
                  <c:pt idx="26">
                    <c:v>300,33</c:v>
                  </c:pt>
                  <c:pt idx="27">
                    <c:v>277,28</c:v>
                  </c:pt>
                  <c:pt idx="28">
                    <c:v>400,24</c:v>
                  </c:pt>
                  <c:pt idx="29">
                    <c:v>237,32</c:v>
                  </c:pt>
                  <c:pt idx="30">
                    <c:v>400,65</c:v>
                  </c:pt>
                  <c:pt idx="31">
                    <c:v>385,22</c:v>
                  </c:pt>
                  <c:pt idx="32">
                    <c:v>156,17</c:v>
                  </c:pt>
                </c:lvl>
                <c:lvl>
                  <c:pt idx="0">
                    <c:v>199,93</c:v>
                  </c:pt>
                  <c:pt idx="1">
                    <c:v>300,06</c:v>
                  </c:pt>
                  <c:pt idx="2">
                    <c:v>300,13</c:v>
                  </c:pt>
                  <c:pt idx="3">
                    <c:v>250,74</c:v>
                  </c:pt>
                  <c:pt idx="4">
                    <c:v>209,70</c:v>
                  </c:pt>
                  <c:pt idx="5">
                    <c:v>FULL</c:v>
                  </c:pt>
                  <c:pt idx="6">
                    <c:v>400,05</c:v>
                  </c:pt>
                  <c:pt idx="8">
                    <c:v>150,38</c:v>
                  </c:pt>
                  <c:pt idx="9">
                    <c:v>299,91</c:v>
                  </c:pt>
                  <c:pt idx="10">
                    <c:v>500,35</c:v>
                  </c:pt>
                  <c:pt idx="11">
                    <c:v>400,54</c:v>
                  </c:pt>
                  <c:pt idx="12">
                    <c:v>150,28</c:v>
                  </c:pt>
                  <c:pt idx="13">
                    <c:v>350,97</c:v>
                  </c:pt>
                  <c:pt idx="14">
                    <c:v>250,73</c:v>
                  </c:pt>
                  <c:pt idx="16">
                    <c:v>FULL</c:v>
                  </c:pt>
                  <c:pt idx="17">
                    <c:v>300,16</c:v>
                  </c:pt>
                  <c:pt idx="18">
                    <c:v>351,43</c:v>
                  </c:pt>
                  <c:pt idx="19">
                    <c:v>250,39</c:v>
                  </c:pt>
                  <c:pt idx="20">
                    <c:v>350,34</c:v>
                  </c:pt>
                  <c:pt idx="21">
                    <c:v>250,14</c:v>
                  </c:pt>
                  <c:pt idx="22">
                    <c:v>248,77</c:v>
                  </c:pt>
                  <c:pt idx="24">
                    <c:v>400,83</c:v>
                  </c:pt>
                  <c:pt idx="25">
                    <c:v>214,45</c:v>
                  </c:pt>
                  <c:pt idx="26">
                    <c:v>200,19</c:v>
                  </c:pt>
                  <c:pt idx="27">
                    <c:v>299,79</c:v>
                  </c:pt>
                  <c:pt idx="28">
                    <c:v>250,34</c:v>
                  </c:pt>
                  <c:pt idx="29">
                    <c:v>250,55</c:v>
                  </c:pt>
                  <c:pt idx="30">
                    <c:v>250,42</c:v>
                  </c:pt>
                  <c:pt idx="31">
                    <c:v>249,51</c:v>
                  </c:pt>
                  <c:pt idx="32">
                    <c:v>251,06</c:v>
                  </c:pt>
                </c:lvl>
                <c:lvl>
                  <c:pt idx="0">
                    <c:v>299,87</c:v>
                  </c:pt>
                  <c:pt idx="1">
                    <c:v>300,08</c:v>
                  </c:pt>
                  <c:pt idx="2">
                    <c:v>299,94</c:v>
                  </c:pt>
                  <c:pt idx="3">
                    <c:v>200,94</c:v>
                  </c:pt>
                  <c:pt idx="4">
                    <c:v>278,18</c:v>
                  </c:pt>
                  <c:pt idx="5">
                    <c:v>399,99</c:v>
                  </c:pt>
                  <c:pt idx="6">
                    <c:v>349,98</c:v>
                  </c:pt>
                  <c:pt idx="8">
                    <c:v>300,01</c:v>
                  </c:pt>
                  <c:pt idx="9">
                    <c:v>299,93</c:v>
                  </c:pt>
                  <c:pt idx="10">
                    <c:v>300,19</c:v>
                  </c:pt>
                  <c:pt idx="11">
                    <c:v>300,17</c:v>
                  </c:pt>
                  <c:pt idx="12">
                    <c:v>300,08</c:v>
                  </c:pt>
                  <c:pt idx="13">
                    <c:v>300,15</c:v>
                  </c:pt>
                  <c:pt idx="14">
                    <c:v>250,24</c:v>
                  </c:pt>
                  <c:pt idx="16">
                    <c:v>187,27</c:v>
                  </c:pt>
                  <c:pt idx="17">
                    <c:v>112,21</c:v>
                  </c:pt>
                  <c:pt idx="18">
                    <c:v>79,38</c:v>
                  </c:pt>
                  <c:pt idx="19">
                    <c:v>300,33</c:v>
                  </c:pt>
                  <c:pt idx="20">
                    <c:v>319,98</c:v>
                  </c:pt>
                  <c:pt idx="21">
                    <c:v>250,05</c:v>
                  </c:pt>
                  <c:pt idx="22">
                    <c:v>357,35</c:v>
                  </c:pt>
                  <c:pt idx="24">
                    <c:v>250,13</c:v>
                  </c:pt>
                  <c:pt idx="25">
                    <c:v>402,92</c:v>
                  </c:pt>
                  <c:pt idx="26">
                    <c:v>200,36</c:v>
                  </c:pt>
                  <c:pt idx="27">
                    <c:v>93,11</c:v>
                  </c:pt>
                  <c:pt idx="28">
                    <c:v>400,10</c:v>
                  </c:pt>
                  <c:pt idx="29">
                    <c:v>106,41</c:v>
                  </c:pt>
                  <c:pt idx="30">
                    <c:v>FULL</c:v>
                  </c:pt>
                  <c:pt idx="31">
                    <c:v>199,52</c:v>
                  </c:pt>
                  <c:pt idx="32">
                    <c:v>333,21</c:v>
                  </c:pt>
                </c:lvl>
                <c:lvl>
                  <c:pt idx="0">
                    <c:v>300,48</c:v>
                  </c:pt>
                  <c:pt idx="1">
                    <c:v>300,05</c:v>
                  </c:pt>
                  <c:pt idx="2">
                    <c:v>250,28</c:v>
                  </c:pt>
                  <c:pt idx="3">
                    <c:v>266,16</c:v>
                  </c:pt>
                  <c:pt idx="4">
                    <c:v>306,31</c:v>
                  </c:pt>
                  <c:pt idx="5">
                    <c:v>350,10</c:v>
                  </c:pt>
                  <c:pt idx="6">
                    <c:v>250,35</c:v>
                  </c:pt>
                  <c:pt idx="8">
                    <c:v>250,35</c:v>
                  </c:pt>
                  <c:pt idx="9">
                    <c:v>150,76</c:v>
                  </c:pt>
                  <c:pt idx="10">
                    <c:v>250,16</c:v>
                  </c:pt>
                  <c:pt idx="11">
                    <c:v>350,34</c:v>
                  </c:pt>
                  <c:pt idx="12">
                    <c:v>200,83</c:v>
                  </c:pt>
                  <c:pt idx="13">
                    <c:v>300,81</c:v>
                  </c:pt>
                  <c:pt idx="14">
                    <c:v>350,33</c:v>
                  </c:pt>
                  <c:pt idx="16">
                    <c:v>292,91</c:v>
                  </c:pt>
                  <c:pt idx="17">
                    <c:v>200,11</c:v>
                  </c:pt>
                  <c:pt idx="18">
                    <c:v>351,09</c:v>
                  </c:pt>
                  <c:pt idx="19">
                    <c:v>200,68</c:v>
                  </c:pt>
                  <c:pt idx="20">
                    <c:v>400,18</c:v>
                  </c:pt>
                  <c:pt idx="21">
                    <c:v>250,27</c:v>
                  </c:pt>
                  <c:pt idx="22">
                    <c:v>320,17</c:v>
                  </c:pt>
                  <c:pt idx="24">
                    <c:v>300,00</c:v>
                  </c:pt>
                  <c:pt idx="25">
                    <c:v>299,96</c:v>
                  </c:pt>
                  <c:pt idx="26">
                    <c:v>352,12</c:v>
                  </c:pt>
                  <c:pt idx="27">
                    <c:v>349,98</c:v>
                  </c:pt>
                  <c:pt idx="28">
                    <c:v>400,14</c:v>
                  </c:pt>
                  <c:pt idx="29">
                    <c:v>200,44</c:v>
                  </c:pt>
                  <c:pt idx="30">
                    <c:v>250,64</c:v>
                  </c:pt>
                  <c:pt idx="31">
                    <c:v>299,74</c:v>
                  </c:pt>
                  <c:pt idx="32">
                    <c:v>300,59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299,55</c:v>
                  </c:pt>
                  <c:pt idx="2">
                    <c:v>299,87</c:v>
                  </c:pt>
                  <c:pt idx="3">
                    <c:v>200,89</c:v>
                  </c:pt>
                  <c:pt idx="4">
                    <c:v>386,22</c:v>
                  </c:pt>
                  <c:pt idx="5">
                    <c:v>350,10</c:v>
                  </c:pt>
                  <c:pt idx="6">
                    <c:v>350,18</c:v>
                  </c:pt>
                  <c:pt idx="8">
                    <c:v>120,23</c:v>
                  </c:pt>
                  <c:pt idx="9">
                    <c:v>250,17</c:v>
                  </c:pt>
                  <c:pt idx="10">
                    <c:v>250,30</c:v>
                  </c:pt>
                  <c:pt idx="11">
                    <c:v>300,12</c:v>
                  </c:pt>
                  <c:pt idx="12">
                    <c:v>200,35</c:v>
                  </c:pt>
                  <c:pt idx="13">
                    <c:v>300,78</c:v>
                  </c:pt>
                  <c:pt idx="14">
                    <c:v>300,40</c:v>
                  </c:pt>
                  <c:pt idx="16">
                    <c:v>199,94</c:v>
                  </c:pt>
                  <c:pt idx="17">
                    <c:v>200,21</c:v>
                  </c:pt>
                  <c:pt idx="18">
                    <c:v>351,86</c:v>
                  </c:pt>
                  <c:pt idx="19">
                    <c:v>200,18</c:v>
                  </c:pt>
                  <c:pt idx="20">
                    <c:v>250,57</c:v>
                  </c:pt>
                  <c:pt idx="21">
                    <c:v>FULL</c:v>
                  </c:pt>
                  <c:pt idx="22">
                    <c:v>451,09</c:v>
                  </c:pt>
                  <c:pt idx="24">
                    <c:v>400,43</c:v>
                  </c:pt>
                  <c:pt idx="25">
                    <c:v>300,21</c:v>
                  </c:pt>
                  <c:pt idx="26">
                    <c:v>250,98</c:v>
                  </c:pt>
                  <c:pt idx="27">
                    <c:v>165,78</c:v>
                  </c:pt>
                  <c:pt idx="28">
                    <c:v>200,43</c:v>
                  </c:pt>
                  <c:pt idx="29">
                    <c:v>250,06</c:v>
                  </c:pt>
                  <c:pt idx="30">
                    <c:v>350,33</c:v>
                  </c:pt>
                  <c:pt idx="31">
                    <c:v>199,76</c:v>
                  </c:pt>
                  <c:pt idx="32">
                    <c:v>200,35</c:v>
                  </c:pt>
                </c:lvl>
                <c:lvl>
                  <c:pt idx="0">
                    <c:v>400,20</c:v>
                  </c:pt>
                  <c:pt idx="1">
                    <c:v>349,90</c:v>
                  </c:pt>
                  <c:pt idx="2">
                    <c:v>350,19</c:v>
                  </c:pt>
                  <c:pt idx="3">
                    <c:v>250,85</c:v>
                  </c:pt>
                  <c:pt idx="4">
                    <c:v>208,67</c:v>
                  </c:pt>
                  <c:pt idx="5">
                    <c:v>400,18</c:v>
                  </c:pt>
                  <c:pt idx="6">
                    <c:v>300,18</c:v>
                  </c:pt>
                  <c:pt idx="8">
                    <c:v>200,26</c:v>
                  </c:pt>
                  <c:pt idx="9">
                    <c:v>FULL</c:v>
                  </c:pt>
                  <c:pt idx="10">
                    <c:v>400,24</c:v>
                  </c:pt>
                  <c:pt idx="11">
                    <c:v>250,51</c:v>
                  </c:pt>
                  <c:pt idx="12">
                    <c:v>200,37</c:v>
                  </c:pt>
                  <c:pt idx="13">
                    <c:v>300,61</c:v>
                  </c:pt>
                  <c:pt idx="14">
                    <c:v>303,09</c:v>
                  </c:pt>
                  <c:pt idx="16">
                    <c:v>200,63</c:v>
                  </c:pt>
                  <c:pt idx="17">
                    <c:v>207,86</c:v>
                  </c:pt>
                  <c:pt idx="18">
                    <c:v>270,84</c:v>
                  </c:pt>
                  <c:pt idx="19">
                    <c:v>200,49</c:v>
                  </c:pt>
                  <c:pt idx="20">
                    <c:v>250,35</c:v>
                  </c:pt>
                  <c:pt idx="21">
                    <c:v>250,56</c:v>
                  </c:pt>
                  <c:pt idx="22">
                    <c:v>357,35</c:v>
                  </c:pt>
                  <c:pt idx="24">
                    <c:v>300,05</c:v>
                  </c:pt>
                  <c:pt idx="25">
                    <c:v>200,82</c:v>
                  </c:pt>
                  <c:pt idx="26">
                    <c:v>249,94</c:v>
                  </c:pt>
                  <c:pt idx="27">
                    <c:v>250,78</c:v>
                  </c:pt>
                  <c:pt idx="28">
                    <c:v>250,78</c:v>
                  </c:pt>
                  <c:pt idx="29">
                    <c:v>250,52</c:v>
                  </c:pt>
                  <c:pt idx="30">
                    <c:v>250,13</c:v>
                  </c:pt>
                  <c:pt idx="31">
                    <c:v>305,44</c:v>
                  </c:pt>
                  <c:pt idx="32">
                    <c:v>251,46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270,61</c:v>
                  </c:pt>
                  <c:pt idx="3">
                    <c:v>269,87</c:v>
                  </c:pt>
                  <c:pt idx="4">
                    <c:v>FULL</c:v>
                  </c:pt>
                  <c:pt idx="5">
                    <c:v>500,18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121,42</c:v>
                  </c:pt>
                  <c:pt idx="10">
                    <c:v>FULL</c:v>
                  </c:pt>
                  <c:pt idx="11">
                    <c:v>370,62</c:v>
                  </c:pt>
                  <c:pt idx="12">
                    <c:v>350,25</c:v>
                  </c:pt>
                  <c:pt idx="13">
                    <c:v>400,69</c:v>
                  </c:pt>
                  <c:pt idx="14">
                    <c:v>500,12</c:v>
                  </c:pt>
                  <c:pt idx="16">
                    <c:v>200,62</c:v>
                  </c:pt>
                  <c:pt idx="17">
                    <c:v>FULL</c:v>
                  </c:pt>
                  <c:pt idx="18">
                    <c:v>452,92</c:v>
                  </c:pt>
                  <c:pt idx="19">
                    <c:v>399,94</c:v>
                  </c:pt>
                  <c:pt idx="20">
                    <c:v>400,00</c:v>
                  </c:pt>
                  <c:pt idx="21">
                    <c:v>499,94</c:v>
                  </c:pt>
                  <c:pt idx="22">
                    <c:v>415,63</c:v>
                  </c:pt>
                  <c:pt idx="24">
                    <c:v>500,27</c:v>
                  </c:pt>
                  <c:pt idx="25">
                    <c:v>251,18</c:v>
                  </c:pt>
                  <c:pt idx="26">
                    <c:v>FULL</c:v>
                  </c:pt>
                  <c:pt idx="27">
                    <c:v>400,30</c:v>
                  </c:pt>
                  <c:pt idx="28">
                    <c:v>400,09</c:v>
                  </c:pt>
                  <c:pt idx="29">
                    <c:v>400,13</c:v>
                  </c:pt>
                  <c:pt idx="30">
                    <c:v>400,14</c:v>
                  </c:pt>
                  <c:pt idx="31">
                    <c:v>499,62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71,76</c:v>
                  </c:pt>
                  <c:pt idx="2">
                    <c:v>380,46</c:v>
                  </c:pt>
                  <c:pt idx="3">
                    <c:v>323,93</c:v>
                  </c:pt>
                  <c:pt idx="4">
                    <c:v>391,29</c:v>
                  </c:pt>
                  <c:pt idx="5">
                    <c:v>400,18</c:v>
                  </c:pt>
                  <c:pt idx="6">
                    <c:v>400,26</c:v>
                  </c:pt>
                  <c:pt idx="8">
                    <c:v>500,16</c:v>
                  </c:pt>
                  <c:pt idx="9">
                    <c:v>270,49</c:v>
                  </c:pt>
                  <c:pt idx="10">
                    <c:v>450,20</c:v>
                  </c:pt>
                  <c:pt idx="11">
                    <c:v>500,34</c:v>
                  </c:pt>
                  <c:pt idx="12">
                    <c:v>400,09</c:v>
                  </c:pt>
                  <c:pt idx="13">
                    <c:v>400,84</c:v>
                  </c:pt>
                  <c:pt idx="14">
                    <c:v>283,81</c:v>
                  </c:pt>
                  <c:pt idx="16">
                    <c:v>350,19</c:v>
                  </c:pt>
                  <c:pt idx="17">
                    <c:v>350,43</c:v>
                  </c:pt>
                  <c:pt idx="18">
                    <c:v>119,49</c:v>
                  </c:pt>
                  <c:pt idx="19">
                    <c:v>500,19</c:v>
                  </c:pt>
                  <c:pt idx="20">
                    <c:v>400,51</c:v>
                  </c:pt>
                  <c:pt idx="21">
                    <c:v>400,23</c:v>
                  </c:pt>
                  <c:pt idx="22">
                    <c:v>419,57</c:v>
                  </c:pt>
                  <c:pt idx="24">
                    <c:v>300,50</c:v>
                  </c:pt>
                  <c:pt idx="25">
                    <c:v>312,27</c:v>
                  </c:pt>
                  <c:pt idx="26">
                    <c:v>450,83</c:v>
                  </c:pt>
                  <c:pt idx="27">
                    <c:v>369,96</c:v>
                  </c:pt>
                  <c:pt idx="28">
                    <c:v>400,19</c:v>
                  </c:pt>
                  <c:pt idx="29">
                    <c:v>399,92</c:v>
                  </c:pt>
                  <c:pt idx="30">
                    <c:v>400,22</c:v>
                  </c:pt>
                  <c:pt idx="31">
                    <c:v>299,92</c:v>
                  </c:pt>
                  <c:pt idx="32">
                    <c:v>450,55</c:v>
                  </c:pt>
                </c:lvl>
                <c:lvl>
                  <c:pt idx="7">
                    <c:v>GRAHA</c:v>
                  </c:pt>
                  <c:pt idx="15">
                    <c:v>GRAHA</c:v>
                  </c:pt>
                  <c:pt idx="23">
                    <c:v>GRAHA</c:v>
                  </c:pt>
                  <c:pt idx="34">
                    <c:v>GRAHA</c:v>
                  </c:pt>
                </c:lvl>
                <c:lvl>
                  <c:pt idx="0">
                    <c:v>57,69</c:v>
                  </c:pt>
                  <c:pt idx="1">
                    <c:v>67,25</c:v>
                  </c:pt>
                  <c:pt idx="2">
                    <c:v>418,37</c:v>
                  </c:pt>
                  <c:pt idx="3">
                    <c:v>293,43</c:v>
                  </c:pt>
                  <c:pt idx="4">
                    <c:v>490,71</c:v>
                  </c:pt>
                  <c:pt idx="5">
                    <c:v>399,99</c:v>
                  </c:pt>
                  <c:pt idx="6">
                    <c:v>352,83</c:v>
                  </c:pt>
                  <c:pt idx="8">
                    <c:v>200,39</c:v>
                  </c:pt>
                  <c:pt idx="9">
                    <c:v>232,41</c:v>
                  </c:pt>
                  <c:pt idx="10">
                    <c:v>35,71</c:v>
                  </c:pt>
                  <c:pt idx="11">
                    <c:v>50,04</c:v>
                  </c:pt>
                  <c:pt idx="12">
                    <c:v>89,06</c:v>
                  </c:pt>
                  <c:pt idx="13">
                    <c:v>412,37</c:v>
                  </c:pt>
                  <c:pt idx="14">
                    <c:v>334,29</c:v>
                  </c:pt>
                  <c:pt idx="16">
                    <c:v>502,21</c:v>
                  </c:pt>
                  <c:pt idx="17">
                    <c:v>400,31</c:v>
                  </c:pt>
                  <c:pt idx="18">
                    <c:v>434,69</c:v>
                  </c:pt>
                  <c:pt idx="19">
                    <c:v>355,10</c:v>
                  </c:pt>
                  <c:pt idx="20">
                    <c:v>267,25</c:v>
                  </c:pt>
                  <c:pt idx="21">
                    <c:v>209,37</c:v>
                  </c:pt>
                  <c:pt idx="22">
                    <c:v>500,42</c:v>
                  </c:pt>
                  <c:pt idx="24">
                    <c:v>268,41</c:v>
                  </c:pt>
                  <c:pt idx="25">
                    <c:v>FULL</c:v>
                  </c:pt>
                  <c:pt idx="26">
                    <c:v>173,75</c:v>
                  </c:pt>
                  <c:pt idx="27">
                    <c:v>486,51</c:v>
                  </c:pt>
                  <c:pt idx="28">
                    <c:v>400,40</c:v>
                  </c:pt>
                  <c:pt idx="29">
                    <c:v>68,68</c:v>
                  </c:pt>
                  <c:pt idx="30">
                    <c:v>400,04</c:v>
                  </c:pt>
                  <c:pt idx="31">
                    <c:v>65,22</c:v>
                  </c:pt>
                  <c:pt idx="32">
                    <c:v>16,90</c:v>
                  </c:pt>
                </c:lvl>
                <c:lvl>
                  <c:pt idx="0">
                    <c:v>450,81</c:v>
                  </c:pt>
                  <c:pt idx="1">
                    <c:v>403,52</c:v>
                  </c:pt>
                  <c:pt idx="2">
                    <c:v>450,90</c:v>
                  </c:pt>
                  <c:pt idx="3">
                    <c:v>355,16</c:v>
                  </c:pt>
                  <c:pt idx="4">
                    <c:v>483,87</c:v>
                  </c:pt>
                  <c:pt idx="5">
                    <c:v>500,17</c:v>
                  </c:pt>
                  <c:pt idx="6">
                    <c:v>350,48</c:v>
                  </c:pt>
                  <c:pt idx="8">
                    <c:v>350,32</c:v>
                  </c:pt>
                  <c:pt idx="9">
                    <c:v>353,28</c:v>
                  </c:pt>
                  <c:pt idx="10">
                    <c:v>300,46</c:v>
                  </c:pt>
                  <c:pt idx="11">
                    <c:v>205,25</c:v>
                  </c:pt>
                  <c:pt idx="12">
                    <c:v>500,08</c:v>
                  </c:pt>
                  <c:pt idx="13">
                    <c:v>463,80</c:v>
                  </c:pt>
                  <c:pt idx="14">
                    <c:v>480,25</c:v>
                  </c:pt>
                  <c:pt idx="16">
                    <c:v>400,36</c:v>
                  </c:pt>
                  <c:pt idx="17">
                    <c:v>400,75</c:v>
                  </c:pt>
                  <c:pt idx="18">
                    <c:v>450,36</c:v>
                  </c:pt>
                  <c:pt idx="19">
                    <c:v>399,85</c:v>
                  </c:pt>
                  <c:pt idx="20">
                    <c:v>400,47</c:v>
                  </c:pt>
                  <c:pt idx="21">
                    <c:v>500,19</c:v>
                  </c:pt>
                  <c:pt idx="22">
                    <c:v>499,97</c:v>
                  </c:pt>
                  <c:pt idx="24">
                    <c:v>500,15</c:v>
                  </c:pt>
                  <c:pt idx="25">
                    <c:v>500,06</c:v>
                  </c:pt>
                  <c:pt idx="26">
                    <c:v>500,33</c:v>
                  </c:pt>
                  <c:pt idx="27">
                    <c:v>499,61</c:v>
                  </c:pt>
                  <c:pt idx="28">
                    <c:v>500,60</c:v>
                  </c:pt>
                  <c:pt idx="29">
                    <c:v>500,34</c:v>
                  </c:pt>
                  <c:pt idx="30">
                    <c:v>500,18</c:v>
                  </c:pt>
                  <c:pt idx="31">
                    <c:v>477,14</c:v>
                  </c:pt>
                  <c:pt idx="32">
                    <c:v>500,13</c:v>
                  </c:pt>
                </c:lvl>
                <c:lvl>
                  <c:pt idx="0">
                    <c:v>399,71</c:v>
                  </c:pt>
                  <c:pt idx="1">
                    <c:v>501,49</c:v>
                  </c:pt>
                  <c:pt idx="2">
                    <c:v>500,28</c:v>
                  </c:pt>
                  <c:pt idx="3">
                    <c:v>500,45</c:v>
                  </c:pt>
                  <c:pt idx="4">
                    <c:v>415,33</c:v>
                  </c:pt>
                  <c:pt idx="5">
                    <c:v>399,85</c:v>
                  </c:pt>
                  <c:pt idx="6">
                    <c:v>400,40</c:v>
                  </c:pt>
                  <c:pt idx="8">
                    <c:v>457,89</c:v>
                  </c:pt>
                  <c:pt idx="9">
                    <c:v>372,57</c:v>
                  </c:pt>
                  <c:pt idx="10">
                    <c:v>454,62</c:v>
                  </c:pt>
                  <c:pt idx="11">
                    <c:v>400,39</c:v>
                  </c:pt>
                  <c:pt idx="12">
                    <c:v>500,25</c:v>
                  </c:pt>
                  <c:pt idx="13">
                    <c:v>497,85</c:v>
                  </c:pt>
                  <c:pt idx="14">
                    <c:v>462,09</c:v>
                  </c:pt>
                  <c:pt idx="16">
                    <c:v>457,14</c:v>
                  </c:pt>
                  <c:pt idx="17">
                    <c:v>400,12</c:v>
                  </c:pt>
                  <c:pt idx="18">
                    <c:v>499,69</c:v>
                  </c:pt>
                  <c:pt idx="19">
                    <c:v>400,11</c:v>
                  </c:pt>
                  <c:pt idx="20">
                    <c:v>500,49</c:v>
                  </c:pt>
                  <c:pt idx="21">
                    <c:v>499,98</c:v>
                  </c:pt>
                  <c:pt idx="22">
                    <c:v>498,80</c:v>
                  </c:pt>
                  <c:pt idx="24">
                    <c:v>432,69</c:v>
                  </c:pt>
                  <c:pt idx="25">
                    <c:v>465,73</c:v>
                  </c:pt>
                  <c:pt idx="26">
                    <c:v>451,69</c:v>
                  </c:pt>
                  <c:pt idx="27">
                    <c:v>499,91</c:v>
                  </c:pt>
                  <c:pt idx="28">
                    <c:v>494,90</c:v>
                  </c:pt>
                  <c:pt idx="29">
                    <c:v>400,16</c:v>
                  </c:pt>
                  <c:pt idx="30">
                    <c:v>FULL</c:v>
                  </c:pt>
                  <c:pt idx="31">
                    <c:v>500,56</c:v>
                  </c:pt>
                  <c:pt idx="32">
                    <c:v>498,26</c:v>
                  </c:pt>
                  <c:pt idx="36">
                    <c:v>05, 09,12,22,38, 43, 44.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 full BBM Solar -----------</c:v>
                  </c:pt>
                </c:lvl>
                <c:lvl>
                  <c:pt idx="0">
                    <c:v>400,23</c:v>
                  </c:pt>
                  <c:pt idx="1">
                    <c:v>499,41</c:v>
                  </c:pt>
                  <c:pt idx="2">
                    <c:v>400,19</c:v>
                  </c:pt>
                  <c:pt idx="3">
                    <c:v>500,51</c:v>
                  </c:pt>
                  <c:pt idx="4">
                    <c:v>500,52</c:v>
                  </c:pt>
                  <c:pt idx="5">
                    <c:v>400,01</c:v>
                  </c:pt>
                  <c:pt idx="6">
                    <c:v>265,71</c:v>
                  </c:pt>
                  <c:pt idx="8">
                    <c:v>FULL</c:v>
                  </c:pt>
                  <c:pt idx="9">
                    <c:v>331,44</c:v>
                  </c:pt>
                  <c:pt idx="10">
                    <c:v>500,19</c:v>
                  </c:pt>
                  <c:pt idx="11">
                    <c:v>500,15</c:v>
                  </c:pt>
                  <c:pt idx="12">
                    <c:v>500,08</c:v>
                  </c:pt>
                  <c:pt idx="13">
                    <c:v>500,31</c:v>
                  </c:pt>
                  <c:pt idx="14">
                    <c:v>470,21</c:v>
                  </c:pt>
                  <c:pt idx="16">
                    <c:v>400,34</c:v>
                  </c:pt>
                  <c:pt idx="17">
                    <c:v>400,09</c:v>
                  </c:pt>
                  <c:pt idx="18">
                    <c:v>500,96</c:v>
                  </c:pt>
                  <c:pt idx="19">
                    <c:v>500,19</c:v>
                  </c:pt>
                  <c:pt idx="20">
                    <c:v>500,09</c:v>
                  </c:pt>
                  <c:pt idx="21">
                    <c:v>450,06</c:v>
                  </c:pt>
                  <c:pt idx="22">
                    <c:v>500,03</c:v>
                  </c:pt>
                  <c:pt idx="24">
                    <c:v>500,73</c:v>
                  </c:pt>
                  <c:pt idx="25">
                    <c:v>499,84</c:v>
                  </c:pt>
                  <c:pt idx="26">
                    <c:v>500,81</c:v>
                  </c:pt>
                  <c:pt idx="27">
                    <c:v>500,05</c:v>
                  </c:pt>
                  <c:pt idx="28">
                    <c:v>500,41</c:v>
                  </c:pt>
                  <c:pt idx="29">
                    <c:v>500,27</c:v>
                  </c:pt>
                  <c:pt idx="30">
                    <c:v>500,57</c:v>
                  </c:pt>
                  <c:pt idx="31">
                    <c:v>499,95</c:v>
                  </c:pt>
                  <c:pt idx="32">
                    <c:v>500,41</c:v>
                  </c:pt>
                  <c:pt idx="36">
                    <c:v>. RTGC Standby status</c:v>
                  </c:pt>
                </c:lvl>
                <c:lvl>
                  <c:pt idx="0">
                    <c:v>500,07</c:v>
                  </c:pt>
                  <c:pt idx="1">
                    <c:v>450,04</c:v>
                  </c:pt>
                  <c:pt idx="2">
                    <c:v>400,17</c:v>
                  </c:pt>
                  <c:pt idx="3">
                    <c:v>500,17</c:v>
                  </c:pt>
                  <c:pt idx="4">
                    <c:v>500,72</c:v>
                  </c:pt>
                  <c:pt idx="5">
                    <c:v>499,88</c:v>
                  </c:pt>
                  <c:pt idx="6">
                    <c:v>400,09</c:v>
                  </c:pt>
                  <c:pt idx="8">
                    <c:v>450,21</c:v>
                  </c:pt>
                  <c:pt idx="9">
                    <c:v>400,82</c:v>
                  </c:pt>
                  <c:pt idx="10">
                    <c:v>500,12</c:v>
                  </c:pt>
                  <c:pt idx="11">
                    <c:v>500,36</c:v>
                  </c:pt>
                  <c:pt idx="12">
                    <c:v>500,13</c:v>
                  </c:pt>
                  <c:pt idx="13">
                    <c:v>500,51</c:v>
                  </c:pt>
                  <c:pt idx="14">
                    <c:v>450,23</c:v>
                  </c:pt>
                  <c:pt idx="16">
                    <c:v>450,21</c:v>
                  </c:pt>
                  <c:pt idx="17">
                    <c:v>400,33</c:v>
                  </c:pt>
                  <c:pt idx="18">
                    <c:v>500,02</c:v>
                  </c:pt>
                  <c:pt idx="19">
                    <c:v>400,08</c:v>
                  </c:pt>
                  <c:pt idx="20">
                    <c:v>500,61</c:v>
                  </c:pt>
                  <c:pt idx="21">
                    <c:v>500,68</c:v>
                  </c:pt>
                  <c:pt idx="22">
                    <c:v>500,80</c:v>
                  </c:pt>
                  <c:pt idx="24">
                    <c:v>400,10</c:v>
                  </c:pt>
                  <c:pt idx="25">
                    <c:v>500,16</c:v>
                  </c:pt>
                  <c:pt idx="26">
                    <c:v>500,22</c:v>
                  </c:pt>
                  <c:pt idx="27">
                    <c:v>400,20</c:v>
                  </c:pt>
                  <c:pt idx="28">
                    <c:v>502,68</c:v>
                  </c:pt>
                  <c:pt idx="29">
                    <c:v>500,23</c:v>
                  </c:pt>
                  <c:pt idx="30">
                    <c:v>500,10</c:v>
                  </c:pt>
                  <c:pt idx="31">
                    <c:v>300,61</c:v>
                  </c:pt>
                  <c:pt idx="32">
                    <c:v>400,50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21, 23, 24, 25.</c:v>
                  </c:pt>
                </c:lvl>
                <c:lvl>
                  <c:pt idx="0">
                    <c:v>400,56</c:v>
                  </c:pt>
                  <c:pt idx="1">
                    <c:v>344,71</c:v>
                  </c:pt>
                  <c:pt idx="2">
                    <c:v>449,99</c:v>
                  </c:pt>
                  <c:pt idx="3">
                    <c:v>361,62</c:v>
                  </c:pt>
                  <c:pt idx="4">
                    <c:v>432,63</c:v>
                  </c:pt>
                  <c:pt idx="5">
                    <c:v>350,37</c:v>
                  </c:pt>
                  <c:pt idx="6">
                    <c:v>400,55</c:v>
                  </c:pt>
                  <c:pt idx="8">
                    <c:v>201,31</c:v>
                  </c:pt>
                  <c:pt idx="9">
                    <c:v>FULL</c:v>
                  </c:pt>
                  <c:pt idx="10">
                    <c:v>300,53</c:v>
                  </c:pt>
                  <c:pt idx="11">
                    <c:v>400,47</c:v>
                  </c:pt>
                  <c:pt idx="12">
                    <c:v>450,27</c:v>
                  </c:pt>
                  <c:pt idx="13">
                    <c:v>400,55</c:v>
                  </c:pt>
                  <c:pt idx="14">
                    <c:v>354,76</c:v>
                  </c:pt>
                  <c:pt idx="16">
                    <c:v>386,71</c:v>
                  </c:pt>
                  <c:pt idx="17">
                    <c:v>399,97</c:v>
                  </c:pt>
                  <c:pt idx="18">
                    <c:v>307,37</c:v>
                  </c:pt>
                  <c:pt idx="19">
                    <c:v>400,32</c:v>
                  </c:pt>
                  <c:pt idx="20">
                    <c:v>260,40</c:v>
                  </c:pt>
                  <c:pt idx="21">
                    <c:v>399,63</c:v>
                  </c:pt>
                  <c:pt idx="22">
                    <c:v>420,22</c:v>
                  </c:pt>
                  <c:pt idx="24">
                    <c:v>450,52</c:v>
                  </c:pt>
                  <c:pt idx="25">
                    <c:v>350,01</c:v>
                  </c:pt>
                  <c:pt idx="26">
                    <c:v>500,55</c:v>
                  </c:pt>
                  <c:pt idx="27">
                    <c:v>349,87</c:v>
                  </c:pt>
                  <c:pt idx="28">
                    <c:v>412,66</c:v>
                  </c:pt>
                  <c:pt idx="29">
                    <c:v>400,38</c:v>
                  </c:pt>
                  <c:pt idx="30">
                    <c:v>418,29</c:v>
                  </c:pt>
                  <c:pt idx="31">
                    <c:v>398,94</c:v>
                  </c:pt>
                  <c:pt idx="32">
                    <c:v>400,33</c:v>
                  </c:pt>
                  <c:pt idx="36">
                    <c:v>. RTGC yg Dilelang Srucb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301,52</c:v>
                  </c:pt>
                  <c:pt idx="1">
                    <c:v>350,00</c:v>
                  </c:pt>
                  <c:pt idx="2">
                    <c:v>270,04</c:v>
                  </c:pt>
                  <c:pt idx="3">
                    <c:v>303,64</c:v>
                  </c:pt>
                  <c:pt idx="4">
                    <c:v>310,42</c:v>
                  </c:pt>
                  <c:pt idx="5">
                    <c:v>399,99</c:v>
                  </c:pt>
                  <c:pt idx="6">
                    <c:v>300,23</c:v>
                  </c:pt>
                  <c:pt idx="8">
                    <c:v>149,98</c:v>
                  </c:pt>
                  <c:pt idx="9">
                    <c:v>249,99</c:v>
                  </c:pt>
                  <c:pt idx="10">
                    <c:v>400,44</c:v>
                  </c:pt>
                  <c:pt idx="11">
                    <c:v>149,16</c:v>
                  </c:pt>
                  <c:pt idx="12">
                    <c:v>150,32</c:v>
                  </c:pt>
                  <c:pt idx="13">
                    <c:v>FULL</c:v>
                  </c:pt>
                  <c:pt idx="14">
                    <c:v>270,57</c:v>
                  </c:pt>
                  <c:pt idx="16">
                    <c:v>400,36</c:v>
                  </c:pt>
                  <c:pt idx="17">
                    <c:v>200,34</c:v>
                  </c:pt>
                  <c:pt idx="18">
                    <c:v>352,22</c:v>
                  </c:pt>
                  <c:pt idx="19">
                    <c:v>288,21</c:v>
                  </c:pt>
                  <c:pt idx="20">
                    <c:v>400,08</c:v>
                  </c:pt>
                  <c:pt idx="21">
                    <c:v>350,53</c:v>
                  </c:pt>
                  <c:pt idx="22">
                    <c:v>350,31</c:v>
                  </c:pt>
                  <c:pt idx="24">
                    <c:v>350,30</c:v>
                  </c:pt>
                  <c:pt idx="25">
                    <c:v>350,79</c:v>
                  </c:pt>
                  <c:pt idx="26">
                    <c:v>350,53</c:v>
                  </c:pt>
                  <c:pt idx="27">
                    <c:v>200,07</c:v>
                  </c:pt>
                  <c:pt idx="28">
                    <c:v>350,66</c:v>
                  </c:pt>
                  <c:pt idx="29">
                    <c:v>350,41</c:v>
                  </c:pt>
                  <c:pt idx="30">
                    <c:v>400,07</c:v>
                  </c:pt>
                  <c:pt idx="31">
                    <c:v>251,31</c:v>
                  </c:pt>
                  <c:pt idx="32">
                    <c:v>400,23</c:v>
                  </c:pt>
                  <c:pt idx="36">
                    <c:v>07, 26, 29, 35,36, 42, 63.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. RTGC PM ---------------</c:v>
                  </c:pt>
                </c:lvl>
                <c:lvl>
                  <c:pt idx="0">
                    <c:v>505,63</c:v>
                  </c:pt>
                  <c:pt idx="1">
                    <c:v>470,43</c:v>
                  </c:pt>
                  <c:pt idx="2">
                    <c:v>500,38</c:v>
                  </c:pt>
                  <c:pt idx="3">
                    <c:v>400,65</c:v>
                  </c:pt>
                  <c:pt idx="4">
                    <c:v>486,13</c:v>
                  </c:pt>
                  <c:pt idx="5">
                    <c:v>500,05</c:v>
                  </c:pt>
                  <c:pt idx="6">
                    <c:v>400,15</c:v>
                  </c:pt>
                  <c:pt idx="8">
                    <c:v>450,15</c:v>
                  </c:pt>
                  <c:pt idx="9">
                    <c:v>499,90</c:v>
                  </c:pt>
                  <c:pt idx="10">
                    <c:v>500,17</c:v>
                  </c:pt>
                  <c:pt idx="11">
                    <c:v>450,05</c:v>
                  </c:pt>
                  <c:pt idx="12">
                    <c:v>500,23</c:v>
                  </c:pt>
                  <c:pt idx="13">
                    <c:v>400,89</c:v>
                  </c:pt>
                  <c:pt idx="14">
                    <c:v>500,62</c:v>
                  </c:pt>
                  <c:pt idx="16">
                    <c:v>450,81</c:v>
                  </c:pt>
                  <c:pt idx="17">
                    <c:v>400,22</c:v>
                  </c:pt>
                  <c:pt idx="18">
                    <c:v>499,92</c:v>
                  </c:pt>
                  <c:pt idx="19">
                    <c:v>500,29</c:v>
                  </c:pt>
                  <c:pt idx="20">
                    <c:v>450,11</c:v>
                  </c:pt>
                  <c:pt idx="21">
                    <c:v>400,44</c:v>
                  </c:pt>
                  <c:pt idx="22">
                    <c:v>517,91</c:v>
                  </c:pt>
                  <c:pt idx="24">
                    <c:v>500,00</c:v>
                  </c:pt>
                  <c:pt idx="25">
                    <c:v>400,16</c:v>
                  </c:pt>
                  <c:pt idx="26">
                    <c:v>449,45</c:v>
                  </c:pt>
                  <c:pt idx="27">
                    <c:v>499,25</c:v>
                  </c:pt>
                  <c:pt idx="28">
                    <c:v>400,35</c:v>
                  </c:pt>
                  <c:pt idx="29">
                    <c:v>500,21</c:v>
                  </c:pt>
                  <c:pt idx="30">
                    <c:v>499,97</c:v>
                  </c:pt>
                  <c:pt idx="31">
                    <c:v>400,47</c:v>
                  </c:pt>
                  <c:pt idx="32">
                    <c:v>500,62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GraHa Segara</c:v>
                  </c:pt>
                </c:lvl>
                <c:lvl>
                  <c:pt idx="0">
                    <c:v>299,64</c:v>
                  </c:pt>
                  <c:pt idx="1">
                    <c:v>350,00</c:v>
                  </c:pt>
                  <c:pt idx="2">
                    <c:v>400,18</c:v>
                  </c:pt>
                  <c:pt idx="3">
                    <c:v>351,14</c:v>
                  </c:pt>
                  <c:pt idx="4">
                    <c:v>436,30</c:v>
                  </c:pt>
                  <c:pt idx="5">
                    <c:v>399,85</c:v>
                  </c:pt>
                  <c:pt idx="6">
                    <c:v>350,22</c:v>
                  </c:pt>
                  <c:pt idx="8">
                    <c:v>400,09</c:v>
                  </c:pt>
                  <c:pt idx="9">
                    <c:v>337,72</c:v>
                  </c:pt>
                  <c:pt idx="10">
                    <c:v>400,09</c:v>
                  </c:pt>
                  <c:pt idx="11">
                    <c:v>400,27</c:v>
                  </c:pt>
                  <c:pt idx="12">
                    <c:v>350,33</c:v>
                  </c:pt>
                  <c:pt idx="13">
                    <c:v>353,86</c:v>
                  </c:pt>
                  <c:pt idx="14">
                    <c:v>400,37</c:v>
                  </c:pt>
                  <c:pt idx="16">
                    <c:v>350,57</c:v>
                  </c:pt>
                  <c:pt idx="17">
                    <c:v>400,13</c:v>
                  </c:pt>
                  <c:pt idx="18">
                    <c:v>400,34</c:v>
                  </c:pt>
                  <c:pt idx="19">
                    <c:v>350,43</c:v>
                  </c:pt>
                  <c:pt idx="20">
                    <c:v>400,06</c:v>
                  </c:pt>
                  <c:pt idx="21">
                    <c:v>400,16</c:v>
                  </c:pt>
                  <c:pt idx="22">
                    <c:v>326,23</c:v>
                  </c:pt>
                  <c:pt idx="24">
                    <c:v>400,35</c:v>
                  </c:pt>
                  <c:pt idx="25">
                    <c:v>401,12</c:v>
                  </c:pt>
                  <c:pt idx="26">
                    <c:v>350,11</c:v>
                  </c:pt>
                  <c:pt idx="27">
                    <c:v>400,13</c:v>
                  </c:pt>
                  <c:pt idx="28">
                    <c:v>350,51</c:v>
                  </c:pt>
                  <c:pt idx="29">
                    <c:v>400,05</c:v>
                  </c:pt>
                  <c:pt idx="30">
                    <c:v>351,58</c:v>
                  </c:pt>
                  <c:pt idx="31">
                    <c:v>300,07</c:v>
                  </c:pt>
                  <c:pt idx="32">
                    <c:v>400,14</c:v>
                  </c:pt>
                  <c:pt idx="36">
                    <c:v>. RTGC 16 Disewakan ke</c:v>
                  </c:pt>
                </c:lvl>
                <c:lvl>
                  <c:pt idx="0">
                    <c:v>FULL</c:v>
                  </c:pt>
                  <c:pt idx="1">
                    <c:v>250,00</c:v>
                  </c:pt>
                  <c:pt idx="2">
                    <c:v>410,25</c:v>
                  </c:pt>
                  <c:pt idx="3">
                    <c:v>401,06</c:v>
                  </c:pt>
                  <c:pt idx="4">
                    <c:v>355,31</c:v>
                  </c:pt>
                  <c:pt idx="5">
                    <c:v>299,84</c:v>
                  </c:pt>
                  <c:pt idx="6">
                    <c:v>400,21</c:v>
                  </c:pt>
                  <c:pt idx="8">
                    <c:v>199,97</c:v>
                  </c:pt>
                  <c:pt idx="9">
                    <c:v>300,48</c:v>
                  </c:pt>
                  <c:pt idx="10">
                    <c:v>400,10</c:v>
                  </c:pt>
                  <c:pt idx="11">
                    <c:v>350,44</c:v>
                  </c:pt>
                  <c:pt idx="12">
                    <c:v>350,26</c:v>
                  </c:pt>
                  <c:pt idx="13">
                    <c:v>307,39</c:v>
                  </c:pt>
                  <c:pt idx="14">
                    <c:v>400,10</c:v>
                  </c:pt>
                  <c:pt idx="16">
                    <c:v>255,59</c:v>
                  </c:pt>
                  <c:pt idx="17">
                    <c:v>300,24</c:v>
                  </c:pt>
                  <c:pt idx="18">
                    <c:v>400,49</c:v>
                  </c:pt>
                  <c:pt idx="19">
                    <c:v>300,48</c:v>
                  </c:pt>
                  <c:pt idx="20">
                    <c:v>400,15</c:v>
                  </c:pt>
                  <c:pt idx="21">
                    <c:v>300,19</c:v>
                  </c:pt>
                  <c:pt idx="22">
                    <c:v>301,42</c:v>
                  </c:pt>
                  <c:pt idx="24">
                    <c:v>400,27</c:v>
                  </c:pt>
                  <c:pt idx="25">
                    <c:v>272,42</c:v>
                  </c:pt>
                  <c:pt idx="26">
                    <c:v>450,41</c:v>
                  </c:pt>
                  <c:pt idx="27">
                    <c:v>299,75</c:v>
                  </c:pt>
                  <c:pt idx="28">
                    <c:v>400,66</c:v>
                  </c:pt>
                  <c:pt idx="29">
                    <c:v>300,66</c:v>
                  </c:pt>
                  <c:pt idx="30">
                    <c:v>350,26</c:v>
                  </c:pt>
                  <c:pt idx="31">
                    <c:v>250,74</c:v>
                  </c:pt>
                  <c:pt idx="32">
                    <c:v>299,85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</c:multiLvlStrCache>
            </c:multiLvlStrRef>
          </c:cat>
          <c:val>
            <c:numRef>
              <c:f>'JUNI 2026'!$B$170:$AM$170</c:f>
              <c:numCache>
                <c:formatCode>General</c:formatCode>
                <c:ptCount val="37"/>
              </c:numCache>
            </c:numRef>
          </c:val>
        </c:ser>
        <c:ser>
          <c:idx val="4"/>
          <c:order val="4"/>
          <c:tx>
            <c:strRef>
              <c:f>'JUNI 2026'!$A$171</c:f>
              <c:strCache>
                <c:ptCount val="1"/>
                <c:pt idx="0">
                  <c:v>SL 11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'JUNI 2026'!$B$1:$AM$166</c:f>
              <c:multiLvlStrCache>
                <c:ptCount val="3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6">
                    <c:v>Note</c:v>
                  </c:pt>
                </c:lvl>
                <c:lvl>
                  <c:pt idx="0">
                    <c:v>92.77</c:v>
                  </c:pt>
                  <c:pt idx="1">
                    <c:v>92.72</c:v>
                  </c:pt>
                  <c:pt idx="2">
                    <c:v>92.74</c:v>
                  </c:pt>
                  <c:pt idx="3">
                    <c:v>92.76</c:v>
                  </c:pt>
                  <c:pt idx="4">
                    <c:v>92.79</c:v>
                  </c:pt>
                  <c:pt idx="5">
                    <c:v>92.75</c:v>
                  </c:pt>
                  <c:pt idx="6">
                    <c:v>92.74</c:v>
                  </c:pt>
                  <c:pt idx="8">
                    <c:v>92.74</c:v>
                  </c:pt>
                  <c:pt idx="9">
                    <c:v>92.74</c:v>
                  </c:pt>
                  <c:pt idx="10">
                    <c:v>92.75</c:v>
                  </c:pt>
                  <c:pt idx="11">
                    <c:v>92.77</c:v>
                  </c:pt>
                  <c:pt idx="12">
                    <c:v>92.77</c:v>
                  </c:pt>
                  <c:pt idx="13">
                    <c:v>92.73</c:v>
                  </c:pt>
                  <c:pt idx="14">
                    <c:v>92.77</c:v>
                  </c:pt>
                  <c:pt idx="16">
                    <c:v>92.71</c:v>
                  </c:pt>
                  <c:pt idx="17">
                    <c:v>92.72</c:v>
                  </c:pt>
                  <c:pt idx="18">
                    <c:v>92.75</c:v>
                  </c:pt>
                  <c:pt idx="19">
                    <c:v>92.74</c:v>
                  </c:pt>
                  <c:pt idx="20">
                    <c:v>92.75</c:v>
                  </c:pt>
                  <c:pt idx="21">
                    <c:v>92.75</c:v>
                  </c:pt>
                  <c:pt idx="22">
                    <c:v>92.72</c:v>
                  </c:pt>
                  <c:pt idx="24">
                    <c:v>92.75</c:v>
                  </c:pt>
                  <c:pt idx="25">
                    <c:v>92.78</c:v>
                  </c:pt>
                  <c:pt idx="26">
                    <c:v>92.73</c:v>
                  </c:pt>
                  <c:pt idx="27">
                    <c:v>92.73</c:v>
                  </c:pt>
                  <c:pt idx="28">
                    <c:v>92.73</c:v>
                  </c:pt>
                  <c:pt idx="29">
                    <c:v>92.74</c:v>
                  </c:pt>
                  <c:pt idx="30">
                    <c:v>92.70</c:v>
                  </c:pt>
                  <c:pt idx="31">
                    <c:v>92.74</c:v>
                  </c:pt>
                  <c:pt idx="32">
                    <c:v>92.70</c:v>
                  </c:pt>
                </c:lvl>
                <c:lvl>
                  <c:pt idx="0">
                    <c:v>6662,40</c:v>
                  </c:pt>
                  <c:pt idx="1">
                    <c:v>6181,46</c:v>
                  </c:pt>
                  <c:pt idx="2">
                    <c:v>5449,10</c:v>
                  </c:pt>
                  <c:pt idx="3">
                    <c:v>5917,58</c:v>
                  </c:pt>
                  <c:pt idx="4">
                    <c:v>5481,75</c:v>
                  </c:pt>
                  <c:pt idx="5">
                    <c:v>5209,42</c:v>
                  </c:pt>
                  <c:pt idx="6">
                    <c:v>6470,01</c:v>
                  </c:pt>
                  <c:pt idx="7">
                    <c:v>41371,72</c:v>
                  </c:pt>
                  <c:pt idx="8">
                    <c:v>4919,99</c:v>
                  </c:pt>
                  <c:pt idx="9">
                    <c:v>6025,86</c:v>
                  </c:pt>
                  <c:pt idx="10">
                    <c:v>5631,71</c:v>
                  </c:pt>
                  <c:pt idx="11">
                    <c:v>6898,52</c:v>
                  </c:pt>
                  <c:pt idx="12">
                    <c:v>5969,85</c:v>
                  </c:pt>
                  <c:pt idx="13">
                    <c:v>5632,86</c:v>
                  </c:pt>
                  <c:pt idx="14">
                    <c:v>6170,18</c:v>
                  </c:pt>
                  <c:pt idx="15">
                    <c:v>41248,97</c:v>
                  </c:pt>
                  <c:pt idx="16">
                    <c:v>6556,14</c:v>
                  </c:pt>
                  <c:pt idx="17">
                    <c:v>6351,87</c:v>
                  </c:pt>
                  <c:pt idx="18">
                    <c:v>6159,44</c:v>
                  </c:pt>
                  <c:pt idx="19">
                    <c:v>5595,52</c:v>
                  </c:pt>
                  <c:pt idx="20">
                    <c:v>6263,54</c:v>
                  </c:pt>
                  <c:pt idx="21">
                    <c:v>5953,98</c:v>
                  </c:pt>
                  <c:pt idx="22">
                    <c:v>5971,14</c:v>
                  </c:pt>
                  <c:pt idx="23">
                    <c:v>42851,63</c:v>
                  </c:pt>
                  <c:pt idx="24">
                    <c:v>6694,38</c:v>
                  </c:pt>
                  <c:pt idx="25">
                    <c:v>6869,59</c:v>
                  </c:pt>
                  <c:pt idx="26">
                    <c:v>5926,68</c:v>
                  </c:pt>
                  <c:pt idx="27">
                    <c:v>5421,42</c:v>
                  </c:pt>
                  <c:pt idx="28">
                    <c:v>6222,84</c:v>
                  </c:pt>
                  <c:pt idx="29">
                    <c:v>5964,21</c:v>
                  </c:pt>
                  <c:pt idx="30">
                    <c:v>6111,90</c:v>
                  </c:pt>
                  <c:pt idx="31">
                    <c:v>5306,48</c:v>
                  </c:pt>
                  <c:pt idx="32">
                    <c:v>5897,44</c:v>
                  </c:pt>
                  <c:pt idx="34">
                    <c:v>54414,94</c:v>
                  </c:pt>
                  <c:pt idx="35">
                    <c:v>179884,26</c:v>
                  </c:pt>
                </c:lvl>
                <c:lvl>
                  <c:pt idx="0">
                    <c:v>69,87</c:v>
                  </c:pt>
                  <c:pt idx="1">
                    <c:v>85,55</c:v>
                  </c:pt>
                  <c:pt idx="2">
                    <c:v>40,04</c:v>
                  </c:pt>
                  <c:pt idx="3">
                    <c:v>89,88</c:v>
                  </c:pt>
                  <c:pt idx="4">
                    <c:v>51,52</c:v>
                  </c:pt>
                  <c:pt idx="5">
                    <c:v>76,86</c:v>
                  </c:pt>
                  <c:pt idx="6">
                    <c:v>95,85</c:v>
                  </c:pt>
                  <c:pt idx="8">
                    <c:v>66,97</c:v>
                  </c:pt>
                  <c:pt idx="9">
                    <c:v>73,35</c:v>
                  </c:pt>
                  <c:pt idx="10">
                    <c:v>57,55</c:v>
                  </c:pt>
                  <c:pt idx="11">
                    <c:v>77,65</c:v>
                  </c:pt>
                  <c:pt idx="12">
                    <c:v>75,78</c:v>
                  </c:pt>
                  <c:pt idx="13">
                    <c:v>62,34</c:v>
                  </c:pt>
                  <c:pt idx="14">
                    <c:v>74,62</c:v>
                  </c:pt>
                  <c:pt idx="16">
                    <c:v>105,49</c:v>
                  </c:pt>
                  <c:pt idx="17">
                    <c:v>103,53</c:v>
                  </c:pt>
                  <c:pt idx="18">
                    <c:v>84,69</c:v>
                  </c:pt>
                  <c:pt idx="19">
                    <c:v>46,34</c:v>
                  </c:pt>
                  <c:pt idx="20">
                    <c:v>92,17</c:v>
                  </c:pt>
                  <c:pt idx="21">
                    <c:v>62,58</c:v>
                  </c:pt>
                  <c:pt idx="22">
                    <c:v>68,39</c:v>
                  </c:pt>
                  <c:pt idx="24">
                    <c:v>86,57</c:v>
                  </c:pt>
                  <c:pt idx="25">
                    <c:v>82,13</c:v>
                  </c:pt>
                  <c:pt idx="26">
                    <c:v>88,08</c:v>
                  </c:pt>
                  <c:pt idx="27">
                    <c:v>70,33</c:v>
                  </c:pt>
                  <c:pt idx="28">
                    <c:v>65,48</c:v>
                  </c:pt>
                  <c:pt idx="29">
                    <c:v>64,07</c:v>
                  </c:pt>
                  <c:pt idx="30">
                    <c:v>85,37</c:v>
                  </c:pt>
                  <c:pt idx="31">
                    <c:v>76,35</c:v>
                  </c:pt>
                  <c:pt idx="32">
                    <c:v>68,54</c:v>
                  </c:pt>
                </c:lvl>
                <c:lvl>
                  <c:pt idx="0">
                    <c:v>94,88</c:v>
                  </c:pt>
                  <c:pt idx="1">
                    <c:v>94,75</c:v>
                  </c:pt>
                  <c:pt idx="2">
                    <c:v>70,80</c:v>
                  </c:pt>
                  <c:pt idx="3">
                    <c:v>25,54</c:v>
                  </c:pt>
                  <c:pt idx="4">
                    <c:v>49,63</c:v>
                  </c:pt>
                  <c:pt idx="5">
                    <c:v>87,58</c:v>
                  </c:pt>
                  <c:pt idx="6">
                    <c:v>93,40</c:v>
                  </c:pt>
                  <c:pt idx="8">
                    <c:v>72,07</c:v>
                  </c:pt>
                  <c:pt idx="9">
                    <c:v>93,76</c:v>
                  </c:pt>
                  <c:pt idx="10">
                    <c:v>74,24</c:v>
                  </c:pt>
                  <c:pt idx="11">
                    <c:v>109,58</c:v>
                  </c:pt>
                  <c:pt idx="12">
                    <c:v>85,04</c:v>
                  </c:pt>
                  <c:pt idx="13">
                    <c:v>90,95</c:v>
                  </c:pt>
                  <c:pt idx="14">
                    <c:v>84,75</c:v>
                  </c:pt>
                  <c:pt idx="16">
                    <c:v>84,80</c:v>
                  </c:pt>
                  <c:pt idx="17">
                    <c:v>72,30</c:v>
                  </c:pt>
                  <c:pt idx="18">
                    <c:v>112,35</c:v>
                  </c:pt>
                  <c:pt idx="19">
                    <c:v>95,67</c:v>
                  </c:pt>
                  <c:pt idx="20">
                    <c:v>84,10</c:v>
                  </c:pt>
                  <c:pt idx="21">
                    <c:v>77,54</c:v>
                  </c:pt>
                  <c:pt idx="22">
                    <c:v>51,38</c:v>
                  </c:pt>
                  <c:pt idx="24">
                    <c:v>114,77</c:v>
                  </c:pt>
                  <c:pt idx="25">
                    <c:v>96,62</c:v>
                  </c:pt>
                  <c:pt idx="26">
                    <c:v>93,24</c:v>
                  </c:pt>
                  <c:pt idx="27">
                    <c:v>88,30</c:v>
                  </c:pt>
                  <c:pt idx="28">
                    <c:v>98,59</c:v>
                  </c:pt>
                  <c:pt idx="29">
                    <c:v>101,45</c:v>
                  </c:pt>
                  <c:pt idx="30">
                    <c:v>87,19</c:v>
                  </c:pt>
                  <c:pt idx="31">
                    <c:v>79,44</c:v>
                  </c:pt>
                  <c:pt idx="32">
                    <c:v>93,48</c:v>
                  </c:pt>
                  <c:pt idx="35">
                    <c:v>54411,94</c:v>
                  </c:pt>
                </c:lvl>
                <c:lvl>
                  <c:pt idx="0">
                    <c:v>75,82</c:v>
                  </c:pt>
                  <c:pt idx="1">
                    <c:v>71,36</c:v>
                  </c:pt>
                  <c:pt idx="2">
                    <c:v>68,11</c:v>
                  </c:pt>
                  <c:pt idx="3">
                    <c:v>82,01</c:v>
                  </c:pt>
                  <c:pt idx="4">
                    <c:v>86,56</c:v>
                  </c:pt>
                  <c:pt idx="5">
                    <c:v>72,14</c:v>
                  </c:pt>
                  <c:pt idx="6">
                    <c:v>107,02</c:v>
                  </c:pt>
                  <c:pt idx="8">
                    <c:v>45,71</c:v>
                  </c:pt>
                  <c:pt idx="9">
                    <c:v>61,93</c:v>
                  </c:pt>
                  <c:pt idx="11">
                    <c:v>208,17</c:v>
                  </c:pt>
                  <c:pt idx="12">
                    <c:v>57,00</c:v>
                  </c:pt>
                  <c:pt idx="13">
                    <c:v>82,06</c:v>
                  </c:pt>
                  <c:pt idx="14">
                    <c:v>83,60</c:v>
                  </c:pt>
                  <c:pt idx="16">
                    <c:v>80,28</c:v>
                  </c:pt>
                  <c:pt idx="17">
                    <c:v>90,96</c:v>
                  </c:pt>
                  <c:pt idx="18">
                    <c:v>110,84</c:v>
                  </c:pt>
                  <c:pt idx="19">
                    <c:v>86,21</c:v>
                  </c:pt>
                  <c:pt idx="20">
                    <c:v>93,82</c:v>
                  </c:pt>
                  <c:pt idx="21">
                    <c:v>70,26</c:v>
                  </c:pt>
                  <c:pt idx="22">
                    <c:v>69,18</c:v>
                  </c:pt>
                  <c:pt idx="24">
                    <c:v>100,47</c:v>
                  </c:pt>
                  <c:pt idx="25">
                    <c:v>81,75</c:v>
                  </c:pt>
                  <c:pt idx="26">
                    <c:v>75,77</c:v>
                  </c:pt>
                  <c:pt idx="27">
                    <c:v>106,83</c:v>
                  </c:pt>
                  <c:pt idx="28">
                    <c:v>78,26</c:v>
                  </c:pt>
                  <c:pt idx="29">
                    <c:v>76,14</c:v>
                  </c:pt>
                  <c:pt idx="30">
                    <c:v>79,02</c:v>
                  </c:pt>
                  <c:pt idx="31">
                    <c:v>88,27</c:v>
                  </c:pt>
                  <c:pt idx="32">
                    <c:v>118,74</c:v>
                  </c:pt>
                  <c:pt idx="35">
                    <c:v>42851,63</c:v>
                  </c:pt>
                </c:lvl>
                <c:lvl>
                  <c:pt idx="0">
                    <c:v>83,22</c:v>
                  </c:pt>
                  <c:pt idx="1">
                    <c:v>88,58</c:v>
                  </c:pt>
                  <c:pt idx="2">
                    <c:v>75,59</c:v>
                  </c:pt>
                  <c:pt idx="3">
                    <c:v>73,95</c:v>
                  </c:pt>
                  <c:pt idx="4">
                    <c:v>97,83</c:v>
                  </c:pt>
                  <c:pt idx="5">
                    <c:v>86,42</c:v>
                  </c:pt>
                  <c:pt idx="6">
                    <c:v>79,55</c:v>
                  </c:pt>
                  <c:pt idx="8">
                    <c:v>79,73</c:v>
                  </c:pt>
                  <c:pt idx="9">
                    <c:v>92,33</c:v>
                  </c:pt>
                  <c:pt idx="10">
                    <c:v>72,43</c:v>
                  </c:pt>
                  <c:pt idx="11">
                    <c:v>94,35</c:v>
                  </c:pt>
                  <c:pt idx="12">
                    <c:v>63,14</c:v>
                  </c:pt>
                  <c:pt idx="13">
                    <c:v>98,05</c:v>
                  </c:pt>
                  <c:pt idx="14">
                    <c:v>69,22</c:v>
                  </c:pt>
                  <c:pt idx="16">
                    <c:v>101,45</c:v>
                  </c:pt>
                  <c:pt idx="17">
                    <c:v>96,95</c:v>
                  </c:pt>
                  <c:pt idx="18">
                    <c:v>89,41</c:v>
                  </c:pt>
                  <c:pt idx="19">
                    <c:v>87,28</c:v>
                  </c:pt>
                  <c:pt idx="20">
                    <c:v>68,28</c:v>
                  </c:pt>
                  <c:pt idx="21">
                    <c:v>68,95</c:v>
                  </c:pt>
                  <c:pt idx="22">
                    <c:v>92,22</c:v>
                  </c:pt>
                  <c:pt idx="24">
                    <c:v>99,83</c:v>
                  </c:pt>
                  <c:pt idx="25">
                    <c:v>76,17</c:v>
                  </c:pt>
                  <c:pt idx="26">
                    <c:v>86,33</c:v>
                  </c:pt>
                  <c:pt idx="27">
                    <c:v>79,07</c:v>
                  </c:pt>
                  <c:pt idx="28">
                    <c:v>95,91</c:v>
                  </c:pt>
                  <c:pt idx="29">
                    <c:v>68,55</c:v>
                  </c:pt>
                  <c:pt idx="32">
                    <c:v>55,67</c:v>
                  </c:pt>
                  <c:pt idx="35">
                    <c:v>41248,97</c:v>
                  </c:pt>
                </c:lvl>
                <c:lvl>
                  <c:pt idx="0">
                    <c:v>71,14</c:v>
                  </c:pt>
                  <c:pt idx="1">
                    <c:v>91,53</c:v>
                  </c:pt>
                  <c:pt idx="2">
                    <c:v>97,02</c:v>
                  </c:pt>
                  <c:pt idx="3">
                    <c:v>73,32</c:v>
                  </c:pt>
                  <c:pt idx="4">
                    <c:v>83,64</c:v>
                  </c:pt>
                  <c:pt idx="5">
                    <c:v>61,23</c:v>
                  </c:pt>
                  <c:pt idx="6">
                    <c:v>108,55</c:v>
                  </c:pt>
                  <c:pt idx="8">
                    <c:v>65,76</c:v>
                  </c:pt>
                  <c:pt idx="9">
                    <c:v>71,06</c:v>
                  </c:pt>
                  <c:pt idx="10">
                    <c:v>91,45</c:v>
                  </c:pt>
                  <c:pt idx="11">
                    <c:v>93,90</c:v>
                  </c:pt>
                  <c:pt idx="12">
                    <c:v>71,61</c:v>
                  </c:pt>
                  <c:pt idx="13">
                    <c:v>79,68</c:v>
                  </c:pt>
                  <c:pt idx="14">
                    <c:v>95,14</c:v>
                  </c:pt>
                  <c:pt idx="16">
                    <c:v>75,92</c:v>
                  </c:pt>
                  <c:pt idx="17">
                    <c:v>91,03</c:v>
                  </c:pt>
                  <c:pt idx="18">
                    <c:v>73,67</c:v>
                  </c:pt>
                  <c:pt idx="19">
                    <c:v>66,78</c:v>
                  </c:pt>
                  <c:pt idx="21">
                    <c:v>166,54</c:v>
                  </c:pt>
                  <c:pt idx="22">
                    <c:v>88,08</c:v>
                  </c:pt>
                  <c:pt idx="24">
                    <c:v>93,32</c:v>
                  </c:pt>
                  <c:pt idx="25">
                    <c:v>95,06</c:v>
                  </c:pt>
                  <c:pt idx="26">
                    <c:v>104,77</c:v>
                  </c:pt>
                  <c:pt idx="27">
                    <c:v>81,16</c:v>
                  </c:pt>
                  <c:pt idx="28">
                    <c:v>87,83</c:v>
                  </c:pt>
                  <c:pt idx="29">
                    <c:v>87,67</c:v>
                  </c:pt>
                  <c:pt idx="30">
                    <c:v>86,01</c:v>
                  </c:pt>
                  <c:pt idx="31">
                    <c:v>71,07</c:v>
                  </c:pt>
                  <c:pt idx="32">
                    <c:v>81,96</c:v>
                  </c:pt>
                  <c:pt idx="35">
                    <c:v>41371,72</c:v>
                  </c:pt>
                </c:lvl>
                <c:lvl>
                  <c:pt idx="0">
                    <c:v>73,25</c:v>
                  </c:pt>
                  <c:pt idx="1">
                    <c:v>55,04</c:v>
                  </c:pt>
                  <c:pt idx="2">
                    <c:v>93,73</c:v>
                  </c:pt>
                  <c:pt idx="3">
                    <c:v>81,04</c:v>
                  </c:pt>
                  <c:pt idx="4">
                    <c:v>77,13</c:v>
                  </c:pt>
                  <c:pt idx="5">
                    <c:v>94,58</c:v>
                  </c:pt>
                  <c:pt idx="6">
                    <c:v>109,16</c:v>
                  </c:pt>
                  <c:pt idx="8">
                    <c:v>119,34</c:v>
                  </c:pt>
                  <c:pt idx="9">
                    <c:v>55,48</c:v>
                  </c:pt>
                  <c:pt idx="10">
                    <c:v>76,91</c:v>
                  </c:pt>
                  <c:pt idx="11">
                    <c:v>109,88</c:v>
                  </c:pt>
                  <c:pt idx="12">
                    <c:v>92,36</c:v>
                  </c:pt>
                  <c:pt idx="13">
                    <c:v>66,60</c:v>
                  </c:pt>
                  <c:pt idx="14">
                    <c:v>109,70</c:v>
                  </c:pt>
                  <c:pt idx="16">
                    <c:v>114,44</c:v>
                  </c:pt>
                  <c:pt idx="18">
                    <c:v>104,75</c:v>
                  </c:pt>
                  <c:pt idx="19">
                    <c:v>67,51</c:v>
                  </c:pt>
                  <c:pt idx="20">
                    <c:v>111,04</c:v>
                  </c:pt>
                  <c:pt idx="21">
                    <c:v>79,73</c:v>
                  </c:pt>
                  <c:pt idx="22">
                    <c:v>68,97</c:v>
                  </c:pt>
                  <c:pt idx="24">
                    <c:v>89,93</c:v>
                  </c:pt>
                  <c:pt idx="25">
                    <c:v>103,39</c:v>
                  </c:pt>
                  <c:pt idx="26">
                    <c:v>81,32</c:v>
                  </c:pt>
                  <c:pt idx="27">
                    <c:v>58,79</c:v>
                  </c:pt>
                  <c:pt idx="28">
                    <c:v>85,94</c:v>
                  </c:pt>
                  <c:pt idx="29">
                    <c:v>72,27</c:v>
                  </c:pt>
                  <c:pt idx="30">
                    <c:v>78,67</c:v>
                  </c:pt>
                  <c:pt idx="31">
                    <c:v>74,98</c:v>
                  </c:pt>
                  <c:pt idx="32">
                    <c:v>79,81</c:v>
                  </c:pt>
                </c:lvl>
                <c:lvl>
                  <c:pt idx="0">
                    <c:v>92,89</c:v>
                  </c:pt>
                  <c:pt idx="1">
                    <c:v>84,31</c:v>
                  </c:pt>
                  <c:pt idx="3">
                    <c:v>147,73</c:v>
                  </c:pt>
                  <c:pt idx="4">
                    <c:v>94,66</c:v>
                  </c:pt>
                  <c:pt idx="5">
                    <c:v>80,83</c:v>
                  </c:pt>
                  <c:pt idx="6">
                    <c:v>66,35</c:v>
                  </c:pt>
                  <c:pt idx="8">
                    <c:v>64,10</c:v>
                  </c:pt>
                  <c:pt idx="9">
                    <c:v>85,22</c:v>
                  </c:pt>
                  <c:pt idx="10">
                    <c:v>68,05</c:v>
                  </c:pt>
                  <c:pt idx="11">
                    <c:v>56,92</c:v>
                  </c:pt>
                  <c:pt idx="12">
                    <c:v>84,95</c:v>
                  </c:pt>
                  <c:pt idx="13">
                    <c:v>85,46</c:v>
                  </c:pt>
                  <c:pt idx="14">
                    <c:v>74,70</c:v>
                  </c:pt>
                  <c:pt idx="16">
                    <c:v>103,31</c:v>
                  </c:pt>
                  <c:pt idx="17">
                    <c:v>77,21</c:v>
                  </c:pt>
                  <c:pt idx="18">
                    <c:v>79,33</c:v>
                  </c:pt>
                  <c:pt idx="19">
                    <c:v>70,44</c:v>
                  </c:pt>
                  <c:pt idx="20">
                    <c:v>88,74</c:v>
                  </c:pt>
                  <c:pt idx="21">
                    <c:v>67,04</c:v>
                  </c:pt>
                  <c:pt idx="22">
                    <c:v>80,56</c:v>
                  </c:pt>
                  <c:pt idx="24">
                    <c:v>91,29</c:v>
                  </c:pt>
                  <c:pt idx="25">
                    <c:v>87,01</c:v>
                  </c:pt>
                  <c:pt idx="26">
                    <c:v>66,10</c:v>
                  </c:pt>
                  <c:pt idx="27">
                    <c:v>70,86</c:v>
                  </c:pt>
                  <c:pt idx="28">
                    <c:v>83,31</c:v>
                  </c:pt>
                  <c:pt idx="29">
                    <c:v>71,50</c:v>
                  </c:pt>
                  <c:pt idx="30">
                    <c:v>84,84</c:v>
                  </c:pt>
                  <c:pt idx="31">
                    <c:v>117,15</c:v>
                  </c:pt>
                  <c:pt idx="32">
                    <c:v>70,71</c:v>
                  </c:pt>
                </c:lvl>
                <c:lvl>
                  <c:pt idx="0">
                    <c:v>99,05</c:v>
                  </c:pt>
                  <c:pt idx="1">
                    <c:v>88,36</c:v>
                  </c:pt>
                  <c:pt idx="2">
                    <c:v>86,32</c:v>
                  </c:pt>
                  <c:pt idx="3">
                    <c:v>82,26</c:v>
                  </c:pt>
                  <c:pt idx="4">
                    <c:v>81,09</c:v>
                  </c:pt>
                  <c:pt idx="5">
                    <c:v>67,51</c:v>
                  </c:pt>
                  <c:pt idx="6">
                    <c:v>118,29</c:v>
                  </c:pt>
                  <c:pt idx="8">
                    <c:v>77,87</c:v>
                  </c:pt>
                  <c:pt idx="9">
                    <c:v>93,74</c:v>
                  </c:pt>
                  <c:pt idx="10">
                    <c:v>69,90</c:v>
                  </c:pt>
                  <c:pt idx="11">
                    <c:v>126,30</c:v>
                  </c:pt>
                  <c:pt idx="12">
                    <c:v>72,96</c:v>
                  </c:pt>
                  <c:pt idx="13">
                    <c:v>97,78</c:v>
                  </c:pt>
                  <c:pt idx="14">
                    <c:v>99,16</c:v>
                  </c:pt>
                  <c:pt idx="16">
                    <c:v>104,64</c:v>
                  </c:pt>
                  <c:pt idx="17">
                    <c:v>77,16</c:v>
                  </c:pt>
                  <c:pt idx="18">
                    <c:v>73,22</c:v>
                  </c:pt>
                  <c:pt idx="21">
                    <c:v>124,93</c:v>
                  </c:pt>
                  <c:pt idx="22">
                    <c:v>100,04</c:v>
                  </c:pt>
                  <c:pt idx="24">
                    <c:v>73,88</c:v>
                  </c:pt>
                  <c:pt idx="25">
                    <c:v>90,92</c:v>
                  </c:pt>
                  <c:pt idx="26">
                    <c:v>97,25</c:v>
                  </c:pt>
                  <c:pt idx="27">
                    <c:v>93,86</c:v>
                  </c:pt>
                  <c:pt idx="28">
                    <c:v>90,08</c:v>
                  </c:pt>
                  <c:pt idx="29">
                    <c:v>86,73</c:v>
                  </c:pt>
                  <c:pt idx="30">
                    <c:v>100,07</c:v>
                  </c:pt>
                  <c:pt idx="31">
                    <c:v>90,25</c:v>
                  </c:pt>
                  <c:pt idx="32">
                    <c:v>82,02</c:v>
                  </c:pt>
                </c:lvl>
                <c:lvl>
                  <c:pt idx="0">
                    <c:v>75,15</c:v>
                  </c:pt>
                  <c:pt idx="1">
                    <c:v>90,26</c:v>
                  </c:pt>
                  <c:pt idx="2">
                    <c:v>62,29</c:v>
                  </c:pt>
                  <c:pt idx="3">
                    <c:v>69,72</c:v>
                  </c:pt>
                  <c:pt idx="4">
                    <c:v>64,88</c:v>
                  </c:pt>
                  <c:pt idx="5">
                    <c:v>70,23</c:v>
                  </c:pt>
                  <c:pt idx="6">
                    <c:v>72,94</c:v>
                  </c:pt>
                  <c:pt idx="8">
                    <c:v>64,22</c:v>
                  </c:pt>
                  <c:pt idx="9">
                    <c:v>74,55</c:v>
                  </c:pt>
                  <c:pt idx="10">
                    <c:v>71,92</c:v>
                  </c:pt>
                  <c:pt idx="11">
                    <c:v>76,72</c:v>
                  </c:pt>
                  <c:pt idx="12">
                    <c:v>82,02</c:v>
                  </c:pt>
                  <c:pt idx="13">
                    <c:v>59,58</c:v>
                  </c:pt>
                  <c:pt idx="14">
                    <c:v>60,07</c:v>
                  </c:pt>
                  <c:pt idx="16">
                    <c:v>93,00</c:v>
                  </c:pt>
                  <c:pt idx="17">
                    <c:v>89,43</c:v>
                  </c:pt>
                  <c:pt idx="18">
                    <c:v>74,49</c:v>
                  </c:pt>
                  <c:pt idx="19">
                    <c:v>68,50</c:v>
                  </c:pt>
                  <c:pt idx="20">
                    <c:v>83,91</c:v>
                  </c:pt>
                  <c:pt idx="21">
                    <c:v>54,01</c:v>
                  </c:pt>
                  <c:pt idx="22">
                    <c:v>73,88</c:v>
                  </c:pt>
                  <c:pt idx="24">
                    <c:v>110,53</c:v>
                  </c:pt>
                  <c:pt idx="25">
                    <c:v>56,49</c:v>
                  </c:pt>
                  <c:pt idx="26">
                    <c:v>68,71</c:v>
                  </c:pt>
                  <c:pt idx="27">
                    <c:v>32,45</c:v>
                  </c:pt>
                  <c:pt idx="28">
                    <c:v>89,78</c:v>
                  </c:pt>
                  <c:pt idx="29">
                    <c:v>78,64</c:v>
                  </c:pt>
                  <c:pt idx="30">
                    <c:v>77,70</c:v>
                  </c:pt>
                  <c:pt idx="31">
                    <c:v>77,65</c:v>
                  </c:pt>
                  <c:pt idx="32">
                    <c:v>68,72</c:v>
                  </c:pt>
                </c:lvl>
                <c:lvl>
                  <c:pt idx="0">
                    <c:v>93,20</c:v>
                  </c:pt>
                  <c:pt idx="1">
                    <c:v>65,52</c:v>
                  </c:pt>
                  <c:pt idx="2">
                    <c:v>94,15</c:v>
                  </c:pt>
                  <c:pt idx="3">
                    <c:v>72,57</c:v>
                  </c:pt>
                  <c:pt idx="4">
                    <c:v>78,98</c:v>
                  </c:pt>
                  <c:pt idx="5">
                    <c:v>82,10</c:v>
                  </c:pt>
                  <c:pt idx="6">
                    <c:v>71,42</c:v>
                  </c:pt>
                  <c:pt idx="8">
                    <c:v>60,46</c:v>
                  </c:pt>
                  <c:pt idx="9">
                    <c:v>70,40</c:v>
                  </c:pt>
                  <c:pt idx="10">
                    <c:v>84,01</c:v>
                  </c:pt>
                  <c:pt idx="11">
                    <c:v>101,32</c:v>
                  </c:pt>
                  <c:pt idx="12">
                    <c:v>87,07</c:v>
                  </c:pt>
                  <c:pt idx="13">
                    <c:v>80,92</c:v>
                  </c:pt>
                  <c:pt idx="14">
                    <c:v>25,75</c:v>
                  </c:pt>
                  <c:pt idx="16">
                    <c:v>40,02</c:v>
                  </c:pt>
                  <c:pt idx="17">
                    <c:v>99,48</c:v>
                  </c:pt>
                  <c:pt idx="18">
                    <c:v>47,40</c:v>
                  </c:pt>
                  <c:pt idx="19">
                    <c:v>67,32</c:v>
                  </c:pt>
                  <c:pt idx="20">
                    <c:v>91,77</c:v>
                  </c:pt>
                  <c:pt idx="21">
                    <c:v>85,95</c:v>
                  </c:pt>
                  <c:pt idx="22">
                    <c:v>79,78</c:v>
                  </c:pt>
                  <c:pt idx="24">
                    <c:v>101,61</c:v>
                  </c:pt>
                  <c:pt idx="25">
                    <c:v>105,49</c:v>
                  </c:pt>
                  <c:pt idx="26">
                    <c:v>56,11</c:v>
                  </c:pt>
                  <c:pt idx="27">
                    <c:v>72,05</c:v>
                  </c:pt>
                  <c:pt idx="28">
                    <c:v>89,39</c:v>
                  </c:pt>
                  <c:pt idx="29">
                    <c:v>100,5</c:v>
                  </c:pt>
                  <c:pt idx="30">
                    <c:v>98,67</c:v>
                  </c:pt>
                  <c:pt idx="31">
                    <c:v>63,65</c:v>
                  </c:pt>
                  <c:pt idx="32">
                    <c:v>74,31</c:v>
                  </c:pt>
                </c:lvl>
                <c:lvl>
                  <c:pt idx="0">
                    <c:v>82,75</c:v>
                  </c:pt>
                  <c:pt idx="1">
                    <c:v>84,04</c:v>
                  </c:pt>
                  <c:pt idx="2">
                    <c:v>117,67</c:v>
                  </c:pt>
                  <c:pt idx="3">
                    <c:v>70,62</c:v>
                  </c:pt>
                  <c:pt idx="4">
                    <c:v>76,00</c:v>
                  </c:pt>
                  <c:pt idx="5">
                    <c:v>51,44</c:v>
                  </c:pt>
                  <c:pt idx="6">
                    <c:v>96,46</c:v>
                  </c:pt>
                  <c:pt idx="8">
                    <c:v>61,04</c:v>
                  </c:pt>
                  <c:pt idx="9">
                    <c:v>115,77</c:v>
                  </c:pt>
                  <c:pt idx="10">
                    <c:v>58,51</c:v>
                  </c:pt>
                  <c:pt idx="11">
                    <c:v>110,18</c:v>
                  </c:pt>
                  <c:pt idx="12">
                    <c:v>56,91</c:v>
                  </c:pt>
                  <c:pt idx="13">
                    <c:v>71,18</c:v>
                  </c:pt>
                  <c:pt idx="14">
                    <c:v>100,92</c:v>
                  </c:pt>
                  <c:pt idx="16">
                    <c:v>99,33</c:v>
                  </c:pt>
                  <c:pt idx="19">
                    <c:v>78,58</c:v>
                  </c:pt>
                  <c:pt idx="20">
                    <c:v>124,02</c:v>
                  </c:pt>
                  <c:pt idx="21">
                    <c:v>69,26</c:v>
                  </c:pt>
                  <c:pt idx="22">
                    <c:v>88,41</c:v>
                  </c:pt>
                  <c:pt idx="24">
                    <c:v>101,71</c:v>
                  </c:pt>
                  <c:pt idx="25">
                    <c:v>101,78</c:v>
                  </c:pt>
                  <c:pt idx="26">
                    <c:v>95,57</c:v>
                  </c:pt>
                  <c:pt idx="27">
                    <c:v>58,05</c:v>
                  </c:pt>
                  <c:pt idx="28">
                    <c:v>103,57</c:v>
                  </c:pt>
                  <c:pt idx="29">
                    <c:v>67,07</c:v>
                  </c:pt>
                  <c:pt idx="30">
                    <c:v>85,80</c:v>
                  </c:pt>
                  <c:pt idx="31">
                    <c:v>70,53</c:v>
                  </c:pt>
                  <c:pt idx="32">
                    <c:v>137,15</c:v>
                  </c:pt>
                </c:lvl>
                <c:lvl>
                  <c:pt idx="0">
                    <c:v>85,16</c:v>
                  </c:pt>
                  <c:pt idx="1">
                    <c:v>95,79</c:v>
                  </c:pt>
                  <c:pt idx="2">
                    <c:v>69,40</c:v>
                  </c:pt>
                  <c:pt idx="3">
                    <c:v>61,82</c:v>
                  </c:pt>
                  <c:pt idx="4">
                    <c:v>115,15</c:v>
                  </c:pt>
                  <c:pt idx="5">
                    <c:v>80,05</c:v>
                  </c:pt>
                  <c:pt idx="6">
                    <c:v>92,17</c:v>
                  </c:pt>
                  <c:pt idx="8">
                    <c:v>52,20</c:v>
                  </c:pt>
                  <c:pt idx="9">
                    <c:v>104,08</c:v>
                  </c:pt>
                  <c:pt idx="10">
                    <c:v>100,60</c:v>
                  </c:pt>
                  <c:pt idx="11">
                    <c:v>99,49</c:v>
                  </c:pt>
                  <c:pt idx="12">
                    <c:v>77,75</c:v>
                  </c:pt>
                  <c:pt idx="13">
                    <c:v>86,00</c:v>
                  </c:pt>
                  <c:pt idx="14">
                    <c:v>103,32</c:v>
                  </c:pt>
                  <c:pt idx="16">
                    <c:v>117,08</c:v>
                  </c:pt>
                  <c:pt idx="17">
                    <c:v>81,14</c:v>
                  </c:pt>
                  <c:pt idx="18">
                    <c:v>99,79</c:v>
                  </c:pt>
                  <c:pt idx="19">
                    <c:v>85,97</c:v>
                  </c:pt>
                  <c:pt idx="20">
                    <c:v>80,34</c:v>
                  </c:pt>
                  <c:pt idx="21">
                    <c:v>96,73</c:v>
                  </c:pt>
                  <c:pt idx="22">
                    <c:v>88,02</c:v>
                  </c:pt>
                  <c:pt idx="24">
                    <c:v>109,33</c:v>
                  </c:pt>
                  <c:pt idx="25">
                    <c:v>80,54</c:v>
                  </c:pt>
                  <c:pt idx="26">
                    <c:v>80,04</c:v>
                  </c:pt>
                  <c:pt idx="27">
                    <c:v>92,43</c:v>
                  </c:pt>
                  <c:pt idx="28">
                    <c:v>101,64</c:v>
                  </c:pt>
                  <c:pt idx="29">
                    <c:v>108,68</c:v>
                  </c:pt>
                  <c:pt idx="30">
                    <c:v>97,76</c:v>
                  </c:pt>
                  <c:pt idx="31">
                    <c:v>73,82</c:v>
                  </c:pt>
                  <c:pt idx="32">
                    <c:v>118,55</c:v>
                  </c:pt>
                </c:lvl>
                <c:lvl>
                  <c:pt idx="0">
                    <c:v>68,97</c:v>
                  </c:pt>
                  <c:pt idx="1">
                    <c:v>69,15</c:v>
                  </c:pt>
                  <c:pt idx="2">
                    <c:v>87,42</c:v>
                  </c:pt>
                  <c:pt idx="3">
                    <c:v>67,64</c:v>
                  </c:pt>
                  <c:pt idx="4">
                    <c:v>54,71</c:v>
                  </c:pt>
                  <c:pt idx="5">
                    <c:v>52,97</c:v>
                  </c:pt>
                  <c:pt idx="6">
                    <c:v>78,70</c:v>
                  </c:pt>
                  <c:pt idx="8">
                    <c:v>66,39</c:v>
                  </c:pt>
                  <c:pt idx="9">
                    <c:v>93,62</c:v>
                  </c:pt>
                  <c:pt idx="10">
                    <c:v>65,94</c:v>
                  </c:pt>
                  <c:pt idx="11">
                    <c:v>65,00</c:v>
                  </c:pt>
                  <c:pt idx="12">
                    <c:v>74,89</c:v>
                  </c:pt>
                  <c:pt idx="13">
                    <c:v>74,79</c:v>
                  </c:pt>
                  <c:pt idx="14">
                    <c:v>76,22</c:v>
                  </c:pt>
                  <c:pt idx="16">
                    <c:v>85,89</c:v>
                  </c:pt>
                  <c:pt idx="17">
                    <c:v>78,49</c:v>
                  </c:pt>
                  <c:pt idx="18">
                    <c:v>83,99</c:v>
                  </c:pt>
                  <c:pt idx="19">
                    <c:v>50,91</c:v>
                  </c:pt>
                  <c:pt idx="20">
                    <c:v>58,61</c:v>
                  </c:pt>
                  <c:pt idx="21">
                    <c:v>54,78</c:v>
                  </c:pt>
                  <c:pt idx="22">
                    <c:v>66,80</c:v>
                  </c:pt>
                  <c:pt idx="24">
                    <c:v>87,48</c:v>
                  </c:pt>
                  <c:pt idx="25">
                    <c:v>80,38</c:v>
                  </c:pt>
                  <c:pt idx="26">
                    <c:v>72,12</c:v>
                  </c:pt>
                  <c:pt idx="27">
                    <c:v>61,93</c:v>
                  </c:pt>
                  <c:pt idx="28">
                    <c:v>55,95</c:v>
                  </c:pt>
                  <c:pt idx="29">
                    <c:v>84,29</c:v>
                  </c:pt>
                  <c:pt idx="30">
                    <c:v>96,81</c:v>
                  </c:pt>
                  <c:pt idx="31">
                    <c:v>67,32</c:v>
                  </c:pt>
                  <c:pt idx="32">
                    <c:v>69,39</c:v>
                  </c:pt>
                  <c:pt idx="36">
                    <c:v>. HT 204 - 216, 230 Liter</c:v>
                  </c:pt>
                </c:lvl>
                <c:lvl>
                  <c:pt idx="0">
                    <c:v>97,21</c:v>
                  </c:pt>
                  <c:pt idx="1">
                    <c:v>92,37</c:v>
                  </c:pt>
                  <c:pt idx="2">
                    <c:v>61,16</c:v>
                  </c:pt>
                  <c:pt idx="3">
                    <c:v>68,80</c:v>
                  </c:pt>
                  <c:pt idx="4">
                    <c:v>53,87</c:v>
                  </c:pt>
                  <c:pt idx="5">
                    <c:v>65,60</c:v>
                  </c:pt>
                  <c:pt idx="6">
                    <c:v>59,99</c:v>
                  </c:pt>
                  <c:pt idx="8">
                    <c:v>70,85</c:v>
                  </c:pt>
                  <c:pt idx="9">
                    <c:v>73,91</c:v>
                  </c:pt>
                  <c:pt idx="10">
                    <c:v>77,92</c:v>
                  </c:pt>
                  <c:pt idx="11">
                    <c:v>62,11</c:v>
                  </c:pt>
                  <c:pt idx="12">
                    <c:v>63,19</c:v>
                  </c:pt>
                  <c:pt idx="13">
                    <c:v>60,43</c:v>
                  </c:pt>
                  <c:pt idx="14">
                    <c:v>81,71</c:v>
                  </c:pt>
                  <c:pt idx="16">
                    <c:v>79,41</c:v>
                  </c:pt>
                  <c:pt idx="17">
                    <c:v>84,77</c:v>
                  </c:pt>
                  <c:pt idx="18">
                    <c:v>64,93</c:v>
                  </c:pt>
                  <c:pt idx="19">
                    <c:v>71,54</c:v>
                  </c:pt>
                  <c:pt idx="20">
                    <c:v>72,53</c:v>
                  </c:pt>
                  <c:pt idx="21">
                    <c:v>70,48</c:v>
                  </c:pt>
                  <c:pt idx="22">
                    <c:v>69,68</c:v>
                  </c:pt>
                  <c:pt idx="24">
                    <c:v>74,47</c:v>
                  </c:pt>
                  <c:pt idx="25">
                    <c:v>81,72</c:v>
                  </c:pt>
                  <c:pt idx="26">
                    <c:v>65,13</c:v>
                  </c:pt>
                  <c:pt idx="27">
                    <c:v>82,61</c:v>
                  </c:pt>
                  <c:pt idx="28">
                    <c:v>78,99</c:v>
                  </c:pt>
                  <c:pt idx="29">
                    <c:v>68,72</c:v>
                  </c:pt>
                  <c:pt idx="30">
                    <c:v>73,10</c:v>
                  </c:pt>
                  <c:pt idx="31">
                    <c:v>16,93</c:v>
                  </c:pt>
                  <c:pt idx="32">
                    <c:v>43,96</c:v>
                  </c:pt>
                </c:lvl>
                <c:lvl>
                  <c:pt idx="0">
                    <c:v>74,48</c:v>
                  </c:pt>
                  <c:pt idx="1">
                    <c:v>57,38</c:v>
                  </c:pt>
                  <c:pt idx="2">
                    <c:v>50,97</c:v>
                  </c:pt>
                  <c:pt idx="3">
                    <c:v>68,85</c:v>
                  </c:pt>
                  <c:pt idx="4">
                    <c:v>87,90</c:v>
                  </c:pt>
                  <c:pt idx="5">
                    <c:v>54,86</c:v>
                  </c:pt>
                  <c:pt idx="6">
                    <c:v>68,65</c:v>
                  </c:pt>
                  <c:pt idx="8">
                    <c:v>50,80</c:v>
                  </c:pt>
                  <c:pt idx="9">
                    <c:v>66,89</c:v>
                  </c:pt>
                  <c:pt idx="10">
                    <c:v>50,13</c:v>
                  </c:pt>
                  <c:pt idx="11">
                    <c:v>74,61</c:v>
                  </c:pt>
                  <c:pt idx="12">
                    <c:v>77,51</c:v>
                  </c:pt>
                  <c:pt idx="13">
                    <c:v>77,75</c:v>
                  </c:pt>
                  <c:pt idx="14">
                    <c:v>90,87</c:v>
                  </c:pt>
                  <c:pt idx="16">
                    <c:v>82,76</c:v>
                  </c:pt>
                  <c:pt idx="17">
                    <c:v>91,06</c:v>
                  </c:pt>
                  <c:pt idx="18">
                    <c:v>78,70</c:v>
                  </c:pt>
                  <c:pt idx="19">
                    <c:v>85,10</c:v>
                  </c:pt>
                  <c:pt idx="20">
                    <c:v>66,28</c:v>
                  </c:pt>
                  <c:pt idx="21">
                    <c:v>70,62</c:v>
                  </c:pt>
                  <c:pt idx="22">
                    <c:v>84,26</c:v>
                  </c:pt>
                  <c:pt idx="24">
                    <c:v>80,96</c:v>
                  </c:pt>
                  <c:pt idx="25">
                    <c:v>96,53</c:v>
                  </c:pt>
                  <c:pt idx="26">
                    <c:v>63,91</c:v>
                  </c:pt>
                  <c:pt idx="27">
                    <c:v>68,97</c:v>
                  </c:pt>
                  <c:pt idx="28">
                    <c:v>78,55</c:v>
                  </c:pt>
                  <c:pt idx="29">
                    <c:v>54,59</c:v>
                  </c:pt>
                  <c:pt idx="30">
                    <c:v>78,69</c:v>
                  </c:pt>
                  <c:pt idx="31">
                    <c:v>61,34</c:v>
                  </c:pt>
                  <c:pt idx="32">
                    <c:v>75,85</c:v>
                  </c:pt>
                </c:lvl>
                <c:lvl>
                  <c:pt idx="0">
                    <c:v>77,73</c:v>
                  </c:pt>
                  <c:pt idx="1">
                    <c:v>71,14</c:v>
                  </c:pt>
                  <c:pt idx="2">
                    <c:v>73,86</c:v>
                  </c:pt>
                  <c:pt idx="3">
                    <c:v>88,48</c:v>
                  </c:pt>
                  <c:pt idx="4">
                    <c:v>70,15</c:v>
                  </c:pt>
                  <c:pt idx="5">
                    <c:v>59,67</c:v>
                  </c:pt>
                  <c:pt idx="6">
                    <c:v>85,29</c:v>
                  </c:pt>
                  <c:pt idx="8">
                    <c:v>60,32</c:v>
                  </c:pt>
                  <c:pt idx="9">
                    <c:v>74,05</c:v>
                  </c:pt>
                  <c:pt idx="10">
                    <c:v>84,71</c:v>
                  </c:pt>
                  <c:pt idx="11">
                    <c:v>80,83</c:v>
                  </c:pt>
                  <c:pt idx="12">
                    <c:v>83,74</c:v>
                  </c:pt>
                  <c:pt idx="13">
                    <c:v>82,17</c:v>
                  </c:pt>
                  <c:pt idx="14">
                    <c:v>84,70</c:v>
                  </c:pt>
                  <c:pt idx="16">
                    <c:v>97,47</c:v>
                  </c:pt>
                  <c:pt idx="17">
                    <c:v>114,55</c:v>
                  </c:pt>
                  <c:pt idx="18">
                    <c:v>53,37</c:v>
                  </c:pt>
                  <c:pt idx="19">
                    <c:v>65,01</c:v>
                  </c:pt>
                  <c:pt idx="20">
                    <c:v>69,88</c:v>
                  </c:pt>
                  <c:pt idx="21">
                    <c:v>65,82</c:v>
                  </c:pt>
                  <c:pt idx="22">
                    <c:v>96,47</c:v>
                  </c:pt>
                  <c:pt idx="24">
                    <c:v>75,44</c:v>
                  </c:pt>
                  <c:pt idx="25">
                    <c:v>78,89</c:v>
                  </c:pt>
                  <c:pt idx="26">
                    <c:v>68,56</c:v>
                  </c:pt>
                  <c:pt idx="27">
                    <c:v>72,66</c:v>
                  </c:pt>
                  <c:pt idx="28">
                    <c:v>83,22</c:v>
                  </c:pt>
                  <c:pt idx="29">
                    <c:v>76,11</c:v>
                  </c:pt>
                  <c:pt idx="30">
                    <c:v>87,74</c:v>
                  </c:pt>
                  <c:pt idx="31">
                    <c:v>65,48</c:v>
                  </c:pt>
                  <c:pt idx="32">
                    <c:v>74,19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74,99</c:v>
                  </c:pt>
                  <c:pt idx="1">
                    <c:v>62,39</c:v>
                  </c:pt>
                  <c:pt idx="2">
                    <c:v>61,34</c:v>
                  </c:pt>
                  <c:pt idx="3">
                    <c:v>59,79</c:v>
                  </c:pt>
                  <c:pt idx="4">
                    <c:v>54,93</c:v>
                  </c:pt>
                  <c:pt idx="5">
                    <c:v>56,69</c:v>
                  </c:pt>
                  <c:pt idx="6">
                    <c:v>64,03</c:v>
                  </c:pt>
                  <c:pt idx="8">
                    <c:v>58,99</c:v>
                  </c:pt>
                  <c:pt idx="9">
                    <c:v>75,37</c:v>
                  </c:pt>
                  <c:pt idx="10">
                    <c:v>76,72</c:v>
                  </c:pt>
                  <c:pt idx="11">
                    <c:v>73,40</c:v>
                  </c:pt>
                  <c:pt idx="12">
                    <c:v>67,65</c:v>
                  </c:pt>
                  <c:pt idx="13">
                    <c:v>55,00</c:v>
                  </c:pt>
                  <c:pt idx="14">
                    <c:v>69,87</c:v>
                  </c:pt>
                  <c:pt idx="16">
                    <c:v>84,42</c:v>
                  </c:pt>
                  <c:pt idx="17">
                    <c:v>58,19</c:v>
                  </c:pt>
                  <c:pt idx="18">
                    <c:v>70,23</c:v>
                  </c:pt>
                  <c:pt idx="19">
                    <c:v>55,11</c:v>
                  </c:pt>
                  <c:pt idx="20">
                    <c:v>75,18</c:v>
                  </c:pt>
                  <c:pt idx="21">
                    <c:v>65,18</c:v>
                  </c:pt>
                  <c:pt idx="22">
                    <c:v>70,81</c:v>
                  </c:pt>
                  <c:pt idx="24">
                    <c:v>71,20</c:v>
                  </c:pt>
                  <c:pt idx="25">
                    <c:v>74,04</c:v>
                  </c:pt>
                  <c:pt idx="26">
                    <c:v>61,91</c:v>
                  </c:pt>
                  <c:pt idx="27">
                    <c:v>78,69</c:v>
                  </c:pt>
                  <c:pt idx="28">
                    <c:v>66,47</c:v>
                  </c:pt>
                  <c:pt idx="29">
                    <c:v>75,08</c:v>
                  </c:pt>
                  <c:pt idx="30">
                    <c:v>71,44</c:v>
                  </c:pt>
                  <c:pt idx="31">
                    <c:v>73,81</c:v>
                  </c:pt>
                  <c:pt idx="32">
                    <c:v>78,07</c:v>
                  </c:pt>
                </c:lvl>
                <c:lvl>
                  <c:pt idx="0">
                    <c:v>108,56</c:v>
                  </c:pt>
                  <c:pt idx="1">
                    <c:v>104,74</c:v>
                  </c:pt>
                  <c:pt idx="2">
                    <c:v>96,37</c:v>
                  </c:pt>
                  <c:pt idx="3">
                    <c:v>86,22</c:v>
                  </c:pt>
                  <c:pt idx="4">
                    <c:v>82,19</c:v>
                  </c:pt>
                  <c:pt idx="5">
                    <c:v>83,37</c:v>
                  </c:pt>
                  <c:pt idx="6">
                    <c:v>81,25</c:v>
                  </c:pt>
                  <c:pt idx="8">
                    <c:v>102,31</c:v>
                  </c:pt>
                  <c:pt idx="9">
                    <c:v>99,87</c:v>
                  </c:pt>
                  <c:pt idx="10">
                    <c:v>92,46</c:v>
                  </c:pt>
                  <c:pt idx="11">
                    <c:v>102,75</c:v>
                  </c:pt>
                  <c:pt idx="12">
                    <c:v>76,33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69,83</c:v>
                  </c:pt>
                  <c:pt idx="1">
                    <c:v>74,23</c:v>
                  </c:pt>
                  <c:pt idx="2">
                    <c:v>73,72</c:v>
                  </c:pt>
                  <c:pt idx="3">
                    <c:v>65,74</c:v>
                  </c:pt>
                  <c:pt idx="4">
                    <c:v>59,91</c:v>
                  </c:pt>
                  <c:pt idx="5">
                    <c:v>74,53</c:v>
                  </c:pt>
                  <c:pt idx="6">
                    <c:v>67,65</c:v>
                  </c:pt>
                  <c:pt idx="8">
                    <c:v>49,85</c:v>
                  </c:pt>
                  <c:pt idx="9">
                    <c:v>72,69</c:v>
                  </c:pt>
                  <c:pt idx="10">
                    <c:v>65,45</c:v>
                  </c:pt>
                  <c:pt idx="11">
                    <c:v>75,78</c:v>
                  </c:pt>
                  <c:pt idx="12">
                    <c:v>70,73</c:v>
                  </c:pt>
                  <c:pt idx="13">
                    <c:v>76,04</c:v>
                  </c:pt>
                  <c:pt idx="14">
                    <c:v>65,83</c:v>
                  </c:pt>
                  <c:pt idx="16">
                    <c:v>86,63</c:v>
                  </c:pt>
                  <c:pt idx="17">
                    <c:v>80,43</c:v>
                  </c:pt>
                  <c:pt idx="18">
                    <c:v>70,40</c:v>
                  </c:pt>
                  <c:pt idx="20">
                    <c:v>66,48</c:v>
                  </c:pt>
                  <c:pt idx="21">
                    <c:v>68,75</c:v>
                  </c:pt>
                  <c:pt idx="22">
                    <c:v>75,21</c:v>
                  </c:pt>
                  <c:pt idx="24">
                    <c:v>99,14</c:v>
                  </c:pt>
                  <c:pt idx="25">
                    <c:v>76,46</c:v>
                  </c:pt>
                  <c:pt idx="26">
                    <c:v>66,65</c:v>
                  </c:pt>
                  <c:pt idx="27">
                    <c:v>43,46</c:v>
                  </c:pt>
                  <c:pt idx="28">
                    <c:v>80,36</c:v>
                  </c:pt>
                  <c:pt idx="29">
                    <c:v>66,98</c:v>
                  </c:pt>
                  <c:pt idx="30">
                    <c:v>87,00</c:v>
                  </c:pt>
                  <c:pt idx="31">
                    <c:v>73,52</c:v>
                  </c:pt>
                  <c:pt idx="32">
                    <c:v>82,27</c:v>
                  </c:pt>
                </c:lvl>
                <c:lvl>
                  <c:pt idx="0">
                    <c:v>87,02</c:v>
                  </c:pt>
                  <c:pt idx="1">
                    <c:v>69,61</c:v>
                  </c:pt>
                  <c:pt idx="2">
                    <c:v>95,97</c:v>
                  </c:pt>
                  <c:pt idx="3">
                    <c:v>88,96</c:v>
                  </c:pt>
                  <c:pt idx="4">
                    <c:v>66,97</c:v>
                  </c:pt>
                  <c:pt idx="5">
                    <c:v>81,11</c:v>
                  </c:pt>
                  <c:pt idx="6">
                    <c:v>79,28</c:v>
                  </c:pt>
                  <c:pt idx="8">
                    <c:v>70,37</c:v>
                  </c:pt>
                  <c:pt idx="9">
                    <c:v>90,54</c:v>
                  </c:pt>
                  <c:pt idx="10">
                    <c:v>73,13</c:v>
                  </c:pt>
                  <c:pt idx="12">
                    <c:v>129,99</c:v>
                  </c:pt>
                  <c:pt idx="13">
                    <c:v>78,30</c:v>
                  </c:pt>
                  <c:pt idx="14">
                    <c:v>90,69</c:v>
                  </c:pt>
                  <c:pt idx="16">
                    <c:v>107,10</c:v>
                  </c:pt>
                  <c:pt idx="17">
                    <c:v>94,25</c:v>
                  </c:pt>
                  <c:pt idx="18">
                    <c:v>89,24</c:v>
                  </c:pt>
                  <c:pt idx="19">
                    <c:v>80,86</c:v>
                  </c:pt>
                  <c:pt idx="20">
                    <c:v>76,66</c:v>
                  </c:pt>
                  <c:pt idx="21">
                    <c:v>102,29</c:v>
                  </c:pt>
                  <c:pt idx="22">
                    <c:v>90,62</c:v>
                  </c:pt>
                  <c:pt idx="24">
                    <c:v>97,63</c:v>
                  </c:pt>
                  <c:pt idx="25">
                    <c:v>100,68</c:v>
                  </c:pt>
                  <c:pt idx="26">
                    <c:v>77,06</c:v>
                  </c:pt>
                  <c:pt idx="27">
                    <c:v>74,12</c:v>
                  </c:pt>
                  <c:pt idx="28">
                    <c:v>100,53</c:v>
                  </c:pt>
                  <c:pt idx="29">
                    <c:v>88,32</c:v>
                  </c:pt>
                  <c:pt idx="30">
                    <c:v>25,14</c:v>
                  </c:pt>
                  <c:pt idx="31">
                    <c:v>55,86</c:v>
                  </c:pt>
                  <c:pt idx="32">
                    <c:v>87,61</c:v>
                  </c:pt>
                </c:lvl>
                <c:lvl>
                  <c:pt idx="0">
                    <c:v>75,35</c:v>
                  </c:pt>
                  <c:pt idx="1">
                    <c:v>70,68</c:v>
                  </c:pt>
                  <c:pt idx="2">
                    <c:v>81,70</c:v>
                  </c:pt>
                  <c:pt idx="3">
                    <c:v>98,85</c:v>
                  </c:pt>
                  <c:pt idx="4">
                    <c:v>48,46</c:v>
                  </c:pt>
                  <c:pt idx="5">
                    <c:v>3,87</c:v>
                  </c:pt>
                  <c:pt idx="6">
                    <c:v>69,30</c:v>
                  </c:pt>
                  <c:pt idx="8">
                    <c:v>57,61</c:v>
                  </c:pt>
                  <c:pt idx="9">
                    <c:v>81,47</c:v>
                  </c:pt>
                  <c:pt idx="10">
                    <c:v>85,20</c:v>
                  </c:pt>
                  <c:pt idx="11">
                    <c:v>87,57</c:v>
                  </c:pt>
                  <c:pt idx="12">
                    <c:v>66,61</c:v>
                  </c:pt>
                  <c:pt idx="13">
                    <c:v>77,86</c:v>
                  </c:pt>
                  <c:pt idx="14">
                    <c:v>81,37</c:v>
                  </c:pt>
                  <c:pt idx="16">
                    <c:v>87,75</c:v>
                  </c:pt>
                  <c:pt idx="17">
                    <c:v>92,59</c:v>
                  </c:pt>
                  <c:pt idx="18">
                    <c:v>73,39</c:v>
                  </c:pt>
                  <c:pt idx="19">
                    <c:v>79,19</c:v>
                  </c:pt>
                  <c:pt idx="20">
                    <c:v>85,19</c:v>
                  </c:pt>
                  <c:pt idx="21">
                    <c:v>77,15</c:v>
                  </c:pt>
                  <c:pt idx="22">
                    <c:v>88,22</c:v>
                  </c:pt>
                  <c:pt idx="24">
                    <c:v>89,01</c:v>
                  </c:pt>
                  <c:pt idx="25">
                    <c:v>72,14</c:v>
                  </c:pt>
                  <c:pt idx="26">
                    <c:v>87,79</c:v>
                  </c:pt>
                  <c:pt idx="27">
                    <c:v>119,59</c:v>
                  </c:pt>
                  <c:pt idx="28">
                    <c:v>93,15</c:v>
                  </c:pt>
                  <c:pt idx="29">
                    <c:v>69,65</c:v>
                  </c:pt>
                  <c:pt idx="30">
                    <c:v>108,13</c:v>
                  </c:pt>
                  <c:pt idx="31">
                    <c:v>57,78</c:v>
                  </c:pt>
                  <c:pt idx="32">
                    <c:v>86,51</c:v>
                  </c:pt>
                </c:lvl>
                <c:lvl>
                  <c:pt idx="0">
                    <c:v>76,22</c:v>
                  </c:pt>
                  <c:pt idx="1">
                    <c:v>83,13</c:v>
                  </c:pt>
                  <c:pt idx="2">
                    <c:v>71,11</c:v>
                  </c:pt>
                  <c:pt idx="3">
                    <c:v>75,42</c:v>
                  </c:pt>
                  <c:pt idx="4">
                    <c:v>68,93</c:v>
                  </c:pt>
                  <c:pt idx="5">
                    <c:v>70,64</c:v>
                  </c:pt>
                  <c:pt idx="6">
                    <c:v>83,44</c:v>
                  </c:pt>
                  <c:pt idx="8">
                    <c:v>70,48</c:v>
                  </c:pt>
                  <c:pt idx="9">
                    <c:v>85,35</c:v>
                  </c:pt>
                  <c:pt idx="10">
                    <c:v>94,85</c:v>
                  </c:pt>
                  <c:pt idx="11">
                    <c:v>81,38</c:v>
                  </c:pt>
                  <c:pt idx="12">
                    <c:v>79,76</c:v>
                  </c:pt>
                  <c:pt idx="13">
                    <c:v>76,84</c:v>
                  </c:pt>
                  <c:pt idx="14">
                    <c:v>68,37</c:v>
                  </c:pt>
                  <c:pt idx="16">
                    <c:v>97,82</c:v>
                  </c:pt>
                  <c:pt idx="17">
                    <c:v>76,49</c:v>
                  </c:pt>
                  <c:pt idx="18">
                    <c:v>71,75</c:v>
                  </c:pt>
                  <c:pt idx="19">
                    <c:v>97,51</c:v>
                  </c:pt>
                  <c:pt idx="20">
                    <c:v>82,36</c:v>
                  </c:pt>
                  <c:pt idx="21">
                    <c:v>76,44</c:v>
                  </c:pt>
                  <c:pt idx="22">
                    <c:v>82,17</c:v>
                  </c:pt>
                  <c:pt idx="24">
                    <c:v>93,95</c:v>
                  </c:pt>
                  <c:pt idx="25">
                    <c:v>85,99</c:v>
                  </c:pt>
                  <c:pt idx="26">
                    <c:v>66,34</c:v>
                  </c:pt>
                  <c:pt idx="27">
                    <c:v>65,13</c:v>
                  </c:pt>
                  <c:pt idx="28">
                    <c:v>92,59</c:v>
                  </c:pt>
                  <c:pt idx="29">
                    <c:v>71,62</c:v>
                  </c:pt>
                  <c:pt idx="30">
                    <c:v>94,73</c:v>
                  </c:pt>
                  <c:pt idx="31">
                    <c:v>62,48</c:v>
                  </c:pt>
                  <c:pt idx="32">
                    <c:v>84,82</c:v>
                  </c:pt>
                </c:lvl>
                <c:lvl>
                  <c:pt idx="0">
                    <c:v>75,98</c:v>
                  </c:pt>
                  <c:pt idx="1">
                    <c:v>86,42</c:v>
                  </c:pt>
                  <c:pt idx="2">
                    <c:v>70,74</c:v>
                  </c:pt>
                  <c:pt idx="3">
                    <c:v>66,66</c:v>
                  </c:pt>
                  <c:pt idx="4">
                    <c:v>76,39</c:v>
                  </c:pt>
                  <c:pt idx="5">
                    <c:v>66,95</c:v>
                  </c:pt>
                  <c:pt idx="6">
                    <c:v>76,41</c:v>
                  </c:pt>
                  <c:pt idx="8">
                    <c:v>68,83</c:v>
                  </c:pt>
                  <c:pt idx="9">
                    <c:v>80,94</c:v>
                  </c:pt>
                  <c:pt idx="10">
                    <c:v>66,48</c:v>
                  </c:pt>
                  <c:pt idx="11">
                    <c:v>78,66</c:v>
                  </c:pt>
                  <c:pt idx="12">
                    <c:v>71,02</c:v>
                  </c:pt>
                  <c:pt idx="13">
                    <c:v>64,75</c:v>
                  </c:pt>
                  <c:pt idx="14">
                    <c:v>81,53</c:v>
                  </c:pt>
                  <c:pt idx="16">
                    <c:v>91,39</c:v>
                  </c:pt>
                  <c:pt idx="17">
                    <c:v>89,37</c:v>
                  </c:pt>
                  <c:pt idx="18">
                    <c:v>91,17</c:v>
                  </c:pt>
                  <c:pt idx="19">
                    <c:v>77,60</c:v>
                  </c:pt>
                  <c:pt idx="20">
                    <c:v>75,55</c:v>
                  </c:pt>
                  <c:pt idx="21">
                    <c:v>75,30</c:v>
                  </c:pt>
                  <c:pt idx="22">
                    <c:v>84,20</c:v>
                  </c:pt>
                  <c:pt idx="24">
                    <c:v>88,45</c:v>
                  </c:pt>
                  <c:pt idx="25">
                    <c:v>80,17</c:v>
                  </c:pt>
                  <c:pt idx="26">
                    <c:v>80,12</c:v>
                  </c:pt>
                  <c:pt idx="27">
                    <c:v>57,31</c:v>
                  </c:pt>
                  <c:pt idx="28">
                    <c:v>58,31</c:v>
                  </c:pt>
                </c:lvl>
                <c:lvl>
                  <c:pt idx="0">
                    <c:v>76,23</c:v>
                  </c:pt>
                  <c:pt idx="1">
                    <c:v>78,95</c:v>
                  </c:pt>
                  <c:pt idx="2">
                    <c:v>43,03</c:v>
                  </c:pt>
                  <c:pt idx="3">
                    <c:v>89,27</c:v>
                  </c:pt>
                  <c:pt idx="4">
                    <c:v>61,53</c:v>
                  </c:pt>
                  <c:pt idx="5">
                    <c:v>41,99</c:v>
                  </c:pt>
                  <c:pt idx="6">
                    <c:v>82,37</c:v>
                  </c:pt>
                  <c:pt idx="8">
                    <c:v>60,84</c:v>
                  </c:pt>
                  <c:pt idx="9">
                    <c:v>71,25</c:v>
                  </c:pt>
                  <c:pt idx="10">
                    <c:v>90,58</c:v>
                  </c:pt>
                  <c:pt idx="11">
                    <c:v>78,95</c:v>
                  </c:pt>
                  <c:pt idx="12">
                    <c:v>77,94</c:v>
                  </c:pt>
                  <c:pt idx="13">
                    <c:v>80,88</c:v>
                  </c:pt>
                  <c:pt idx="14">
                    <c:v>76,39</c:v>
                  </c:pt>
                  <c:pt idx="16">
                    <c:v>85,08</c:v>
                  </c:pt>
                  <c:pt idx="17">
                    <c:v>101,07</c:v>
                  </c:pt>
                  <c:pt idx="18">
                    <c:v>64,61</c:v>
                  </c:pt>
                  <c:pt idx="19">
                    <c:v>70,57</c:v>
                  </c:pt>
                  <c:pt idx="20">
                    <c:v>66,33</c:v>
                  </c:pt>
                  <c:pt idx="22">
                    <c:v>116,51</c:v>
                  </c:pt>
                  <c:pt idx="24">
                    <c:v>72,60</c:v>
                  </c:pt>
                  <c:pt idx="25">
                    <c:v>88,93</c:v>
                  </c:pt>
                  <c:pt idx="27">
                    <c:v>48,35</c:v>
                  </c:pt>
                  <c:pt idx="28">
                    <c:v>75,30</c:v>
                  </c:pt>
                  <c:pt idx="29">
                    <c:v>72,34</c:v>
                  </c:pt>
                  <c:pt idx="30">
                    <c:v>87,71</c:v>
                  </c:pt>
                  <c:pt idx="31">
                    <c:v>66,90</c:v>
                  </c:pt>
                  <c:pt idx="32">
                    <c:v>87,51</c:v>
                  </c:pt>
                </c:lvl>
                <c:lvl>
                  <c:pt idx="0">
                    <c:v>92,58</c:v>
                  </c:pt>
                  <c:pt idx="1">
                    <c:v>78,93</c:v>
                  </c:pt>
                  <c:pt idx="2">
                    <c:v>64,34</c:v>
                  </c:pt>
                  <c:pt idx="3">
                    <c:v>70,15</c:v>
                  </c:pt>
                  <c:pt idx="4">
                    <c:v>84,40</c:v>
                  </c:pt>
                  <c:pt idx="5">
                    <c:v>66,36</c:v>
                  </c:pt>
                  <c:pt idx="6">
                    <c:v>74,53</c:v>
                  </c:pt>
                  <c:pt idx="8">
                    <c:v>54,36</c:v>
                  </c:pt>
                  <c:pt idx="9">
                    <c:v>86,41</c:v>
                  </c:pt>
                  <c:pt idx="10">
                    <c:v>87,61</c:v>
                  </c:pt>
                  <c:pt idx="11">
                    <c:v>65,03</c:v>
                  </c:pt>
                  <c:pt idx="12">
                    <c:v>73,94</c:v>
                  </c:pt>
                  <c:pt idx="13">
                    <c:v>78,62</c:v>
                  </c:pt>
                  <c:pt idx="14">
                    <c:v>70,96</c:v>
                  </c:pt>
                  <c:pt idx="16">
                    <c:v>92,35</c:v>
                  </c:pt>
                  <c:pt idx="17">
                    <c:v>93,40</c:v>
                  </c:pt>
                  <c:pt idx="18">
                    <c:v>84,86</c:v>
                  </c:pt>
                  <c:pt idx="19">
                    <c:v>72,84</c:v>
                  </c:pt>
                  <c:pt idx="20">
                    <c:v>54,86</c:v>
                  </c:pt>
                  <c:pt idx="21">
                    <c:v>81,55</c:v>
                  </c:pt>
                  <c:pt idx="22">
                    <c:v>77,26</c:v>
                  </c:pt>
                  <c:pt idx="24">
                    <c:v>82,90</c:v>
                  </c:pt>
                  <c:pt idx="25">
                    <c:v>71,74</c:v>
                  </c:pt>
                  <c:pt idx="26">
                    <c:v>85,01</c:v>
                  </c:pt>
                  <c:pt idx="27">
                    <c:v>86,37</c:v>
                  </c:pt>
                  <c:pt idx="28">
                    <c:v>92,56</c:v>
                  </c:pt>
                  <c:pt idx="29">
                    <c:v>66,32</c:v>
                  </c:pt>
                  <c:pt idx="30">
                    <c:v>72,22</c:v>
                  </c:pt>
                </c:lvl>
                <c:lvl>
                  <c:pt idx="0">
                    <c:v>69,56</c:v>
                  </c:pt>
                  <c:pt idx="1">
                    <c:v>39,42</c:v>
                  </c:pt>
                  <c:pt idx="2">
                    <c:v>81,50</c:v>
                  </c:pt>
                  <c:pt idx="3">
                    <c:v>86,14</c:v>
                  </c:pt>
                  <c:pt idx="4">
                    <c:v>58,31</c:v>
                  </c:pt>
                  <c:pt idx="5">
                    <c:v>73,76</c:v>
                  </c:pt>
                  <c:pt idx="8">
                    <c:v>87,56</c:v>
                  </c:pt>
                  <c:pt idx="9">
                    <c:v>82,90</c:v>
                  </c:pt>
                  <c:pt idx="10">
                    <c:v>78,18</c:v>
                  </c:pt>
                  <c:pt idx="11">
                    <c:v>61,05</c:v>
                  </c:pt>
                  <c:pt idx="12">
                    <c:v>66,59</c:v>
                  </c:pt>
                  <c:pt idx="14">
                    <c:v>30,08</c:v>
                  </c:pt>
                  <c:pt idx="18">
                    <c:v>41,00</c:v>
                  </c:pt>
                  <c:pt idx="19">
                    <c:v>15,07</c:v>
                  </c:pt>
                  <c:pt idx="20">
                    <c:v>73,08</c:v>
                  </c:pt>
                  <c:pt idx="21">
                    <c:v>66,52</c:v>
                  </c:pt>
                  <c:pt idx="22">
                    <c:v>69,91</c:v>
                  </c:pt>
                  <c:pt idx="24">
                    <c:v>111,07</c:v>
                  </c:pt>
                  <c:pt idx="25">
                    <c:v>60,83</c:v>
                  </c:pt>
                  <c:pt idx="27">
                    <c:v>95,72</c:v>
                  </c:pt>
                  <c:pt idx="29">
                    <c:v>62,53</c:v>
                  </c:pt>
                  <c:pt idx="30">
                    <c:v>82,15</c:v>
                  </c:pt>
                  <c:pt idx="31">
                    <c:v>86,28</c:v>
                  </c:pt>
                </c:lvl>
                <c:lvl>
                  <c:pt idx="0">
                    <c:v>97,27</c:v>
                  </c:pt>
                  <c:pt idx="1">
                    <c:v>80,43</c:v>
                  </c:pt>
                  <c:pt idx="2">
                    <c:v>62,21</c:v>
                  </c:pt>
                  <c:pt idx="3">
                    <c:v>90,58</c:v>
                  </c:pt>
                  <c:pt idx="4">
                    <c:v>49,73</c:v>
                  </c:pt>
                  <c:pt idx="5">
                    <c:v>67,11</c:v>
                  </c:pt>
                  <c:pt idx="6">
                    <c:v>96,93</c:v>
                  </c:pt>
                  <c:pt idx="8">
                    <c:v>60,80</c:v>
                  </c:pt>
                  <c:pt idx="9">
                    <c:v>90,43</c:v>
                  </c:pt>
                  <c:pt idx="10">
                    <c:v>67,70</c:v>
                  </c:pt>
                  <c:pt idx="11">
                    <c:v>67,19</c:v>
                  </c:pt>
                  <c:pt idx="12">
                    <c:v>89,45</c:v>
                  </c:pt>
                  <c:pt idx="13">
                    <c:v>63,89</c:v>
                  </c:pt>
                  <c:pt idx="14">
                    <c:v>65,89</c:v>
                  </c:pt>
                  <c:pt idx="16">
                    <c:v>91,85</c:v>
                  </c:pt>
                  <c:pt idx="17">
                    <c:v>94,45</c:v>
                  </c:pt>
                  <c:pt idx="18">
                    <c:v>87,57</c:v>
                  </c:pt>
                  <c:pt idx="19">
                    <c:v>76,77</c:v>
                  </c:pt>
                  <c:pt idx="20">
                    <c:v>68,11</c:v>
                  </c:pt>
                  <c:pt idx="21">
                    <c:v>81,09</c:v>
                  </c:pt>
                  <c:pt idx="22">
                    <c:v>74,07</c:v>
                  </c:pt>
                  <c:pt idx="24">
                    <c:v>74,93</c:v>
                  </c:pt>
                  <c:pt idx="26">
                    <c:v>138,97</c:v>
                  </c:pt>
                  <c:pt idx="27">
                    <c:v>43,38</c:v>
                  </c:pt>
                  <c:pt idx="29">
                    <c:v>100,66</c:v>
                  </c:pt>
                  <c:pt idx="30">
                    <c:v>84,43</c:v>
                  </c:pt>
                  <c:pt idx="31">
                    <c:v>71,78</c:v>
                  </c:pt>
                </c:lvl>
                <c:lvl>
                  <c:pt idx="0">
                    <c:v>76,46</c:v>
                  </c:pt>
                  <c:pt idx="1">
                    <c:v>42,89</c:v>
                  </c:pt>
                  <c:pt idx="2">
                    <c:v>78,79</c:v>
                  </c:pt>
                  <c:pt idx="3">
                    <c:v>72,21</c:v>
                  </c:pt>
                  <c:pt idx="4">
                    <c:v>47,30</c:v>
                  </c:pt>
                  <c:pt idx="5">
                    <c:v>49,50</c:v>
                  </c:pt>
                  <c:pt idx="8">
                    <c:v>13,06</c:v>
                  </c:pt>
                  <c:pt idx="9">
                    <c:v>67,91</c:v>
                  </c:pt>
                  <c:pt idx="10">
                    <c:v>70,45</c:v>
                  </c:pt>
                  <c:pt idx="11">
                    <c:v>109,44</c:v>
                  </c:pt>
                  <c:pt idx="12">
                    <c:v>52,89</c:v>
                  </c:pt>
                  <c:pt idx="13">
                    <c:v>71,24</c:v>
                  </c:pt>
                  <c:pt idx="14">
                    <c:v>95,92</c:v>
                  </c:pt>
                  <c:pt idx="16">
                    <c:v>111,92</c:v>
                  </c:pt>
                  <c:pt idx="17">
                    <c:v>62,30</c:v>
                  </c:pt>
                  <c:pt idx="18">
                    <c:v>81,23</c:v>
                  </c:pt>
                  <c:pt idx="19">
                    <c:v>87,58</c:v>
                  </c:pt>
                  <c:pt idx="20">
                    <c:v>84,78</c:v>
                  </c:pt>
                  <c:pt idx="21">
                    <c:v>77,57</c:v>
                  </c:pt>
                  <c:pt idx="24">
                    <c:v>91,17</c:v>
                  </c:pt>
                  <c:pt idx="25">
                    <c:v>86,40</c:v>
                  </c:pt>
                  <c:pt idx="26">
                    <c:v>78,22</c:v>
                  </c:pt>
                  <c:pt idx="27">
                    <c:v>73,24</c:v>
                  </c:pt>
                  <c:pt idx="28">
                    <c:v>63,96</c:v>
                  </c:pt>
                  <c:pt idx="29">
                    <c:v>61,70</c:v>
                  </c:pt>
                  <c:pt idx="31">
                    <c:v>35,57</c:v>
                  </c:pt>
                  <c:pt idx="32">
                    <c:v>87,32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94,35</c:v>
                  </c:pt>
                  <c:pt idx="1">
                    <c:v>59,74</c:v>
                  </c:pt>
                  <c:pt idx="2">
                    <c:v>81,91</c:v>
                  </c:pt>
                  <c:pt idx="3">
                    <c:v>71,16</c:v>
                  </c:pt>
                  <c:pt idx="4">
                    <c:v>40,01</c:v>
                  </c:pt>
                  <c:pt idx="5">
                    <c:v>66,38</c:v>
                  </c:pt>
                  <c:pt idx="6">
                    <c:v>87,00</c:v>
                  </c:pt>
                  <c:pt idx="8">
                    <c:v>62,03</c:v>
                  </c:pt>
                  <c:pt idx="9">
                    <c:v>81,03</c:v>
                  </c:pt>
                  <c:pt idx="10">
                    <c:v>76,29</c:v>
                  </c:pt>
                  <c:pt idx="11">
                    <c:v>82,95</c:v>
                  </c:pt>
                  <c:pt idx="12">
                    <c:v>80,21</c:v>
                  </c:pt>
                  <c:pt idx="13">
                    <c:v>71,35</c:v>
                  </c:pt>
                  <c:pt idx="14">
                    <c:v>67,35</c:v>
                  </c:pt>
                  <c:pt idx="16">
                    <c:v>76,59</c:v>
                  </c:pt>
                  <c:pt idx="17">
                    <c:v>65,78</c:v>
                  </c:pt>
                  <c:pt idx="18">
                    <c:v>56,07</c:v>
                  </c:pt>
                  <c:pt idx="19">
                    <c:v>71,92</c:v>
                  </c:pt>
                  <c:pt idx="20">
                    <c:v>75,96</c:v>
                  </c:pt>
                  <c:pt idx="21">
                    <c:v>58,95</c:v>
                  </c:pt>
                  <c:pt idx="22">
                    <c:v>66,21</c:v>
                  </c:pt>
                  <c:pt idx="24">
                    <c:v>135,00</c:v>
                  </c:pt>
                  <c:pt idx="25">
                    <c:v>76,09</c:v>
                  </c:pt>
                  <c:pt idx="26">
                    <c:v>77,09</c:v>
                  </c:pt>
                </c:lvl>
                <c:lvl>
                  <c:pt idx="0">
                    <c:v>71,96</c:v>
                  </c:pt>
                  <c:pt idx="1">
                    <c:v>79,02</c:v>
                  </c:pt>
                  <c:pt idx="2">
                    <c:v>64,51</c:v>
                  </c:pt>
                  <c:pt idx="3">
                    <c:v>84,47</c:v>
                  </c:pt>
                  <c:pt idx="4">
                    <c:v>75,25</c:v>
                  </c:pt>
                  <c:pt idx="5">
                    <c:v>49,48</c:v>
                  </c:pt>
                  <c:pt idx="6">
                    <c:v>70,06</c:v>
                  </c:pt>
                  <c:pt idx="8">
                    <c:v>69,40</c:v>
                  </c:pt>
                  <c:pt idx="9">
                    <c:v>70,39</c:v>
                  </c:pt>
                  <c:pt idx="10">
                    <c:v>76,19</c:v>
                  </c:pt>
                  <c:pt idx="11">
                    <c:v>79,70</c:v>
                  </c:pt>
                  <c:pt idx="12">
                    <c:v>74,77</c:v>
                  </c:pt>
                  <c:pt idx="13">
                    <c:v>82,78</c:v>
                  </c:pt>
                  <c:pt idx="14">
                    <c:v>71,92</c:v>
                  </c:pt>
                  <c:pt idx="16">
                    <c:v>91,44</c:v>
                  </c:pt>
                  <c:pt idx="17">
                    <c:v>69,09</c:v>
                  </c:pt>
                  <c:pt idx="18">
                    <c:v>65,01</c:v>
                  </c:pt>
                  <c:pt idx="19">
                    <c:v>40,17</c:v>
                  </c:pt>
                  <c:pt idx="20">
                    <c:v>48,83</c:v>
                  </c:pt>
                  <c:pt idx="21">
                    <c:v>82,77</c:v>
                  </c:pt>
                  <c:pt idx="22">
                    <c:v>60,30</c:v>
                  </c:pt>
                  <c:pt idx="24">
                    <c:v>84,35</c:v>
                  </c:pt>
                  <c:pt idx="25">
                    <c:v>53,55</c:v>
                  </c:pt>
                  <c:pt idx="26">
                    <c:v>72,03</c:v>
                  </c:pt>
                  <c:pt idx="27">
                    <c:v>67,84</c:v>
                  </c:pt>
                  <c:pt idx="28">
                    <c:v>91,10</c:v>
                  </c:pt>
                  <c:pt idx="29">
                    <c:v>85,24</c:v>
                  </c:pt>
                  <c:pt idx="30">
                    <c:v>76,72</c:v>
                  </c:pt>
                  <c:pt idx="31">
                    <c:v>69,23</c:v>
                  </c:pt>
                  <c:pt idx="32">
                    <c:v>93,23</c:v>
                  </c:pt>
                </c:lvl>
                <c:lvl>
                  <c:pt idx="0">
                    <c:v>90,94</c:v>
                  </c:pt>
                  <c:pt idx="1">
                    <c:v>58,43</c:v>
                  </c:pt>
                  <c:pt idx="2">
                    <c:v>82,52</c:v>
                  </c:pt>
                  <c:pt idx="3">
                    <c:v>63,62</c:v>
                  </c:pt>
                  <c:pt idx="4">
                    <c:v>50,96</c:v>
                  </c:pt>
                  <c:pt idx="5">
                    <c:v>56,79</c:v>
                  </c:pt>
                  <c:pt idx="6">
                    <c:v>75,28</c:v>
                  </c:pt>
                  <c:pt idx="8">
                    <c:v>38,73</c:v>
                  </c:pt>
                  <c:pt idx="9">
                    <c:v>95,13</c:v>
                  </c:pt>
                  <c:pt idx="10">
                    <c:v>56,33</c:v>
                  </c:pt>
                  <c:pt idx="11">
                    <c:v>66,09</c:v>
                  </c:pt>
                  <c:pt idx="12">
                    <c:v>111,84</c:v>
                  </c:pt>
                  <c:pt idx="13">
                    <c:v>83,90</c:v>
                  </c:pt>
                  <c:pt idx="14">
                    <c:v>66,44</c:v>
                  </c:pt>
                  <c:pt idx="16">
                    <c:v>54,80</c:v>
                  </c:pt>
                  <c:pt idx="17">
                    <c:v>106,78</c:v>
                  </c:pt>
                  <c:pt idx="18">
                    <c:v>93,12</c:v>
                  </c:pt>
                  <c:pt idx="19">
                    <c:v>84,61</c:v>
                  </c:pt>
                  <c:pt idx="20">
                    <c:v>149,34</c:v>
                  </c:pt>
                  <c:pt idx="21">
                    <c:v>80,88</c:v>
                  </c:pt>
                  <c:pt idx="22">
                    <c:v>71,18</c:v>
                  </c:pt>
                  <c:pt idx="24">
                    <c:v>96,43</c:v>
                  </c:pt>
                  <c:pt idx="25">
                    <c:v>56,67</c:v>
                  </c:pt>
                  <c:pt idx="26">
                    <c:v>51,03</c:v>
                  </c:pt>
                  <c:pt idx="27">
                    <c:v>63,52</c:v>
                  </c:pt>
                  <c:pt idx="28">
                    <c:v>60,06</c:v>
                  </c:pt>
                  <c:pt idx="29">
                    <c:v>90,06</c:v>
                  </c:pt>
                  <c:pt idx="31">
                    <c:v>47,61</c:v>
                  </c:pt>
                  <c:pt idx="32">
                    <c:v>74,98</c:v>
                  </c:pt>
                </c:lvl>
                <c:lvl>
                  <c:pt idx="0">
                    <c:v>183,85</c:v>
                  </c:pt>
                  <c:pt idx="1">
                    <c:v>87,54</c:v>
                  </c:pt>
                  <c:pt idx="2">
                    <c:v>55,67</c:v>
                  </c:pt>
                  <c:pt idx="3">
                    <c:v>89,17</c:v>
                  </c:pt>
                  <c:pt idx="4">
                    <c:v>77,56</c:v>
                  </c:pt>
                  <c:pt idx="5">
                    <c:v>78,02</c:v>
                  </c:pt>
                  <c:pt idx="6">
                    <c:v>82,07</c:v>
                  </c:pt>
                  <c:pt idx="8">
                    <c:v>76,95</c:v>
                  </c:pt>
                  <c:pt idx="9">
                    <c:v>82,23</c:v>
                  </c:pt>
                  <c:pt idx="10">
                    <c:v>78,44</c:v>
                  </c:pt>
                  <c:pt idx="11">
                    <c:v>78,65</c:v>
                  </c:pt>
                  <c:pt idx="12">
                    <c:v>83,91</c:v>
                  </c:pt>
                  <c:pt idx="13">
                    <c:v>86,75</c:v>
                  </c:pt>
                  <c:pt idx="14">
                    <c:v>75,19</c:v>
                  </c:pt>
                  <c:pt idx="23">
                    <c:v>PM</c:v>
                  </c:pt>
                  <c:pt idx="24">
                    <c:v>69,24</c:v>
                  </c:pt>
                  <c:pt idx="25">
                    <c:v>85,39</c:v>
                  </c:pt>
                  <c:pt idx="26">
                    <c:v>91,09</c:v>
                  </c:pt>
                  <c:pt idx="27">
                    <c:v>101,77</c:v>
                  </c:pt>
                  <c:pt idx="28">
                    <c:v>58,79</c:v>
                  </c:pt>
                  <c:pt idx="29">
                    <c:v>75,51</c:v>
                  </c:pt>
                  <c:pt idx="30">
                    <c:v>69,12</c:v>
                  </c:pt>
                  <c:pt idx="31">
                    <c:v>84,09</c:v>
                  </c:pt>
                  <c:pt idx="32">
                    <c:v>78,71</c:v>
                  </c:pt>
                </c:lvl>
                <c:lvl>
                  <c:pt idx="0">
                    <c:v>87,73</c:v>
                  </c:pt>
                  <c:pt idx="1">
                    <c:v>78,89</c:v>
                  </c:pt>
                  <c:pt idx="2">
                    <c:v>47,73</c:v>
                  </c:pt>
                  <c:pt idx="3">
                    <c:v>77,33</c:v>
                  </c:pt>
                  <c:pt idx="4">
                    <c:v>46,27</c:v>
                  </c:pt>
                  <c:pt idx="5">
                    <c:v>77,53</c:v>
                  </c:pt>
                  <c:pt idx="6">
                    <c:v>72,95</c:v>
                  </c:pt>
                  <c:pt idx="8">
                    <c:v>54,93</c:v>
                  </c:pt>
                  <c:pt idx="9">
                    <c:v>80,61</c:v>
                  </c:pt>
                  <c:pt idx="10">
                    <c:v>60,08</c:v>
                  </c:pt>
                  <c:pt idx="11">
                    <c:v>68,84</c:v>
                  </c:pt>
                  <c:pt idx="12">
                    <c:v>73,26</c:v>
                  </c:pt>
                  <c:pt idx="13">
                    <c:v>83,14</c:v>
                  </c:pt>
                  <c:pt idx="14">
                    <c:v>71,26</c:v>
                  </c:pt>
                  <c:pt idx="16">
                    <c:v>91,08</c:v>
                  </c:pt>
                  <c:pt idx="17">
                    <c:v>85,07</c:v>
                  </c:pt>
                  <c:pt idx="18">
                    <c:v>90,18</c:v>
                  </c:pt>
                  <c:pt idx="19">
                    <c:v>84,95</c:v>
                  </c:pt>
                  <c:pt idx="20">
                    <c:v>71,98</c:v>
                  </c:pt>
                  <c:pt idx="21">
                    <c:v>84,20</c:v>
                  </c:pt>
                  <c:pt idx="22">
                    <c:v>97,00</c:v>
                  </c:pt>
                  <c:pt idx="25">
                    <c:v>117,39</c:v>
                  </c:pt>
                  <c:pt idx="26">
                    <c:v>79,07</c:v>
                  </c:pt>
                  <c:pt idx="27">
                    <c:v>82,65</c:v>
                  </c:pt>
                  <c:pt idx="28">
                    <c:v>78,82</c:v>
                  </c:pt>
                  <c:pt idx="29">
                    <c:v>81,23</c:v>
                  </c:pt>
                  <c:pt idx="30">
                    <c:v>76,75</c:v>
                  </c:pt>
                  <c:pt idx="31">
                    <c:v>62,69</c:v>
                  </c:pt>
                  <c:pt idx="32">
                    <c:v>75,41</c:v>
                  </c:pt>
                </c:lvl>
                <c:lvl>
                  <c:pt idx="0">
                    <c:v>146,97</c:v>
                  </c:pt>
                  <c:pt idx="1">
                    <c:v>102,95</c:v>
                  </c:pt>
                  <c:pt idx="3">
                    <c:v>39,43</c:v>
                  </c:pt>
                  <c:pt idx="4">
                    <c:v>39,21</c:v>
                  </c:pt>
                  <c:pt idx="5">
                    <c:v>114,60</c:v>
                  </c:pt>
                  <c:pt idx="6">
                    <c:v>90,08</c:v>
                  </c:pt>
                  <c:pt idx="8">
                    <c:v>77,79</c:v>
                  </c:pt>
                  <c:pt idx="9">
                    <c:v>90,04</c:v>
                  </c:pt>
                  <c:pt idx="10">
                    <c:v>88,25</c:v>
                  </c:pt>
                  <c:pt idx="11">
                    <c:v>86,79</c:v>
                  </c:pt>
                  <c:pt idx="13">
                    <c:v>58,84</c:v>
                  </c:pt>
                  <c:pt idx="14">
                    <c:v>87,18</c:v>
                  </c:pt>
                  <c:pt idx="16">
                    <c:v>52,12</c:v>
                  </c:pt>
                  <c:pt idx="17">
                    <c:v>75,91</c:v>
                  </c:pt>
                  <c:pt idx="18">
                    <c:v>21,04</c:v>
                  </c:pt>
                  <c:pt idx="19">
                    <c:v>77,97</c:v>
                  </c:pt>
                  <c:pt idx="20">
                    <c:v>51,61</c:v>
                  </c:pt>
                  <c:pt idx="21">
                    <c:v>90,73</c:v>
                  </c:pt>
                  <c:pt idx="22">
                    <c:v>115,72</c:v>
                  </c:pt>
                  <c:pt idx="24">
                    <c:v>70,52</c:v>
                  </c:pt>
                  <c:pt idx="25">
                    <c:v>48,80</c:v>
                  </c:pt>
                  <c:pt idx="26">
                    <c:v>52,41</c:v>
                  </c:pt>
                  <c:pt idx="27">
                    <c:v>77,42</c:v>
                  </c:pt>
                  <c:pt idx="28">
                    <c:v>65,54</c:v>
                  </c:pt>
                  <c:pt idx="29">
                    <c:v>64,56</c:v>
                  </c:pt>
                  <c:pt idx="30">
                    <c:v>57,80</c:v>
                  </c:pt>
                  <c:pt idx="31">
                    <c:v>165,60</c:v>
                  </c:pt>
                  <c:pt idx="32">
                    <c:v>89,09</c:v>
                  </c:pt>
                </c:lvl>
                <c:lvl>
                  <c:pt idx="1">
                    <c:v>134,42</c:v>
                  </c:pt>
                  <c:pt idx="8">
                    <c:v>103,47</c:v>
                  </c:pt>
                  <c:pt idx="10">
                    <c:v>41,81</c:v>
                  </c:pt>
                  <c:pt idx="12">
                    <c:v>29,15</c:v>
                  </c:pt>
                  <c:pt idx="16">
                    <c:v>85,27</c:v>
                  </c:pt>
                  <c:pt idx="18">
                    <c:v>82,45</c:v>
                  </c:pt>
                  <c:pt idx="25">
                    <c:v>196,66</c:v>
                  </c:pt>
                  <c:pt idx="26">
                    <c:v>30,86</c:v>
                  </c:pt>
                </c:lvl>
                <c:lvl>
                  <c:pt idx="0">
                    <c:v>96,91</c:v>
                  </c:pt>
                  <c:pt idx="2">
                    <c:v>65,34</c:v>
                  </c:pt>
                  <c:pt idx="3">
                    <c:v>79,58</c:v>
                  </c:pt>
                  <c:pt idx="4">
                    <c:v>70,57</c:v>
                  </c:pt>
                  <c:pt idx="5">
                    <c:v>56,23</c:v>
                  </c:pt>
                  <c:pt idx="6">
                    <c:v>126,32</c:v>
                  </c:pt>
                  <c:pt idx="8">
                    <c:v>77,40</c:v>
                  </c:pt>
                  <c:pt idx="9">
                    <c:v>55,81</c:v>
                  </c:pt>
                  <c:pt idx="10">
                    <c:v>44,01</c:v>
                  </c:pt>
                  <c:pt idx="11">
                    <c:v>143,07</c:v>
                  </c:pt>
                  <c:pt idx="12">
                    <c:v>78,43</c:v>
                  </c:pt>
                  <c:pt idx="13">
                    <c:v>68,51</c:v>
                  </c:pt>
                  <c:pt idx="14">
                    <c:v>72,63</c:v>
                  </c:pt>
                  <c:pt idx="16">
                    <c:v>131,35</c:v>
                  </c:pt>
                  <c:pt idx="17">
                    <c:v>83,03</c:v>
                  </c:pt>
                  <c:pt idx="18">
                    <c:v>84,81</c:v>
                  </c:pt>
                  <c:pt idx="19">
                    <c:v>71,86</c:v>
                  </c:pt>
                  <c:pt idx="20">
                    <c:v>78,52</c:v>
                  </c:pt>
                  <c:pt idx="21">
                    <c:v>71,09</c:v>
                  </c:pt>
                  <c:pt idx="22">
                    <c:v>85,08</c:v>
                  </c:pt>
                  <c:pt idx="24">
                    <c:v>111,49</c:v>
                  </c:pt>
                  <c:pt idx="25">
                    <c:v>105,34</c:v>
                  </c:pt>
                  <c:pt idx="26">
                    <c:v>84,41</c:v>
                  </c:pt>
                  <c:pt idx="27">
                    <c:v>67,97</c:v>
                  </c:pt>
                  <c:pt idx="28">
                    <c:v>95,36</c:v>
                  </c:pt>
                  <c:pt idx="29">
                    <c:v>101,59</c:v>
                  </c:pt>
                  <c:pt idx="30">
                    <c:v>80,12</c:v>
                  </c:pt>
                  <c:pt idx="31">
                    <c:v>70,31</c:v>
                  </c:pt>
                  <c:pt idx="32">
                    <c:v>90,96</c:v>
                  </c:pt>
                </c:lvl>
                <c:lvl>
                  <c:pt idx="0">
                    <c:v>87,99</c:v>
                  </c:pt>
                  <c:pt idx="1">
                    <c:v>82,39</c:v>
                  </c:pt>
                  <c:pt idx="2">
                    <c:v>66,15</c:v>
                  </c:pt>
                  <c:pt idx="3">
                    <c:v>77,75</c:v>
                  </c:pt>
                  <c:pt idx="4">
                    <c:v>55,75</c:v>
                  </c:pt>
                  <c:pt idx="9">
                    <c:v>53,91</c:v>
                  </c:pt>
                  <c:pt idx="10">
                    <c:v>66,25</c:v>
                  </c:pt>
                  <c:pt idx="11">
                    <c:v>76,22</c:v>
                  </c:pt>
                  <c:pt idx="12">
                    <c:v>67,59</c:v>
                  </c:pt>
                  <c:pt idx="13">
                    <c:v>86,00</c:v>
                  </c:pt>
                  <c:pt idx="14">
                    <c:v>74,05</c:v>
                  </c:pt>
                  <c:pt idx="16">
                    <c:v>92,74</c:v>
                  </c:pt>
                  <c:pt idx="17">
                    <c:v>92,52</c:v>
                  </c:pt>
                  <c:pt idx="18">
                    <c:v>87,84</c:v>
                  </c:pt>
                  <c:pt idx="19">
                    <c:v>95,48</c:v>
                  </c:pt>
                  <c:pt idx="20">
                    <c:v>49,33</c:v>
                  </c:pt>
                  <c:pt idx="21">
                    <c:v>75,12</c:v>
                  </c:pt>
                  <c:pt idx="22">
                    <c:v>77,94</c:v>
                  </c:pt>
                  <c:pt idx="24">
                    <c:v>78,21</c:v>
                  </c:pt>
                  <c:pt idx="25">
                    <c:v>91,09</c:v>
                  </c:pt>
                  <c:pt idx="26">
                    <c:v>68,80</c:v>
                  </c:pt>
                  <c:pt idx="27">
                    <c:v>79,71</c:v>
                  </c:pt>
                  <c:pt idx="28">
                    <c:v>79,86</c:v>
                  </c:pt>
                  <c:pt idx="29">
                    <c:v>61,66</c:v>
                  </c:pt>
                  <c:pt idx="31">
                    <c:v>82,89</c:v>
                  </c:pt>
                  <c:pt idx="32">
                    <c:v>79,74</c:v>
                  </c:pt>
                </c:lvl>
                <c:lvl>
                  <c:pt idx="7">
                    <c:v>PM</c:v>
                  </c:pt>
                  <c:pt idx="13">
                    <c:v>65,17</c:v>
                  </c:pt>
                  <c:pt idx="19">
                    <c:v>41,34</c:v>
                  </c:pt>
                  <c:pt idx="20">
                    <c:v>53,35</c:v>
                  </c:pt>
                  <c:pt idx="21">
                    <c:v>73,62</c:v>
                  </c:pt>
                  <c:pt idx="22">
                    <c:v>82,82</c:v>
                  </c:pt>
                  <c:pt idx="24">
                    <c:v>77,32</c:v>
                  </c:pt>
                  <c:pt idx="25">
                    <c:v>82,36</c:v>
                  </c:pt>
                  <c:pt idx="26">
                    <c:v>71,73</c:v>
                  </c:pt>
                  <c:pt idx="28">
                    <c:v>109,50</c:v>
                  </c:pt>
                  <c:pt idx="29">
                    <c:v>60,18</c:v>
                  </c:pt>
                  <c:pt idx="30">
                    <c:v>83,47</c:v>
                  </c:pt>
                  <c:pt idx="31">
                    <c:v>72,47</c:v>
                  </c:pt>
                  <c:pt idx="32">
                    <c:v>77,93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67,25</c:v>
                  </c:pt>
                  <c:pt idx="1">
                    <c:v>68,73</c:v>
                  </c:pt>
                  <c:pt idx="2">
                    <c:v>62,01</c:v>
                  </c:pt>
                  <c:pt idx="3">
                    <c:v>71,54</c:v>
                  </c:pt>
                  <c:pt idx="4">
                    <c:v>68,27</c:v>
                  </c:pt>
                  <c:pt idx="5">
                    <c:v>56,06</c:v>
                  </c:pt>
                  <c:pt idx="6">
                    <c:v>75,96</c:v>
                  </c:pt>
                  <c:pt idx="8">
                    <c:v>62,35</c:v>
                  </c:pt>
                  <c:pt idx="9">
                    <c:v>64,59</c:v>
                  </c:pt>
                  <c:pt idx="10">
                    <c:v>68,66</c:v>
                  </c:pt>
                  <c:pt idx="11">
                    <c:v>78,85</c:v>
                  </c:pt>
                  <c:pt idx="12">
                    <c:v>57,30</c:v>
                  </c:pt>
                  <c:pt idx="13">
                    <c:v>58,83</c:v>
                  </c:pt>
                  <c:pt idx="14">
                    <c:v>69,06</c:v>
                  </c:pt>
                  <c:pt idx="16">
                    <c:v>76,45</c:v>
                  </c:pt>
                  <c:pt idx="17">
                    <c:v>66,94</c:v>
                  </c:pt>
                  <c:pt idx="18">
                    <c:v>68,59</c:v>
                  </c:pt>
                  <c:pt idx="19">
                    <c:v>73,38</c:v>
                  </c:pt>
                  <c:pt idx="20">
                    <c:v>78,57</c:v>
                  </c:pt>
                  <c:pt idx="21">
                    <c:v>73,02</c:v>
                  </c:pt>
                  <c:pt idx="22">
                    <c:v>58,93</c:v>
                  </c:pt>
                  <c:pt idx="24">
                    <c:v>74,06</c:v>
                  </c:pt>
                  <c:pt idx="25">
                    <c:v>81,15</c:v>
                  </c:pt>
                  <c:pt idx="26">
                    <c:v>75,97</c:v>
                  </c:pt>
                  <c:pt idx="27">
                    <c:v>62,05</c:v>
                  </c:pt>
                  <c:pt idx="28">
                    <c:v>60,69</c:v>
                  </c:pt>
                  <c:pt idx="29">
                    <c:v>71,56</c:v>
                  </c:pt>
                  <c:pt idx="30">
                    <c:v>72,26</c:v>
                  </c:pt>
                  <c:pt idx="31">
                    <c:v>42,54</c:v>
                  </c:pt>
                  <c:pt idx="32">
                    <c:v>78,58</c:v>
                  </c:pt>
                  <c:pt idx="36">
                    <c:v>   </c:v>
                  </c:pt>
                </c:lvl>
                <c:lvl>
                  <c:pt idx="0">
                    <c:v>89,29</c:v>
                  </c:pt>
                  <c:pt idx="1">
                    <c:v>62,06</c:v>
                  </c:pt>
                  <c:pt idx="2">
                    <c:v>51,83</c:v>
                  </c:pt>
                  <c:pt idx="3">
                    <c:v>73,70</c:v>
                  </c:pt>
                  <c:pt idx="4">
                    <c:v>44,71</c:v>
                  </c:pt>
                  <c:pt idx="5">
                    <c:v>55,01</c:v>
                  </c:pt>
                  <c:pt idx="6">
                    <c:v>80,66</c:v>
                  </c:pt>
                  <c:pt idx="8">
                    <c:v>50,19</c:v>
                  </c:pt>
                  <c:pt idx="11">
                    <c:v>74,22</c:v>
                  </c:pt>
                  <c:pt idx="12">
                    <c:v>74,47</c:v>
                  </c:pt>
                  <c:pt idx="13">
                    <c:v>78,45</c:v>
                  </c:pt>
                  <c:pt idx="14">
                    <c:v>75,70</c:v>
                  </c:pt>
                  <c:pt idx="16">
                    <c:v>84,20</c:v>
                  </c:pt>
                  <c:pt idx="17">
                    <c:v>75,22</c:v>
                  </c:pt>
                  <c:pt idx="18">
                    <c:v>84,26</c:v>
                  </c:pt>
                  <c:pt idx="19">
                    <c:v>73,79</c:v>
                  </c:pt>
                  <c:pt idx="20">
                    <c:v>75,88</c:v>
                  </c:pt>
                  <c:pt idx="21">
                    <c:v>73,64</c:v>
                  </c:pt>
                  <c:pt idx="22">
                    <c:v>60,29</c:v>
                  </c:pt>
                  <c:pt idx="24">
                    <c:v>69,34</c:v>
                  </c:pt>
                  <c:pt idx="25">
                    <c:v>77,70</c:v>
                  </c:pt>
                  <c:pt idx="26">
                    <c:v>78,35</c:v>
                  </c:pt>
                  <c:pt idx="27">
                    <c:v>74,35</c:v>
                  </c:pt>
                  <c:pt idx="28">
                    <c:v>66,24</c:v>
                  </c:pt>
                  <c:pt idx="29">
                    <c:v>70,78</c:v>
                  </c:pt>
                  <c:pt idx="31">
                    <c:v>113,02</c:v>
                  </c:pt>
                  <c:pt idx="32">
                    <c:v>57,48</c:v>
                  </c:pt>
                  <c:pt idx="36">
                    <c:v>. HT 174 - 203, 190 Liter</c:v>
                  </c:pt>
                </c:lvl>
                <c:lvl>
                  <c:pt idx="7">
                    <c:v>PM</c:v>
                  </c:pt>
                  <c:pt idx="11">
                    <c:v>90,52</c:v>
                  </c:pt>
                  <c:pt idx="16">
                    <c:v>85,50</c:v>
                  </c:pt>
                  <c:pt idx="25">
                    <c:v>72,16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6">
                    <c:v>253,32</c:v>
                  </c:pt>
                  <c:pt idx="17">
                    <c:v>17,70</c:v>
                  </c:pt>
                  <c:pt idx="34">
                    <c:v>PM</c:v>
                  </c:pt>
                </c:lvl>
                <c:lvl>
                  <c:pt idx="0">
                    <c:v>73,89</c:v>
                  </c:pt>
                  <c:pt idx="1">
                    <c:v>89,87</c:v>
                  </c:pt>
                  <c:pt idx="2">
                    <c:v>79,28</c:v>
                  </c:pt>
                  <c:pt idx="3">
                    <c:v>89,54</c:v>
                  </c:pt>
                  <c:pt idx="4">
                    <c:v>78,38</c:v>
                  </c:pt>
                  <c:pt idx="5">
                    <c:v>73,28</c:v>
                  </c:pt>
                  <c:pt idx="6">
                    <c:v>82,93</c:v>
                  </c:pt>
                  <c:pt idx="8">
                    <c:v>66,43</c:v>
                  </c:pt>
                  <c:pt idx="9">
                    <c:v>89,12</c:v>
                  </c:pt>
                  <c:pt idx="10">
                    <c:v>78,59</c:v>
                  </c:pt>
                  <c:pt idx="11">
                    <c:v>81,48</c:v>
                  </c:pt>
                  <c:pt idx="12">
                    <c:v>71,47</c:v>
                  </c:pt>
                  <c:pt idx="13">
                    <c:v>92,19</c:v>
                  </c:pt>
                  <c:pt idx="14">
                    <c:v>91,57</c:v>
                  </c:pt>
                  <c:pt idx="17">
                    <c:v>189,35</c:v>
                  </c:pt>
                  <c:pt idx="18">
                    <c:v>99,38</c:v>
                  </c:pt>
                  <c:pt idx="19">
                    <c:v>84,31</c:v>
                  </c:pt>
                  <c:pt idx="20">
                    <c:v>69,15</c:v>
                  </c:pt>
                  <c:pt idx="21">
                    <c:v>66,47</c:v>
                  </c:pt>
                  <c:pt idx="22">
                    <c:v>110,82</c:v>
                  </c:pt>
                  <c:pt idx="24">
                    <c:v>97,98</c:v>
                  </c:pt>
                  <c:pt idx="25">
                    <c:v>77,40</c:v>
                  </c:pt>
                  <c:pt idx="27">
                    <c:v>64,20</c:v>
                  </c:pt>
                  <c:pt idx="28">
                    <c:v>110,34</c:v>
                  </c:pt>
                  <c:pt idx="29">
                    <c:v>49,29</c:v>
                  </c:pt>
                  <c:pt idx="30">
                    <c:v>102,71</c:v>
                  </c:pt>
                  <c:pt idx="31">
                    <c:v>151,81</c:v>
                  </c:pt>
                </c:lvl>
                <c:lvl>
                  <c:pt idx="0">
                    <c:v>115,43</c:v>
                  </c:pt>
                  <c:pt idx="1">
                    <c:v>84,01</c:v>
                  </c:pt>
                  <c:pt idx="2">
                    <c:v>68,57</c:v>
                  </c:pt>
                  <c:pt idx="3">
                    <c:v>94,62</c:v>
                  </c:pt>
                  <c:pt idx="4">
                    <c:v>93,43</c:v>
                  </c:pt>
                  <c:pt idx="5">
                    <c:v>85,68</c:v>
                  </c:pt>
                  <c:pt idx="6">
                    <c:v>83,89</c:v>
                  </c:pt>
                  <c:pt idx="8">
                    <c:v>83,87</c:v>
                  </c:pt>
                  <c:pt idx="9">
                    <c:v>93,11</c:v>
                  </c:pt>
                  <c:pt idx="10">
                    <c:v>115,05</c:v>
                  </c:pt>
                  <c:pt idx="11">
                    <c:v>103,49</c:v>
                  </c:pt>
                  <c:pt idx="12">
                    <c:v>85,14</c:v>
                  </c:pt>
                  <c:pt idx="13">
                    <c:v>80,66</c:v>
                  </c:pt>
                  <c:pt idx="14">
                    <c:v>83,47</c:v>
                  </c:pt>
                  <c:pt idx="16">
                    <c:v>92,45</c:v>
                  </c:pt>
                  <c:pt idx="17">
                    <c:v>95,21</c:v>
                  </c:pt>
                  <c:pt idx="18">
                    <c:v>98,97</c:v>
                  </c:pt>
                  <c:pt idx="19">
                    <c:v>82,77</c:v>
                  </c:pt>
                  <c:pt idx="20">
                    <c:v>94,74</c:v>
                  </c:pt>
                  <c:pt idx="21">
                    <c:v>80,41</c:v>
                  </c:pt>
                  <c:pt idx="22">
                    <c:v>88,98</c:v>
                  </c:pt>
                  <c:pt idx="24">
                    <c:v>88,07</c:v>
                  </c:pt>
                  <c:pt idx="25">
                    <c:v>85,72</c:v>
                  </c:pt>
                  <c:pt idx="26">
                    <c:v>69,27</c:v>
                  </c:pt>
                  <c:pt idx="27">
                    <c:v>85,07</c:v>
                  </c:pt>
                  <c:pt idx="28">
                    <c:v>100,66</c:v>
                  </c:pt>
                  <c:pt idx="29">
                    <c:v>106,18</c:v>
                  </c:pt>
                  <c:pt idx="30">
                    <c:v>87,73</c:v>
                  </c:pt>
                  <c:pt idx="31">
                    <c:v>92,23</c:v>
                  </c:pt>
                  <c:pt idx="32">
                    <c:v>83,91</c:v>
                  </c:pt>
                </c:lvl>
                <c:lvl>
                  <c:pt idx="0">
                    <c:v>87,91</c:v>
                  </c:pt>
                  <c:pt idx="1">
                    <c:v>72,51</c:v>
                  </c:pt>
                  <c:pt idx="2">
                    <c:v>66,19</c:v>
                  </c:pt>
                  <c:pt idx="12">
                    <c:v>58,56</c:v>
                  </c:pt>
                  <c:pt idx="13">
                    <c:v>84,14</c:v>
                  </c:pt>
                  <c:pt idx="14">
                    <c:v>93,38</c:v>
                  </c:pt>
                  <c:pt idx="16">
                    <c:v>93,22</c:v>
                  </c:pt>
                  <c:pt idx="17">
                    <c:v>94,94</c:v>
                  </c:pt>
                  <c:pt idx="18">
                    <c:v>76,73</c:v>
                  </c:pt>
                  <c:pt idx="19">
                    <c:v>92,52</c:v>
                  </c:pt>
                  <c:pt idx="20">
                    <c:v>99,44</c:v>
                  </c:pt>
                  <c:pt idx="21">
                    <c:v>85,29</c:v>
                  </c:pt>
                  <c:pt idx="22">
                    <c:v>108,37</c:v>
                  </c:pt>
                  <c:pt idx="24">
                    <c:v>85,61</c:v>
                  </c:pt>
                  <c:pt idx="25">
                    <c:v>92,18</c:v>
                  </c:pt>
                  <c:pt idx="26">
                    <c:v>88,55</c:v>
                  </c:pt>
                  <c:pt idx="27">
                    <c:v>65,18</c:v>
                  </c:pt>
                  <c:pt idx="28">
                    <c:v>92,70</c:v>
                  </c:pt>
                  <c:pt idx="29">
                    <c:v>84,01</c:v>
                  </c:pt>
                  <c:pt idx="30">
                    <c:v>91,21</c:v>
                  </c:pt>
                  <c:pt idx="31">
                    <c:v>108,86</c:v>
                  </c:pt>
                  <c:pt idx="32">
                    <c:v>69,30</c:v>
                  </c:pt>
                </c:lvl>
                <c:lvl>
                  <c:pt idx="0">
                    <c:v>72,69</c:v>
                  </c:pt>
                  <c:pt idx="1">
                    <c:v>80,03</c:v>
                  </c:pt>
                  <c:pt idx="2">
                    <c:v>74,79</c:v>
                  </c:pt>
                  <c:pt idx="3">
                    <c:v>61,85</c:v>
                  </c:pt>
                  <c:pt idx="4">
                    <c:v>71,41</c:v>
                  </c:pt>
                  <c:pt idx="5">
                    <c:v>77,16</c:v>
                  </c:pt>
                  <c:pt idx="6">
                    <c:v>89,96</c:v>
                  </c:pt>
                  <c:pt idx="8">
                    <c:v>53,90</c:v>
                  </c:pt>
                  <c:pt idx="9">
                    <c:v>84,11</c:v>
                  </c:pt>
                  <c:pt idx="10">
                    <c:v>70,94</c:v>
                  </c:pt>
                  <c:pt idx="11">
                    <c:v>90,81</c:v>
                  </c:pt>
                  <c:pt idx="12">
                    <c:v>76,83</c:v>
                  </c:pt>
                  <c:pt idx="13">
                    <c:v>70,09</c:v>
                  </c:pt>
                  <c:pt idx="14">
                    <c:v>77,18</c:v>
                  </c:pt>
                  <c:pt idx="16">
                    <c:v>91,02</c:v>
                  </c:pt>
                  <c:pt idx="17">
                    <c:v>68,44</c:v>
                  </c:pt>
                  <c:pt idx="18">
                    <c:v>77,60</c:v>
                  </c:pt>
                  <c:pt idx="19">
                    <c:v>79,39</c:v>
                  </c:pt>
                  <c:pt idx="20">
                    <c:v>119,49</c:v>
                  </c:pt>
                  <c:pt idx="21">
                    <c:v>93,48</c:v>
                  </c:pt>
                  <c:pt idx="22">
                    <c:v>90,30</c:v>
                  </c:pt>
                  <c:pt idx="24">
                    <c:v>82,40</c:v>
                  </c:pt>
                  <c:pt idx="25">
                    <c:v>101,08</c:v>
                  </c:pt>
                  <c:pt idx="26">
                    <c:v>90,46</c:v>
                  </c:pt>
                  <c:pt idx="27">
                    <c:v>62,48</c:v>
                  </c:pt>
                  <c:pt idx="28">
                    <c:v>83,34</c:v>
                  </c:pt>
                  <c:pt idx="29">
                    <c:v>87,14</c:v>
                  </c:pt>
                  <c:pt idx="30">
                    <c:v>108,94</c:v>
                  </c:pt>
                  <c:pt idx="31">
                    <c:v>72,40</c:v>
                  </c:pt>
                  <c:pt idx="32">
                    <c:v>88,30</c:v>
                  </c:pt>
                </c:lvl>
                <c:lvl>
                  <c:pt idx="0">
                    <c:v>112,36</c:v>
                  </c:pt>
                  <c:pt idx="1">
                    <c:v>84,49</c:v>
                  </c:pt>
                  <c:pt idx="3">
                    <c:v>72,24</c:v>
                  </c:pt>
                  <c:pt idx="4">
                    <c:v>76,00</c:v>
                  </c:pt>
                  <c:pt idx="5">
                    <c:v>52,10</c:v>
                  </c:pt>
                  <c:pt idx="6">
                    <c:v>91,47</c:v>
                  </c:pt>
                  <c:pt idx="8">
                    <c:v>79,84</c:v>
                  </c:pt>
                  <c:pt idx="9">
                    <c:v>71,92</c:v>
                  </c:pt>
                  <c:pt idx="11">
                    <c:v>56,25</c:v>
                  </c:pt>
                  <c:pt idx="12">
                    <c:v>53,45</c:v>
                  </c:pt>
                  <c:pt idx="14">
                    <c:v>44,88</c:v>
                  </c:pt>
                  <c:pt idx="16">
                    <c:v>31,41</c:v>
                  </c:pt>
                  <c:pt idx="17">
                    <c:v>24,36</c:v>
                  </c:pt>
                  <c:pt idx="18">
                    <c:v>68,83</c:v>
                  </c:pt>
                  <c:pt idx="19">
                    <c:v>77,35</c:v>
                  </c:pt>
                  <c:pt idx="20">
                    <c:v>100,63</c:v>
                  </c:pt>
                  <c:pt idx="21">
                    <c:v>46,39</c:v>
                  </c:pt>
                  <c:pt idx="22">
                    <c:v>86,19</c:v>
                  </c:pt>
                  <c:pt idx="24">
                    <c:v>116,55</c:v>
                  </c:pt>
                  <c:pt idx="25">
                    <c:v>104,71</c:v>
                  </c:pt>
                  <c:pt idx="26">
                    <c:v>86,38</c:v>
                  </c:pt>
                  <c:pt idx="27">
                    <c:v>64,53</c:v>
                  </c:pt>
                  <c:pt idx="28">
                    <c:v>128,19</c:v>
                  </c:pt>
                  <c:pt idx="29">
                    <c:v>78,95</c:v>
                  </c:pt>
                  <c:pt idx="30">
                    <c:v>105,20</c:v>
                  </c:pt>
                  <c:pt idx="31">
                    <c:v>61,44</c:v>
                  </c:pt>
                </c:lvl>
                <c:lvl>
                  <c:pt idx="0">
                    <c:v>79,06</c:v>
                  </c:pt>
                  <c:pt idx="1">
                    <c:v>73,66</c:v>
                  </c:pt>
                  <c:pt idx="2">
                    <c:v>61,32</c:v>
                  </c:pt>
                  <c:pt idx="3">
                    <c:v>67,77</c:v>
                  </c:pt>
                  <c:pt idx="4">
                    <c:v>69,93</c:v>
                  </c:pt>
                  <c:pt idx="5">
                    <c:v>65,94</c:v>
                  </c:pt>
                  <c:pt idx="6">
                    <c:v>62,07</c:v>
                  </c:pt>
                  <c:pt idx="8">
                    <c:v>45,54</c:v>
                  </c:pt>
                  <c:pt idx="9">
                    <c:v>71,13</c:v>
                  </c:pt>
                  <c:pt idx="10">
                    <c:v>74,87</c:v>
                  </c:pt>
                  <c:pt idx="11">
                    <c:v>69,28</c:v>
                  </c:pt>
                  <c:pt idx="12">
                    <c:v>84,17</c:v>
                  </c:pt>
                  <c:pt idx="13">
                    <c:v>82,70</c:v>
                  </c:pt>
                  <c:pt idx="14">
                    <c:v>70,60</c:v>
                  </c:pt>
                  <c:pt idx="16">
                    <c:v>83,86</c:v>
                  </c:pt>
                  <c:pt idx="17">
                    <c:v>85,65</c:v>
                  </c:pt>
                  <c:pt idx="18">
                    <c:v>64,74</c:v>
                  </c:pt>
                  <c:pt idx="19">
                    <c:v>83,53</c:v>
                  </c:pt>
                  <c:pt idx="20">
                    <c:v>71,05</c:v>
                  </c:pt>
                  <c:pt idx="21">
                    <c:v>74,19</c:v>
                  </c:pt>
                  <c:pt idx="22">
                    <c:v>82,24</c:v>
                  </c:pt>
                  <c:pt idx="24">
                    <c:v>97,62</c:v>
                  </c:pt>
                  <c:pt idx="25">
                    <c:v>76,05</c:v>
                  </c:pt>
                  <c:pt idx="26">
                    <c:v>70,26</c:v>
                  </c:pt>
                  <c:pt idx="27">
                    <c:v>60,08</c:v>
                  </c:pt>
                  <c:pt idx="28">
                    <c:v>77,06</c:v>
                  </c:pt>
                  <c:pt idx="29">
                    <c:v>68,08</c:v>
                  </c:pt>
                  <c:pt idx="30">
                    <c:v>87,05</c:v>
                  </c:pt>
                  <c:pt idx="31">
                    <c:v>59,28</c:v>
                  </c:pt>
                  <c:pt idx="32">
                    <c:v>76,36</c:v>
                  </c:pt>
                </c:lvl>
                <c:lvl>
                  <c:pt idx="0">
                    <c:v>80,41</c:v>
                  </c:pt>
                  <c:pt idx="1">
                    <c:v>92,81</c:v>
                  </c:pt>
                  <c:pt idx="2">
                    <c:v>70,01</c:v>
                  </c:pt>
                  <c:pt idx="3">
                    <c:v>61,52</c:v>
                  </c:pt>
                  <c:pt idx="4">
                    <c:v>116,47</c:v>
                  </c:pt>
                  <c:pt idx="5">
                    <c:v>71,69</c:v>
                  </c:pt>
                  <c:pt idx="6">
                    <c:v>91,45</c:v>
                  </c:pt>
                  <c:pt idx="8">
                    <c:v>67,44</c:v>
                  </c:pt>
                  <c:pt idx="9">
                    <c:v>76,31</c:v>
                  </c:pt>
                  <c:pt idx="10">
                    <c:v>64,26</c:v>
                  </c:pt>
                  <c:pt idx="11">
                    <c:v>94,38</c:v>
                  </c:pt>
                  <c:pt idx="12">
                    <c:v>84,97</c:v>
                  </c:pt>
                  <c:pt idx="13">
                    <c:v>68,59</c:v>
                  </c:pt>
                  <c:pt idx="14">
                    <c:v>81,63</c:v>
                  </c:pt>
                  <c:pt idx="17">
                    <c:v>99,13</c:v>
                  </c:pt>
                  <c:pt idx="18">
                    <c:v>133,94</c:v>
                  </c:pt>
                  <c:pt idx="19">
                    <c:v>68,68</c:v>
                  </c:pt>
                  <c:pt idx="20">
                    <c:v>85,04</c:v>
                  </c:pt>
                  <c:pt idx="21">
                    <c:v>81,31</c:v>
                  </c:pt>
                  <c:pt idx="22">
                    <c:v>82,70</c:v>
                  </c:pt>
                  <c:pt idx="24">
                    <c:v>69,98</c:v>
                  </c:pt>
                  <c:pt idx="25">
                    <c:v>106,92</c:v>
                  </c:pt>
                  <c:pt idx="26">
                    <c:v>102,81</c:v>
                  </c:pt>
                  <c:pt idx="27">
                    <c:v>58,06</c:v>
                  </c:pt>
                  <c:pt idx="28">
                    <c:v>48,84</c:v>
                  </c:pt>
                  <c:pt idx="29">
                    <c:v>85,67</c:v>
                  </c:pt>
                  <c:pt idx="30">
                    <c:v>80,25</c:v>
                  </c:pt>
                  <c:pt idx="31">
                    <c:v>72,47</c:v>
                  </c:pt>
                  <c:pt idx="32">
                    <c:v>73,68</c:v>
                  </c:pt>
                </c:lvl>
                <c:lvl>
                  <c:pt idx="0">
                    <c:v>67,44</c:v>
                  </c:pt>
                  <c:pt idx="1">
                    <c:v>79,16</c:v>
                  </c:pt>
                  <c:pt idx="2">
                    <c:v>61,79</c:v>
                  </c:pt>
                  <c:pt idx="3">
                    <c:v>48,02</c:v>
                  </c:pt>
                  <c:pt idx="4">
                    <c:v>71,21</c:v>
                  </c:pt>
                  <c:pt idx="5">
                    <c:v>76,98</c:v>
                  </c:pt>
                  <c:pt idx="6">
                    <c:v>89,35</c:v>
                  </c:pt>
                  <c:pt idx="8">
                    <c:v>70,04</c:v>
                  </c:pt>
                  <c:pt idx="9">
                    <c:v>83,48</c:v>
                  </c:pt>
                  <c:pt idx="10">
                    <c:v>51,74</c:v>
                  </c:pt>
                  <c:pt idx="11">
                    <c:v>102,20</c:v>
                  </c:pt>
                  <c:pt idx="12">
                    <c:v>76,17</c:v>
                  </c:pt>
                  <c:pt idx="13">
                    <c:v>63,59</c:v>
                  </c:pt>
                  <c:pt idx="14">
                    <c:v>85,66</c:v>
                  </c:pt>
                  <c:pt idx="16">
                    <c:v>83,04</c:v>
                  </c:pt>
                  <c:pt idx="17">
                    <c:v>84,85</c:v>
                  </c:pt>
                  <c:pt idx="18">
                    <c:v>81,32</c:v>
                  </c:pt>
                  <c:pt idx="19">
                    <c:v>59,65</c:v>
                  </c:pt>
                  <c:pt idx="20">
                    <c:v>96,49</c:v>
                  </c:pt>
                  <c:pt idx="21">
                    <c:v>66,98</c:v>
                  </c:pt>
                  <c:pt idx="22">
                    <c:v>91,88</c:v>
                  </c:pt>
                  <c:pt idx="24">
                    <c:v>112,89</c:v>
                  </c:pt>
                  <c:pt idx="25">
                    <c:v>93,04</c:v>
                  </c:pt>
                  <c:pt idx="26">
                    <c:v>80,24</c:v>
                  </c:pt>
                  <c:pt idx="27">
                    <c:v>60,07</c:v>
                  </c:pt>
                  <c:pt idx="28">
                    <c:v>84,94</c:v>
                  </c:pt>
                  <c:pt idx="29">
                    <c:v>75,58</c:v>
                  </c:pt>
                  <c:pt idx="30">
                    <c:v>87,74</c:v>
                  </c:pt>
                  <c:pt idx="31">
                    <c:v>58,46</c:v>
                  </c:pt>
                  <c:pt idx="32">
                    <c:v>86,14</c:v>
                  </c:pt>
                </c:lvl>
                <c:lvl>
                  <c:pt idx="0">
                    <c:v>81,90</c:v>
                  </c:pt>
                  <c:pt idx="1">
                    <c:v>79,69</c:v>
                  </c:pt>
                  <c:pt idx="2">
                    <c:v>58,21</c:v>
                  </c:pt>
                  <c:pt idx="3">
                    <c:v>67,35</c:v>
                  </c:pt>
                  <c:pt idx="4">
                    <c:v>65,81</c:v>
                  </c:pt>
                  <c:pt idx="5">
                    <c:v>74,69</c:v>
                  </c:pt>
                  <c:pt idx="6">
                    <c:v>109,95</c:v>
                  </c:pt>
                  <c:pt idx="8">
                    <c:v>80,24</c:v>
                  </c:pt>
                  <c:pt idx="9">
                    <c:v>82,95</c:v>
                  </c:pt>
                  <c:pt idx="10">
                    <c:v>87,65</c:v>
                  </c:pt>
                  <c:pt idx="11">
                    <c:v>107,50</c:v>
                  </c:pt>
                  <c:pt idx="12">
                    <c:v>83,03</c:v>
                  </c:pt>
                  <c:pt idx="13">
                    <c:v>62,26</c:v>
                  </c:pt>
                  <c:pt idx="14">
                    <c:v>100,43</c:v>
                  </c:pt>
                  <c:pt idx="16">
                    <c:v>116,43</c:v>
                  </c:pt>
                  <c:pt idx="17">
                    <c:v>99,85</c:v>
                  </c:pt>
                  <c:pt idx="18">
                    <c:v>73,53</c:v>
                  </c:pt>
                  <c:pt idx="19">
                    <c:v>67,37</c:v>
                  </c:pt>
                  <c:pt idx="20">
                    <c:v>88,90</c:v>
                  </c:pt>
                  <c:pt idx="21">
                    <c:v>83,12</c:v>
                  </c:pt>
                  <c:pt idx="22">
                    <c:v>85,57</c:v>
                  </c:pt>
                  <c:pt idx="24">
                    <c:v>100,28</c:v>
                  </c:pt>
                  <c:pt idx="25">
                    <c:v>105,02</c:v>
                  </c:pt>
                  <c:pt idx="26">
                    <c:v>94,38</c:v>
                  </c:pt>
                  <c:pt idx="27">
                    <c:v>75,46</c:v>
                  </c:pt>
                  <c:pt idx="28">
                    <c:v>68,72</c:v>
                  </c:pt>
                  <c:pt idx="29">
                    <c:v>91,76</c:v>
                  </c:pt>
                  <c:pt idx="30">
                    <c:v>100,96</c:v>
                  </c:pt>
                  <c:pt idx="31">
                    <c:v>44,11</c:v>
                  </c:pt>
                  <c:pt idx="32">
                    <c:v>103,13</c:v>
                  </c:pt>
                </c:lvl>
                <c:lvl>
                  <c:pt idx="0">
                    <c:v>97,88</c:v>
                  </c:pt>
                  <c:pt idx="1">
                    <c:v>66,01</c:v>
                  </c:pt>
                  <c:pt idx="2">
                    <c:v>58,79</c:v>
                  </c:pt>
                  <c:pt idx="3">
                    <c:v>72,41</c:v>
                  </c:pt>
                  <c:pt idx="4">
                    <c:v>60,05</c:v>
                  </c:pt>
                  <c:pt idx="5">
                    <c:v>68,88</c:v>
                  </c:pt>
                  <c:pt idx="6">
                    <c:v>75,65</c:v>
                  </c:pt>
                  <c:pt idx="8">
                    <c:v>56,31</c:v>
                  </c:pt>
                  <c:pt idx="9">
                    <c:v>81,41</c:v>
                  </c:pt>
                  <c:pt idx="10">
                    <c:v>76,28</c:v>
                  </c:pt>
                  <c:pt idx="11">
                    <c:v>80,75</c:v>
                  </c:pt>
                  <c:pt idx="12">
                    <c:v>96,57</c:v>
                  </c:pt>
                  <c:pt idx="13">
                    <c:v>65,62</c:v>
                  </c:pt>
                  <c:pt idx="14">
                    <c:v>78,58</c:v>
                  </c:pt>
                  <c:pt idx="17">
                    <c:v>137,73</c:v>
                  </c:pt>
                  <c:pt idx="19">
                    <c:v>71,37</c:v>
                  </c:pt>
                  <c:pt idx="20">
                    <c:v>46,93</c:v>
                  </c:pt>
                  <c:pt idx="21">
                    <c:v>85,45</c:v>
                  </c:pt>
                  <c:pt idx="22">
                    <c:v>101,49</c:v>
                  </c:pt>
                  <c:pt idx="24">
                    <c:v>66,28</c:v>
                  </c:pt>
                  <c:pt idx="25">
                    <c:v>77,47</c:v>
                  </c:pt>
                  <c:pt idx="26">
                    <c:v>76,39</c:v>
                  </c:pt>
                  <c:pt idx="27">
                    <c:v>54,72</c:v>
                  </c:pt>
                  <c:pt idx="28">
                    <c:v>87,66</c:v>
                  </c:pt>
                  <c:pt idx="29">
                    <c:v>77,43</c:v>
                  </c:pt>
                  <c:pt idx="30">
                    <c:v>87,91</c:v>
                  </c:pt>
                  <c:pt idx="31">
                    <c:v>66,72</c:v>
                  </c:pt>
                  <c:pt idx="32">
                    <c:v>83,81</c:v>
                  </c:pt>
                </c:lvl>
                <c:lvl>
                  <c:pt idx="0">
                    <c:v>81,69</c:v>
                  </c:pt>
                  <c:pt idx="1">
                    <c:v>92,71</c:v>
                  </c:pt>
                  <c:pt idx="2">
                    <c:v>78,02</c:v>
                  </c:pt>
                  <c:pt idx="3">
                    <c:v>97,74</c:v>
                  </c:pt>
                  <c:pt idx="4">
                    <c:v>77,63</c:v>
                  </c:pt>
                  <c:pt idx="5">
                    <c:v>67,53</c:v>
                  </c:pt>
                  <c:pt idx="6">
                    <c:v>78,52</c:v>
                  </c:pt>
                  <c:pt idx="8">
                    <c:v>76,07</c:v>
                  </c:pt>
                  <c:pt idx="9">
                    <c:v>82,02</c:v>
                  </c:pt>
                  <c:pt idx="10">
                    <c:v>67,47</c:v>
                  </c:pt>
                  <c:pt idx="11">
                    <c:v>80,58</c:v>
                  </c:pt>
                  <c:pt idx="12">
                    <c:v>66,12</c:v>
                  </c:pt>
                  <c:pt idx="13">
                    <c:v>94,07</c:v>
                  </c:pt>
                  <c:pt idx="14">
                    <c:v>75,93</c:v>
                  </c:pt>
                  <c:pt idx="16">
                    <c:v>85,37</c:v>
                  </c:pt>
                  <c:pt idx="17">
                    <c:v>84,52</c:v>
                  </c:pt>
                  <c:pt idx="18">
                    <c:v>68,71</c:v>
                  </c:pt>
                  <c:pt idx="19">
                    <c:v>72,18</c:v>
                  </c:pt>
                  <c:pt idx="20">
                    <c:v>87,98</c:v>
                  </c:pt>
                  <c:pt idx="21">
                    <c:v>71,21</c:v>
                  </c:pt>
                  <c:pt idx="22">
                    <c:v>77,89</c:v>
                  </c:pt>
                  <c:pt idx="24">
                    <c:v>85,37</c:v>
                  </c:pt>
                  <c:pt idx="25">
                    <c:v>86,13</c:v>
                  </c:pt>
                  <c:pt idx="26">
                    <c:v>90,25</c:v>
                  </c:pt>
                  <c:pt idx="27">
                    <c:v>56,32</c:v>
                  </c:pt>
                  <c:pt idx="28">
                    <c:v>73,03</c:v>
                  </c:pt>
                  <c:pt idx="29">
                    <c:v>80,67</c:v>
                  </c:pt>
                  <c:pt idx="30">
                    <c:v>78,26</c:v>
                  </c:pt>
                  <c:pt idx="31">
                    <c:v>78,42</c:v>
                  </c:pt>
                  <c:pt idx="32">
                    <c:v>75,73</c:v>
                  </c:pt>
                </c:lvl>
                <c:lvl>
                  <c:pt idx="7">
                    <c:v>PM</c:v>
                  </c:pt>
                  <c:pt idx="8">
                    <c:v>51,13</c:v>
                  </c:pt>
                  <c:pt idx="9">
                    <c:v>82,45</c:v>
                  </c:pt>
                  <c:pt idx="10">
                    <c:v>71,75</c:v>
                  </c:pt>
                  <c:pt idx="11">
                    <c:v>108,61</c:v>
                  </c:pt>
                  <c:pt idx="12">
                    <c:v>86,22</c:v>
                  </c:pt>
                  <c:pt idx="14">
                    <c:v>120,31</c:v>
                  </c:pt>
                  <c:pt idx="17">
                    <c:v>156,25</c:v>
                  </c:pt>
                  <c:pt idx="18">
                    <c:v>87,37</c:v>
                  </c:pt>
                  <c:pt idx="19">
                    <c:v>67,57</c:v>
                  </c:pt>
                  <c:pt idx="20">
                    <c:v>101,95</c:v>
                  </c:pt>
                  <c:pt idx="21">
                    <c:v>65,26</c:v>
                  </c:pt>
                  <c:pt idx="22">
                    <c:v>113,99</c:v>
                  </c:pt>
                  <c:pt idx="24">
                    <c:v>109,04</c:v>
                  </c:pt>
                  <c:pt idx="25">
                    <c:v>90,99</c:v>
                  </c:pt>
                  <c:pt idx="26">
                    <c:v>96,05</c:v>
                  </c:pt>
                  <c:pt idx="27">
                    <c:v>81,89</c:v>
                  </c:pt>
                  <c:pt idx="28">
                    <c:v>86,33</c:v>
                  </c:pt>
                  <c:pt idx="29">
                    <c:v>88,10</c:v>
                  </c:pt>
                  <c:pt idx="30">
                    <c:v>101,41</c:v>
                  </c:pt>
                  <c:pt idx="31">
                    <c:v>67,89</c:v>
                  </c:pt>
                  <c:pt idx="32">
                    <c:v>79,13</c:v>
                  </c:pt>
                </c:lvl>
                <c:lvl>
                  <c:pt idx="0">
                    <c:v>88,92</c:v>
                  </c:pt>
                  <c:pt idx="1">
                    <c:v>79,76</c:v>
                  </c:pt>
                  <c:pt idx="2">
                    <c:v>76,65</c:v>
                  </c:pt>
                  <c:pt idx="3">
                    <c:v>97,87</c:v>
                  </c:pt>
                  <c:pt idx="4">
                    <c:v>88,24</c:v>
                  </c:pt>
                  <c:pt idx="5">
                    <c:v>85,75</c:v>
                  </c:pt>
                  <c:pt idx="6">
                    <c:v>99,41</c:v>
                  </c:pt>
                  <c:pt idx="8">
                    <c:v>47,50</c:v>
                  </c:pt>
                  <c:pt idx="9">
                    <c:v>97,66</c:v>
                  </c:pt>
                  <c:pt idx="10">
                    <c:v>80,07</c:v>
                  </c:pt>
                  <c:pt idx="11">
                    <c:v>91,39</c:v>
                  </c:pt>
                  <c:pt idx="12">
                    <c:v>90,68</c:v>
                  </c:pt>
                  <c:pt idx="13">
                    <c:v>88,57</c:v>
                  </c:pt>
                  <c:pt idx="14">
                    <c:v>99,59</c:v>
                  </c:pt>
                  <c:pt idx="16">
                    <c:v>107,12</c:v>
                  </c:pt>
                  <c:pt idx="17">
                    <c:v>62,56</c:v>
                  </c:pt>
                  <c:pt idx="18">
                    <c:v>78,89</c:v>
                  </c:pt>
                  <c:pt idx="19">
                    <c:v>68,98</c:v>
                  </c:pt>
                  <c:pt idx="20">
                    <c:v>69,28</c:v>
                  </c:pt>
                  <c:pt idx="21">
                    <c:v>79,54</c:v>
                  </c:pt>
                  <c:pt idx="22">
                    <c:v>96,14</c:v>
                  </c:pt>
                  <c:pt idx="24">
                    <c:v>100,37</c:v>
                  </c:pt>
                  <c:pt idx="25">
                    <c:v>96,86</c:v>
                  </c:pt>
                  <c:pt idx="26">
                    <c:v>98,30</c:v>
                  </c:pt>
                  <c:pt idx="27">
                    <c:v>80,20</c:v>
                  </c:pt>
                  <c:pt idx="28">
                    <c:v>106,73</c:v>
                  </c:pt>
                  <c:pt idx="29">
                    <c:v>94,37</c:v>
                  </c:pt>
                  <c:pt idx="30">
                    <c:v>82,63</c:v>
                  </c:pt>
                  <c:pt idx="31">
                    <c:v>86,75</c:v>
                  </c:pt>
                  <c:pt idx="32">
                    <c:v>76,19</c:v>
                  </c:pt>
                </c:lvl>
                <c:lvl>
                  <c:pt idx="0">
                    <c:v>83,19</c:v>
                  </c:pt>
                  <c:pt idx="1">
                    <c:v>55,01</c:v>
                  </c:pt>
                  <c:pt idx="2">
                    <c:v>63,41</c:v>
                  </c:pt>
                  <c:pt idx="3">
                    <c:v>93,18</c:v>
                  </c:pt>
                  <c:pt idx="4">
                    <c:v>75,53</c:v>
                  </c:pt>
                  <c:pt idx="5">
                    <c:v>70,08</c:v>
                  </c:pt>
                  <c:pt idx="6">
                    <c:v>94,05</c:v>
                  </c:pt>
                  <c:pt idx="8">
                    <c:v>64,73</c:v>
                  </c:pt>
                  <c:pt idx="9">
                    <c:v>81,62</c:v>
                  </c:pt>
                  <c:pt idx="10">
                    <c:v>81,51</c:v>
                  </c:pt>
                  <c:pt idx="11">
                    <c:v>97,44</c:v>
                  </c:pt>
                  <c:pt idx="12">
                    <c:v>74,91</c:v>
                  </c:pt>
                  <c:pt idx="13">
                    <c:v>63,04</c:v>
                  </c:pt>
                  <c:pt idx="14">
                    <c:v>90,26</c:v>
                  </c:pt>
                  <c:pt idx="16">
                    <c:v>21,07</c:v>
                  </c:pt>
                  <c:pt idx="17">
                    <c:v>66,52</c:v>
                  </c:pt>
                  <c:pt idx="18">
                    <c:v>75,62</c:v>
                  </c:pt>
                  <c:pt idx="19">
                    <c:v>68,23</c:v>
                  </c:pt>
                  <c:pt idx="20">
                    <c:v>75,27</c:v>
                  </c:pt>
                  <c:pt idx="21">
                    <c:v>100,55</c:v>
                  </c:pt>
                  <c:pt idx="22">
                    <c:v>70,85</c:v>
                  </c:pt>
                  <c:pt idx="24">
                    <c:v>79,98</c:v>
                  </c:pt>
                  <c:pt idx="25">
                    <c:v>85,64</c:v>
                  </c:pt>
                  <c:pt idx="26">
                    <c:v>98,91</c:v>
                  </c:pt>
                  <c:pt idx="27">
                    <c:v>57,18</c:v>
                  </c:pt>
                  <c:pt idx="28">
                    <c:v>82,86</c:v>
                  </c:pt>
                  <c:pt idx="29">
                    <c:v>83,05</c:v>
                  </c:pt>
                  <c:pt idx="30">
                    <c:v>98,19</c:v>
                  </c:pt>
                  <c:pt idx="31">
                    <c:v>46,18</c:v>
                  </c:pt>
                  <c:pt idx="32">
                    <c:v>85,49</c:v>
                  </c:pt>
                </c:lvl>
                <c:lvl>
                  <c:pt idx="0">
                    <c:v>93,28</c:v>
                  </c:pt>
                  <c:pt idx="1">
                    <c:v>88,74</c:v>
                  </c:pt>
                  <c:pt idx="2">
                    <c:v>80,08</c:v>
                  </c:pt>
                  <c:pt idx="3">
                    <c:v>87,88</c:v>
                  </c:pt>
                  <c:pt idx="4">
                    <c:v>83,14</c:v>
                  </c:pt>
                  <c:pt idx="5">
                    <c:v>52,57</c:v>
                  </c:pt>
                  <c:pt idx="6">
                    <c:v>88,00</c:v>
                  </c:pt>
                  <c:pt idx="8">
                    <c:v>84,58</c:v>
                  </c:pt>
                  <c:pt idx="9">
                    <c:v>99,15</c:v>
                  </c:pt>
                  <c:pt idx="10">
                    <c:v>85,68</c:v>
                  </c:pt>
                  <c:pt idx="11">
                    <c:v>77,26</c:v>
                  </c:pt>
                  <c:pt idx="12">
                    <c:v>95,62</c:v>
                  </c:pt>
                  <c:pt idx="13">
                    <c:v>84,47</c:v>
                  </c:pt>
                  <c:pt idx="14">
                    <c:v>59,95</c:v>
                  </c:pt>
                  <c:pt idx="16">
                    <c:v>107,44</c:v>
                  </c:pt>
                  <c:pt idx="17">
                    <c:v>90,16</c:v>
                  </c:pt>
                  <c:pt idx="18">
                    <c:v>95,01</c:v>
                  </c:pt>
                  <c:pt idx="19">
                    <c:v>61,58</c:v>
                  </c:pt>
                  <c:pt idx="20">
                    <c:v>80,43</c:v>
                  </c:pt>
                  <c:pt idx="21">
                    <c:v>89,09</c:v>
                  </c:pt>
                  <c:pt idx="24">
                    <c:v>101,39</c:v>
                  </c:pt>
                  <c:pt idx="25">
                    <c:v>70,98</c:v>
                  </c:pt>
                  <c:pt idx="26">
                    <c:v>89,57</c:v>
                  </c:pt>
                  <c:pt idx="27">
                    <c:v>90,50</c:v>
                  </c:pt>
                  <c:pt idx="28">
                    <c:v>82,24</c:v>
                  </c:pt>
                  <c:pt idx="29">
                    <c:v>71,47</c:v>
                  </c:pt>
                  <c:pt idx="30">
                    <c:v>95,07</c:v>
                  </c:pt>
                  <c:pt idx="31">
                    <c:v>63,95</c:v>
                  </c:pt>
                  <c:pt idx="32">
                    <c:v>86,95</c:v>
                  </c:pt>
                </c:lvl>
                <c:lvl>
                  <c:pt idx="0">
                    <c:v>98,38</c:v>
                  </c:pt>
                  <c:pt idx="1">
                    <c:v>88,48</c:v>
                  </c:pt>
                  <c:pt idx="2">
                    <c:v>105,55</c:v>
                  </c:pt>
                  <c:pt idx="3">
                    <c:v>91,01</c:v>
                  </c:pt>
                  <c:pt idx="4">
                    <c:v>87,86</c:v>
                  </c:pt>
                  <c:pt idx="5">
                    <c:v>76,81</c:v>
                  </c:pt>
                  <c:pt idx="6">
                    <c:v>92,60</c:v>
                  </c:pt>
                  <c:pt idx="15">
                    <c:v>PM</c:v>
                  </c:pt>
                  <c:pt idx="19">
                    <c:v>84,94</c:v>
                  </c:pt>
                  <c:pt idx="34">
                    <c:v>PM</c:v>
                  </c:pt>
                </c:lvl>
                <c:lvl>
                  <c:pt idx="0">
                    <c:v>65,41</c:v>
                  </c:pt>
                  <c:pt idx="1">
                    <c:v>71,25</c:v>
                  </c:pt>
                  <c:pt idx="2">
                    <c:v>78,41</c:v>
                  </c:pt>
                  <c:pt idx="3">
                    <c:v>57,37</c:v>
                  </c:pt>
                  <c:pt idx="4">
                    <c:v>77,24</c:v>
                  </c:pt>
                  <c:pt idx="5">
                    <c:v>70,40</c:v>
                  </c:pt>
                  <c:pt idx="6">
                    <c:v>73,43</c:v>
                  </c:pt>
                  <c:pt idx="8">
                    <c:v>43,20</c:v>
                  </c:pt>
                  <c:pt idx="9">
                    <c:v>75,78</c:v>
                  </c:pt>
                  <c:pt idx="10">
                    <c:v>51,72</c:v>
                  </c:pt>
                  <c:pt idx="11">
                    <c:v>89,51</c:v>
                  </c:pt>
                  <c:pt idx="12">
                    <c:v>80,31</c:v>
                  </c:pt>
                  <c:pt idx="13">
                    <c:v>83,04</c:v>
                  </c:pt>
                  <c:pt idx="14">
                    <c:v>79,31</c:v>
                  </c:pt>
                  <c:pt idx="16">
                    <c:v>95,94</c:v>
                  </c:pt>
                  <c:pt idx="17">
                    <c:v>95,65</c:v>
                  </c:pt>
                  <c:pt idx="18">
                    <c:v>67,36</c:v>
                  </c:pt>
                  <c:pt idx="20">
                    <c:v>80,21</c:v>
                  </c:pt>
                  <c:pt idx="21">
                    <c:v>84,14</c:v>
                  </c:pt>
                  <c:pt idx="22">
                    <c:v>84,32</c:v>
                  </c:pt>
                  <c:pt idx="24">
                    <c:v>96,15</c:v>
                  </c:pt>
                  <c:pt idx="25">
                    <c:v>86,23</c:v>
                  </c:pt>
                  <c:pt idx="26">
                    <c:v>79,73</c:v>
                  </c:pt>
                  <c:pt idx="27">
                    <c:v>72,26</c:v>
                  </c:pt>
                  <c:pt idx="28">
                    <c:v>85,67</c:v>
                  </c:pt>
                  <c:pt idx="29">
                    <c:v>97,10</c:v>
                  </c:pt>
                  <c:pt idx="30">
                    <c:v>86,95</c:v>
                  </c:pt>
                  <c:pt idx="31">
                    <c:v>62,13</c:v>
                  </c:pt>
                  <c:pt idx="32">
                    <c:v>74,15</c:v>
                  </c:pt>
                </c:lvl>
                <c:lvl>
                  <c:pt idx="0">
                    <c:v>96,87</c:v>
                  </c:pt>
                  <c:pt idx="1">
                    <c:v>80,99</c:v>
                  </c:pt>
                  <c:pt idx="2">
                    <c:v>82,57</c:v>
                  </c:pt>
                  <c:pt idx="3">
                    <c:v>65,64</c:v>
                  </c:pt>
                  <c:pt idx="4">
                    <c:v>51,43</c:v>
                  </c:pt>
                  <c:pt idx="5">
                    <c:v>56,40</c:v>
                  </c:pt>
                  <c:pt idx="6">
                    <c:v>81,85</c:v>
                  </c:pt>
                  <c:pt idx="8">
                    <c:v>58,57</c:v>
                  </c:pt>
                  <c:pt idx="9">
                    <c:v>69,01</c:v>
                  </c:pt>
                  <c:pt idx="10">
                    <c:v>64,42</c:v>
                  </c:pt>
                  <c:pt idx="11">
                    <c:v>107,46</c:v>
                  </c:pt>
                  <c:pt idx="12">
                    <c:v>90,81</c:v>
                  </c:pt>
                  <c:pt idx="13">
                    <c:v>70,14</c:v>
                  </c:pt>
                  <c:pt idx="14">
                    <c:v>70,46</c:v>
                  </c:pt>
                  <c:pt idx="16">
                    <c:v>83,14</c:v>
                  </c:pt>
                  <c:pt idx="17">
                    <c:v>94,84</c:v>
                  </c:pt>
                  <c:pt idx="18">
                    <c:v>55,34</c:v>
                  </c:pt>
                  <c:pt idx="19">
                    <c:v>75,03</c:v>
                  </c:pt>
                  <c:pt idx="20">
                    <c:v>83,71</c:v>
                  </c:pt>
                  <c:pt idx="21">
                    <c:v>78,81</c:v>
                  </c:pt>
                  <c:pt idx="22">
                    <c:v>63,13</c:v>
                  </c:pt>
                  <c:pt idx="24">
                    <c:v>82,15</c:v>
                  </c:pt>
                  <c:pt idx="25">
                    <c:v>95,85</c:v>
                  </c:pt>
                  <c:pt idx="26">
                    <c:v>71,07</c:v>
                  </c:pt>
                  <c:pt idx="27">
                    <c:v>72,56</c:v>
                  </c:pt>
                  <c:pt idx="28">
                    <c:v>90,28</c:v>
                  </c:pt>
                  <c:pt idx="29">
                    <c:v>100,99</c:v>
                  </c:pt>
                  <c:pt idx="30">
                    <c:v>68,52</c:v>
                  </c:pt>
                  <c:pt idx="31">
                    <c:v>71,39</c:v>
                  </c:pt>
                  <c:pt idx="32">
                    <c:v>76,90</c:v>
                  </c:pt>
                </c:lvl>
                <c:lvl>
                  <c:pt idx="0">
                    <c:v>64,82</c:v>
                  </c:pt>
                  <c:pt idx="1">
                    <c:v>91,72</c:v>
                  </c:pt>
                  <c:pt idx="2">
                    <c:v>74,92</c:v>
                  </c:pt>
                  <c:pt idx="3">
                    <c:v>86,05</c:v>
                  </c:pt>
                  <c:pt idx="4">
                    <c:v>68,64</c:v>
                  </c:pt>
                  <c:pt idx="5">
                    <c:v>66,38</c:v>
                  </c:pt>
                  <c:pt idx="6">
                    <c:v>91,48</c:v>
                  </c:pt>
                  <c:pt idx="8">
                    <c:v>86,70</c:v>
                  </c:pt>
                  <c:pt idx="9">
                    <c:v>85,41</c:v>
                  </c:pt>
                  <c:pt idx="10">
                    <c:v>73,91</c:v>
                  </c:pt>
                  <c:pt idx="11">
                    <c:v>55,03</c:v>
                  </c:pt>
                  <c:pt idx="12">
                    <c:v>102,40</c:v>
                  </c:pt>
                  <c:pt idx="13">
                    <c:v>80,63</c:v>
                  </c:pt>
                  <c:pt idx="14">
                    <c:v>101,05</c:v>
                  </c:pt>
                  <c:pt idx="16">
                    <c:v>102,53</c:v>
                  </c:pt>
                  <c:pt idx="17">
                    <c:v>71,94</c:v>
                  </c:pt>
                  <c:pt idx="18">
                    <c:v>92,71</c:v>
                  </c:pt>
                  <c:pt idx="19">
                    <c:v>73,72</c:v>
                  </c:pt>
                  <c:pt idx="20">
                    <c:v>92,64</c:v>
                  </c:pt>
                  <c:pt idx="21">
                    <c:v>83,17</c:v>
                  </c:pt>
                  <c:pt idx="22">
                    <c:v>85,26</c:v>
                  </c:pt>
                  <c:pt idx="24">
                    <c:v>101,99</c:v>
                  </c:pt>
                  <c:pt idx="25">
                    <c:v>95,32</c:v>
                  </c:pt>
                  <c:pt idx="26">
                    <c:v>102,19</c:v>
                  </c:pt>
                  <c:pt idx="27">
                    <c:v>69,80</c:v>
                  </c:pt>
                  <c:pt idx="28">
                    <c:v>106,37</c:v>
                  </c:pt>
                  <c:pt idx="29">
                    <c:v>86,05</c:v>
                  </c:pt>
                  <c:pt idx="30">
                    <c:v>97,07</c:v>
                  </c:pt>
                  <c:pt idx="31">
                    <c:v>78,74</c:v>
                  </c:pt>
                  <c:pt idx="32">
                    <c:v>93,73</c:v>
                  </c:pt>
                </c:lvl>
                <c:lvl>
                  <c:pt idx="0">
                    <c:v>84,02</c:v>
                  </c:pt>
                  <c:pt idx="1">
                    <c:v>80,44</c:v>
                  </c:pt>
                  <c:pt idx="2">
                    <c:v>77,28</c:v>
                  </c:pt>
                  <c:pt idx="3">
                    <c:v>74,48</c:v>
                  </c:pt>
                  <c:pt idx="4">
                    <c:v>54,82</c:v>
                  </c:pt>
                  <c:pt idx="5">
                    <c:v>76,25</c:v>
                  </c:pt>
                  <c:pt idx="6">
                    <c:v>72,30</c:v>
                  </c:pt>
                  <c:pt idx="8">
                    <c:v>93,65</c:v>
                  </c:pt>
                  <c:pt idx="9">
                    <c:v>72,51</c:v>
                  </c:pt>
                  <c:pt idx="10">
                    <c:v>73,49</c:v>
                  </c:pt>
                  <c:pt idx="11">
                    <c:v>88,90</c:v>
                  </c:pt>
                  <c:pt idx="12">
                    <c:v>85,43</c:v>
                  </c:pt>
                  <c:pt idx="13">
                    <c:v>80,09</c:v>
                  </c:pt>
                  <c:pt idx="14">
                    <c:v>93,75</c:v>
                  </c:pt>
                  <c:pt idx="16">
                    <c:v>83,40</c:v>
                  </c:pt>
                  <c:pt idx="17">
                    <c:v>127,41</c:v>
                  </c:pt>
                  <c:pt idx="18">
                    <c:v>79,18</c:v>
                  </c:pt>
                  <c:pt idx="19">
                    <c:v>55,27</c:v>
                  </c:pt>
                  <c:pt idx="20">
                    <c:v>85,74</c:v>
                  </c:pt>
                  <c:pt idx="21">
                    <c:v>85,29</c:v>
                  </c:pt>
                  <c:pt idx="22">
                    <c:v>78,90</c:v>
                  </c:pt>
                  <c:pt idx="24">
                    <c:v>78,93</c:v>
                  </c:pt>
                  <c:pt idx="25">
                    <c:v>96,46</c:v>
                  </c:pt>
                  <c:pt idx="26">
                    <c:v>74,97</c:v>
                  </c:pt>
                  <c:pt idx="27">
                    <c:v>90,19</c:v>
                  </c:pt>
                  <c:pt idx="28">
                    <c:v>79,06</c:v>
                  </c:pt>
                  <c:pt idx="29">
                    <c:v>87,56</c:v>
                  </c:pt>
                  <c:pt idx="30">
                    <c:v>75,25</c:v>
                  </c:pt>
                  <c:pt idx="31">
                    <c:v>67,22</c:v>
                  </c:pt>
                  <c:pt idx="32">
                    <c:v>80,16</c:v>
                  </c:pt>
                </c:lvl>
                <c:lvl>
                  <c:pt idx="0">
                    <c:v>59,98</c:v>
                  </c:pt>
                  <c:pt idx="1">
                    <c:v>83,64</c:v>
                  </c:pt>
                  <c:pt idx="2">
                    <c:v>79,14</c:v>
                  </c:pt>
                  <c:pt idx="3">
                    <c:v>75,29</c:v>
                  </c:pt>
                  <c:pt idx="4">
                    <c:v>66,88</c:v>
                  </c:pt>
                  <c:pt idx="5">
                    <c:v>62,66</c:v>
                  </c:pt>
                  <c:pt idx="6">
                    <c:v>101,81</c:v>
                  </c:pt>
                  <c:pt idx="8">
                    <c:v>69,43</c:v>
                  </c:pt>
                  <c:pt idx="9">
                    <c:v>52,42</c:v>
                  </c:pt>
                  <c:pt idx="10">
                    <c:v>73,67</c:v>
                  </c:pt>
                  <c:pt idx="11">
                    <c:v>104,57</c:v>
                  </c:pt>
                  <c:pt idx="12">
                    <c:v>95,40</c:v>
                  </c:pt>
                  <c:pt idx="13">
                    <c:v>80,31</c:v>
                  </c:pt>
                  <c:pt idx="14">
                    <c:v>85,40</c:v>
                  </c:pt>
                  <c:pt idx="16">
                    <c:v>84,14</c:v>
                  </c:pt>
                  <c:pt idx="17">
                    <c:v>123,28</c:v>
                  </c:pt>
                  <c:pt idx="18">
                    <c:v>63,88</c:v>
                  </c:pt>
                  <c:pt idx="19">
                    <c:v>83,67</c:v>
                  </c:pt>
                  <c:pt idx="20">
                    <c:v>95,24</c:v>
                  </c:pt>
                  <c:pt idx="21">
                    <c:v>80,63</c:v>
                  </c:pt>
                  <c:pt idx="22">
                    <c:v>93,77</c:v>
                  </c:pt>
                  <c:pt idx="24">
                    <c:v>88,74</c:v>
                  </c:pt>
                  <c:pt idx="25">
                    <c:v>67,15</c:v>
                  </c:pt>
                  <c:pt idx="26">
                    <c:v>92,09</c:v>
                  </c:pt>
                  <c:pt idx="27">
                    <c:v>82,55</c:v>
                  </c:pt>
                  <c:pt idx="28">
                    <c:v>96,43</c:v>
                  </c:pt>
                  <c:pt idx="29">
                    <c:v>97,90</c:v>
                  </c:pt>
                  <c:pt idx="30">
                    <c:v>79,63</c:v>
                  </c:pt>
                  <c:pt idx="31">
                    <c:v>78,66</c:v>
                  </c:pt>
                  <c:pt idx="32">
                    <c:v>88,75</c:v>
                  </c:pt>
                </c:lvl>
                <c:lvl>
                  <c:pt idx="0">
                    <c:v>89,79</c:v>
                  </c:pt>
                  <c:pt idx="1">
                    <c:v>71,87</c:v>
                  </c:pt>
                  <c:pt idx="2">
                    <c:v>67,88</c:v>
                  </c:pt>
                  <c:pt idx="3">
                    <c:v>87,49</c:v>
                  </c:pt>
                  <c:pt idx="4">
                    <c:v>80,51</c:v>
                  </c:pt>
                  <c:pt idx="5">
                    <c:v>67,94</c:v>
                  </c:pt>
                  <c:pt idx="6">
                    <c:v>85,45</c:v>
                  </c:pt>
                  <c:pt idx="8">
                    <c:v>49,71</c:v>
                  </c:pt>
                  <c:pt idx="9">
                    <c:v>86,55</c:v>
                  </c:pt>
                  <c:pt idx="10">
                    <c:v>80,24</c:v>
                  </c:pt>
                  <c:pt idx="11">
                    <c:v>93,32</c:v>
                  </c:pt>
                  <c:pt idx="12">
                    <c:v>65,19</c:v>
                  </c:pt>
                  <c:pt idx="13">
                    <c:v>77,26</c:v>
                  </c:pt>
                  <c:pt idx="14">
                    <c:v>106,68</c:v>
                  </c:pt>
                  <c:pt idx="17">
                    <c:v>119,31</c:v>
                  </c:pt>
                  <c:pt idx="18">
                    <c:v>100,30</c:v>
                  </c:pt>
                  <c:pt idx="19">
                    <c:v>78,54</c:v>
                  </c:pt>
                  <c:pt idx="20">
                    <c:v>75,04</c:v>
                  </c:pt>
                  <c:pt idx="21">
                    <c:v>87,06</c:v>
                  </c:pt>
                  <c:pt idx="22">
                    <c:v>66,52</c:v>
                  </c:pt>
                  <c:pt idx="24">
                    <c:v>78,53</c:v>
                  </c:pt>
                  <c:pt idx="25">
                    <c:v>118,42</c:v>
                  </c:pt>
                  <c:pt idx="26">
                    <c:v>67,16</c:v>
                  </c:pt>
                  <c:pt idx="28">
                    <c:v>84,27</c:v>
                  </c:pt>
                  <c:pt idx="29">
                    <c:v>73,10</c:v>
                  </c:pt>
                  <c:pt idx="30">
                    <c:v>91,28</c:v>
                  </c:pt>
                  <c:pt idx="31">
                    <c:v>68,97</c:v>
                  </c:pt>
                  <c:pt idx="32">
                    <c:v>77,88</c:v>
                  </c:pt>
                </c:lvl>
                <c:lvl>
                  <c:pt idx="0">
                    <c:v>60,45</c:v>
                  </c:pt>
                  <c:pt idx="1">
                    <c:v>93,51</c:v>
                  </c:pt>
                  <c:pt idx="2">
                    <c:v>61,97</c:v>
                  </c:pt>
                  <c:pt idx="3">
                    <c:v>83,16</c:v>
                  </c:pt>
                  <c:pt idx="4">
                    <c:v>66,74</c:v>
                  </c:pt>
                  <c:pt idx="5">
                    <c:v>72,58</c:v>
                  </c:pt>
                  <c:pt idx="6">
                    <c:v>83,46</c:v>
                  </c:pt>
                  <c:pt idx="8">
                    <c:v>47,22</c:v>
                  </c:pt>
                  <c:pt idx="9">
                    <c:v>70,81</c:v>
                  </c:pt>
                  <c:pt idx="10">
                    <c:v>66,16</c:v>
                  </c:pt>
                  <c:pt idx="11">
                    <c:v>81,52</c:v>
                  </c:pt>
                  <c:pt idx="12">
                    <c:v>80,55</c:v>
                  </c:pt>
                  <c:pt idx="13">
                    <c:v>63,90</c:v>
                  </c:pt>
                  <c:pt idx="14">
                    <c:v>83,92</c:v>
                  </c:pt>
                  <c:pt idx="16">
                    <c:v>101,68</c:v>
                  </c:pt>
                  <c:pt idx="17">
                    <c:v>91,98</c:v>
                  </c:pt>
                  <c:pt idx="18">
                    <c:v>52,53</c:v>
                  </c:pt>
                  <c:pt idx="19">
                    <c:v>89,14</c:v>
                  </c:pt>
                  <c:pt idx="20">
                    <c:v>92,64</c:v>
                  </c:pt>
                  <c:pt idx="21">
                    <c:v>49,41</c:v>
                  </c:pt>
                  <c:pt idx="34">
                    <c:v>PM</c:v>
                  </c:pt>
                </c:lvl>
                <c:lvl>
                  <c:pt idx="0">
                    <c:v>104,65</c:v>
                  </c:pt>
                  <c:pt idx="1">
                    <c:v>97,57</c:v>
                  </c:pt>
                  <c:pt idx="2">
                    <c:v>89,55</c:v>
                  </c:pt>
                  <c:pt idx="3">
                    <c:v>103,32</c:v>
                  </c:pt>
                  <c:pt idx="4">
                    <c:v>77,33</c:v>
                  </c:pt>
                  <c:pt idx="5">
                    <c:v>89,49</c:v>
                  </c:pt>
                  <c:pt idx="6">
                    <c:v>105,43</c:v>
                  </c:pt>
                  <c:pt idx="8">
                    <c:v>88,21</c:v>
                  </c:pt>
                  <c:pt idx="9">
                    <c:v>114,38</c:v>
                  </c:pt>
                  <c:pt idx="10">
                    <c:v>55,68</c:v>
                  </c:pt>
                  <c:pt idx="11">
                    <c:v>124,85</c:v>
                  </c:pt>
                  <c:pt idx="14">
                    <c:v>111,90</c:v>
                  </c:pt>
                  <c:pt idx="16">
                    <c:v>90,41</c:v>
                  </c:pt>
                  <c:pt idx="17">
                    <c:v>32,11</c:v>
                  </c:pt>
                  <c:pt idx="18">
                    <c:v>72,49</c:v>
                  </c:pt>
                  <c:pt idx="20">
                    <c:v>179,98</c:v>
                  </c:pt>
                  <c:pt idx="21">
                    <c:v>99,97</c:v>
                  </c:pt>
                  <c:pt idx="22">
                    <c:v>84,79</c:v>
                  </c:pt>
                  <c:pt idx="24">
                    <c:v>64,33</c:v>
                  </c:pt>
                  <c:pt idx="25">
                    <c:v>91,99</c:v>
                  </c:pt>
                  <c:pt idx="26">
                    <c:v>107,22</c:v>
                  </c:pt>
                  <c:pt idx="27">
                    <c:v>27,60</c:v>
                  </c:pt>
                  <c:pt idx="28">
                    <c:v>91,75</c:v>
                  </c:pt>
                  <c:pt idx="29">
                    <c:v>87,55</c:v>
                  </c:pt>
                  <c:pt idx="30">
                    <c:v>117,90</c:v>
                  </c:pt>
                  <c:pt idx="31">
                    <c:v>42,91</c:v>
                  </c:pt>
                  <c:pt idx="32">
                    <c:v>113,92</c:v>
                  </c:pt>
                </c:lvl>
                <c:lvl>
                  <c:pt idx="0">
                    <c:v>65,38</c:v>
                  </c:pt>
                  <c:pt idx="1">
                    <c:v>106,02</c:v>
                  </c:pt>
                  <c:pt idx="2">
                    <c:v>78,31</c:v>
                  </c:pt>
                  <c:pt idx="3">
                    <c:v>60,92</c:v>
                  </c:pt>
                  <c:pt idx="4">
                    <c:v>75,80</c:v>
                  </c:pt>
                  <c:pt idx="5">
                    <c:v>57,63</c:v>
                  </c:pt>
                  <c:pt idx="6">
                    <c:v>133,01</c:v>
                  </c:pt>
                  <c:pt idx="8">
                    <c:v>61,28</c:v>
                  </c:pt>
                  <c:pt idx="9">
                    <c:v>58,57</c:v>
                  </c:pt>
                  <c:pt idx="10">
                    <c:v>76,40</c:v>
                  </c:pt>
                  <c:pt idx="11">
                    <c:v>100,88</c:v>
                  </c:pt>
                  <c:pt idx="12">
                    <c:v>63,33</c:v>
                  </c:pt>
                  <c:pt idx="13">
                    <c:v>95,33</c:v>
                  </c:pt>
                  <c:pt idx="14">
                    <c:v>88,49</c:v>
                  </c:pt>
                  <c:pt idx="16">
                    <c:v>80,07</c:v>
                  </c:pt>
                  <c:pt idx="18">
                    <c:v>132,15</c:v>
                  </c:pt>
                  <c:pt idx="19">
                    <c:v>78,85</c:v>
                  </c:pt>
                  <c:pt idx="20">
                    <c:v>100,83</c:v>
                  </c:pt>
                  <c:pt idx="21">
                    <c:v>80,37</c:v>
                  </c:pt>
                  <c:pt idx="22">
                    <c:v>98,10</c:v>
                  </c:pt>
                  <c:pt idx="24">
                    <c:v>103,88</c:v>
                  </c:pt>
                  <c:pt idx="25">
                    <c:v>120,42</c:v>
                  </c:pt>
                  <c:pt idx="26">
                    <c:v>80,33</c:v>
                  </c:pt>
                  <c:pt idx="27">
                    <c:v>90,18</c:v>
                  </c:pt>
                  <c:pt idx="28">
                    <c:v>90,45</c:v>
                  </c:pt>
                  <c:pt idx="29">
                    <c:v>99,45</c:v>
                  </c:pt>
                  <c:pt idx="30">
                    <c:v>85,79</c:v>
                  </c:pt>
                  <c:pt idx="31">
                    <c:v>62,55</c:v>
                  </c:pt>
                  <c:pt idx="32">
                    <c:v>88,16</c:v>
                  </c:pt>
                </c:lvl>
                <c:lvl>
                  <c:pt idx="0">
                    <c:v>74,59</c:v>
                  </c:pt>
                  <c:pt idx="1">
                    <c:v>76,94</c:v>
                  </c:pt>
                  <c:pt idx="2">
                    <c:v>74,04</c:v>
                  </c:pt>
                  <c:pt idx="4">
                    <c:v>54,52</c:v>
                  </c:pt>
                  <c:pt idx="5">
                    <c:v>53,48</c:v>
                  </c:pt>
                  <c:pt idx="6">
                    <c:v>82,91</c:v>
                  </c:pt>
                  <c:pt idx="9">
                    <c:v>120,44</c:v>
                  </c:pt>
                  <c:pt idx="10">
                    <c:v>76,61</c:v>
                  </c:pt>
                  <c:pt idx="11">
                    <c:v>84,83</c:v>
                  </c:pt>
                  <c:pt idx="12">
                    <c:v>76,93</c:v>
                  </c:pt>
                  <c:pt idx="13">
                    <c:v>73,82</c:v>
                  </c:pt>
                  <c:pt idx="14">
                    <c:v>75,78</c:v>
                  </c:pt>
                  <c:pt idx="16">
                    <c:v>100,56</c:v>
                  </c:pt>
                  <c:pt idx="17">
                    <c:v>70,56</c:v>
                  </c:pt>
                  <c:pt idx="18">
                    <c:v>78,24</c:v>
                  </c:pt>
                  <c:pt idx="19">
                    <c:v>77,61</c:v>
                  </c:pt>
                  <c:pt idx="20">
                    <c:v>88,67</c:v>
                  </c:pt>
                  <c:pt idx="21">
                    <c:v>91,02</c:v>
                  </c:pt>
                  <c:pt idx="22">
                    <c:v>106,43</c:v>
                  </c:pt>
                  <c:pt idx="24">
                    <c:v>80,19</c:v>
                  </c:pt>
                  <c:pt idx="25">
                    <c:v>84,61</c:v>
                  </c:pt>
                  <c:pt idx="26">
                    <c:v>83,22</c:v>
                  </c:pt>
                  <c:pt idx="27">
                    <c:v>81,53</c:v>
                  </c:pt>
                  <c:pt idx="28">
                    <c:v>75,89</c:v>
                  </c:pt>
                  <c:pt idx="29">
                    <c:v>77,98</c:v>
                  </c:pt>
                  <c:pt idx="30">
                    <c:v>72,39</c:v>
                  </c:pt>
                  <c:pt idx="31">
                    <c:v>57,88</c:v>
                  </c:pt>
                  <c:pt idx="32">
                    <c:v>80,70</c:v>
                  </c:pt>
                </c:lvl>
                <c:lvl>
                  <c:pt idx="0">
                    <c:v>88,44</c:v>
                  </c:pt>
                  <c:pt idx="1">
                    <c:v>91,28</c:v>
                  </c:pt>
                  <c:pt idx="2">
                    <c:v>91,94</c:v>
                  </c:pt>
                  <c:pt idx="3">
                    <c:v>93,60</c:v>
                  </c:pt>
                  <c:pt idx="4">
                    <c:v>61,64</c:v>
                  </c:pt>
                  <c:pt idx="6">
                    <c:v>94,64</c:v>
                  </c:pt>
                  <c:pt idx="8">
                    <c:v>67,23</c:v>
                  </c:pt>
                  <c:pt idx="9">
                    <c:v>94,09</c:v>
                  </c:pt>
                  <c:pt idx="10">
                    <c:v>77,74</c:v>
                  </c:pt>
                  <c:pt idx="11">
                    <c:v>91,29</c:v>
                  </c:pt>
                  <c:pt idx="12">
                    <c:v>102,72</c:v>
                  </c:pt>
                  <c:pt idx="14">
                    <c:v>87,74</c:v>
                  </c:pt>
                  <c:pt idx="16">
                    <c:v>108,17</c:v>
                  </c:pt>
                  <c:pt idx="18">
                    <c:v>127,84</c:v>
                  </c:pt>
                  <c:pt idx="19">
                    <c:v>91,63</c:v>
                  </c:pt>
                  <c:pt idx="20">
                    <c:v>82,33</c:v>
                  </c:pt>
                  <c:pt idx="21">
                    <c:v>99,79</c:v>
                  </c:pt>
                  <c:pt idx="22">
                    <c:v>85,30</c:v>
                  </c:pt>
                  <c:pt idx="24">
                    <c:v>100,82</c:v>
                  </c:pt>
                  <c:pt idx="25">
                    <c:v>79,58</c:v>
                  </c:pt>
                  <c:pt idx="26">
                    <c:v>78,67</c:v>
                  </c:pt>
                  <c:pt idx="27">
                    <c:v>91,10</c:v>
                  </c:pt>
                  <c:pt idx="28">
                    <c:v>95,97</c:v>
                  </c:pt>
                  <c:pt idx="29">
                    <c:v>95,97</c:v>
                  </c:pt>
                  <c:pt idx="30">
                    <c:v>101,31</c:v>
                  </c:pt>
                  <c:pt idx="31">
                    <c:v>67,10</c:v>
                  </c:pt>
                  <c:pt idx="32">
                    <c:v>73,94</c:v>
                  </c:pt>
                  <c:pt idx="36">
                    <c:v> 92 Unit</c:v>
                  </c:pt>
                </c:lvl>
                <c:lvl>
                  <c:pt idx="0">
                    <c:v>57,60</c:v>
                  </c:pt>
                  <c:pt idx="1">
                    <c:v>81,11</c:v>
                  </c:pt>
                  <c:pt idx="2">
                    <c:v>62,92</c:v>
                  </c:pt>
                  <c:pt idx="3">
                    <c:v>81,36</c:v>
                  </c:pt>
                  <c:pt idx="4">
                    <c:v>82,47</c:v>
                  </c:pt>
                  <c:pt idx="5">
                    <c:v>75,78</c:v>
                  </c:pt>
                  <c:pt idx="6">
                    <c:v>100,60</c:v>
                  </c:pt>
                  <c:pt idx="8">
                    <c:v>88,15</c:v>
                  </c:pt>
                  <c:pt idx="9">
                    <c:v>67,51</c:v>
                  </c:pt>
                  <c:pt idx="10">
                    <c:v>81,38</c:v>
                  </c:pt>
                  <c:pt idx="11">
                    <c:v>123,11</c:v>
                  </c:pt>
                  <c:pt idx="12">
                    <c:v>93,16</c:v>
                  </c:pt>
                  <c:pt idx="13">
                    <c:v>83,44</c:v>
                  </c:pt>
                  <c:pt idx="14">
                    <c:v>66,41</c:v>
                  </c:pt>
                  <c:pt idx="16">
                    <c:v>86,28</c:v>
                  </c:pt>
                  <c:pt idx="17">
                    <c:v>102,25</c:v>
                  </c:pt>
                  <c:pt idx="18">
                    <c:v>71,34</c:v>
                  </c:pt>
                  <c:pt idx="19">
                    <c:v>70,59</c:v>
                  </c:pt>
                  <c:pt idx="20">
                    <c:v>89,22</c:v>
                  </c:pt>
                  <c:pt idx="21">
                    <c:v>66,20</c:v>
                  </c:pt>
                  <c:pt idx="22">
                    <c:v>70,79</c:v>
                  </c:pt>
                  <c:pt idx="24">
                    <c:v>78,27</c:v>
                  </c:pt>
                  <c:pt idx="25">
                    <c:v>89,01</c:v>
                  </c:pt>
                  <c:pt idx="26">
                    <c:v>86,61</c:v>
                  </c:pt>
                  <c:pt idx="27">
                    <c:v>76,98</c:v>
                  </c:pt>
                  <c:pt idx="28">
                    <c:v>79,52</c:v>
                  </c:pt>
                  <c:pt idx="29">
                    <c:v>95,27</c:v>
                  </c:pt>
                  <c:pt idx="30">
                    <c:v>82,10</c:v>
                  </c:pt>
                  <c:pt idx="31">
                    <c:v>85,14</c:v>
                  </c:pt>
                  <c:pt idx="32">
                    <c:v>65,10</c:v>
                  </c:pt>
                  <c:pt idx="36">
                    <c:v>Total HT utk OPS</c:v>
                  </c:pt>
                </c:lvl>
                <c:lvl>
                  <c:pt idx="0">
                    <c:v>99,58</c:v>
                  </c:pt>
                  <c:pt idx="1">
                    <c:v>90,09</c:v>
                  </c:pt>
                  <c:pt idx="2">
                    <c:v>98,19</c:v>
                  </c:pt>
                  <c:pt idx="3">
                    <c:v>55,97</c:v>
                  </c:pt>
                  <c:pt idx="4">
                    <c:v>76,98</c:v>
                  </c:pt>
                  <c:pt idx="5">
                    <c:v>78,96</c:v>
                  </c:pt>
                  <c:pt idx="6">
                    <c:v>106,11</c:v>
                  </c:pt>
                  <c:pt idx="10">
                    <c:v>110,37</c:v>
                  </c:pt>
                  <c:pt idx="11">
                    <c:v>109,73</c:v>
                  </c:pt>
                  <c:pt idx="12">
                    <c:v>89,31</c:v>
                  </c:pt>
                  <c:pt idx="13">
                    <c:v>69,14</c:v>
                  </c:pt>
                  <c:pt idx="14">
                    <c:v>83,31</c:v>
                  </c:pt>
                  <c:pt idx="16">
                    <c:v>101,08</c:v>
                  </c:pt>
                  <c:pt idx="17">
                    <c:v>96,73</c:v>
                  </c:pt>
                  <c:pt idx="18">
                    <c:v>96,43</c:v>
                  </c:pt>
                  <c:pt idx="19">
                    <c:v>92,85</c:v>
                  </c:pt>
                  <c:pt idx="20">
                    <c:v>93,72</c:v>
                  </c:pt>
                  <c:pt idx="21">
                    <c:v>99,19</c:v>
                  </c:pt>
                  <c:pt idx="22">
                    <c:v>84,05</c:v>
                  </c:pt>
                  <c:pt idx="24">
                    <c:v>101,55</c:v>
                  </c:pt>
                  <c:pt idx="25">
                    <c:v>105,54</c:v>
                  </c:pt>
                  <c:pt idx="26">
                    <c:v>97,02</c:v>
                  </c:pt>
                  <c:pt idx="27">
                    <c:v>102,30</c:v>
                  </c:pt>
                  <c:pt idx="28">
                    <c:v>90,48</c:v>
                  </c:pt>
                  <c:pt idx="29">
                    <c:v>92,22</c:v>
                  </c:pt>
                  <c:pt idx="30">
                    <c:v>103,79</c:v>
                  </c:pt>
                  <c:pt idx="31">
                    <c:v>63,36</c:v>
                  </c:pt>
                  <c:pt idx="32">
                    <c:v>89,92</c:v>
                  </c:pt>
                </c:lvl>
                <c:lvl>
                  <c:pt idx="0">
                    <c:v>73,66</c:v>
                  </c:pt>
                  <c:pt idx="1">
                    <c:v>56,95</c:v>
                  </c:pt>
                  <c:pt idx="2">
                    <c:v>57,20</c:v>
                  </c:pt>
                  <c:pt idx="3">
                    <c:v>63,32</c:v>
                  </c:pt>
                  <c:pt idx="4">
                    <c:v>75,76</c:v>
                  </c:pt>
                  <c:pt idx="5">
                    <c:v>93,19</c:v>
                  </c:pt>
                  <c:pt idx="6">
                    <c:v>94,10</c:v>
                  </c:pt>
                  <c:pt idx="8">
                    <c:v>45,77</c:v>
                  </c:pt>
                  <c:pt idx="9">
                    <c:v>90,19</c:v>
                  </c:pt>
                  <c:pt idx="10">
                    <c:v>88,84</c:v>
                  </c:pt>
                  <c:pt idx="11">
                    <c:v>80,47</c:v>
                  </c:pt>
                  <c:pt idx="12">
                    <c:v>78,52</c:v>
                  </c:pt>
                  <c:pt idx="13">
                    <c:v>69,41</c:v>
                  </c:pt>
                  <c:pt idx="14">
                    <c:v>75,45</c:v>
                  </c:pt>
                  <c:pt idx="16">
                    <c:v>88,27</c:v>
                  </c:pt>
                  <c:pt idx="17">
                    <c:v>96,61</c:v>
                  </c:pt>
                  <c:pt idx="19">
                    <c:v>93,55</c:v>
                  </c:pt>
                  <c:pt idx="20">
                    <c:v>86,20</c:v>
                  </c:pt>
                  <c:pt idx="21">
                    <c:v>68,93</c:v>
                  </c:pt>
                  <c:pt idx="22">
                    <c:v>99,04</c:v>
                  </c:pt>
                  <c:pt idx="24">
                    <c:v>100,15</c:v>
                  </c:pt>
                  <c:pt idx="25">
                    <c:v>103,81</c:v>
                  </c:pt>
                  <c:pt idx="26">
                    <c:v>80,74</c:v>
                  </c:pt>
                  <c:pt idx="27">
                    <c:v>76,73</c:v>
                  </c:pt>
                  <c:pt idx="28">
                    <c:v>89,65</c:v>
                  </c:pt>
                  <c:pt idx="29">
                    <c:v>89,08</c:v>
                  </c:pt>
                  <c:pt idx="30">
                    <c:v>105,83</c:v>
                  </c:pt>
                  <c:pt idx="31">
                    <c:v>83,11</c:v>
                  </c:pt>
                  <c:pt idx="32">
                    <c:v>105,86</c:v>
                  </c:pt>
                  <c:pt idx="36">
                    <c:v> Total  24 Unit di Scrub</c:v>
                  </c:pt>
                </c:lvl>
                <c:lvl>
                  <c:pt idx="0">
                    <c:v>69,50</c:v>
                  </c:pt>
                  <c:pt idx="1">
                    <c:v>74,53</c:v>
                  </c:pt>
                  <c:pt idx="2">
                    <c:v>69,74</c:v>
                  </c:pt>
                  <c:pt idx="3">
                    <c:v>79,11</c:v>
                  </c:pt>
                  <c:pt idx="4">
                    <c:v>65,53</c:v>
                  </c:pt>
                  <c:pt idx="5">
                    <c:v>63,10</c:v>
                  </c:pt>
                  <c:pt idx="6">
                    <c:v>75,12</c:v>
                  </c:pt>
                  <c:pt idx="8">
                    <c:v>59,27</c:v>
                  </c:pt>
                  <c:pt idx="9">
                    <c:v>84,68</c:v>
                  </c:pt>
                  <c:pt idx="10">
                    <c:v>71,10</c:v>
                  </c:pt>
                  <c:pt idx="11">
                    <c:v>84,36</c:v>
                  </c:pt>
                  <c:pt idx="12">
                    <c:v>73,77</c:v>
                  </c:pt>
                  <c:pt idx="13">
                    <c:v>83,65</c:v>
                  </c:pt>
                  <c:pt idx="14">
                    <c:v>61,41</c:v>
                  </c:pt>
                  <c:pt idx="17">
                    <c:v>43,01</c:v>
                  </c:pt>
                  <c:pt idx="18">
                    <c:v>87,73</c:v>
                  </c:pt>
                  <c:pt idx="19">
                    <c:v>63,01</c:v>
                  </c:pt>
                  <c:pt idx="20">
                    <c:v>86,39</c:v>
                  </c:pt>
                  <c:pt idx="21">
                    <c:v>67,70</c:v>
                  </c:pt>
                  <c:pt idx="22">
                    <c:v>76,43</c:v>
                  </c:pt>
                  <c:pt idx="24">
                    <c:v>91,72</c:v>
                  </c:pt>
                  <c:pt idx="25">
                    <c:v>61,44</c:v>
                  </c:pt>
                  <c:pt idx="26">
                    <c:v>83,19</c:v>
                  </c:pt>
                  <c:pt idx="27">
                    <c:v>91,69</c:v>
                  </c:pt>
                  <c:pt idx="28">
                    <c:v>78,46</c:v>
                  </c:pt>
                  <c:pt idx="29">
                    <c:v>62,68</c:v>
                  </c:pt>
                  <c:pt idx="30">
                    <c:v>102,45</c:v>
                  </c:pt>
                  <c:pt idx="31">
                    <c:v>65,29</c:v>
                  </c:pt>
                  <c:pt idx="32">
                    <c:v>74,51</c:v>
                  </c:pt>
                </c:lvl>
                <c:lvl>
                  <c:pt idx="0">
                    <c:v>82,40</c:v>
                  </c:pt>
                  <c:pt idx="1">
                    <c:v>77,93</c:v>
                  </c:pt>
                  <c:pt idx="2">
                    <c:v>80,82</c:v>
                  </c:pt>
                  <c:pt idx="3">
                    <c:v>74,10</c:v>
                  </c:pt>
                  <c:pt idx="4">
                    <c:v>74,30</c:v>
                  </c:pt>
                  <c:pt idx="5">
                    <c:v>73,75</c:v>
                  </c:pt>
                  <c:pt idx="6">
                    <c:v>78,94</c:v>
                  </c:pt>
                  <c:pt idx="8">
                    <c:v>73,85</c:v>
                  </c:pt>
                  <c:pt idx="9">
                    <c:v>85,28</c:v>
                  </c:pt>
                  <c:pt idx="10">
                    <c:v>80,53</c:v>
                  </c:pt>
                  <c:pt idx="11">
                    <c:v>89,55</c:v>
                  </c:pt>
                  <c:pt idx="12">
                    <c:v>80,53</c:v>
                  </c:pt>
                  <c:pt idx="13">
                    <c:v>86,75</c:v>
                  </c:pt>
                  <c:pt idx="14">
                    <c:v>65,85</c:v>
                  </c:pt>
                  <c:pt idx="17">
                    <c:v>112,99</c:v>
                  </c:pt>
                  <c:pt idx="18">
                    <c:v>75,57</c:v>
                  </c:pt>
                  <c:pt idx="19">
                    <c:v>67,32</c:v>
                  </c:pt>
                  <c:pt idx="20">
                    <c:v>93,74</c:v>
                  </c:pt>
                  <c:pt idx="21">
                    <c:v>67,26</c:v>
                  </c:pt>
                  <c:pt idx="22">
                    <c:v>86,53</c:v>
                  </c:pt>
                  <c:pt idx="24">
                    <c:v>72,84</c:v>
                  </c:pt>
                  <c:pt idx="25">
                    <c:v>81,37</c:v>
                  </c:pt>
                  <c:pt idx="26">
                    <c:v>91,93</c:v>
                  </c:pt>
                  <c:pt idx="27">
                    <c:v>49,00</c:v>
                  </c:pt>
                  <c:pt idx="28">
                    <c:v>70,63</c:v>
                  </c:pt>
                  <c:pt idx="29">
                    <c:v>95,76</c:v>
                  </c:pt>
                  <c:pt idx="30">
                    <c:v>94,38</c:v>
                  </c:pt>
                  <c:pt idx="31">
                    <c:v>72,48</c:v>
                  </c:pt>
                  <c:pt idx="32">
                    <c:v>87,11</c:v>
                  </c:pt>
                  <c:pt idx="36">
                    <c:v>  106,107 . Lelang srcub</c:v>
                  </c:pt>
                </c:lvl>
                <c:lvl>
                  <c:pt idx="0">
                    <c:v>84,28</c:v>
                  </c:pt>
                  <c:pt idx="1">
                    <c:v>90,50</c:v>
                  </c:pt>
                  <c:pt idx="3">
                    <c:v>91,55</c:v>
                  </c:pt>
                  <c:pt idx="4">
                    <c:v>87,61</c:v>
                  </c:pt>
                  <c:pt idx="5">
                    <c:v>61,45</c:v>
                  </c:pt>
                  <c:pt idx="6">
                    <c:v>92,95</c:v>
                  </c:pt>
                  <c:pt idx="8">
                    <c:v>65,26</c:v>
                  </c:pt>
                  <c:pt idx="9">
                    <c:v>107,61</c:v>
                  </c:pt>
                  <c:pt idx="10">
                    <c:v>106,40</c:v>
                  </c:pt>
                  <c:pt idx="11">
                    <c:v>74,57</c:v>
                  </c:pt>
                  <c:pt idx="12">
                    <c:v>87,76</c:v>
                  </c:pt>
                  <c:pt idx="13">
                    <c:v>89,21</c:v>
                  </c:pt>
                  <c:pt idx="14">
                    <c:v>85,08</c:v>
                  </c:pt>
                  <c:pt idx="16">
                    <c:v>81,20</c:v>
                  </c:pt>
                  <c:pt idx="17">
                    <c:v>96,58</c:v>
                  </c:pt>
                  <c:pt idx="18">
                    <c:v>97,36</c:v>
                  </c:pt>
                  <c:pt idx="19">
                    <c:v>106,18</c:v>
                  </c:pt>
                  <c:pt idx="20">
                    <c:v>71,93</c:v>
                  </c:pt>
                  <c:pt idx="21">
                    <c:v>90,31</c:v>
                  </c:pt>
                  <c:pt idx="25">
                    <c:v>150,41</c:v>
                  </c:pt>
                  <c:pt idx="26">
                    <c:v>78,82</c:v>
                  </c:pt>
                  <c:pt idx="27">
                    <c:v>89,92</c:v>
                  </c:pt>
                  <c:pt idx="28">
                    <c:v>114,13</c:v>
                  </c:pt>
                  <c:pt idx="29">
                    <c:v>58,00</c:v>
                  </c:pt>
                  <c:pt idx="30">
                    <c:v>87,75</c:v>
                  </c:pt>
                  <c:pt idx="31">
                    <c:v>86,64</c:v>
                  </c:pt>
                  <c:pt idx="32">
                    <c:v>101,31</c:v>
                  </c:pt>
                  <c:pt idx="36">
                    <c:v>   99, 101. 102, 103, 105,</c:v>
                  </c:pt>
                </c:lvl>
                <c:lvl>
                  <c:pt idx="0">
                    <c:v>83,69</c:v>
                  </c:pt>
                  <c:pt idx="1">
                    <c:v>77,52</c:v>
                  </c:pt>
                  <c:pt idx="2">
                    <c:v>72,94</c:v>
                  </c:pt>
                  <c:pt idx="3">
                    <c:v>81,88</c:v>
                  </c:pt>
                  <c:pt idx="4">
                    <c:v>92,15</c:v>
                  </c:pt>
                  <c:pt idx="5">
                    <c:v>75,05</c:v>
                  </c:pt>
                  <c:pt idx="6">
                    <c:v>79,70</c:v>
                  </c:pt>
                  <c:pt idx="8">
                    <c:v>75,18</c:v>
                  </c:pt>
                  <c:pt idx="9">
                    <c:v>81,91</c:v>
                  </c:pt>
                  <c:pt idx="10">
                    <c:v>76,57</c:v>
                  </c:pt>
                  <c:pt idx="11">
                    <c:v>74,98</c:v>
                  </c:pt>
                  <c:pt idx="12">
                    <c:v>52,46</c:v>
                  </c:pt>
                  <c:pt idx="13">
                    <c:v>80,17</c:v>
                  </c:pt>
                  <c:pt idx="14">
                    <c:v>64,75</c:v>
                  </c:pt>
                  <c:pt idx="16">
                    <c:v>91,34</c:v>
                  </c:pt>
                  <c:pt idx="17">
                    <c:v>81,11</c:v>
                  </c:pt>
                  <c:pt idx="18">
                    <c:v>83,38</c:v>
                  </c:pt>
                  <c:pt idx="19">
                    <c:v>75,04</c:v>
                  </c:pt>
                  <c:pt idx="20">
                    <c:v>85,26</c:v>
                  </c:pt>
                  <c:pt idx="21">
                    <c:v>72,78</c:v>
                  </c:pt>
                  <c:pt idx="22">
                    <c:v>77,69</c:v>
                  </c:pt>
                  <c:pt idx="24">
                    <c:v>83,09</c:v>
                  </c:pt>
                  <c:pt idx="25">
                    <c:v>83,97</c:v>
                  </c:pt>
                  <c:pt idx="26">
                    <c:v>68,51</c:v>
                  </c:pt>
                  <c:pt idx="27">
                    <c:v>80,24</c:v>
                  </c:pt>
                  <c:pt idx="28">
                    <c:v>87,23</c:v>
                  </c:pt>
                  <c:pt idx="29">
                    <c:v>70,46</c:v>
                  </c:pt>
                  <c:pt idx="30">
                    <c:v>85,58</c:v>
                  </c:pt>
                  <c:pt idx="31">
                    <c:v>73,97</c:v>
                  </c:pt>
                  <c:pt idx="32">
                    <c:v>78,67</c:v>
                  </c:pt>
                  <c:pt idx="36">
                    <c:v>   89, 91, 92, 94, 96, 97,</c:v>
                  </c:pt>
                </c:lvl>
                <c:lvl>
                  <c:pt idx="0">
                    <c:v>97,85</c:v>
                  </c:pt>
                  <c:pt idx="1">
                    <c:v>96,28</c:v>
                  </c:pt>
                  <c:pt idx="2">
                    <c:v>85,24</c:v>
                  </c:pt>
                  <c:pt idx="3">
                    <c:v>84,06</c:v>
                  </c:pt>
                  <c:pt idx="4">
                    <c:v>46,22</c:v>
                  </c:pt>
                  <c:pt idx="5">
                    <c:v>54,70</c:v>
                  </c:pt>
                  <c:pt idx="6">
                    <c:v>88,00</c:v>
                  </c:pt>
                  <c:pt idx="8">
                    <c:v>73,47</c:v>
                  </c:pt>
                  <c:pt idx="9">
                    <c:v>95,05</c:v>
                  </c:pt>
                  <c:pt idx="10">
                    <c:v>86,32</c:v>
                  </c:pt>
                  <c:pt idx="11">
                    <c:v>94,94</c:v>
                  </c:pt>
                  <c:pt idx="12">
                    <c:v>84,38</c:v>
                  </c:pt>
                  <c:pt idx="13">
                    <c:v>78,04</c:v>
                  </c:pt>
                  <c:pt idx="14">
                    <c:v>77,99</c:v>
                  </c:pt>
                  <c:pt idx="16">
                    <c:v>74,51</c:v>
                  </c:pt>
                  <c:pt idx="17">
                    <c:v>90,88</c:v>
                  </c:pt>
                  <c:pt idx="18">
                    <c:v>86,13</c:v>
                  </c:pt>
                  <c:pt idx="19">
                    <c:v>87,62</c:v>
                  </c:pt>
                  <c:pt idx="20">
                    <c:v>104,7</c:v>
                  </c:pt>
                  <c:pt idx="21">
                    <c:v>75,89</c:v>
                  </c:pt>
                  <c:pt idx="22">
                    <c:v>81,94</c:v>
                  </c:pt>
                  <c:pt idx="24">
                    <c:v>87,49</c:v>
                  </c:pt>
                  <c:pt idx="25">
                    <c:v>112,00</c:v>
                  </c:pt>
                  <c:pt idx="26">
                    <c:v>87,68</c:v>
                  </c:pt>
                  <c:pt idx="27">
                    <c:v>93,70</c:v>
                  </c:pt>
                  <c:pt idx="28">
                    <c:v>73,55</c:v>
                  </c:pt>
                  <c:pt idx="29">
                    <c:v>57,28</c:v>
                  </c:pt>
                  <c:pt idx="30">
                    <c:v>103,70</c:v>
                  </c:pt>
                  <c:pt idx="31">
                    <c:v>89,39</c:v>
                  </c:pt>
                  <c:pt idx="32">
                    <c:v>83,15</c:v>
                  </c:pt>
                  <c:pt idx="36">
                    <c:v>   82, 84, 85, 86, 87, 88, </c:v>
                  </c:pt>
                </c:lvl>
                <c:lvl>
                  <c:pt idx="0">
                    <c:v>110,23</c:v>
                  </c:pt>
                  <c:pt idx="1">
                    <c:v>94,25</c:v>
                  </c:pt>
                  <c:pt idx="2">
                    <c:v>23,23</c:v>
                  </c:pt>
                  <c:pt idx="3">
                    <c:v>78,50</c:v>
                  </c:pt>
                  <c:pt idx="4">
                    <c:v>100,68</c:v>
                  </c:pt>
                  <c:pt idx="5">
                    <c:v>62,78</c:v>
                  </c:pt>
                  <c:pt idx="6">
                    <c:v>89,48</c:v>
                  </c:pt>
                  <c:pt idx="8">
                    <c:v>77,35</c:v>
                  </c:pt>
                  <c:pt idx="9">
                    <c:v>88,52</c:v>
                  </c:pt>
                  <c:pt idx="10">
                    <c:v>95,13</c:v>
                  </c:pt>
                  <c:pt idx="11">
                    <c:v>102,15</c:v>
                  </c:pt>
                  <c:pt idx="12">
                    <c:v>100,10</c:v>
                  </c:pt>
                  <c:pt idx="13">
                    <c:v>76,09</c:v>
                  </c:pt>
                  <c:pt idx="14">
                    <c:v>99,20</c:v>
                  </c:pt>
                  <c:pt idx="16">
                    <c:v>112,17</c:v>
                  </c:pt>
                  <c:pt idx="17">
                    <c:v>90,67</c:v>
                  </c:pt>
                  <c:pt idx="18">
                    <c:v>82,95</c:v>
                  </c:pt>
                  <c:pt idx="19">
                    <c:v>105,57</c:v>
                  </c:pt>
                  <c:pt idx="20">
                    <c:v>85,01</c:v>
                  </c:pt>
                  <c:pt idx="21">
                    <c:v>86,31</c:v>
                  </c:pt>
                  <c:pt idx="22">
                    <c:v>101,83</c:v>
                  </c:pt>
                  <c:pt idx="24">
                    <c:v>86,67</c:v>
                  </c:pt>
                  <c:pt idx="25">
                    <c:v>73,16</c:v>
                  </c:pt>
                  <c:pt idx="28">
                    <c:v>78,47</c:v>
                  </c:pt>
                  <c:pt idx="29">
                    <c:v>78,61</c:v>
                  </c:pt>
                  <c:pt idx="30">
                    <c:v>68,95</c:v>
                  </c:pt>
                  <c:pt idx="31">
                    <c:v>81,53</c:v>
                  </c:pt>
                  <c:pt idx="32">
                    <c:v>93,07</c:v>
                  </c:pt>
                  <c:pt idx="36">
                    <c:v>. HT 129, 130, 146, 160, </c:v>
                  </c:pt>
                </c:lvl>
                <c:lvl>
                  <c:pt idx="0">
                    <c:v>78,99</c:v>
                  </c:pt>
                  <c:pt idx="1">
                    <c:v>78,99</c:v>
                  </c:pt>
                  <c:pt idx="2">
                    <c:v>64,39</c:v>
                  </c:pt>
                  <c:pt idx="3">
                    <c:v>105,05</c:v>
                  </c:pt>
                  <c:pt idx="4">
                    <c:v>86,22</c:v>
                  </c:pt>
                  <c:pt idx="5">
                    <c:v>83,68</c:v>
                  </c:pt>
                  <c:pt idx="6">
                    <c:v>107,81</c:v>
                  </c:pt>
                  <c:pt idx="8">
                    <c:v>58,66</c:v>
                  </c:pt>
                  <c:pt idx="9">
                    <c:v>82,64</c:v>
                  </c:pt>
                  <c:pt idx="10">
                    <c:v>70,99</c:v>
                  </c:pt>
                  <c:pt idx="11">
                    <c:v>73,94</c:v>
                  </c:pt>
                  <c:pt idx="12">
                    <c:v>100,04</c:v>
                  </c:pt>
                  <c:pt idx="13">
                    <c:v>69,40</c:v>
                  </c:pt>
                  <c:pt idx="14">
                    <c:v>76,05</c:v>
                  </c:pt>
                  <c:pt idx="16">
                    <c:v>101,61</c:v>
                  </c:pt>
                  <c:pt idx="17">
                    <c:v>71,20</c:v>
                  </c:pt>
                  <c:pt idx="18">
                    <c:v>110,72</c:v>
                  </c:pt>
                  <c:pt idx="19">
                    <c:v>80,20</c:v>
                  </c:pt>
                  <c:pt idx="20">
                    <c:v>73,49</c:v>
                  </c:pt>
                  <c:pt idx="21">
                    <c:v>99,71</c:v>
                  </c:pt>
                  <c:pt idx="22">
                    <c:v>80,69</c:v>
                  </c:pt>
                  <c:pt idx="24">
                    <c:v>119,94</c:v>
                  </c:pt>
                  <c:pt idx="25">
                    <c:v>77,09</c:v>
                  </c:pt>
                  <c:pt idx="27">
                    <c:v>77,87</c:v>
                  </c:pt>
                  <c:pt idx="28">
                    <c:v>96,62</c:v>
                  </c:pt>
                  <c:pt idx="29">
                    <c:v>114,82</c:v>
                  </c:pt>
                  <c:pt idx="30">
                    <c:v>117,07</c:v>
                  </c:pt>
                  <c:pt idx="31">
                    <c:v>60,91</c:v>
                  </c:pt>
                  <c:pt idx="32">
                    <c:v>102,82</c:v>
                  </c:pt>
                  <c:pt idx="36">
                    <c:v>  Hasil dilapangan</c:v>
                  </c:pt>
                </c:lvl>
                <c:lvl>
                  <c:pt idx="0">
                    <c:v>89,25</c:v>
                  </c:pt>
                  <c:pt idx="2">
                    <c:v>147,51</c:v>
                  </c:pt>
                  <c:pt idx="3">
                    <c:v>70,92</c:v>
                  </c:pt>
                  <c:pt idx="4">
                    <c:v>83,18</c:v>
                  </c:pt>
                  <c:pt idx="5">
                    <c:v>63,87</c:v>
                  </c:pt>
                  <c:pt idx="6">
                    <c:v>93,92</c:v>
                  </c:pt>
                  <c:pt idx="8">
                    <c:v>62,43</c:v>
                  </c:pt>
                  <c:pt idx="9">
                    <c:v>75,35</c:v>
                  </c:pt>
                  <c:pt idx="10">
                    <c:v>60,60</c:v>
                  </c:pt>
                  <c:pt idx="11">
                    <c:v>86,53</c:v>
                  </c:pt>
                  <c:pt idx="12">
                    <c:v>72,29</c:v>
                  </c:pt>
                  <c:pt idx="13">
                    <c:v>98,38</c:v>
                  </c:pt>
                  <c:pt idx="14">
                    <c:v>76,53</c:v>
                  </c:pt>
                  <c:pt idx="16">
                    <c:v>95,59</c:v>
                  </c:pt>
                  <c:pt idx="17">
                    <c:v>89,32</c:v>
                  </c:pt>
                  <c:pt idx="18">
                    <c:v>63,84</c:v>
                  </c:pt>
                  <c:pt idx="19">
                    <c:v>72,22</c:v>
                  </c:pt>
                  <c:pt idx="20">
                    <c:v>70,61</c:v>
                  </c:pt>
                  <c:pt idx="21">
                    <c:v>68,91</c:v>
                  </c:pt>
                  <c:pt idx="22">
                    <c:v>79,68</c:v>
                  </c:pt>
                  <c:pt idx="24">
                    <c:v>88,22</c:v>
                  </c:pt>
                  <c:pt idx="25">
                    <c:v>85,66</c:v>
                  </c:pt>
                  <c:pt idx="26">
                    <c:v>73,84</c:v>
                  </c:pt>
                  <c:pt idx="27">
                    <c:v>80,03</c:v>
                  </c:pt>
                  <c:pt idx="29">
                    <c:v>84,78</c:v>
                  </c:pt>
                  <c:pt idx="30">
                    <c:v>92,75</c:v>
                  </c:pt>
                  <c:pt idx="31">
                    <c:v>60,81</c:v>
                  </c:pt>
                  <c:pt idx="32">
                    <c:v>81,08</c:v>
                  </c:pt>
                </c:lvl>
                <c:lvl>
                  <c:pt idx="0">
                    <c:v>65,89</c:v>
                  </c:pt>
                  <c:pt idx="1">
                    <c:v>69,72</c:v>
                  </c:pt>
                  <c:pt idx="2">
                    <c:v>66,68</c:v>
                  </c:pt>
                  <c:pt idx="3">
                    <c:v>72,75</c:v>
                  </c:pt>
                  <c:pt idx="4">
                    <c:v>62,51</c:v>
                  </c:pt>
                  <c:pt idx="5">
                    <c:v>70,32</c:v>
                  </c:pt>
                  <c:pt idx="6">
                    <c:v>83,78</c:v>
                  </c:pt>
                  <c:pt idx="8">
                    <c:v>77,62</c:v>
                  </c:pt>
                  <c:pt idx="9">
                    <c:v>56,13</c:v>
                  </c:pt>
                  <c:pt idx="10">
                    <c:v>66,98</c:v>
                  </c:pt>
                  <c:pt idx="11">
                    <c:v>88,02</c:v>
                  </c:pt>
                  <c:pt idx="12">
                    <c:v>66,37</c:v>
                  </c:pt>
                  <c:pt idx="13">
                    <c:v>77,99</c:v>
                  </c:pt>
                  <c:pt idx="14">
                    <c:v>75,30</c:v>
                  </c:pt>
                  <c:pt idx="16">
                    <c:v>79,73</c:v>
                  </c:pt>
                  <c:pt idx="17">
                    <c:v>85,07</c:v>
                  </c:pt>
                  <c:pt idx="18">
                    <c:v>66,10</c:v>
                  </c:pt>
                  <c:pt idx="19">
                    <c:v>81,97</c:v>
                  </c:pt>
                  <c:pt idx="20">
                    <c:v>63,24</c:v>
                  </c:pt>
                  <c:pt idx="21">
                    <c:v>82,97</c:v>
                  </c:pt>
                  <c:pt idx="22">
                    <c:v>77,09</c:v>
                  </c:pt>
                  <c:pt idx="24">
                    <c:v>91,75</c:v>
                  </c:pt>
                  <c:pt idx="25">
                    <c:v>79,79</c:v>
                  </c:pt>
                  <c:pt idx="26">
                    <c:v>92,49</c:v>
                  </c:pt>
                  <c:pt idx="27">
                    <c:v>73,46</c:v>
                  </c:pt>
                  <c:pt idx="28">
                    <c:v>108,49</c:v>
                  </c:pt>
                  <c:pt idx="29">
                    <c:v>103,14</c:v>
                  </c:pt>
                  <c:pt idx="30">
                    <c:v>92,46</c:v>
                  </c:pt>
                  <c:pt idx="31">
                    <c:v>48,62</c:v>
                  </c:pt>
                  <c:pt idx="32">
                    <c:v>88,27</c:v>
                  </c:pt>
                  <c:pt idx="36">
                    <c:v>. HT 118 Utk Behandle</c:v>
                  </c:pt>
                </c:lvl>
                <c:lvl>
                  <c:pt idx="0">
                    <c:v>79,17</c:v>
                  </c:pt>
                  <c:pt idx="1">
                    <c:v>78,64</c:v>
                  </c:pt>
                  <c:pt idx="2">
                    <c:v>84,42</c:v>
                  </c:pt>
                  <c:pt idx="3">
                    <c:v>83,47</c:v>
                  </c:pt>
                  <c:pt idx="4">
                    <c:v>74,39</c:v>
                  </c:pt>
                  <c:pt idx="5">
                    <c:v>80,96</c:v>
                  </c:pt>
                  <c:pt idx="6">
                    <c:v>97,68</c:v>
                  </c:pt>
                  <c:pt idx="8">
                    <c:v>64,03</c:v>
                  </c:pt>
                  <c:pt idx="9">
                    <c:v>75,57</c:v>
                  </c:pt>
                  <c:pt idx="10">
                    <c:v>82,89</c:v>
                  </c:pt>
                  <c:pt idx="11">
                    <c:v>92,25</c:v>
                  </c:pt>
                  <c:pt idx="12">
                    <c:v>78,67</c:v>
                  </c:pt>
                  <c:pt idx="13">
                    <c:v>79,34</c:v>
                  </c:pt>
                  <c:pt idx="14">
                    <c:v>94,82</c:v>
                  </c:pt>
                  <c:pt idx="16">
                    <c:v>89,03</c:v>
                  </c:pt>
                  <c:pt idx="17">
                    <c:v>101,35</c:v>
                  </c:pt>
                  <c:pt idx="18">
                    <c:v>104,65</c:v>
                  </c:pt>
                  <c:pt idx="19">
                    <c:v>80,21</c:v>
                  </c:pt>
                  <c:pt idx="20">
                    <c:v>88,76</c:v>
                  </c:pt>
                  <c:pt idx="25">
                    <c:v>71,13</c:v>
                  </c:pt>
                  <c:pt idx="26">
                    <c:v>89,84</c:v>
                  </c:pt>
                  <c:pt idx="27">
                    <c:v>73,14</c:v>
                  </c:pt>
                  <c:pt idx="28">
                    <c:v>90,30</c:v>
                  </c:pt>
                  <c:pt idx="29">
                    <c:v>72,16</c:v>
                  </c:pt>
                  <c:pt idx="30">
                    <c:v>88,83</c:v>
                  </c:pt>
                  <c:pt idx="31">
                    <c:v>80,41</c:v>
                  </c:pt>
                  <c:pt idx="32">
                    <c:v>92,42</c:v>
                  </c:pt>
                  <c:pt idx="36">
                    <c:v>. HT 23 Utk Alban BM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8">
                    <c:v>137,32</c:v>
                  </c:pt>
                  <c:pt idx="34">
                    <c:v>PM</c:v>
                  </c:pt>
                  <c:pt idx="36">
                    <c:v>Khusus HT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Full tanki BBM Solar</c:v>
                  </c:pt>
                </c:lvl>
                <c:lvl>
                  <c:pt idx="0">
                    <c:v>109,42</c:v>
                  </c:pt>
                  <c:pt idx="1">
                    <c:v>91,66</c:v>
                  </c:pt>
                  <c:pt idx="2">
                    <c:v>70,13</c:v>
                  </c:pt>
                  <c:pt idx="3">
                    <c:v>103,25</c:v>
                  </c:pt>
                  <c:pt idx="4">
                    <c:v>71,80</c:v>
                  </c:pt>
                  <c:pt idx="5">
                    <c:v>109,43</c:v>
                  </c:pt>
                  <c:pt idx="6">
                    <c:v>107,39</c:v>
                  </c:pt>
                  <c:pt idx="10">
                    <c:v>68,32</c:v>
                  </c:pt>
                  <c:pt idx="11">
                    <c:v>106,23</c:v>
                  </c:pt>
                  <c:pt idx="12">
                    <c:v>25,76</c:v>
                  </c:pt>
                  <c:pt idx="13">
                    <c:v>84,46</c:v>
                  </c:pt>
                  <c:pt idx="14">
                    <c:v>88,00</c:v>
                  </c:pt>
                  <c:pt idx="16">
                    <c:v>136,40</c:v>
                  </c:pt>
                  <c:pt idx="17">
                    <c:v>98,86</c:v>
                  </c:pt>
                  <c:pt idx="18">
                    <c:v>103,51</c:v>
                  </c:pt>
                  <c:pt idx="19">
                    <c:v>103,58</c:v>
                  </c:pt>
                  <c:pt idx="20">
                    <c:v>100,03</c:v>
                  </c:pt>
                  <c:pt idx="21">
                    <c:v>98,34</c:v>
                  </c:pt>
                  <c:pt idx="22">
                    <c:v>50,88</c:v>
                  </c:pt>
                  <c:pt idx="24">
                    <c:v>93,57</c:v>
                  </c:pt>
                  <c:pt idx="25">
                    <c:v>72,39</c:v>
                  </c:pt>
                  <c:pt idx="26">
                    <c:v>89,62</c:v>
                  </c:pt>
                  <c:pt idx="27">
                    <c:v>109,66</c:v>
                  </c:pt>
                  <c:pt idx="28">
                    <c:v>99,85</c:v>
                  </c:pt>
                  <c:pt idx="30">
                    <c:v>88,28</c:v>
                  </c:pt>
                  <c:pt idx="31">
                    <c:v>77,64</c:v>
                  </c:pt>
                  <c:pt idx="32">
                    <c:v>134,47</c:v>
                  </c:pt>
                  <c:pt idx="36">
                    <c:v>semua Uni HT diisi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Tgl 14 Desember '25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83 - 104, 230 Liter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23, 230 Liter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  <c:lvl>
                  <c:pt idx="0">
                    <c:v>39.18.11</c:v>
                  </c:pt>
                  <c:pt idx="1">
                    <c:v>36.16.11</c:v>
                  </c:pt>
                  <c:pt idx="2">
                    <c:v>39.13.11</c:v>
                  </c:pt>
                  <c:pt idx="3">
                    <c:v>41.11.11</c:v>
                  </c:pt>
                  <c:pt idx="4">
                    <c:v>36.16.11</c:v>
                  </c:pt>
                  <c:pt idx="5">
                    <c:v>38.14.11</c:v>
                  </c:pt>
                  <c:pt idx="6">
                    <c:v>37.15.11</c:v>
                  </c:pt>
                  <c:pt idx="8">
                    <c:v>36.16.11</c:v>
                  </c:pt>
                  <c:pt idx="9">
                    <c:v>36.16.11</c:v>
                  </c:pt>
                  <c:pt idx="10">
                    <c:v>38.14.11</c:v>
                  </c:pt>
                  <c:pt idx="11">
                    <c:v>38.14.11</c:v>
                  </c:pt>
                  <c:pt idx="12">
                    <c:v>38.14.11</c:v>
                  </c:pt>
                  <c:pt idx="13">
                    <c:v>36.16.11</c:v>
                  </c:pt>
                  <c:pt idx="14">
                    <c:v>38.14.11</c:v>
                  </c:pt>
                  <c:pt idx="16">
                    <c:v>39.13.11</c:v>
                  </c:pt>
                  <c:pt idx="17">
                    <c:v>35.17.11</c:v>
                  </c:pt>
                  <c:pt idx="18">
                    <c:v>37.15.11</c:v>
                  </c:pt>
                  <c:pt idx="19">
                    <c:v>37.15.11</c:v>
                  </c:pt>
                  <c:pt idx="20">
                    <c:v>38.14.11</c:v>
                  </c:pt>
                  <c:pt idx="21">
                    <c:v>36.16.11</c:v>
                  </c:pt>
                  <c:pt idx="22">
                    <c:v>39.13.11</c:v>
                  </c:pt>
                  <c:pt idx="24">
                    <c:v>38.14.11</c:v>
                  </c:pt>
                  <c:pt idx="25">
                    <c:v>36.16.11</c:v>
                  </c:pt>
                  <c:pt idx="26">
                    <c:v>37.15.11</c:v>
                  </c:pt>
                  <c:pt idx="27">
                    <c:v>38.14.11</c:v>
                  </c:pt>
                  <c:pt idx="28">
                    <c:v>39.13.11</c:v>
                  </c:pt>
                  <c:pt idx="29">
                    <c:v>39.13.11</c:v>
                  </c:pt>
                  <c:pt idx="30">
                    <c:v>39.13.11</c:v>
                  </c:pt>
                  <c:pt idx="31">
                    <c:v>36.16.11</c:v>
                  </c:pt>
                  <c:pt idx="32">
                    <c:v>39.13.11</c:v>
                  </c:pt>
                </c:lvl>
                <c:lvl>
                  <c:pt idx="0">
                    <c:v>9895,89</c:v>
                  </c:pt>
                  <c:pt idx="1">
                    <c:v>9964,69</c:v>
                  </c:pt>
                  <c:pt idx="2">
                    <c:v>12307,57</c:v>
                  </c:pt>
                  <c:pt idx="3">
                    <c:v>12254,61</c:v>
                  </c:pt>
                  <c:pt idx="4">
                    <c:v>11498,34</c:v>
                  </c:pt>
                  <c:pt idx="5">
                    <c:v>13113,87</c:v>
                  </c:pt>
                  <c:pt idx="6">
                    <c:v>11218,15</c:v>
                  </c:pt>
                  <c:pt idx="7">
                    <c:v>80253,12</c:v>
                  </c:pt>
                  <c:pt idx="8">
                    <c:v>9399,98</c:v>
                  </c:pt>
                  <c:pt idx="9">
                    <c:v>9968,22</c:v>
                  </c:pt>
                  <c:pt idx="10">
                    <c:v>12174,80</c:v>
                  </c:pt>
                  <c:pt idx="11">
                    <c:v>11162,21</c:v>
                  </c:pt>
                  <c:pt idx="12">
                    <c:v>10601,86</c:v>
                  </c:pt>
                  <c:pt idx="13">
                    <c:v>10912,59</c:v>
                  </c:pt>
                  <c:pt idx="14">
                    <c:v>12360,61</c:v>
                  </c:pt>
                  <c:pt idx="15">
                    <c:v>76580,27</c:v>
                  </c:pt>
                  <c:pt idx="16">
                    <c:v>10272,45</c:v>
                  </c:pt>
                  <c:pt idx="17">
                    <c:v>9894,73</c:v>
                  </c:pt>
                  <c:pt idx="18">
                    <c:v>11561,29</c:v>
                  </c:pt>
                  <c:pt idx="19">
                    <c:v>10410,12</c:v>
                  </c:pt>
                  <c:pt idx="20">
                    <c:v>12458,33</c:v>
                  </c:pt>
                  <c:pt idx="21">
                    <c:v>11463,59</c:v>
                  </c:pt>
                  <c:pt idx="22">
                    <c:v>13208,32</c:v>
                  </c:pt>
                  <c:pt idx="23">
                    <c:v>79268,83</c:v>
                  </c:pt>
                  <c:pt idx="24">
                    <c:v>12417,02</c:v>
                  </c:pt>
                  <c:pt idx="25">
                    <c:v>11331,55</c:v>
                  </c:pt>
                  <c:pt idx="26">
                    <c:v>11398,18</c:v>
                  </c:pt>
                  <c:pt idx="27">
                    <c:v>11498,11</c:v>
                  </c:pt>
                  <c:pt idx="28">
                    <c:v>13013,03</c:v>
                  </c:pt>
                  <c:pt idx="29">
                    <c:v>11538,36</c:v>
                  </c:pt>
                  <c:pt idx="30">
                    <c:v>11894,62</c:v>
                  </c:pt>
                  <c:pt idx="31">
                    <c:v>10027,87</c:v>
                  </c:pt>
                  <c:pt idx="32">
                    <c:v>12099,92</c:v>
                  </c:pt>
                  <c:pt idx="34">
                    <c:v>105218,66</c:v>
                  </c:pt>
                  <c:pt idx="35">
                    <c:v>341320,88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202,24</c:v>
                  </c:pt>
                  <c:pt idx="1">
                    <c:v>199,91</c:v>
                  </c:pt>
                  <c:pt idx="2">
                    <c:v>250,86</c:v>
                  </c:pt>
                  <c:pt idx="3">
                    <c:v>250,30</c:v>
                  </c:pt>
                  <c:pt idx="4">
                    <c:v>251,22</c:v>
                  </c:pt>
                  <c:pt idx="5">
                    <c:v>300,21</c:v>
                  </c:pt>
                  <c:pt idx="6">
                    <c:v>200,48</c:v>
                  </c:pt>
                  <c:pt idx="8">
                    <c:v>200,31</c:v>
                  </c:pt>
                  <c:pt idx="9">
                    <c:v>200,20</c:v>
                  </c:pt>
                  <c:pt idx="10">
                    <c:v>300,21</c:v>
                  </c:pt>
                  <c:pt idx="11">
                    <c:v>200,18</c:v>
                  </c:pt>
                  <c:pt idx="12">
                    <c:v>250,14</c:v>
                  </c:pt>
                  <c:pt idx="13">
                    <c:v>137,68</c:v>
                  </c:pt>
                  <c:pt idx="14">
                    <c:v>300,36</c:v>
                  </c:pt>
                  <c:pt idx="16">
                    <c:v>200,58</c:v>
                  </c:pt>
                  <c:pt idx="17">
                    <c:v>250,31</c:v>
                  </c:pt>
                  <c:pt idx="18">
                    <c:v>199,75</c:v>
                  </c:pt>
                  <c:pt idx="19">
                    <c:v>200,53</c:v>
                  </c:pt>
                  <c:pt idx="20">
                    <c:v>250,48</c:v>
                  </c:pt>
                  <c:pt idx="21">
                    <c:v>299,85</c:v>
                  </c:pt>
                  <c:pt idx="22">
                    <c:v>451,65</c:v>
                  </c:pt>
                  <c:pt idx="24">
                    <c:v>300,19</c:v>
                  </c:pt>
                  <c:pt idx="25">
                    <c:v>200,76</c:v>
                  </c:pt>
                  <c:pt idx="26">
                    <c:v>250,72</c:v>
                  </c:pt>
                  <c:pt idx="27">
                    <c:v>200,51</c:v>
                  </c:pt>
                  <c:pt idx="28">
                    <c:v>250,43</c:v>
                  </c:pt>
                  <c:pt idx="29">
                    <c:v>200,42</c:v>
                  </c:pt>
                  <c:pt idx="30">
                    <c:v>200,33</c:v>
                  </c:pt>
                  <c:pt idx="31">
                    <c:v>200,13</c:v>
                  </c:pt>
                  <c:pt idx="32">
                    <c:v>200,25</c:v>
                  </c:pt>
                  <c:pt idx="35">
                    <c:v>105218,66</c:v>
                  </c:pt>
                </c:lvl>
                <c:lvl>
                  <c:pt idx="0">
                    <c:v>250,12</c:v>
                  </c:pt>
                  <c:pt idx="1">
                    <c:v>200,09</c:v>
                  </c:pt>
                  <c:pt idx="2">
                    <c:v>200,03</c:v>
                  </c:pt>
                  <c:pt idx="3">
                    <c:v>199,84</c:v>
                  </c:pt>
                  <c:pt idx="4">
                    <c:v>247,99</c:v>
                  </c:pt>
                  <c:pt idx="5">
                    <c:v>199,95</c:v>
                  </c:pt>
                  <c:pt idx="6">
                    <c:v>200,62</c:v>
                  </c:pt>
                  <c:pt idx="8">
                    <c:v>250,28</c:v>
                  </c:pt>
                  <c:pt idx="9">
                    <c:v>300,23</c:v>
                  </c:pt>
                  <c:pt idx="10">
                    <c:v>250,55</c:v>
                  </c:pt>
                  <c:pt idx="11">
                    <c:v>254,25</c:v>
                  </c:pt>
                  <c:pt idx="12">
                    <c:v>200,19</c:v>
                  </c:pt>
                  <c:pt idx="13">
                    <c:v>250,45</c:v>
                  </c:pt>
                  <c:pt idx="14">
                    <c:v>300,00</c:v>
                  </c:pt>
                  <c:pt idx="16">
                    <c:v>249,97</c:v>
                  </c:pt>
                  <c:pt idx="17">
                    <c:v>200,17</c:v>
                  </c:pt>
                  <c:pt idx="18">
                    <c:v>300,24</c:v>
                  </c:pt>
                  <c:pt idx="19">
                    <c:v>200,16</c:v>
                  </c:pt>
                  <c:pt idx="20">
                    <c:v>300,77</c:v>
                  </c:pt>
                  <c:pt idx="21">
                    <c:v>250,56</c:v>
                  </c:pt>
                  <c:pt idx="22">
                    <c:v>250,95</c:v>
                  </c:pt>
                  <c:pt idx="24">
                    <c:v>200,57</c:v>
                  </c:pt>
                  <c:pt idx="25">
                    <c:v>200,48</c:v>
                  </c:pt>
                  <c:pt idx="26">
                    <c:v>199,99</c:v>
                  </c:pt>
                  <c:pt idx="27">
                    <c:v>200,18</c:v>
                  </c:pt>
                  <c:pt idx="28">
                    <c:v>250,38</c:v>
                  </c:pt>
                  <c:pt idx="29">
                    <c:v>300,01</c:v>
                  </c:pt>
                  <c:pt idx="30">
                    <c:v>200,35</c:v>
                  </c:pt>
                  <c:pt idx="31">
                    <c:v>200,21</c:v>
                  </c:pt>
                  <c:pt idx="32">
                    <c:v>251,63</c:v>
                  </c:pt>
                  <c:pt idx="35">
                    <c:v>79268,83</c:v>
                  </c:pt>
                </c:lvl>
                <c:lvl>
                  <c:pt idx="0">
                    <c:v>321,22</c:v>
                  </c:pt>
                  <c:pt idx="1">
                    <c:v>150,02</c:v>
                  </c:pt>
                  <c:pt idx="2">
                    <c:v>201,08</c:v>
                  </c:pt>
                  <c:pt idx="3">
                    <c:v>250,28</c:v>
                  </c:pt>
                  <c:pt idx="4">
                    <c:v>250,85</c:v>
                  </c:pt>
                  <c:pt idx="5">
                    <c:v>300,04</c:v>
                  </c:pt>
                  <c:pt idx="6">
                    <c:v>200,64</c:v>
                  </c:pt>
                  <c:pt idx="8">
                    <c:v>200,65</c:v>
                  </c:pt>
                  <c:pt idx="9">
                    <c:v>250,15</c:v>
                  </c:pt>
                  <c:pt idx="10">
                    <c:v>300,36</c:v>
                  </c:pt>
                  <c:pt idx="11">
                    <c:v>200,26</c:v>
                  </c:pt>
                  <c:pt idx="12">
                    <c:v>250,35</c:v>
                  </c:pt>
                  <c:pt idx="13">
                    <c:v>200,41</c:v>
                  </c:pt>
                  <c:pt idx="14">
                    <c:v>350,57</c:v>
                  </c:pt>
                  <c:pt idx="16">
                    <c:v>200,28</c:v>
                  </c:pt>
                  <c:pt idx="17">
                    <c:v>250,27</c:v>
                  </c:pt>
                  <c:pt idx="18">
                    <c:v>250,01</c:v>
                  </c:pt>
                  <c:pt idx="19">
                    <c:v>250,31</c:v>
                  </c:pt>
                  <c:pt idx="20">
                    <c:v>250,28</c:v>
                  </c:pt>
                  <c:pt idx="21">
                    <c:v>200,65</c:v>
                  </c:pt>
                  <c:pt idx="22">
                    <c:v>200,14</c:v>
                  </c:pt>
                  <c:pt idx="24">
                    <c:v>300,34</c:v>
                  </c:pt>
                  <c:pt idx="25">
                    <c:v>203,09</c:v>
                  </c:pt>
                  <c:pt idx="26">
                    <c:v>299,90</c:v>
                  </c:pt>
                  <c:pt idx="27">
                    <c:v>250,34</c:v>
                  </c:pt>
                  <c:pt idx="28">
                    <c:v>250,47</c:v>
                  </c:pt>
                  <c:pt idx="29">
                    <c:v>250,94</c:v>
                  </c:pt>
                  <c:pt idx="30">
                    <c:v>350,33</c:v>
                  </c:pt>
                  <c:pt idx="31">
                    <c:v>300,30</c:v>
                  </c:pt>
                  <c:pt idx="32">
                    <c:v>250,16</c:v>
                  </c:pt>
                  <c:pt idx="35">
                    <c:v>76580,27</c:v>
                  </c:pt>
                </c:lvl>
                <c:lvl>
                  <c:pt idx="0">
                    <c:v>250,23</c:v>
                  </c:pt>
                  <c:pt idx="1">
                    <c:v>200,98</c:v>
                  </c:pt>
                  <c:pt idx="2">
                    <c:v>250,49</c:v>
                  </c:pt>
                  <c:pt idx="3">
                    <c:v>200,90</c:v>
                  </c:pt>
                  <c:pt idx="4">
                    <c:v>147,13</c:v>
                  </c:pt>
                  <c:pt idx="5">
                    <c:v>299,70</c:v>
                  </c:pt>
                  <c:pt idx="6">
                    <c:v>200,40</c:v>
                  </c:pt>
                  <c:pt idx="8">
                    <c:v>200,24</c:v>
                  </c:pt>
                  <c:pt idx="9">
                    <c:v>250,18</c:v>
                  </c:pt>
                  <c:pt idx="10">
                    <c:v>249,98</c:v>
                  </c:pt>
                  <c:pt idx="11">
                    <c:v>200,30</c:v>
                  </c:pt>
                  <c:pt idx="12">
                    <c:v>200,27</c:v>
                  </c:pt>
                  <c:pt idx="13">
                    <c:v>199,60</c:v>
                  </c:pt>
                  <c:pt idx="14">
                    <c:v>250,89</c:v>
                  </c:pt>
                  <c:pt idx="16">
                    <c:v>250,24</c:v>
                  </c:pt>
                  <c:pt idx="17">
                    <c:v>250,15</c:v>
                  </c:pt>
                  <c:pt idx="18">
                    <c:v>201,15</c:v>
                  </c:pt>
                  <c:pt idx="19">
                    <c:v>200,39</c:v>
                  </c:pt>
                  <c:pt idx="20">
                    <c:v>200,49</c:v>
                  </c:pt>
                  <c:pt idx="21">
                    <c:v>250,22</c:v>
                  </c:pt>
                  <c:pt idx="22">
                    <c:v>200,05</c:v>
                  </c:pt>
                  <c:pt idx="24">
                    <c:v>250,44</c:v>
                  </c:pt>
                  <c:pt idx="25">
                    <c:v>249,88</c:v>
                  </c:pt>
                  <c:pt idx="26">
                    <c:v>235,46</c:v>
                  </c:pt>
                  <c:pt idx="27">
                    <c:v>200,59</c:v>
                  </c:pt>
                  <c:pt idx="28">
                    <c:v>250,55</c:v>
                  </c:pt>
                  <c:pt idx="29">
                    <c:v>250,50</c:v>
                  </c:pt>
                  <c:pt idx="30">
                    <c:v>300,13</c:v>
                  </c:pt>
                  <c:pt idx="31">
                    <c:v>199,73</c:v>
                  </c:pt>
                  <c:pt idx="32">
                    <c:v>250,52</c:v>
                  </c:pt>
                  <c:pt idx="35">
                    <c:v>80253,12</c:v>
                  </c:pt>
                </c:lvl>
                <c:lvl>
                  <c:pt idx="0">
                    <c:v>150,16</c:v>
                  </c:pt>
                  <c:pt idx="1">
                    <c:v>99,82</c:v>
                  </c:pt>
                  <c:pt idx="2">
                    <c:v>146,00</c:v>
                  </c:pt>
                  <c:pt idx="3">
                    <c:v>100,63</c:v>
                  </c:pt>
                  <c:pt idx="4">
                    <c:v>FULL</c:v>
                  </c:pt>
                  <c:pt idx="5">
                    <c:v>199,68</c:v>
                  </c:pt>
                  <c:pt idx="6">
                    <c:v>200,35</c:v>
                  </c:pt>
                  <c:pt idx="8">
                    <c:v>250,31</c:v>
                  </c:pt>
                  <c:pt idx="9">
                    <c:v>200,22</c:v>
                  </c:pt>
                  <c:pt idx="10">
                    <c:v>200,19</c:v>
                  </c:pt>
                  <c:pt idx="11">
                    <c:v>250,56</c:v>
                  </c:pt>
                  <c:pt idx="12">
                    <c:v>200,27</c:v>
                  </c:pt>
                  <c:pt idx="13">
                    <c:v>201,22</c:v>
                  </c:pt>
                  <c:pt idx="14">
                    <c:v>250,70</c:v>
                  </c:pt>
                  <c:pt idx="16">
                    <c:v>200,39</c:v>
                  </c:pt>
                  <c:pt idx="17">
                    <c:v>200,48</c:v>
                  </c:pt>
                  <c:pt idx="18">
                    <c:v>249,98</c:v>
                  </c:pt>
                  <c:pt idx="19">
                    <c:v>200,20</c:v>
                  </c:pt>
                  <c:pt idx="20">
                    <c:v>250,12</c:v>
                  </c:pt>
                  <c:pt idx="21">
                    <c:v>250,24</c:v>
                  </c:pt>
                  <c:pt idx="22">
                    <c:v>250,95</c:v>
                  </c:pt>
                  <c:pt idx="24">
                    <c:v>250,37</c:v>
                  </c:pt>
                  <c:pt idx="25">
                    <c:v>199,71</c:v>
                  </c:pt>
                  <c:pt idx="26">
                    <c:v>200,43</c:v>
                  </c:pt>
                  <c:pt idx="27">
                    <c:v>201,39</c:v>
                  </c:pt>
                  <c:pt idx="28">
                    <c:v>250,03</c:v>
                  </c:pt>
                  <c:pt idx="29">
                    <c:v>250,80</c:v>
                  </c:pt>
                  <c:pt idx="30">
                    <c:v>200,15</c:v>
                  </c:pt>
                  <c:pt idx="31">
                    <c:v>250,14</c:v>
                  </c:pt>
                  <c:pt idx="32">
                    <c:v>301,03</c:v>
                  </c:pt>
                </c:lvl>
                <c:lvl>
                  <c:pt idx="0">
                    <c:v>254,05</c:v>
                  </c:pt>
                  <c:pt idx="1">
                    <c:v>250,44</c:v>
                  </c:pt>
                  <c:pt idx="2">
                    <c:v>299,86</c:v>
                  </c:pt>
                  <c:pt idx="3">
                    <c:v>250,79</c:v>
                  </c:pt>
                  <c:pt idx="4">
                    <c:v>296,47</c:v>
                  </c:pt>
                  <c:pt idx="5">
                    <c:v>300,12</c:v>
                  </c:pt>
                  <c:pt idx="6">
                    <c:v>200,30</c:v>
                  </c:pt>
                  <c:pt idx="8">
                    <c:v>211,77</c:v>
                  </c:pt>
                  <c:pt idx="9">
                    <c:v>300,05</c:v>
                  </c:pt>
                  <c:pt idx="10">
                    <c:v>200,33</c:v>
                  </c:pt>
                  <c:pt idx="11">
                    <c:v>250,25</c:v>
                  </c:pt>
                  <c:pt idx="12">
                    <c:v>250,40</c:v>
                  </c:pt>
                  <c:pt idx="13">
                    <c:v>201,70</c:v>
                  </c:pt>
                  <c:pt idx="14">
                    <c:v>350,80</c:v>
                  </c:pt>
                  <c:pt idx="16">
                    <c:v>200,44</c:v>
                  </c:pt>
                  <c:pt idx="17">
                    <c:v>200,28</c:v>
                  </c:pt>
                  <c:pt idx="18">
                    <c:v>248,76</c:v>
                  </c:pt>
                  <c:pt idx="19">
                    <c:v>200,21</c:v>
                  </c:pt>
                  <c:pt idx="20">
                    <c:v>251,36</c:v>
                  </c:pt>
                  <c:pt idx="21">
                    <c:v>300,12</c:v>
                  </c:pt>
                  <c:pt idx="22">
                    <c:v>251,00</c:v>
                  </c:pt>
                  <c:pt idx="24">
                    <c:v>200,18</c:v>
                  </c:pt>
                  <c:pt idx="25">
                    <c:v>199,79</c:v>
                  </c:pt>
                  <c:pt idx="26">
                    <c:v>299,76</c:v>
                  </c:pt>
                  <c:pt idx="27">
                    <c:v>200,39</c:v>
                  </c:pt>
                  <c:pt idx="28">
                    <c:v>300,13</c:v>
                  </c:pt>
                  <c:pt idx="29">
                    <c:v>250,21</c:v>
                  </c:pt>
                  <c:pt idx="30">
                    <c:v>250,51</c:v>
                  </c:pt>
                  <c:pt idx="31">
                    <c:v>200,26</c:v>
                  </c:pt>
                  <c:pt idx="32">
                    <c:v>250,35</c:v>
                  </c:pt>
                </c:lvl>
                <c:lvl>
                  <c:pt idx="0">
                    <c:v>250,53</c:v>
                  </c:pt>
                  <c:pt idx="1">
                    <c:v>150,08</c:v>
                  </c:pt>
                  <c:pt idx="2">
                    <c:v>250,09</c:v>
                  </c:pt>
                  <c:pt idx="3">
                    <c:v>250,30</c:v>
                  </c:pt>
                  <c:pt idx="4">
                    <c:v>300,45</c:v>
                  </c:pt>
                  <c:pt idx="5">
                    <c:v>250,49</c:v>
                  </c:pt>
                  <c:pt idx="6">
                    <c:v>200,45</c:v>
                  </c:pt>
                  <c:pt idx="8">
                    <c:v>251,09</c:v>
                  </c:pt>
                  <c:pt idx="9">
                    <c:v>250,76</c:v>
                  </c:pt>
                  <c:pt idx="10">
                    <c:v>200,29</c:v>
                  </c:pt>
                  <c:pt idx="11">
                    <c:v>200,12</c:v>
                  </c:pt>
                  <c:pt idx="12">
                    <c:v>200,13</c:v>
                  </c:pt>
                  <c:pt idx="13">
                    <c:v>200,59</c:v>
                  </c:pt>
                  <c:pt idx="14">
                    <c:v>249,99</c:v>
                  </c:pt>
                  <c:pt idx="16">
                    <c:v>203,48</c:v>
                  </c:pt>
                  <c:pt idx="17">
                    <c:v>300,12</c:v>
                  </c:pt>
                  <c:pt idx="18">
                    <c:v>200,00</c:v>
                  </c:pt>
                  <c:pt idx="19">
                    <c:v>250,67</c:v>
                  </c:pt>
                  <c:pt idx="20">
                    <c:v>250,40</c:v>
                  </c:pt>
                  <c:pt idx="21">
                    <c:v>350,26</c:v>
                  </c:pt>
                  <c:pt idx="22">
                    <c:v>200,24</c:v>
                  </c:pt>
                  <c:pt idx="24">
                    <c:v>250,33</c:v>
                  </c:pt>
                  <c:pt idx="25">
                    <c:v>199,50</c:v>
                  </c:pt>
                  <c:pt idx="26">
                    <c:v>250,71</c:v>
                  </c:pt>
                  <c:pt idx="27">
                    <c:v>200,25</c:v>
                  </c:pt>
                  <c:pt idx="28">
                    <c:v>250,50</c:v>
                  </c:pt>
                  <c:pt idx="29">
                    <c:v>200,51</c:v>
                  </c:pt>
                  <c:pt idx="30">
                    <c:v>150,41</c:v>
                  </c:pt>
                  <c:pt idx="31">
                    <c:v>FULL</c:v>
                  </c:pt>
                  <c:pt idx="32">
                    <c:v>250,90</c:v>
                  </c:pt>
                </c:lvl>
                <c:lvl>
                  <c:pt idx="0">
                    <c:v>160,45</c:v>
                  </c:pt>
                  <c:pt idx="1">
                    <c:v>101,31</c:v>
                  </c:pt>
                  <c:pt idx="2">
                    <c:v>250,39</c:v>
                  </c:pt>
                  <c:pt idx="3">
                    <c:v>200,29</c:v>
                  </c:pt>
                  <c:pt idx="4">
                    <c:v>248,85</c:v>
                  </c:pt>
                  <c:pt idx="5">
                    <c:v>250,32</c:v>
                  </c:pt>
                  <c:pt idx="6">
                    <c:v>350,14</c:v>
                  </c:pt>
                  <c:pt idx="8">
                    <c:v>100,09</c:v>
                  </c:pt>
                  <c:pt idx="9">
                    <c:v>200,49</c:v>
                  </c:pt>
                  <c:pt idx="10">
                    <c:v>200,64</c:v>
                  </c:pt>
                  <c:pt idx="11">
                    <c:v>200,49</c:v>
                  </c:pt>
                  <c:pt idx="12">
                    <c:v>250,38</c:v>
                  </c:pt>
                  <c:pt idx="13">
                    <c:v>200,60</c:v>
                  </c:pt>
                  <c:pt idx="14">
                    <c:v>300,58</c:v>
                  </c:pt>
                  <c:pt idx="16">
                    <c:v>200,41</c:v>
                  </c:pt>
                  <c:pt idx="17">
                    <c:v>300,01</c:v>
                  </c:pt>
                  <c:pt idx="18">
                    <c:v>235,89</c:v>
                  </c:pt>
                  <c:pt idx="19">
                    <c:v>150,72</c:v>
                  </c:pt>
                  <c:pt idx="20">
                    <c:v>FULL</c:v>
                  </c:pt>
                  <c:pt idx="21">
                    <c:v>200,41</c:v>
                  </c:pt>
                  <c:pt idx="22">
                    <c:v>200,43</c:v>
                  </c:pt>
                  <c:pt idx="24">
                    <c:v>250,14</c:v>
                  </c:pt>
                  <c:pt idx="25">
                    <c:v>251,10</c:v>
                  </c:pt>
                  <c:pt idx="26">
                    <c:v>251,38</c:v>
                  </c:pt>
                  <c:pt idx="27">
                    <c:v>250,41</c:v>
                  </c:pt>
                  <c:pt idx="28">
                    <c:v>200,20</c:v>
                  </c:pt>
                  <c:pt idx="29">
                    <c:v>251,27</c:v>
                  </c:pt>
                  <c:pt idx="30">
                    <c:v>250,44</c:v>
                  </c:pt>
                  <c:pt idx="31">
                    <c:v>130,35</c:v>
                  </c:pt>
                  <c:pt idx="32">
                    <c:v>250,50</c:v>
                  </c:pt>
                </c:lvl>
                <c:lvl>
                  <c:pt idx="0">
                    <c:v>200,46</c:v>
                  </c:pt>
                  <c:pt idx="1">
                    <c:v>149,95</c:v>
                  </c:pt>
                  <c:pt idx="2">
                    <c:v>200,14</c:v>
                  </c:pt>
                  <c:pt idx="3">
                    <c:v>250,99</c:v>
                  </c:pt>
                  <c:pt idx="4">
                    <c:v>251,25</c:v>
                  </c:pt>
                  <c:pt idx="5">
                    <c:v>200,20</c:v>
                  </c:pt>
                  <c:pt idx="6">
                    <c:v>200,30</c:v>
                  </c:pt>
                  <c:pt idx="8">
                    <c:v>250,86</c:v>
                  </c:pt>
                  <c:pt idx="9">
                    <c:v>200,32</c:v>
                  </c:pt>
                  <c:pt idx="10">
                    <c:v>300,37</c:v>
                  </c:pt>
                  <c:pt idx="11">
                    <c:v>250,19</c:v>
                  </c:pt>
                  <c:pt idx="12">
                    <c:v>100,38</c:v>
                  </c:pt>
                  <c:pt idx="13">
                    <c:v>245,49</c:v>
                  </c:pt>
                  <c:pt idx="14">
                    <c:v>200,80</c:v>
                  </c:pt>
                  <c:pt idx="16">
                    <c:v>200,18</c:v>
                  </c:pt>
                  <c:pt idx="17">
                    <c:v>211,39</c:v>
                  </c:pt>
                  <c:pt idx="18">
                    <c:v>299,54</c:v>
                  </c:pt>
                  <c:pt idx="19">
                    <c:v>200,18</c:v>
                  </c:pt>
                  <c:pt idx="20">
                    <c:v>201,06</c:v>
                  </c:pt>
                  <c:pt idx="21">
                    <c:v>300,26</c:v>
                  </c:pt>
                  <c:pt idx="22">
                    <c:v>200,05</c:v>
                  </c:pt>
                  <c:pt idx="24">
                    <c:v>250,26</c:v>
                  </c:pt>
                  <c:pt idx="25">
                    <c:v>200,26</c:v>
                  </c:pt>
                  <c:pt idx="26">
                    <c:v>250,27</c:v>
                  </c:pt>
                  <c:pt idx="27">
                    <c:v>200,22</c:v>
                  </c:pt>
                  <c:pt idx="28">
                    <c:v>250,26</c:v>
                  </c:pt>
                  <c:pt idx="29">
                    <c:v>250,44</c:v>
                  </c:pt>
                  <c:pt idx="30">
                    <c:v>247,65</c:v>
                  </c:pt>
                  <c:pt idx="31">
                    <c:v>200,73</c:v>
                  </c:pt>
                  <c:pt idx="32">
                    <c:v>200,35</c:v>
                  </c:pt>
                </c:lvl>
                <c:lvl>
                  <c:pt idx="0">
                    <c:v>189,48</c:v>
                  </c:pt>
                  <c:pt idx="1">
                    <c:v>250,20</c:v>
                  </c:pt>
                  <c:pt idx="2">
                    <c:v>300,21</c:v>
                  </c:pt>
                  <c:pt idx="3">
                    <c:v>250,28</c:v>
                  </c:pt>
                  <c:pt idx="4">
                    <c:v>242,01</c:v>
                  </c:pt>
                  <c:pt idx="5">
                    <c:v>201,12</c:v>
                  </c:pt>
                  <c:pt idx="6">
                    <c:v>200,21</c:v>
                  </c:pt>
                  <c:pt idx="8">
                    <c:v>150,63</c:v>
                  </c:pt>
                  <c:pt idx="9">
                    <c:v>200,16</c:v>
                  </c:pt>
                  <c:pt idx="10">
                    <c:v>250,50</c:v>
                  </c:pt>
                  <c:pt idx="11">
                    <c:v>200,42</c:v>
                  </c:pt>
                  <c:pt idx="12">
                    <c:v>150,47</c:v>
                  </c:pt>
                  <c:pt idx="13">
                    <c:v>200,39</c:v>
                  </c:pt>
                  <c:pt idx="14">
                    <c:v>200,19</c:v>
                  </c:pt>
                  <c:pt idx="16">
                    <c:v>199,58</c:v>
                  </c:pt>
                  <c:pt idx="17">
                    <c:v>250,47</c:v>
                  </c:pt>
                  <c:pt idx="18">
                    <c:v>200,46</c:v>
                  </c:pt>
                  <c:pt idx="19">
                    <c:v>200,22</c:v>
                  </c:pt>
                  <c:pt idx="20">
                    <c:v>200,48</c:v>
                  </c:pt>
                  <c:pt idx="21">
                    <c:v>250,29</c:v>
                  </c:pt>
                  <c:pt idx="22">
                    <c:v>320,17</c:v>
                  </c:pt>
                  <c:pt idx="24">
                    <c:v>250,36</c:v>
                  </c:pt>
                  <c:pt idx="25">
                    <c:v>250,91</c:v>
                  </c:pt>
                  <c:pt idx="26">
                    <c:v>250,68</c:v>
                  </c:pt>
                  <c:pt idx="27">
                    <c:v>200,46</c:v>
                  </c:pt>
                  <c:pt idx="28">
                    <c:v>250,40</c:v>
                  </c:pt>
                  <c:pt idx="29">
                    <c:v>300,66</c:v>
                  </c:pt>
                  <c:pt idx="30">
                    <c:v>200,53</c:v>
                  </c:pt>
                  <c:pt idx="31">
                    <c:v>FULL</c:v>
                  </c:pt>
                  <c:pt idx="32">
                    <c:v>250,31</c:v>
                  </c:pt>
                </c:lvl>
                <c:lvl>
                  <c:pt idx="0">
                    <c:v>200,34</c:v>
                  </c:pt>
                  <c:pt idx="1">
                    <c:v>350,00</c:v>
                  </c:pt>
                  <c:pt idx="2">
                    <c:v>200,46</c:v>
                  </c:pt>
                  <c:pt idx="3">
                    <c:v>200,90</c:v>
                  </c:pt>
                  <c:pt idx="4">
                    <c:v>200,17</c:v>
                  </c:pt>
                  <c:pt idx="5">
                    <c:v>300,03</c:v>
                  </c:pt>
                  <c:pt idx="6">
                    <c:v>200,52</c:v>
                  </c:pt>
                  <c:pt idx="8">
                    <c:v>200,53</c:v>
                  </c:pt>
                  <c:pt idx="9">
                    <c:v>250,42</c:v>
                  </c:pt>
                  <c:pt idx="10">
                    <c:v>200,34</c:v>
                  </c:pt>
                  <c:pt idx="11">
                    <c:v>200,49</c:v>
                  </c:pt>
                  <c:pt idx="12">
                    <c:v>200,52</c:v>
                  </c:pt>
                  <c:pt idx="13">
                    <c:v>200,26</c:v>
                  </c:pt>
                  <c:pt idx="14">
                    <c:v>151,08</c:v>
                  </c:pt>
                  <c:pt idx="16">
                    <c:v>200,66</c:v>
                  </c:pt>
                  <c:pt idx="17">
                    <c:v>FULL</c:v>
                  </c:pt>
                  <c:pt idx="18">
                    <c:v>207,88</c:v>
                  </c:pt>
                  <c:pt idx="19">
                    <c:v>200,96</c:v>
                  </c:pt>
                  <c:pt idx="20">
                    <c:v>200,32</c:v>
                  </c:pt>
                  <c:pt idx="21">
                    <c:v>200,88</c:v>
                  </c:pt>
                  <c:pt idx="22">
                    <c:v>265,65</c:v>
                  </c:pt>
                  <c:pt idx="24">
                    <c:v>208,85</c:v>
                  </c:pt>
                  <c:pt idx="25">
                    <c:v>200,30</c:v>
                  </c:pt>
                  <c:pt idx="26">
                    <c:v>200,22</c:v>
                  </c:pt>
                  <c:pt idx="27">
                    <c:v>199,99</c:v>
                  </c:pt>
                  <c:pt idx="28">
                    <c:v>200,35</c:v>
                  </c:pt>
                  <c:pt idx="29">
                    <c:v>200,36</c:v>
                  </c:pt>
                  <c:pt idx="30">
                    <c:v>149,93</c:v>
                  </c:pt>
                  <c:pt idx="31">
                    <c:v>200,27</c:v>
                  </c:pt>
                  <c:pt idx="32">
                    <c:v>238,26</c:v>
                  </c:pt>
                </c:lvl>
                <c:lvl>
                  <c:pt idx="0">
                    <c:v>300,25</c:v>
                  </c:pt>
                  <c:pt idx="1">
                    <c:v>250,14</c:v>
                  </c:pt>
                  <c:pt idx="2">
                    <c:v>450,23</c:v>
                  </c:pt>
                  <c:pt idx="3">
                    <c:v>300,44</c:v>
                  </c:pt>
                  <c:pt idx="4">
                    <c:v>298,90</c:v>
                  </c:pt>
                  <c:pt idx="5">
                    <c:v>300,21</c:v>
                  </c:pt>
                  <c:pt idx="6">
                    <c:v>300,28</c:v>
                  </c:pt>
                  <c:pt idx="8">
                    <c:v>300,21</c:v>
                  </c:pt>
                  <c:pt idx="9">
                    <c:v>150,94</c:v>
                  </c:pt>
                  <c:pt idx="10">
                    <c:v>400,57</c:v>
                  </c:pt>
                  <c:pt idx="11">
                    <c:v>300,44</c:v>
                  </c:pt>
                  <c:pt idx="12">
                    <c:v>201,26</c:v>
                  </c:pt>
                  <c:pt idx="13">
                    <c:v>300,62</c:v>
                  </c:pt>
                  <c:pt idx="14">
                    <c:v>300,44</c:v>
                  </c:pt>
                  <c:pt idx="16">
                    <c:v>250,18</c:v>
                  </c:pt>
                  <c:pt idx="17">
                    <c:v>300,26</c:v>
                  </c:pt>
                  <c:pt idx="18">
                    <c:v>352,34</c:v>
                  </c:pt>
                  <c:pt idx="19">
                    <c:v>300,52</c:v>
                  </c:pt>
                  <c:pt idx="20">
                    <c:v>286,78</c:v>
                  </c:pt>
                  <c:pt idx="21">
                    <c:v>300,24</c:v>
                  </c:pt>
                  <c:pt idx="22">
                    <c:v>312,18</c:v>
                  </c:pt>
                  <c:pt idx="24">
                    <c:v>400,00</c:v>
                  </c:pt>
                  <c:pt idx="25">
                    <c:v>302,09</c:v>
                  </c:pt>
                  <c:pt idx="26">
                    <c:v>399,93</c:v>
                  </c:pt>
                  <c:pt idx="27">
                    <c:v>300,55</c:v>
                  </c:pt>
                  <c:pt idx="28">
                    <c:v>299,78</c:v>
                  </c:pt>
                  <c:pt idx="29">
                    <c:v>400,03</c:v>
                  </c:pt>
                  <c:pt idx="30">
                    <c:v>350,33</c:v>
                  </c:pt>
                  <c:pt idx="31">
                    <c:v>300,15</c:v>
                  </c:pt>
                  <c:pt idx="32">
                    <c:v>300,23</c:v>
                  </c:pt>
                </c:lvl>
                <c:lvl>
                  <c:pt idx="0">
                    <c:v>289,32</c:v>
                  </c:pt>
                  <c:pt idx="1">
                    <c:v>301,93</c:v>
                  </c:pt>
                  <c:pt idx="2">
                    <c:v>299,50</c:v>
                  </c:pt>
                  <c:pt idx="3">
                    <c:v>299,90</c:v>
                  </c:pt>
                  <c:pt idx="4">
                    <c:v>300,29</c:v>
                  </c:pt>
                  <c:pt idx="5">
                    <c:v>400,89</c:v>
                  </c:pt>
                  <c:pt idx="6">
                    <c:v>300,00</c:v>
                  </c:pt>
                  <c:pt idx="8">
                    <c:v>300,01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356,96</c:v>
                  </c:pt>
                  <c:pt idx="31">
                    <c:v>132,87</c:v>
                  </c:pt>
                  <c:pt idx="32">
                    <c:v>282,61</c:v>
                  </c:pt>
                </c:lvl>
                <c:lvl>
                  <c:pt idx="0">
                    <c:v>15,24</c:v>
                  </c:pt>
                  <c:pt idx="1">
                    <c:v>170,95</c:v>
                  </c:pt>
                  <c:pt idx="2">
                    <c:v>300,06</c:v>
                  </c:pt>
                  <c:pt idx="3">
                    <c:v>299,90</c:v>
                  </c:pt>
                  <c:pt idx="4">
                    <c:v>271,39</c:v>
                  </c:pt>
                  <c:pt idx="5">
                    <c:v>200,33</c:v>
                  </c:pt>
                  <c:pt idx="6">
                    <c:v>300,39</c:v>
                  </c:pt>
                  <c:pt idx="8">
                    <c:v>275,77</c:v>
                  </c:pt>
                  <c:pt idx="9">
                    <c:v>350,84</c:v>
                  </c:pt>
                  <c:pt idx="10">
                    <c:v>316,31</c:v>
                  </c:pt>
                  <c:pt idx="11">
                    <c:v>250,32</c:v>
                  </c:pt>
                  <c:pt idx="12">
                    <c:v>300,76</c:v>
                  </c:pt>
                  <c:pt idx="13">
                    <c:v>317,46</c:v>
                  </c:pt>
                  <c:pt idx="14">
                    <c:v>296,90</c:v>
                  </c:pt>
                  <c:pt idx="16">
                    <c:v>279,43</c:v>
                  </c:pt>
                  <c:pt idx="17">
                    <c:v>262,75</c:v>
                  </c:pt>
                  <c:pt idx="18">
                    <c:v>303,69</c:v>
                  </c:pt>
                  <c:pt idx="19">
                    <c:v>299,91</c:v>
                  </c:pt>
                  <c:pt idx="20">
                    <c:v>320,74</c:v>
                  </c:pt>
                  <c:pt idx="21">
                    <c:v>300,12</c:v>
                  </c:pt>
                  <c:pt idx="22">
                    <c:v>300,24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499,41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263,45</c:v>
                  </c:pt>
                  <c:pt idx="4">
                    <c:v>293,16</c:v>
                  </c:pt>
                  <c:pt idx="5">
                    <c:v>350,37</c:v>
                  </c:pt>
                  <c:pt idx="6">
                    <c:v>300,75</c:v>
                  </c:pt>
                  <c:pt idx="8">
                    <c:v>300,02</c:v>
                  </c:pt>
                  <c:pt idx="9">
                    <c:v>300,65</c:v>
                  </c:pt>
                  <c:pt idx="10">
                    <c:v>381,17</c:v>
                  </c:pt>
                  <c:pt idx="11">
                    <c:v>274,23</c:v>
                  </c:pt>
                  <c:pt idx="12">
                    <c:v>300,95</c:v>
                  </c:pt>
                  <c:pt idx="13">
                    <c:v>310,59</c:v>
                  </c:pt>
                  <c:pt idx="14">
                    <c:v>239,48</c:v>
                  </c:pt>
                  <c:pt idx="16">
                    <c:v>318,34</c:v>
                  </c:pt>
                  <c:pt idx="17">
                    <c:v>300,27</c:v>
                  </c:pt>
                  <c:pt idx="18">
                    <c:v>287,59</c:v>
                  </c:pt>
                  <c:pt idx="19">
                    <c:v>235,38</c:v>
                  </c:pt>
                  <c:pt idx="20">
                    <c:v>299,88</c:v>
                  </c:pt>
                  <c:pt idx="21">
                    <c:v>313,83</c:v>
                  </c:pt>
                  <c:pt idx="22">
                    <c:v>301,01</c:v>
                  </c:pt>
                  <c:pt idx="24">
                    <c:v>295,99</c:v>
                  </c:pt>
                  <c:pt idx="25">
                    <c:v>283,18</c:v>
                  </c:pt>
                  <c:pt idx="26">
                    <c:v>250,45</c:v>
                  </c:pt>
                  <c:pt idx="27">
                    <c:v>391,60</c:v>
                  </c:pt>
                  <c:pt idx="28">
                    <c:v>269,42</c:v>
                  </c:pt>
                  <c:pt idx="29">
                    <c:v>297,84</c:v>
                  </c:pt>
                  <c:pt idx="30">
                    <c:v>246,25</c:v>
                  </c:pt>
                  <c:pt idx="31">
                    <c:v>236,30</c:v>
                  </c:pt>
                  <c:pt idx="32">
                    <c:v>282,40</c:v>
                  </c:pt>
                </c:lvl>
                <c:lvl>
                  <c:pt idx="0">
                    <c:v>329,28</c:v>
                  </c:pt>
                  <c:pt idx="1">
                    <c:v>299,99</c:v>
                  </c:pt>
                  <c:pt idx="2">
                    <c:v>267,65</c:v>
                  </c:pt>
                  <c:pt idx="3">
                    <c:v>300,54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471,60</c:v>
                  </c:pt>
                  <c:pt idx="21">
                    <c:v>202,95</c:v>
                  </c:pt>
                  <c:pt idx="22">
                    <c:v>268,66</c:v>
                  </c:pt>
                  <c:pt idx="24">
                    <c:v>400,50</c:v>
                  </c:pt>
                  <c:pt idx="25">
                    <c:v>327,97</c:v>
                  </c:pt>
                  <c:pt idx="26">
                    <c:v>218,34</c:v>
                  </c:pt>
                  <c:pt idx="27">
                    <c:v>280,29</c:v>
                  </c:pt>
                  <c:pt idx="28">
                    <c:v>250,07</c:v>
                  </c:pt>
                  <c:pt idx="29">
                    <c:v>250,22</c:v>
                  </c:pt>
                  <c:pt idx="30">
                    <c:v>399,98</c:v>
                  </c:pt>
                  <c:pt idx="31">
                    <c:v>242,84</c:v>
                  </c:pt>
                  <c:pt idx="32">
                    <c:v>309,72</c:v>
                  </c:pt>
                </c:lvl>
                <c:lvl>
                  <c:pt idx="0">
                    <c:v>269,19</c:v>
                  </c:pt>
                  <c:pt idx="1">
                    <c:v>261,76</c:v>
                  </c:pt>
                  <c:pt idx="2">
                    <c:v>190,88</c:v>
                  </c:pt>
                  <c:pt idx="3">
                    <c:v>273,66</c:v>
                  </c:pt>
                  <c:pt idx="4">
                    <c:v>281,89</c:v>
                  </c:pt>
                  <c:pt idx="5">
                    <c:v>255,39</c:v>
                  </c:pt>
                  <c:pt idx="6">
                    <c:v>272,28</c:v>
                  </c:pt>
                  <c:pt idx="8">
                    <c:v>247,13</c:v>
                  </c:pt>
                  <c:pt idx="9">
                    <c:v>256,05</c:v>
                  </c:pt>
                  <c:pt idx="10">
                    <c:v>260,53</c:v>
                  </c:pt>
                  <c:pt idx="11">
                    <c:v>255,44</c:v>
                  </c:pt>
                  <c:pt idx="12">
                    <c:v>244,99</c:v>
                  </c:pt>
                  <c:pt idx="13">
                    <c:v>283,96</c:v>
                  </c:pt>
                  <c:pt idx="14">
                    <c:v>243,27</c:v>
                  </c:pt>
                  <c:pt idx="16">
                    <c:v>243,42</c:v>
                  </c:pt>
                  <c:pt idx="17">
                    <c:v>272,97</c:v>
                  </c:pt>
                  <c:pt idx="18">
                    <c:v>273,68</c:v>
                  </c:pt>
                  <c:pt idx="19">
                    <c:v>251,90</c:v>
                  </c:pt>
                  <c:pt idx="20">
                    <c:v>269,94</c:v>
                  </c:pt>
                  <c:pt idx="21">
                    <c:v>257,13</c:v>
                  </c:pt>
                  <c:pt idx="22">
                    <c:v>241,13</c:v>
                  </c:pt>
                  <c:pt idx="24">
                    <c:v>400,37</c:v>
                  </c:pt>
                  <c:pt idx="25">
                    <c:v>269,33</c:v>
                  </c:pt>
                  <c:pt idx="26">
                    <c:v>250,07</c:v>
                  </c:pt>
                  <c:pt idx="27">
                    <c:v>285,47</c:v>
                  </c:pt>
                  <c:pt idx="28">
                    <c:v>271,12</c:v>
                  </c:pt>
                  <c:pt idx="29">
                    <c:v>248,97</c:v>
                  </c:pt>
                  <c:pt idx="30">
                    <c:v>249,99</c:v>
                  </c:pt>
                  <c:pt idx="31">
                    <c:v>266,40</c:v>
                  </c:pt>
                  <c:pt idx="32">
                    <c:v>280,49</c:v>
                  </c:pt>
                </c:lvl>
                <c:lvl>
                  <c:pt idx="0">
                    <c:v>323,06</c:v>
                  </c:pt>
                  <c:pt idx="1">
                    <c:v>227,24</c:v>
                  </c:pt>
                  <c:pt idx="2">
                    <c:v>321,28</c:v>
                  </c:pt>
                  <c:pt idx="3">
                    <c:v>300,49</c:v>
                  </c:pt>
                  <c:pt idx="4">
                    <c:v>417,27</c:v>
                  </c:pt>
                  <c:pt idx="5">
                    <c:v>252,97</c:v>
                  </c:pt>
                  <c:pt idx="6">
                    <c:v>217,63</c:v>
                  </c:pt>
                  <c:pt idx="8">
                    <c:v>227,02</c:v>
                  </c:pt>
                  <c:pt idx="9">
                    <c:v>300,31</c:v>
                  </c:pt>
                  <c:pt idx="10">
                    <c:v>328,04</c:v>
                  </c:pt>
                  <c:pt idx="11">
                    <c:v>334,07</c:v>
                  </c:pt>
                  <c:pt idx="12">
                    <c:v>337,05</c:v>
                  </c:pt>
                  <c:pt idx="13">
                    <c:v>306,72</c:v>
                  </c:pt>
                  <c:pt idx="14">
                    <c:v>377,90</c:v>
                  </c:pt>
                  <c:pt idx="16">
                    <c:v>374,38</c:v>
                  </c:pt>
                  <c:pt idx="17">
                    <c:v>258,53</c:v>
                  </c:pt>
                  <c:pt idx="18">
                    <c:v>308,15</c:v>
                  </c:pt>
                  <c:pt idx="19">
                    <c:v>339,92</c:v>
                  </c:pt>
                  <c:pt idx="20">
                    <c:v>350,48</c:v>
                  </c:pt>
                  <c:pt idx="21">
                    <c:v>322,15</c:v>
                  </c:pt>
                  <c:pt idx="22">
                    <c:v>345,03</c:v>
                  </c:pt>
                  <c:pt idx="24">
                    <c:v>300,22</c:v>
                  </c:pt>
                  <c:pt idx="25">
                    <c:v>316,54</c:v>
                  </c:pt>
                  <c:pt idx="26">
                    <c:v>54,58</c:v>
                  </c:pt>
                  <c:pt idx="27">
                    <c:v>284,87</c:v>
                  </c:pt>
                  <c:pt idx="28">
                    <c:v>352,01</c:v>
                  </c:pt>
                  <c:pt idx="29">
                    <c:v>300,02</c:v>
                  </c:pt>
                  <c:pt idx="30">
                    <c:v>350,27</c:v>
                  </c:pt>
                  <c:pt idx="31">
                    <c:v>249,30</c:v>
                  </c:pt>
                  <c:pt idx="32">
                    <c:v>88,29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400,20</c:v>
                  </c:pt>
                  <c:pt idx="1">
                    <c:v>379,81</c:v>
                  </c:pt>
                  <c:pt idx="2">
                    <c:v>420,92</c:v>
                  </c:pt>
                  <c:pt idx="3">
                    <c:v>351,52</c:v>
                  </c:pt>
                  <c:pt idx="4">
                    <c:v>352,22</c:v>
                  </c:pt>
                  <c:pt idx="5">
                    <c:v>400,01</c:v>
                  </c:pt>
                  <c:pt idx="6">
                    <c:v>400,05</c:v>
                  </c:pt>
                  <c:pt idx="8">
                    <c:v>250,02</c:v>
                  </c:pt>
                  <c:pt idx="9">
                    <c:v>FULL</c:v>
                  </c:pt>
                  <c:pt idx="10">
                    <c:v>150,26</c:v>
                  </c:pt>
                  <c:pt idx="11">
                    <c:v>FULL</c:v>
                  </c:pt>
                  <c:pt idx="12">
                    <c:v>349,92</c:v>
                  </c:pt>
                  <c:pt idx="13">
                    <c:v>FULL</c:v>
                  </c:pt>
                  <c:pt idx="14">
                    <c:v>250,26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97,07</c:v>
                  </c:pt>
                  <c:pt idx="19">
                    <c:v>130,06</c:v>
                  </c:pt>
                  <c:pt idx="20">
                    <c:v>500,18</c:v>
                  </c:pt>
                  <c:pt idx="21">
                    <c:v>500,02</c:v>
                  </c:pt>
                  <c:pt idx="22">
                    <c:v>400,39</c:v>
                  </c:pt>
                  <c:pt idx="24">
                    <c:v>400,48</c:v>
                  </c:pt>
                  <c:pt idx="25">
                    <c:v>500,53</c:v>
                  </c:pt>
                  <c:pt idx="26">
                    <c:v>500,25</c:v>
                  </c:pt>
                  <c:pt idx="27">
                    <c:v>399,51</c:v>
                  </c:pt>
                  <c:pt idx="28">
                    <c:v>500,23</c:v>
                  </c:pt>
                  <c:pt idx="29">
                    <c:v>500,47</c:v>
                  </c:pt>
                  <c:pt idx="30">
                    <c:v>365,65</c:v>
                  </c:pt>
                  <c:pt idx="31">
                    <c:v>334,00</c:v>
                  </c:pt>
                  <c:pt idx="32">
                    <c:v>500,65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400,79</c:v>
                  </c:pt>
                  <c:pt idx="1">
                    <c:v>131,06</c:v>
                  </c:pt>
                  <c:pt idx="2">
                    <c:v>320,69</c:v>
                  </c:pt>
                  <c:pt idx="3">
                    <c:v>456,08</c:v>
                  </c:pt>
                  <c:pt idx="4">
                    <c:v>FULL</c:v>
                  </c:pt>
                  <c:pt idx="5">
                    <c:v>400,14</c:v>
                  </c:pt>
                  <c:pt idx="6">
                    <c:v>350,22</c:v>
                  </c:pt>
                  <c:pt idx="8">
                    <c:v>450,36</c:v>
                  </c:pt>
                  <c:pt idx="9">
                    <c:v>400,60</c:v>
                  </c:pt>
                  <c:pt idx="10">
                    <c:v>500,23</c:v>
                  </c:pt>
                  <c:pt idx="11">
                    <c:v>400,54</c:v>
                  </c:pt>
                  <c:pt idx="12">
                    <c:v>350,67</c:v>
                  </c:pt>
                  <c:pt idx="13">
                    <c:v>300,71</c:v>
                  </c:pt>
                  <c:pt idx="14">
                    <c:v>503,25</c:v>
                  </c:pt>
                  <c:pt idx="16">
                    <c:v>300,24</c:v>
                  </c:pt>
                  <c:pt idx="17">
                    <c:v>300,19</c:v>
                  </c:pt>
                  <c:pt idx="18">
                    <c:v>273,45</c:v>
                  </c:pt>
                  <c:pt idx="19">
                    <c:v>300,07</c:v>
                  </c:pt>
                  <c:pt idx="20">
                    <c:v>350,33</c:v>
                  </c:pt>
                  <c:pt idx="21">
                    <c:v>350,34</c:v>
                  </c:pt>
                  <c:pt idx="22">
                    <c:v>300,13</c:v>
                  </c:pt>
                  <c:pt idx="24">
                    <c:v>200,21</c:v>
                  </c:pt>
                  <c:pt idx="25">
                    <c:v>351,07</c:v>
                  </c:pt>
                  <c:pt idx="26">
                    <c:v>350,46</c:v>
                  </c:pt>
                  <c:pt idx="27">
                    <c:v>400,06</c:v>
                  </c:pt>
                  <c:pt idx="28">
                    <c:v>400,10</c:v>
                  </c:pt>
                  <c:pt idx="29">
                    <c:v>350,22</c:v>
                  </c:pt>
                  <c:pt idx="30">
                    <c:v>350,20</c:v>
                  </c:pt>
                  <c:pt idx="31">
                    <c:v>300,37</c:v>
                  </c:pt>
                  <c:pt idx="32">
                    <c:v>300,25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299,94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250,88</c:v>
                  </c:pt>
                  <c:pt idx="10">
                    <c:v>400,21</c:v>
                  </c:pt>
                  <c:pt idx="11">
                    <c:v>300,58</c:v>
                  </c:pt>
                  <c:pt idx="12">
                    <c:v>268,81</c:v>
                  </c:pt>
                  <c:pt idx="13">
                    <c:v>310,58</c:v>
                  </c:pt>
                  <c:pt idx="14">
                    <c:v>380,46</c:v>
                  </c:pt>
                  <c:pt idx="16">
                    <c:v>199,95</c:v>
                  </c:pt>
                  <c:pt idx="17">
                    <c:v>300,86</c:v>
                  </c:pt>
                  <c:pt idx="18">
                    <c:v>168,72</c:v>
                  </c:pt>
                  <c:pt idx="19">
                    <c:v>FULL</c:v>
                  </c:pt>
                  <c:pt idx="20">
                    <c:v>250,01</c:v>
                  </c:pt>
                  <c:pt idx="21">
                    <c:v>FULL</c:v>
                  </c:pt>
                  <c:pt idx="22">
                    <c:v>352,67</c:v>
                  </c:pt>
                  <c:pt idx="24">
                    <c:v>150,62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300,10</c:v>
                  </c:pt>
                  <c:pt idx="29">
                    <c:v>100,01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400,46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300,34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350,81</c:v>
                  </c:pt>
                  <c:pt idx="10">
                    <c:v>350,48</c:v>
                  </c:pt>
                  <c:pt idx="11">
                    <c:v>269,22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299,88</c:v>
                  </c:pt>
                  <c:pt idx="1">
                    <c:v>230,78</c:v>
                  </c:pt>
                  <c:pt idx="2">
                    <c:v>333,84</c:v>
                  </c:pt>
                  <c:pt idx="3">
                    <c:v>278,99</c:v>
                  </c:pt>
                  <c:pt idx="4">
                    <c:v>89,87</c:v>
                  </c:pt>
                  <c:pt idx="5">
                    <c:v>401,11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10,83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299,97</c:v>
                  </c:pt>
                  <c:pt idx="26">
                    <c:v>301,29</c:v>
                  </c:pt>
                  <c:pt idx="27">
                    <c:v>258,15</c:v>
                  </c:pt>
                  <c:pt idx="28">
                    <c:v>400,22</c:v>
                  </c:pt>
                  <c:pt idx="29">
                    <c:v>117,26</c:v>
                  </c:pt>
                  <c:pt idx="30">
                    <c:v>300,13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323,06</c:v>
                  </c:pt>
                  <c:pt idx="1">
                    <c:v>299,98</c:v>
                  </c:pt>
                  <c:pt idx="2">
                    <c:v>200,74</c:v>
                  </c:pt>
                  <c:pt idx="3">
                    <c:v>192,08</c:v>
                  </c:pt>
                  <c:pt idx="4">
                    <c:v>226,39</c:v>
                  </c:pt>
                  <c:pt idx="5">
                    <c:v>399,85</c:v>
                  </c:pt>
                  <c:pt idx="6">
                    <c:v>350,18</c:v>
                  </c:pt>
                  <c:pt idx="8">
                    <c:v>200,39</c:v>
                  </c:pt>
                  <c:pt idx="9">
                    <c:v>251,86</c:v>
                  </c:pt>
                  <c:pt idx="10">
                    <c:v>250,32</c:v>
                  </c:pt>
                  <c:pt idx="11">
                    <c:v>249,98</c:v>
                  </c:pt>
                  <c:pt idx="12">
                    <c:v>200,22</c:v>
                  </c:pt>
                  <c:pt idx="13">
                    <c:v>200,91</c:v>
                  </c:pt>
                  <c:pt idx="14">
                    <c:v>251,15</c:v>
                  </c:pt>
                  <c:pt idx="16">
                    <c:v>250,31</c:v>
                  </c:pt>
                  <c:pt idx="17">
                    <c:v>250,23</c:v>
                  </c:pt>
                  <c:pt idx="18">
                    <c:v>250,46</c:v>
                  </c:pt>
                  <c:pt idx="19">
                    <c:v>200,29</c:v>
                  </c:pt>
                  <c:pt idx="20">
                    <c:v>300,44</c:v>
                  </c:pt>
                  <c:pt idx="21">
                    <c:v>150,65</c:v>
                  </c:pt>
                  <c:pt idx="22">
                    <c:v>249,94</c:v>
                  </c:pt>
                  <c:pt idx="24">
                    <c:v>250,37</c:v>
                  </c:pt>
                  <c:pt idx="25">
                    <c:v>200,14</c:v>
                  </c:pt>
                  <c:pt idx="26">
                    <c:v>150,69</c:v>
                  </c:pt>
                  <c:pt idx="27">
                    <c:v>250,55</c:v>
                  </c:pt>
                  <c:pt idx="28">
                    <c:v>250,14</c:v>
                  </c:pt>
                  <c:pt idx="29">
                    <c:v>250,46</c:v>
                  </c:pt>
                  <c:pt idx="30">
                    <c:v>200,51</c:v>
                  </c:pt>
                  <c:pt idx="31">
                    <c:v>199,78</c:v>
                  </c:pt>
                  <c:pt idx="32">
                    <c:v>300,39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500,51</c:v>
                  </c:pt>
                  <c:pt idx="4">
                    <c:v>338,26</c:v>
                  </c:pt>
                  <c:pt idx="5">
                    <c:v>400,01</c:v>
                  </c:pt>
                  <c:pt idx="6">
                    <c:v>400,09</c:v>
                  </c:pt>
                  <c:pt idx="8">
                    <c:v>200,59</c:v>
                  </c:pt>
                  <c:pt idx="9">
                    <c:v>269,98</c:v>
                  </c:pt>
                  <c:pt idx="10">
                    <c:v>239,05</c:v>
                  </c:pt>
                  <c:pt idx="11">
                    <c:v>240,66</c:v>
                  </c:pt>
                  <c:pt idx="12">
                    <c:v>100,47</c:v>
                  </c:pt>
                  <c:pt idx="13">
                    <c:v>150,27</c:v>
                  </c:pt>
                  <c:pt idx="14">
                    <c:v>249,33</c:v>
                  </c:pt>
                  <c:pt idx="16">
                    <c:v>264,13</c:v>
                  </c:pt>
                  <c:pt idx="17">
                    <c:v>161,54</c:v>
                  </c:pt>
                  <c:pt idx="18">
                    <c:v>329,41</c:v>
                  </c:pt>
                  <c:pt idx="19">
                    <c:v>150,26</c:v>
                  </c:pt>
                  <c:pt idx="20">
                    <c:v>250,55</c:v>
                  </c:pt>
                  <c:pt idx="21">
                    <c:v>FULL</c:v>
                  </c:pt>
                  <c:pt idx="22">
                    <c:v>359,62</c:v>
                  </c:pt>
                  <c:pt idx="24">
                    <c:v>250,50</c:v>
                  </c:pt>
                  <c:pt idx="25">
                    <c:v>402,85</c:v>
                  </c:pt>
                  <c:pt idx="26">
                    <c:v>300,33</c:v>
                  </c:pt>
                  <c:pt idx="27">
                    <c:v>277,28</c:v>
                  </c:pt>
                  <c:pt idx="28">
                    <c:v>400,24</c:v>
                  </c:pt>
                  <c:pt idx="29">
                    <c:v>237,32</c:v>
                  </c:pt>
                  <c:pt idx="30">
                    <c:v>400,65</c:v>
                  </c:pt>
                  <c:pt idx="31">
                    <c:v>385,22</c:v>
                  </c:pt>
                  <c:pt idx="32">
                    <c:v>156,17</c:v>
                  </c:pt>
                </c:lvl>
                <c:lvl>
                  <c:pt idx="0">
                    <c:v>199,93</c:v>
                  </c:pt>
                  <c:pt idx="1">
                    <c:v>300,06</c:v>
                  </c:pt>
                  <c:pt idx="2">
                    <c:v>300,13</c:v>
                  </c:pt>
                  <c:pt idx="3">
                    <c:v>250,74</c:v>
                  </c:pt>
                  <c:pt idx="4">
                    <c:v>209,70</c:v>
                  </c:pt>
                  <c:pt idx="5">
                    <c:v>FULL</c:v>
                  </c:pt>
                  <c:pt idx="6">
                    <c:v>400,05</c:v>
                  </c:pt>
                  <c:pt idx="8">
                    <c:v>150,38</c:v>
                  </c:pt>
                  <c:pt idx="9">
                    <c:v>299,91</c:v>
                  </c:pt>
                  <c:pt idx="10">
                    <c:v>500,35</c:v>
                  </c:pt>
                  <c:pt idx="11">
                    <c:v>400,54</c:v>
                  </c:pt>
                  <c:pt idx="12">
                    <c:v>150,28</c:v>
                  </c:pt>
                  <c:pt idx="13">
                    <c:v>350,97</c:v>
                  </c:pt>
                  <c:pt idx="14">
                    <c:v>250,73</c:v>
                  </c:pt>
                  <c:pt idx="16">
                    <c:v>FULL</c:v>
                  </c:pt>
                  <c:pt idx="17">
                    <c:v>300,16</c:v>
                  </c:pt>
                  <c:pt idx="18">
                    <c:v>351,43</c:v>
                  </c:pt>
                  <c:pt idx="19">
                    <c:v>250,39</c:v>
                  </c:pt>
                  <c:pt idx="20">
                    <c:v>350,34</c:v>
                  </c:pt>
                  <c:pt idx="21">
                    <c:v>250,14</c:v>
                  </c:pt>
                  <c:pt idx="22">
                    <c:v>248,77</c:v>
                  </c:pt>
                  <c:pt idx="24">
                    <c:v>400,83</c:v>
                  </c:pt>
                  <c:pt idx="25">
                    <c:v>214,45</c:v>
                  </c:pt>
                  <c:pt idx="26">
                    <c:v>200,19</c:v>
                  </c:pt>
                  <c:pt idx="27">
                    <c:v>299,79</c:v>
                  </c:pt>
                  <c:pt idx="28">
                    <c:v>250,34</c:v>
                  </c:pt>
                  <c:pt idx="29">
                    <c:v>250,55</c:v>
                  </c:pt>
                  <c:pt idx="30">
                    <c:v>250,42</c:v>
                  </c:pt>
                  <c:pt idx="31">
                    <c:v>249,51</c:v>
                  </c:pt>
                  <c:pt idx="32">
                    <c:v>251,06</c:v>
                  </c:pt>
                </c:lvl>
                <c:lvl>
                  <c:pt idx="0">
                    <c:v>299,87</c:v>
                  </c:pt>
                  <c:pt idx="1">
                    <c:v>300,08</c:v>
                  </c:pt>
                  <c:pt idx="2">
                    <c:v>299,94</c:v>
                  </c:pt>
                  <c:pt idx="3">
                    <c:v>200,94</c:v>
                  </c:pt>
                  <c:pt idx="4">
                    <c:v>278,18</c:v>
                  </c:pt>
                  <c:pt idx="5">
                    <c:v>399,99</c:v>
                  </c:pt>
                  <c:pt idx="6">
                    <c:v>349,98</c:v>
                  </c:pt>
                  <c:pt idx="8">
                    <c:v>300,01</c:v>
                  </c:pt>
                  <c:pt idx="9">
                    <c:v>299,93</c:v>
                  </c:pt>
                  <c:pt idx="10">
                    <c:v>300,19</c:v>
                  </c:pt>
                  <c:pt idx="11">
                    <c:v>300,17</c:v>
                  </c:pt>
                  <c:pt idx="12">
                    <c:v>300,08</c:v>
                  </c:pt>
                  <c:pt idx="13">
                    <c:v>300,15</c:v>
                  </c:pt>
                  <c:pt idx="14">
                    <c:v>250,24</c:v>
                  </c:pt>
                  <c:pt idx="16">
                    <c:v>187,27</c:v>
                  </c:pt>
                  <c:pt idx="17">
                    <c:v>112,21</c:v>
                  </c:pt>
                  <c:pt idx="18">
                    <c:v>79,38</c:v>
                  </c:pt>
                  <c:pt idx="19">
                    <c:v>300,33</c:v>
                  </c:pt>
                  <c:pt idx="20">
                    <c:v>319,98</c:v>
                  </c:pt>
                  <c:pt idx="21">
                    <c:v>250,05</c:v>
                  </c:pt>
                  <c:pt idx="22">
                    <c:v>357,35</c:v>
                  </c:pt>
                  <c:pt idx="24">
                    <c:v>250,13</c:v>
                  </c:pt>
                  <c:pt idx="25">
                    <c:v>402,92</c:v>
                  </c:pt>
                  <c:pt idx="26">
                    <c:v>200,36</c:v>
                  </c:pt>
                  <c:pt idx="27">
                    <c:v>93,11</c:v>
                  </c:pt>
                  <c:pt idx="28">
                    <c:v>400,10</c:v>
                  </c:pt>
                  <c:pt idx="29">
                    <c:v>106,41</c:v>
                  </c:pt>
                  <c:pt idx="30">
                    <c:v>FULL</c:v>
                  </c:pt>
                  <c:pt idx="31">
                    <c:v>199,52</c:v>
                  </c:pt>
                  <c:pt idx="32">
                    <c:v>333,21</c:v>
                  </c:pt>
                </c:lvl>
                <c:lvl>
                  <c:pt idx="0">
                    <c:v>300,48</c:v>
                  </c:pt>
                  <c:pt idx="1">
                    <c:v>300,05</c:v>
                  </c:pt>
                  <c:pt idx="2">
                    <c:v>250,28</c:v>
                  </c:pt>
                  <c:pt idx="3">
                    <c:v>266,16</c:v>
                  </c:pt>
                  <c:pt idx="4">
                    <c:v>306,31</c:v>
                  </c:pt>
                  <c:pt idx="5">
                    <c:v>350,10</c:v>
                  </c:pt>
                  <c:pt idx="6">
                    <c:v>250,35</c:v>
                  </c:pt>
                  <c:pt idx="8">
                    <c:v>250,35</c:v>
                  </c:pt>
                  <c:pt idx="9">
                    <c:v>150,76</c:v>
                  </c:pt>
                  <c:pt idx="10">
                    <c:v>250,16</c:v>
                  </c:pt>
                  <c:pt idx="11">
                    <c:v>350,34</c:v>
                  </c:pt>
                  <c:pt idx="12">
                    <c:v>200,83</c:v>
                  </c:pt>
                  <c:pt idx="13">
                    <c:v>300,81</c:v>
                  </c:pt>
                  <c:pt idx="14">
                    <c:v>350,33</c:v>
                  </c:pt>
                  <c:pt idx="16">
                    <c:v>292,91</c:v>
                  </c:pt>
                  <c:pt idx="17">
                    <c:v>200,11</c:v>
                  </c:pt>
                  <c:pt idx="18">
                    <c:v>351,09</c:v>
                  </c:pt>
                  <c:pt idx="19">
                    <c:v>200,68</c:v>
                  </c:pt>
                  <c:pt idx="20">
                    <c:v>400,18</c:v>
                  </c:pt>
                  <c:pt idx="21">
                    <c:v>250,27</c:v>
                  </c:pt>
                  <c:pt idx="22">
                    <c:v>320,17</c:v>
                  </c:pt>
                  <c:pt idx="24">
                    <c:v>300,00</c:v>
                  </c:pt>
                  <c:pt idx="25">
                    <c:v>299,96</c:v>
                  </c:pt>
                  <c:pt idx="26">
                    <c:v>352,12</c:v>
                  </c:pt>
                  <c:pt idx="27">
                    <c:v>349,98</c:v>
                  </c:pt>
                  <c:pt idx="28">
                    <c:v>400,14</c:v>
                  </c:pt>
                  <c:pt idx="29">
                    <c:v>200,44</c:v>
                  </c:pt>
                  <c:pt idx="30">
                    <c:v>250,64</c:v>
                  </c:pt>
                  <c:pt idx="31">
                    <c:v>299,74</c:v>
                  </c:pt>
                  <c:pt idx="32">
                    <c:v>300,59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299,55</c:v>
                  </c:pt>
                  <c:pt idx="2">
                    <c:v>299,87</c:v>
                  </c:pt>
                  <c:pt idx="3">
                    <c:v>200,89</c:v>
                  </c:pt>
                  <c:pt idx="4">
                    <c:v>386,22</c:v>
                  </c:pt>
                  <c:pt idx="5">
                    <c:v>350,10</c:v>
                  </c:pt>
                  <c:pt idx="6">
                    <c:v>350,18</c:v>
                  </c:pt>
                  <c:pt idx="8">
                    <c:v>120,23</c:v>
                  </c:pt>
                  <c:pt idx="9">
                    <c:v>250,17</c:v>
                  </c:pt>
                  <c:pt idx="10">
                    <c:v>250,30</c:v>
                  </c:pt>
                  <c:pt idx="11">
                    <c:v>300,12</c:v>
                  </c:pt>
                  <c:pt idx="12">
                    <c:v>200,35</c:v>
                  </c:pt>
                  <c:pt idx="13">
                    <c:v>300,78</c:v>
                  </c:pt>
                  <c:pt idx="14">
                    <c:v>300,40</c:v>
                  </c:pt>
                  <c:pt idx="16">
                    <c:v>199,94</c:v>
                  </c:pt>
                  <c:pt idx="17">
                    <c:v>200,21</c:v>
                  </c:pt>
                  <c:pt idx="18">
                    <c:v>351,86</c:v>
                  </c:pt>
                  <c:pt idx="19">
                    <c:v>200,18</c:v>
                  </c:pt>
                  <c:pt idx="20">
                    <c:v>250,57</c:v>
                  </c:pt>
                  <c:pt idx="21">
                    <c:v>FULL</c:v>
                  </c:pt>
                  <c:pt idx="22">
                    <c:v>451,09</c:v>
                  </c:pt>
                  <c:pt idx="24">
                    <c:v>400,43</c:v>
                  </c:pt>
                  <c:pt idx="25">
                    <c:v>300,21</c:v>
                  </c:pt>
                  <c:pt idx="26">
                    <c:v>250,98</c:v>
                  </c:pt>
                  <c:pt idx="27">
                    <c:v>165,78</c:v>
                  </c:pt>
                  <c:pt idx="28">
                    <c:v>200,43</c:v>
                  </c:pt>
                  <c:pt idx="29">
                    <c:v>250,06</c:v>
                  </c:pt>
                  <c:pt idx="30">
                    <c:v>350,33</c:v>
                  </c:pt>
                  <c:pt idx="31">
                    <c:v>199,76</c:v>
                  </c:pt>
                  <c:pt idx="32">
                    <c:v>200,35</c:v>
                  </c:pt>
                </c:lvl>
                <c:lvl>
                  <c:pt idx="0">
                    <c:v>400,20</c:v>
                  </c:pt>
                  <c:pt idx="1">
                    <c:v>349,90</c:v>
                  </c:pt>
                  <c:pt idx="2">
                    <c:v>350,19</c:v>
                  </c:pt>
                  <c:pt idx="3">
                    <c:v>250,85</c:v>
                  </c:pt>
                  <c:pt idx="4">
                    <c:v>208,67</c:v>
                  </c:pt>
                  <c:pt idx="5">
                    <c:v>400,18</c:v>
                  </c:pt>
                  <c:pt idx="6">
                    <c:v>300,18</c:v>
                  </c:pt>
                  <c:pt idx="8">
                    <c:v>200,26</c:v>
                  </c:pt>
                  <c:pt idx="9">
                    <c:v>FULL</c:v>
                  </c:pt>
                  <c:pt idx="10">
                    <c:v>400,24</c:v>
                  </c:pt>
                  <c:pt idx="11">
                    <c:v>250,51</c:v>
                  </c:pt>
                  <c:pt idx="12">
                    <c:v>200,37</c:v>
                  </c:pt>
                  <c:pt idx="13">
                    <c:v>300,61</c:v>
                  </c:pt>
                  <c:pt idx="14">
                    <c:v>303,09</c:v>
                  </c:pt>
                  <c:pt idx="16">
                    <c:v>200,63</c:v>
                  </c:pt>
                  <c:pt idx="17">
                    <c:v>207,86</c:v>
                  </c:pt>
                  <c:pt idx="18">
                    <c:v>270,84</c:v>
                  </c:pt>
                  <c:pt idx="19">
                    <c:v>200,49</c:v>
                  </c:pt>
                  <c:pt idx="20">
                    <c:v>250,35</c:v>
                  </c:pt>
                  <c:pt idx="21">
                    <c:v>250,56</c:v>
                  </c:pt>
                  <c:pt idx="22">
                    <c:v>357,35</c:v>
                  </c:pt>
                  <c:pt idx="24">
                    <c:v>300,05</c:v>
                  </c:pt>
                  <c:pt idx="25">
                    <c:v>200,82</c:v>
                  </c:pt>
                  <c:pt idx="26">
                    <c:v>249,94</c:v>
                  </c:pt>
                  <c:pt idx="27">
                    <c:v>250,78</c:v>
                  </c:pt>
                  <c:pt idx="28">
                    <c:v>250,78</c:v>
                  </c:pt>
                  <c:pt idx="29">
                    <c:v>250,52</c:v>
                  </c:pt>
                  <c:pt idx="30">
                    <c:v>250,13</c:v>
                  </c:pt>
                  <c:pt idx="31">
                    <c:v>305,44</c:v>
                  </c:pt>
                  <c:pt idx="32">
                    <c:v>251,46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270,61</c:v>
                  </c:pt>
                  <c:pt idx="3">
                    <c:v>269,87</c:v>
                  </c:pt>
                  <c:pt idx="4">
                    <c:v>FULL</c:v>
                  </c:pt>
                  <c:pt idx="5">
                    <c:v>500,18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121,42</c:v>
                  </c:pt>
                  <c:pt idx="10">
                    <c:v>FULL</c:v>
                  </c:pt>
                  <c:pt idx="11">
                    <c:v>370,62</c:v>
                  </c:pt>
                  <c:pt idx="12">
                    <c:v>350,25</c:v>
                  </c:pt>
                  <c:pt idx="13">
                    <c:v>400,69</c:v>
                  </c:pt>
                  <c:pt idx="14">
                    <c:v>500,12</c:v>
                  </c:pt>
                  <c:pt idx="16">
                    <c:v>200,62</c:v>
                  </c:pt>
                  <c:pt idx="17">
                    <c:v>FULL</c:v>
                  </c:pt>
                  <c:pt idx="18">
                    <c:v>452,92</c:v>
                  </c:pt>
                  <c:pt idx="19">
                    <c:v>399,94</c:v>
                  </c:pt>
                  <c:pt idx="20">
                    <c:v>400,00</c:v>
                  </c:pt>
                  <c:pt idx="21">
                    <c:v>499,94</c:v>
                  </c:pt>
                  <c:pt idx="22">
                    <c:v>415,63</c:v>
                  </c:pt>
                  <c:pt idx="24">
                    <c:v>500,27</c:v>
                  </c:pt>
                  <c:pt idx="25">
                    <c:v>251,18</c:v>
                  </c:pt>
                  <c:pt idx="26">
                    <c:v>FULL</c:v>
                  </c:pt>
                  <c:pt idx="27">
                    <c:v>400,30</c:v>
                  </c:pt>
                  <c:pt idx="28">
                    <c:v>400,09</c:v>
                  </c:pt>
                  <c:pt idx="29">
                    <c:v>400,13</c:v>
                  </c:pt>
                  <c:pt idx="30">
                    <c:v>400,14</c:v>
                  </c:pt>
                  <c:pt idx="31">
                    <c:v>499,62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71,76</c:v>
                  </c:pt>
                  <c:pt idx="2">
                    <c:v>380,46</c:v>
                  </c:pt>
                  <c:pt idx="3">
                    <c:v>323,93</c:v>
                  </c:pt>
                  <c:pt idx="4">
                    <c:v>391,29</c:v>
                  </c:pt>
                  <c:pt idx="5">
                    <c:v>400,18</c:v>
                  </c:pt>
                  <c:pt idx="6">
                    <c:v>400,26</c:v>
                  </c:pt>
                  <c:pt idx="8">
                    <c:v>500,16</c:v>
                  </c:pt>
                  <c:pt idx="9">
                    <c:v>270,49</c:v>
                  </c:pt>
                  <c:pt idx="10">
                    <c:v>450,20</c:v>
                  </c:pt>
                  <c:pt idx="11">
                    <c:v>500,34</c:v>
                  </c:pt>
                  <c:pt idx="12">
                    <c:v>400,09</c:v>
                  </c:pt>
                  <c:pt idx="13">
                    <c:v>400,84</c:v>
                  </c:pt>
                  <c:pt idx="14">
                    <c:v>283,81</c:v>
                  </c:pt>
                  <c:pt idx="16">
                    <c:v>350,19</c:v>
                  </c:pt>
                  <c:pt idx="17">
                    <c:v>350,43</c:v>
                  </c:pt>
                  <c:pt idx="18">
                    <c:v>119,49</c:v>
                  </c:pt>
                  <c:pt idx="19">
                    <c:v>500,19</c:v>
                  </c:pt>
                  <c:pt idx="20">
                    <c:v>400,51</c:v>
                  </c:pt>
                  <c:pt idx="21">
                    <c:v>400,23</c:v>
                  </c:pt>
                  <c:pt idx="22">
                    <c:v>419,57</c:v>
                  </c:pt>
                  <c:pt idx="24">
                    <c:v>300,50</c:v>
                  </c:pt>
                  <c:pt idx="25">
                    <c:v>312,27</c:v>
                  </c:pt>
                  <c:pt idx="26">
                    <c:v>450,83</c:v>
                  </c:pt>
                  <c:pt idx="27">
                    <c:v>369,96</c:v>
                  </c:pt>
                  <c:pt idx="28">
                    <c:v>400,19</c:v>
                  </c:pt>
                  <c:pt idx="29">
                    <c:v>399,92</c:v>
                  </c:pt>
                  <c:pt idx="30">
                    <c:v>400,22</c:v>
                  </c:pt>
                  <c:pt idx="31">
                    <c:v>299,92</c:v>
                  </c:pt>
                  <c:pt idx="32">
                    <c:v>450,55</c:v>
                  </c:pt>
                </c:lvl>
                <c:lvl>
                  <c:pt idx="7">
                    <c:v>GRAHA</c:v>
                  </c:pt>
                  <c:pt idx="15">
                    <c:v>GRAHA</c:v>
                  </c:pt>
                  <c:pt idx="23">
                    <c:v>GRAHA</c:v>
                  </c:pt>
                  <c:pt idx="34">
                    <c:v>GRAHA</c:v>
                  </c:pt>
                </c:lvl>
                <c:lvl>
                  <c:pt idx="0">
                    <c:v>57,69</c:v>
                  </c:pt>
                  <c:pt idx="1">
                    <c:v>67,25</c:v>
                  </c:pt>
                  <c:pt idx="2">
                    <c:v>418,37</c:v>
                  </c:pt>
                  <c:pt idx="3">
                    <c:v>293,43</c:v>
                  </c:pt>
                  <c:pt idx="4">
                    <c:v>490,71</c:v>
                  </c:pt>
                  <c:pt idx="5">
                    <c:v>399,99</c:v>
                  </c:pt>
                  <c:pt idx="6">
                    <c:v>352,83</c:v>
                  </c:pt>
                  <c:pt idx="8">
                    <c:v>200,39</c:v>
                  </c:pt>
                  <c:pt idx="9">
                    <c:v>232,41</c:v>
                  </c:pt>
                  <c:pt idx="10">
                    <c:v>35,71</c:v>
                  </c:pt>
                  <c:pt idx="11">
                    <c:v>50,04</c:v>
                  </c:pt>
                  <c:pt idx="12">
                    <c:v>89,06</c:v>
                  </c:pt>
                  <c:pt idx="13">
                    <c:v>412,37</c:v>
                  </c:pt>
                  <c:pt idx="14">
                    <c:v>334,29</c:v>
                  </c:pt>
                  <c:pt idx="16">
                    <c:v>502,21</c:v>
                  </c:pt>
                  <c:pt idx="17">
                    <c:v>400,31</c:v>
                  </c:pt>
                  <c:pt idx="18">
                    <c:v>434,69</c:v>
                  </c:pt>
                  <c:pt idx="19">
                    <c:v>355,10</c:v>
                  </c:pt>
                  <c:pt idx="20">
                    <c:v>267,25</c:v>
                  </c:pt>
                  <c:pt idx="21">
                    <c:v>209,37</c:v>
                  </c:pt>
                  <c:pt idx="22">
                    <c:v>500,42</c:v>
                  </c:pt>
                  <c:pt idx="24">
                    <c:v>268,41</c:v>
                  </c:pt>
                  <c:pt idx="25">
                    <c:v>FULL</c:v>
                  </c:pt>
                  <c:pt idx="26">
                    <c:v>173,75</c:v>
                  </c:pt>
                  <c:pt idx="27">
                    <c:v>486,51</c:v>
                  </c:pt>
                  <c:pt idx="28">
                    <c:v>400,40</c:v>
                  </c:pt>
                  <c:pt idx="29">
                    <c:v>68,68</c:v>
                  </c:pt>
                  <c:pt idx="30">
                    <c:v>400,04</c:v>
                  </c:pt>
                  <c:pt idx="31">
                    <c:v>65,22</c:v>
                  </c:pt>
                  <c:pt idx="32">
                    <c:v>16,90</c:v>
                  </c:pt>
                </c:lvl>
                <c:lvl>
                  <c:pt idx="0">
                    <c:v>450,81</c:v>
                  </c:pt>
                  <c:pt idx="1">
                    <c:v>403,52</c:v>
                  </c:pt>
                  <c:pt idx="2">
                    <c:v>450,90</c:v>
                  </c:pt>
                  <c:pt idx="3">
                    <c:v>355,16</c:v>
                  </c:pt>
                  <c:pt idx="4">
                    <c:v>483,87</c:v>
                  </c:pt>
                  <c:pt idx="5">
                    <c:v>500,17</c:v>
                  </c:pt>
                  <c:pt idx="6">
                    <c:v>350,48</c:v>
                  </c:pt>
                  <c:pt idx="8">
                    <c:v>350,32</c:v>
                  </c:pt>
                  <c:pt idx="9">
                    <c:v>353,28</c:v>
                  </c:pt>
                  <c:pt idx="10">
                    <c:v>300,46</c:v>
                  </c:pt>
                  <c:pt idx="11">
                    <c:v>205,25</c:v>
                  </c:pt>
                  <c:pt idx="12">
                    <c:v>500,08</c:v>
                  </c:pt>
                  <c:pt idx="13">
                    <c:v>463,80</c:v>
                  </c:pt>
                  <c:pt idx="14">
                    <c:v>480,25</c:v>
                  </c:pt>
                  <c:pt idx="16">
                    <c:v>400,36</c:v>
                  </c:pt>
                  <c:pt idx="17">
                    <c:v>400,75</c:v>
                  </c:pt>
                  <c:pt idx="18">
                    <c:v>450,36</c:v>
                  </c:pt>
                  <c:pt idx="19">
                    <c:v>399,85</c:v>
                  </c:pt>
                  <c:pt idx="20">
                    <c:v>400,47</c:v>
                  </c:pt>
                  <c:pt idx="21">
                    <c:v>500,19</c:v>
                  </c:pt>
                  <c:pt idx="22">
                    <c:v>499,97</c:v>
                  </c:pt>
                  <c:pt idx="24">
                    <c:v>500,15</c:v>
                  </c:pt>
                  <c:pt idx="25">
                    <c:v>500,06</c:v>
                  </c:pt>
                  <c:pt idx="26">
                    <c:v>500,33</c:v>
                  </c:pt>
                  <c:pt idx="27">
                    <c:v>499,61</c:v>
                  </c:pt>
                  <c:pt idx="28">
                    <c:v>500,60</c:v>
                  </c:pt>
                  <c:pt idx="29">
                    <c:v>500,34</c:v>
                  </c:pt>
                  <c:pt idx="30">
                    <c:v>500,18</c:v>
                  </c:pt>
                  <c:pt idx="31">
                    <c:v>477,14</c:v>
                  </c:pt>
                  <c:pt idx="32">
                    <c:v>500,13</c:v>
                  </c:pt>
                </c:lvl>
                <c:lvl>
                  <c:pt idx="0">
                    <c:v>399,71</c:v>
                  </c:pt>
                  <c:pt idx="1">
                    <c:v>501,49</c:v>
                  </c:pt>
                  <c:pt idx="2">
                    <c:v>500,28</c:v>
                  </c:pt>
                  <c:pt idx="3">
                    <c:v>500,45</c:v>
                  </c:pt>
                  <c:pt idx="4">
                    <c:v>415,33</c:v>
                  </c:pt>
                  <c:pt idx="5">
                    <c:v>399,85</c:v>
                  </c:pt>
                  <c:pt idx="6">
                    <c:v>400,40</c:v>
                  </c:pt>
                  <c:pt idx="8">
                    <c:v>457,89</c:v>
                  </c:pt>
                  <c:pt idx="9">
                    <c:v>372,57</c:v>
                  </c:pt>
                  <c:pt idx="10">
                    <c:v>454,62</c:v>
                  </c:pt>
                  <c:pt idx="11">
                    <c:v>400,39</c:v>
                  </c:pt>
                  <c:pt idx="12">
                    <c:v>500,25</c:v>
                  </c:pt>
                  <c:pt idx="13">
                    <c:v>497,85</c:v>
                  </c:pt>
                  <c:pt idx="14">
                    <c:v>462,09</c:v>
                  </c:pt>
                  <c:pt idx="16">
                    <c:v>457,14</c:v>
                  </c:pt>
                  <c:pt idx="17">
                    <c:v>400,12</c:v>
                  </c:pt>
                  <c:pt idx="18">
                    <c:v>499,69</c:v>
                  </c:pt>
                  <c:pt idx="19">
                    <c:v>400,11</c:v>
                  </c:pt>
                  <c:pt idx="20">
                    <c:v>500,49</c:v>
                  </c:pt>
                  <c:pt idx="21">
                    <c:v>499,98</c:v>
                  </c:pt>
                  <c:pt idx="22">
                    <c:v>498,80</c:v>
                  </c:pt>
                  <c:pt idx="24">
                    <c:v>432,69</c:v>
                  </c:pt>
                  <c:pt idx="25">
                    <c:v>465,73</c:v>
                  </c:pt>
                  <c:pt idx="26">
                    <c:v>451,69</c:v>
                  </c:pt>
                  <c:pt idx="27">
                    <c:v>499,91</c:v>
                  </c:pt>
                  <c:pt idx="28">
                    <c:v>494,90</c:v>
                  </c:pt>
                  <c:pt idx="29">
                    <c:v>400,16</c:v>
                  </c:pt>
                  <c:pt idx="30">
                    <c:v>FULL</c:v>
                  </c:pt>
                  <c:pt idx="31">
                    <c:v>500,56</c:v>
                  </c:pt>
                  <c:pt idx="32">
                    <c:v>498,26</c:v>
                  </c:pt>
                  <c:pt idx="36">
                    <c:v>05, 09,12,22,38, 43, 44.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 full BBM Solar -----------</c:v>
                  </c:pt>
                </c:lvl>
                <c:lvl>
                  <c:pt idx="0">
                    <c:v>400,23</c:v>
                  </c:pt>
                  <c:pt idx="1">
                    <c:v>499,41</c:v>
                  </c:pt>
                  <c:pt idx="2">
                    <c:v>400,19</c:v>
                  </c:pt>
                  <c:pt idx="3">
                    <c:v>500,51</c:v>
                  </c:pt>
                  <c:pt idx="4">
                    <c:v>500,52</c:v>
                  </c:pt>
                  <c:pt idx="5">
                    <c:v>400,01</c:v>
                  </c:pt>
                  <c:pt idx="6">
                    <c:v>265,71</c:v>
                  </c:pt>
                  <c:pt idx="8">
                    <c:v>FULL</c:v>
                  </c:pt>
                  <c:pt idx="9">
                    <c:v>331,44</c:v>
                  </c:pt>
                  <c:pt idx="10">
                    <c:v>500,19</c:v>
                  </c:pt>
                  <c:pt idx="11">
                    <c:v>500,15</c:v>
                  </c:pt>
                  <c:pt idx="12">
                    <c:v>500,08</c:v>
                  </c:pt>
                  <c:pt idx="13">
                    <c:v>500,31</c:v>
                  </c:pt>
                  <c:pt idx="14">
                    <c:v>470,21</c:v>
                  </c:pt>
                  <c:pt idx="16">
                    <c:v>400,34</c:v>
                  </c:pt>
                  <c:pt idx="17">
                    <c:v>400,09</c:v>
                  </c:pt>
                  <c:pt idx="18">
                    <c:v>500,96</c:v>
                  </c:pt>
                  <c:pt idx="19">
                    <c:v>500,19</c:v>
                  </c:pt>
                  <c:pt idx="20">
                    <c:v>500,09</c:v>
                  </c:pt>
                  <c:pt idx="21">
                    <c:v>450,06</c:v>
                  </c:pt>
                  <c:pt idx="22">
                    <c:v>500,03</c:v>
                  </c:pt>
                  <c:pt idx="24">
                    <c:v>500,73</c:v>
                  </c:pt>
                  <c:pt idx="25">
                    <c:v>499,84</c:v>
                  </c:pt>
                  <c:pt idx="26">
                    <c:v>500,81</c:v>
                  </c:pt>
                  <c:pt idx="27">
                    <c:v>500,05</c:v>
                  </c:pt>
                  <c:pt idx="28">
                    <c:v>500,41</c:v>
                  </c:pt>
                  <c:pt idx="29">
                    <c:v>500,27</c:v>
                  </c:pt>
                  <c:pt idx="30">
                    <c:v>500,57</c:v>
                  </c:pt>
                  <c:pt idx="31">
                    <c:v>499,95</c:v>
                  </c:pt>
                  <c:pt idx="32">
                    <c:v>500,41</c:v>
                  </c:pt>
                  <c:pt idx="36">
                    <c:v>. RTGC Standby status</c:v>
                  </c:pt>
                </c:lvl>
                <c:lvl>
                  <c:pt idx="0">
                    <c:v>500,07</c:v>
                  </c:pt>
                  <c:pt idx="1">
                    <c:v>450,04</c:v>
                  </c:pt>
                  <c:pt idx="2">
                    <c:v>400,17</c:v>
                  </c:pt>
                  <c:pt idx="3">
                    <c:v>500,17</c:v>
                  </c:pt>
                  <c:pt idx="4">
                    <c:v>500,72</c:v>
                  </c:pt>
                  <c:pt idx="5">
                    <c:v>499,88</c:v>
                  </c:pt>
                  <c:pt idx="6">
                    <c:v>400,09</c:v>
                  </c:pt>
                  <c:pt idx="8">
                    <c:v>450,21</c:v>
                  </c:pt>
                  <c:pt idx="9">
                    <c:v>400,82</c:v>
                  </c:pt>
                  <c:pt idx="10">
                    <c:v>500,12</c:v>
                  </c:pt>
                  <c:pt idx="11">
                    <c:v>500,36</c:v>
                  </c:pt>
                  <c:pt idx="12">
                    <c:v>500,13</c:v>
                  </c:pt>
                  <c:pt idx="13">
                    <c:v>500,51</c:v>
                  </c:pt>
                  <c:pt idx="14">
                    <c:v>450,23</c:v>
                  </c:pt>
                  <c:pt idx="16">
                    <c:v>450,21</c:v>
                  </c:pt>
                  <c:pt idx="17">
                    <c:v>400,33</c:v>
                  </c:pt>
                  <c:pt idx="18">
                    <c:v>500,02</c:v>
                  </c:pt>
                  <c:pt idx="19">
                    <c:v>400,08</c:v>
                  </c:pt>
                  <c:pt idx="20">
                    <c:v>500,61</c:v>
                  </c:pt>
                  <c:pt idx="21">
                    <c:v>500,68</c:v>
                  </c:pt>
                  <c:pt idx="22">
                    <c:v>500,80</c:v>
                  </c:pt>
                  <c:pt idx="24">
                    <c:v>400,10</c:v>
                  </c:pt>
                  <c:pt idx="25">
                    <c:v>500,16</c:v>
                  </c:pt>
                  <c:pt idx="26">
                    <c:v>500,22</c:v>
                  </c:pt>
                  <c:pt idx="27">
                    <c:v>400,20</c:v>
                  </c:pt>
                  <c:pt idx="28">
                    <c:v>502,68</c:v>
                  </c:pt>
                  <c:pt idx="29">
                    <c:v>500,23</c:v>
                  </c:pt>
                  <c:pt idx="30">
                    <c:v>500,10</c:v>
                  </c:pt>
                  <c:pt idx="31">
                    <c:v>300,61</c:v>
                  </c:pt>
                  <c:pt idx="32">
                    <c:v>400,50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21, 23, 24, 25.</c:v>
                  </c:pt>
                </c:lvl>
                <c:lvl>
                  <c:pt idx="0">
                    <c:v>400,56</c:v>
                  </c:pt>
                  <c:pt idx="1">
                    <c:v>344,71</c:v>
                  </c:pt>
                  <c:pt idx="2">
                    <c:v>449,99</c:v>
                  </c:pt>
                  <c:pt idx="3">
                    <c:v>361,62</c:v>
                  </c:pt>
                  <c:pt idx="4">
                    <c:v>432,63</c:v>
                  </c:pt>
                  <c:pt idx="5">
                    <c:v>350,37</c:v>
                  </c:pt>
                  <c:pt idx="6">
                    <c:v>400,55</c:v>
                  </c:pt>
                  <c:pt idx="8">
                    <c:v>201,31</c:v>
                  </c:pt>
                  <c:pt idx="9">
                    <c:v>FULL</c:v>
                  </c:pt>
                  <c:pt idx="10">
                    <c:v>300,53</c:v>
                  </c:pt>
                  <c:pt idx="11">
                    <c:v>400,47</c:v>
                  </c:pt>
                  <c:pt idx="12">
                    <c:v>450,27</c:v>
                  </c:pt>
                  <c:pt idx="13">
                    <c:v>400,55</c:v>
                  </c:pt>
                  <c:pt idx="14">
                    <c:v>354,76</c:v>
                  </c:pt>
                  <c:pt idx="16">
                    <c:v>386,71</c:v>
                  </c:pt>
                  <c:pt idx="17">
                    <c:v>399,97</c:v>
                  </c:pt>
                  <c:pt idx="18">
                    <c:v>307,37</c:v>
                  </c:pt>
                  <c:pt idx="19">
                    <c:v>400,32</c:v>
                  </c:pt>
                  <c:pt idx="20">
                    <c:v>260,40</c:v>
                  </c:pt>
                  <c:pt idx="21">
                    <c:v>399,63</c:v>
                  </c:pt>
                  <c:pt idx="22">
                    <c:v>420,22</c:v>
                  </c:pt>
                  <c:pt idx="24">
                    <c:v>450,52</c:v>
                  </c:pt>
                  <c:pt idx="25">
                    <c:v>350,01</c:v>
                  </c:pt>
                  <c:pt idx="26">
                    <c:v>500,55</c:v>
                  </c:pt>
                  <c:pt idx="27">
                    <c:v>349,87</c:v>
                  </c:pt>
                  <c:pt idx="28">
                    <c:v>412,66</c:v>
                  </c:pt>
                  <c:pt idx="29">
                    <c:v>400,38</c:v>
                  </c:pt>
                  <c:pt idx="30">
                    <c:v>418,29</c:v>
                  </c:pt>
                  <c:pt idx="31">
                    <c:v>398,94</c:v>
                  </c:pt>
                  <c:pt idx="32">
                    <c:v>400,33</c:v>
                  </c:pt>
                  <c:pt idx="36">
                    <c:v>. RTGC yg Dilelang Srucb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301,52</c:v>
                  </c:pt>
                  <c:pt idx="1">
                    <c:v>350,00</c:v>
                  </c:pt>
                  <c:pt idx="2">
                    <c:v>270,04</c:v>
                  </c:pt>
                  <c:pt idx="3">
                    <c:v>303,64</c:v>
                  </c:pt>
                  <c:pt idx="4">
                    <c:v>310,42</c:v>
                  </c:pt>
                  <c:pt idx="5">
                    <c:v>399,99</c:v>
                  </c:pt>
                  <c:pt idx="6">
                    <c:v>300,23</c:v>
                  </c:pt>
                  <c:pt idx="8">
                    <c:v>149,98</c:v>
                  </c:pt>
                  <c:pt idx="9">
                    <c:v>249,99</c:v>
                  </c:pt>
                  <c:pt idx="10">
                    <c:v>400,44</c:v>
                  </c:pt>
                  <c:pt idx="11">
                    <c:v>149,16</c:v>
                  </c:pt>
                  <c:pt idx="12">
                    <c:v>150,32</c:v>
                  </c:pt>
                  <c:pt idx="13">
                    <c:v>FULL</c:v>
                  </c:pt>
                  <c:pt idx="14">
                    <c:v>270,57</c:v>
                  </c:pt>
                  <c:pt idx="16">
                    <c:v>400,36</c:v>
                  </c:pt>
                  <c:pt idx="17">
                    <c:v>200,34</c:v>
                  </c:pt>
                  <c:pt idx="18">
                    <c:v>352,22</c:v>
                  </c:pt>
                  <c:pt idx="19">
                    <c:v>288,21</c:v>
                  </c:pt>
                  <c:pt idx="20">
                    <c:v>400,08</c:v>
                  </c:pt>
                  <c:pt idx="21">
                    <c:v>350,53</c:v>
                  </c:pt>
                  <c:pt idx="22">
                    <c:v>350,31</c:v>
                  </c:pt>
                  <c:pt idx="24">
                    <c:v>350,30</c:v>
                  </c:pt>
                  <c:pt idx="25">
                    <c:v>350,79</c:v>
                  </c:pt>
                  <c:pt idx="26">
                    <c:v>350,53</c:v>
                  </c:pt>
                  <c:pt idx="27">
                    <c:v>200,07</c:v>
                  </c:pt>
                  <c:pt idx="28">
                    <c:v>350,66</c:v>
                  </c:pt>
                  <c:pt idx="29">
                    <c:v>350,41</c:v>
                  </c:pt>
                  <c:pt idx="30">
                    <c:v>400,07</c:v>
                  </c:pt>
                  <c:pt idx="31">
                    <c:v>251,31</c:v>
                  </c:pt>
                  <c:pt idx="32">
                    <c:v>400,23</c:v>
                  </c:pt>
                  <c:pt idx="36">
                    <c:v>07, 26, 29, 35,36, 42, 63.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. RTGC PM ---------------</c:v>
                  </c:pt>
                </c:lvl>
                <c:lvl>
                  <c:pt idx="0">
                    <c:v>505,63</c:v>
                  </c:pt>
                  <c:pt idx="1">
                    <c:v>470,43</c:v>
                  </c:pt>
                  <c:pt idx="2">
                    <c:v>500,38</c:v>
                  </c:pt>
                  <c:pt idx="3">
                    <c:v>400,65</c:v>
                  </c:pt>
                  <c:pt idx="4">
                    <c:v>486,13</c:v>
                  </c:pt>
                  <c:pt idx="5">
                    <c:v>500,05</c:v>
                  </c:pt>
                  <c:pt idx="6">
                    <c:v>400,15</c:v>
                  </c:pt>
                  <c:pt idx="8">
                    <c:v>450,15</c:v>
                  </c:pt>
                  <c:pt idx="9">
                    <c:v>499,90</c:v>
                  </c:pt>
                  <c:pt idx="10">
                    <c:v>500,17</c:v>
                  </c:pt>
                  <c:pt idx="11">
                    <c:v>450,05</c:v>
                  </c:pt>
                  <c:pt idx="12">
                    <c:v>500,23</c:v>
                  </c:pt>
                  <c:pt idx="13">
                    <c:v>400,89</c:v>
                  </c:pt>
                  <c:pt idx="14">
                    <c:v>500,62</c:v>
                  </c:pt>
                  <c:pt idx="16">
                    <c:v>450,81</c:v>
                  </c:pt>
                  <c:pt idx="17">
                    <c:v>400,22</c:v>
                  </c:pt>
                  <c:pt idx="18">
                    <c:v>499,92</c:v>
                  </c:pt>
                  <c:pt idx="19">
                    <c:v>500,29</c:v>
                  </c:pt>
                  <c:pt idx="20">
                    <c:v>450,11</c:v>
                  </c:pt>
                  <c:pt idx="21">
                    <c:v>400,44</c:v>
                  </c:pt>
                  <c:pt idx="22">
                    <c:v>517,91</c:v>
                  </c:pt>
                  <c:pt idx="24">
                    <c:v>500,00</c:v>
                  </c:pt>
                  <c:pt idx="25">
                    <c:v>400,16</c:v>
                  </c:pt>
                  <c:pt idx="26">
                    <c:v>449,45</c:v>
                  </c:pt>
                  <c:pt idx="27">
                    <c:v>499,25</c:v>
                  </c:pt>
                  <c:pt idx="28">
                    <c:v>400,35</c:v>
                  </c:pt>
                  <c:pt idx="29">
                    <c:v>500,21</c:v>
                  </c:pt>
                  <c:pt idx="30">
                    <c:v>499,97</c:v>
                  </c:pt>
                  <c:pt idx="31">
                    <c:v>400,47</c:v>
                  </c:pt>
                  <c:pt idx="32">
                    <c:v>500,62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GraHa Segara</c:v>
                  </c:pt>
                </c:lvl>
                <c:lvl>
                  <c:pt idx="0">
                    <c:v>299,64</c:v>
                  </c:pt>
                  <c:pt idx="1">
                    <c:v>350,00</c:v>
                  </c:pt>
                  <c:pt idx="2">
                    <c:v>400,18</c:v>
                  </c:pt>
                  <c:pt idx="3">
                    <c:v>351,14</c:v>
                  </c:pt>
                  <c:pt idx="4">
                    <c:v>436,30</c:v>
                  </c:pt>
                  <c:pt idx="5">
                    <c:v>399,85</c:v>
                  </c:pt>
                  <c:pt idx="6">
                    <c:v>350,22</c:v>
                  </c:pt>
                  <c:pt idx="8">
                    <c:v>400,09</c:v>
                  </c:pt>
                  <c:pt idx="9">
                    <c:v>337,72</c:v>
                  </c:pt>
                  <c:pt idx="10">
                    <c:v>400,09</c:v>
                  </c:pt>
                  <c:pt idx="11">
                    <c:v>400,27</c:v>
                  </c:pt>
                  <c:pt idx="12">
                    <c:v>350,33</c:v>
                  </c:pt>
                  <c:pt idx="13">
                    <c:v>353,86</c:v>
                  </c:pt>
                  <c:pt idx="14">
                    <c:v>400,37</c:v>
                  </c:pt>
                  <c:pt idx="16">
                    <c:v>350,57</c:v>
                  </c:pt>
                  <c:pt idx="17">
                    <c:v>400,13</c:v>
                  </c:pt>
                  <c:pt idx="18">
                    <c:v>400,34</c:v>
                  </c:pt>
                  <c:pt idx="19">
                    <c:v>350,43</c:v>
                  </c:pt>
                  <c:pt idx="20">
                    <c:v>400,06</c:v>
                  </c:pt>
                  <c:pt idx="21">
                    <c:v>400,16</c:v>
                  </c:pt>
                  <c:pt idx="22">
                    <c:v>326,23</c:v>
                  </c:pt>
                  <c:pt idx="24">
                    <c:v>400,35</c:v>
                  </c:pt>
                  <c:pt idx="25">
                    <c:v>401,12</c:v>
                  </c:pt>
                  <c:pt idx="26">
                    <c:v>350,11</c:v>
                  </c:pt>
                  <c:pt idx="27">
                    <c:v>400,13</c:v>
                  </c:pt>
                  <c:pt idx="28">
                    <c:v>350,51</c:v>
                  </c:pt>
                  <c:pt idx="29">
                    <c:v>400,05</c:v>
                  </c:pt>
                  <c:pt idx="30">
                    <c:v>351,58</c:v>
                  </c:pt>
                  <c:pt idx="31">
                    <c:v>300,07</c:v>
                  </c:pt>
                  <c:pt idx="32">
                    <c:v>400,14</c:v>
                  </c:pt>
                  <c:pt idx="36">
                    <c:v>. RTGC 16 Disewakan ke</c:v>
                  </c:pt>
                </c:lvl>
                <c:lvl>
                  <c:pt idx="0">
                    <c:v>FULL</c:v>
                  </c:pt>
                  <c:pt idx="1">
                    <c:v>250,00</c:v>
                  </c:pt>
                  <c:pt idx="2">
                    <c:v>410,25</c:v>
                  </c:pt>
                  <c:pt idx="3">
                    <c:v>401,06</c:v>
                  </c:pt>
                  <c:pt idx="4">
                    <c:v>355,31</c:v>
                  </c:pt>
                  <c:pt idx="5">
                    <c:v>299,84</c:v>
                  </c:pt>
                  <c:pt idx="6">
                    <c:v>400,21</c:v>
                  </c:pt>
                  <c:pt idx="8">
                    <c:v>199,97</c:v>
                  </c:pt>
                  <c:pt idx="9">
                    <c:v>300,48</c:v>
                  </c:pt>
                  <c:pt idx="10">
                    <c:v>400,10</c:v>
                  </c:pt>
                  <c:pt idx="11">
                    <c:v>350,44</c:v>
                  </c:pt>
                  <c:pt idx="12">
                    <c:v>350,26</c:v>
                  </c:pt>
                  <c:pt idx="13">
                    <c:v>307,39</c:v>
                  </c:pt>
                  <c:pt idx="14">
                    <c:v>400,10</c:v>
                  </c:pt>
                  <c:pt idx="16">
                    <c:v>255,59</c:v>
                  </c:pt>
                  <c:pt idx="17">
                    <c:v>300,24</c:v>
                  </c:pt>
                  <c:pt idx="18">
                    <c:v>400,49</c:v>
                  </c:pt>
                  <c:pt idx="19">
                    <c:v>300,48</c:v>
                  </c:pt>
                  <c:pt idx="20">
                    <c:v>400,15</c:v>
                  </c:pt>
                  <c:pt idx="21">
                    <c:v>300,19</c:v>
                  </c:pt>
                  <c:pt idx="22">
                    <c:v>301,42</c:v>
                  </c:pt>
                  <c:pt idx="24">
                    <c:v>400,27</c:v>
                  </c:pt>
                  <c:pt idx="25">
                    <c:v>272,42</c:v>
                  </c:pt>
                  <c:pt idx="26">
                    <c:v>450,41</c:v>
                  </c:pt>
                  <c:pt idx="27">
                    <c:v>299,75</c:v>
                  </c:pt>
                  <c:pt idx="28">
                    <c:v>400,66</c:v>
                  </c:pt>
                  <c:pt idx="29">
                    <c:v>300,66</c:v>
                  </c:pt>
                  <c:pt idx="30">
                    <c:v>350,26</c:v>
                  </c:pt>
                  <c:pt idx="31">
                    <c:v>250,74</c:v>
                  </c:pt>
                  <c:pt idx="32">
                    <c:v>299,85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</c:multiLvlStrCache>
            </c:multiLvlStrRef>
          </c:cat>
          <c:val>
            <c:numRef>
              <c:f>'JUNI 2026'!$B$171:$AM$171</c:f>
              <c:numCache>
                <c:formatCode>General</c:formatCode>
                <c:ptCount val="37"/>
              </c:numCache>
            </c:numRef>
          </c:val>
        </c:ser>
        <c:ser>
          <c:idx val="5"/>
          <c:order val="5"/>
          <c:tx>
            <c:strRef>
              <c:f>'JUNI 2026'!$A$172</c:f>
              <c:strCache>
                <c:ptCount val="1"/>
                <c:pt idx="0">
                  <c:v>SL 24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'JUNI 2026'!$B$1:$AM$166</c:f>
              <c:multiLvlStrCache>
                <c:ptCount val="3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6">
                    <c:v>Note</c:v>
                  </c:pt>
                </c:lvl>
                <c:lvl>
                  <c:pt idx="0">
                    <c:v>92.77</c:v>
                  </c:pt>
                  <c:pt idx="1">
                    <c:v>92.72</c:v>
                  </c:pt>
                  <c:pt idx="2">
                    <c:v>92.74</c:v>
                  </c:pt>
                  <c:pt idx="3">
                    <c:v>92.76</c:v>
                  </c:pt>
                  <c:pt idx="4">
                    <c:v>92.79</c:v>
                  </c:pt>
                  <c:pt idx="5">
                    <c:v>92.75</c:v>
                  </c:pt>
                  <c:pt idx="6">
                    <c:v>92.74</c:v>
                  </c:pt>
                  <c:pt idx="8">
                    <c:v>92.74</c:v>
                  </c:pt>
                  <c:pt idx="9">
                    <c:v>92.74</c:v>
                  </c:pt>
                  <c:pt idx="10">
                    <c:v>92.75</c:v>
                  </c:pt>
                  <c:pt idx="11">
                    <c:v>92.77</c:v>
                  </c:pt>
                  <c:pt idx="12">
                    <c:v>92.77</c:v>
                  </c:pt>
                  <c:pt idx="13">
                    <c:v>92.73</c:v>
                  </c:pt>
                  <c:pt idx="14">
                    <c:v>92.77</c:v>
                  </c:pt>
                  <c:pt idx="16">
                    <c:v>92.71</c:v>
                  </c:pt>
                  <c:pt idx="17">
                    <c:v>92.72</c:v>
                  </c:pt>
                  <c:pt idx="18">
                    <c:v>92.75</c:v>
                  </c:pt>
                  <c:pt idx="19">
                    <c:v>92.74</c:v>
                  </c:pt>
                  <c:pt idx="20">
                    <c:v>92.75</c:v>
                  </c:pt>
                  <c:pt idx="21">
                    <c:v>92.75</c:v>
                  </c:pt>
                  <c:pt idx="22">
                    <c:v>92.72</c:v>
                  </c:pt>
                  <c:pt idx="24">
                    <c:v>92.75</c:v>
                  </c:pt>
                  <c:pt idx="25">
                    <c:v>92.78</c:v>
                  </c:pt>
                  <c:pt idx="26">
                    <c:v>92.73</c:v>
                  </c:pt>
                  <c:pt idx="27">
                    <c:v>92.73</c:v>
                  </c:pt>
                  <c:pt idx="28">
                    <c:v>92.73</c:v>
                  </c:pt>
                  <c:pt idx="29">
                    <c:v>92.74</c:v>
                  </c:pt>
                  <c:pt idx="30">
                    <c:v>92.70</c:v>
                  </c:pt>
                  <c:pt idx="31">
                    <c:v>92.74</c:v>
                  </c:pt>
                  <c:pt idx="32">
                    <c:v>92.70</c:v>
                  </c:pt>
                </c:lvl>
                <c:lvl>
                  <c:pt idx="0">
                    <c:v>6662,40</c:v>
                  </c:pt>
                  <c:pt idx="1">
                    <c:v>6181,46</c:v>
                  </c:pt>
                  <c:pt idx="2">
                    <c:v>5449,10</c:v>
                  </c:pt>
                  <c:pt idx="3">
                    <c:v>5917,58</c:v>
                  </c:pt>
                  <c:pt idx="4">
                    <c:v>5481,75</c:v>
                  </c:pt>
                  <c:pt idx="5">
                    <c:v>5209,42</c:v>
                  </c:pt>
                  <c:pt idx="6">
                    <c:v>6470,01</c:v>
                  </c:pt>
                  <c:pt idx="7">
                    <c:v>41371,72</c:v>
                  </c:pt>
                  <c:pt idx="8">
                    <c:v>4919,99</c:v>
                  </c:pt>
                  <c:pt idx="9">
                    <c:v>6025,86</c:v>
                  </c:pt>
                  <c:pt idx="10">
                    <c:v>5631,71</c:v>
                  </c:pt>
                  <c:pt idx="11">
                    <c:v>6898,52</c:v>
                  </c:pt>
                  <c:pt idx="12">
                    <c:v>5969,85</c:v>
                  </c:pt>
                  <c:pt idx="13">
                    <c:v>5632,86</c:v>
                  </c:pt>
                  <c:pt idx="14">
                    <c:v>6170,18</c:v>
                  </c:pt>
                  <c:pt idx="15">
                    <c:v>41248,97</c:v>
                  </c:pt>
                  <c:pt idx="16">
                    <c:v>6556,14</c:v>
                  </c:pt>
                  <c:pt idx="17">
                    <c:v>6351,87</c:v>
                  </c:pt>
                  <c:pt idx="18">
                    <c:v>6159,44</c:v>
                  </c:pt>
                  <c:pt idx="19">
                    <c:v>5595,52</c:v>
                  </c:pt>
                  <c:pt idx="20">
                    <c:v>6263,54</c:v>
                  </c:pt>
                  <c:pt idx="21">
                    <c:v>5953,98</c:v>
                  </c:pt>
                  <c:pt idx="22">
                    <c:v>5971,14</c:v>
                  </c:pt>
                  <c:pt idx="23">
                    <c:v>42851,63</c:v>
                  </c:pt>
                  <c:pt idx="24">
                    <c:v>6694,38</c:v>
                  </c:pt>
                  <c:pt idx="25">
                    <c:v>6869,59</c:v>
                  </c:pt>
                  <c:pt idx="26">
                    <c:v>5926,68</c:v>
                  </c:pt>
                  <c:pt idx="27">
                    <c:v>5421,42</c:v>
                  </c:pt>
                  <c:pt idx="28">
                    <c:v>6222,84</c:v>
                  </c:pt>
                  <c:pt idx="29">
                    <c:v>5964,21</c:v>
                  </c:pt>
                  <c:pt idx="30">
                    <c:v>6111,90</c:v>
                  </c:pt>
                  <c:pt idx="31">
                    <c:v>5306,48</c:v>
                  </c:pt>
                  <c:pt idx="32">
                    <c:v>5897,44</c:v>
                  </c:pt>
                  <c:pt idx="34">
                    <c:v>54414,94</c:v>
                  </c:pt>
                  <c:pt idx="35">
                    <c:v>179884,26</c:v>
                  </c:pt>
                </c:lvl>
                <c:lvl>
                  <c:pt idx="0">
                    <c:v>69,87</c:v>
                  </c:pt>
                  <c:pt idx="1">
                    <c:v>85,55</c:v>
                  </c:pt>
                  <c:pt idx="2">
                    <c:v>40,04</c:v>
                  </c:pt>
                  <c:pt idx="3">
                    <c:v>89,88</c:v>
                  </c:pt>
                  <c:pt idx="4">
                    <c:v>51,52</c:v>
                  </c:pt>
                  <c:pt idx="5">
                    <c:v>76,86</c:v>
                  </c:pt>
                  <c:pt idx="6">
                    <c:v>95,85</c:v>
                  </c:pt>
                  <c:pt idx="8">
                    <c:v>66,97</c:v>
                  </c:pt>
                  <c:pt idx="9">
                    <c:v>73,35</c:v>
                  </c:pt>
                  <c:pt idx="10">
                    <c:v>57,55</c:v>
                  </c:pt>
                  <c:pt idx="11">
                    <c:v>77,65</c:v>
                  </c:pt>
                  <c:pt idx="12">
                    <c:v>75,78</c:v>
                  </c:pt>
                  <c:pt idx="13">
                    <c:v>62,34</c:v>
                  </c:pt>
                  <c:pt idx="14">
                    <c:v>74,62</c:v>
                  </c:pt>
                  <c:pt idx="16">
                    <c:v>105,49</c:v>
                  </c:pt>
                  <c:pt idx="17">
                    <c:v>103,53</c:v>
                  </c:pt>
                  <c:pt idx="18">
                    <c:v>84,69</c:v>
                  </c:pt>
                  <c:pt idx="19">
                    <c:v>46,34</c:v>
                  </c:pt>
                  <c:pt idx="20">
                    <c:v>92,17</c:v>
                  </c:pt>
                  <c:pt idx="21">
                    <c:v>62,58</c:v>
                  </c:pt>
                  <c:pt idx="22">
                    <c:v>68,39</c:v>
                  </c:pt>
                  <c:pt idx="24">
                    <c:v>86,57</c:v>
                  </c:pt>
                  <c:pt idx="25">
                    <c:v>82,13</c:v>
                  </c:pt>
                  <c:pt idx="26">
                    <c:v>88,08</c:v>
                  </c:pt>
                  <c:pt idx="27">
                    <c:v>70,33</c:v>
                  </c:pt>
                  <c:pt idx="28">
                    <c:v>65,48</c:v>
                  </c:pt>
                  <c:pt idx="29">
                    <c:v>64,07</c:v>
                  </c:pt>
                  <c:pt idx="30">
                    <c:v>85,37</c:v>
                  </c:pt>
                  <c:pt idx="31">
                    <c:v>76,35</c:v>
                  </c:pt>
                  <c:pt idx="32">
                    <c:v>68,54</c:v>
                  </c:pt>
                </c:lvl>
                <c:lvl>
                  <c:pt idx="0">
                    <c:v>94,88</c:v>
                  </c:pt>
                  <c:pt idx="1">
                    <c:v>94,75</c:v>
                  </c:pt>
                  <c:pt idx="2">
                    <c:v>70,80</c:v>
                  </c:pt>
                  <c:pt idx="3">
                    <c:v>25,54</c:v>
                  </c:pt>
                  <c:pt idx="4">
                    <c:v>49,63</c:v>
                  </c:pt>
                  <c:pt idx="5">
                    <c:v>87,58</c:v>
                  </c:pt>
                  <c:pt idx="6">
                    <c:v>93,40</c:v>
                  </c:pt>
                  <c:pt idx="8">
                    <c:v>72,07</c:v>
                  </c:pt>
                  <c:pt idx="9">
                    <c:v>93,76</c:v>
                  </c:pt>
                  <c:pt idx="10">
                    <c:v>74,24</c:v>
                  </c:pt>
                  <c:pt idx="11">
                    <c:v>109,58</c:v>
                  </c:pt>
                  <c:pt idx="12">
                    <c:v>85,04</c:v>
                  </c:pt>
                  <c:pt idx="13">
                    <c:v>90,95</c:v>
                  </c:pt>
                  <c:pt idx="14">
                    <c:v>84,75</c:v>
                  </c:pt>
                  <c:pt idx="16">
                    <c:v>84,80</c:v>
                  </c:pt>
                  <c:pt idx="17">
                    <c:v>72,30</c:v>
                  </c:pt>
                  <c:pt idx="18">
                    <c:v>112,35</c:v>
                  </c:pt>
                  <c:pt idx="19">
                    <c:v>95,67</c:v>
                  </c:pt>
                  <c:pt idx="20">
                    <c:v>84,10</c:v>
                  </c:pt>
                  <c:pt idx="21">
                    <c:v>77,54</c:v>
                  </c:pt>
                  <c:pt idx="22">
                    <c:v>51,38</c:v>
                  </c:pt>
                  <c:pt idx="24">
                    <c:v>114,77</c:v>
                  </c:pt>
                  <c:pt idx="25">
                    <c:v>96,62</c:v>
                  </c:pt>
                  <c:pt idx="26">
                    <c:v>93,24</c:v>
                  </c:pt>
                  <c:pt idx="27">
                    <c:v>88,30</c:v>
                  </c:pt>
                  <c:pt idx="28">
                    <c:v>98,59</c:v>
                  </c:pt>
                  <c:pt idx="29">
                    <c:v>101,45</c:v>
                  </c:pt>
                  <c:pt idx="30">
                    <c:v>87,19</c:v>
                  </c:pt>
                  <c:pt idx="31">
                    <c:v>79,44</c:v>
                  </c:pt>
                  <c:pt idx="32">
                    <c:v>93,48</c:v>
                  </c:pt>
                  <c:pt idx="35">
                    <c:v>54411,94</c:v>
                  </c:pt>
                </c:lvl>
                <c:lvl>
                  <c:pt idx="0">
                    <c:v>75,82</c:v>
                  </c:pt>
                  <c:pt idx="1">
                    <c:v>71,36</c:v>
                  </c:pt>
                  <c:pt idx="2">
                    <c:v>68,11</c:v>
                  </c:pt>
                  <c:pt idx="3">
                    <c:v>82,01</c:v>
                  </c:pt>
                  <c:pt idx="4">
                    <c:v>86,56</c:v>
                  </c:pt>
                  <c:pt idx="5">
                    <c:v>72,14</c:v>
                  </c:pt>
                  <c:pt idx="6">
                    <c:v>107,02</c:v>
                  </c:pt>
                  <c:pt idx="8">
                    <c:v>45,71</c:v>
                  </c:pt>
                  <c:pt idx="9">
                    <c:v>61,93</c:v>
                  </c:pt>
                  <c:pt idx="11">
                    <c:v>208,17</c:v>
                  </c:pt>
                  <c:pt idx="12">
                    <c:v>57,00</c:v>
                  </c:pt>
                  <c:pt idx="13">
                    <c:v>82,06</c:v>
                  </c:pt>
                  <c:pt idx="14">
                    <c:v>83,60</c:v>
                  </c:pt>
                  <c:pt idx="16">
                    <c:v>80,28</c:v>
                  </c:pt>
                  <c:pt idx="17">
                    <c:v>90,96</c:v>
                  </c:pt>
                  <c:pt idx="18">
                    <c:v>110,84</c:v>
                  </c:pt>
                  <c:pt idx="19">
                    <c:v>86,21</c:v>
                  </c:pt>
                  <c:pt idx="20">
                    <c:v>93,82</c:v>
                  </c:pt>
                  <c:pt idx="21">
                    <c:v>70,26</c:v>
                  </c:pt>
                  <c:pt idx="22">
                    <c:v>69,18</c:v>
                  </c:pt>
                  <c:pt idx="24">
                    <c:v>100,47</c:v>
                  </c:pt>
                  <c:pt idx="25">
                    <c:v>81,75</c:v>
                  </c:pt>
                  <c:pt idx="26">
                    <c:v>75,77</c:v>
                  </c:pt>
                  <c:pt idx="27">
                    <c:v>106,83</c:v>
                  </c:pt>
                  <c:pt idx="28">
                    <c:v>78,26</c:v>
                  </c:pt>
                  <c:pt idx="29">
                    <c:v>76,14</c:v>
                  </c:pt>
                  <c:pt idx="30">
                    <c:v>79,02</c:v>
                  </c:pt>
                  <c:pt idx="31">
                    <c:v>88,27</c:v>
                  </c:pt>
                  <c:pt idx="32">
                    <c:v>118,74</c:v>
                  </c:pt>
                  <c:pt idx="35">
                    <c:v>42851,63</c:v>
                  </c:pt>
                </c:lvl>
                <c:lvl>
                  <c:pt idx="0">
                    <c:v>83,22</c:v>
                  </c:pt>
                  <c:pt idx="1">
                    <c:v>88,58</c:v>
                  </c:pt>
                  <c:pt idx="2">
                    <c:v>75,59</c:v>
                  </c:pt>
                  <c:pt idx="3">
                    <c:v>73,95</c:v>
                  </c:pt>
                  <c:pt idx="4">
                    <c:v>97,83</c:v>
                  </c:pt>
                  <c:pt idx="5">
                    <c:v>86,42</c:v>
                  </c:pt>
                  <c:pt idx="6">
                    <c:v>79,55</c:v>
                  </c:pt>
                  <c:pt idx="8">
                    <c:v>79,73</c:v>
                  </c:pt>
                  <c:pt idx="9">
                    <c:v>92,33</c:v>
                  </c:pt>
                  <c:pt idx="10">
                    <c:v>72,43</c:v>
                  </c:pt>
                  <c:pt idx="11">
                    <c:v>94,35</c:v>
                  </c:pt>
                  <c:pt idx="12">
                    <c:v>63,14</c:v>
                  </c:pt>
                  <c:pt idx="13">
                    <c:v>98,05</c:v>
                  </c:pt>
                  <c:pt idx="14">
                    <c:v>69,22</c:v>
                  </c:pt>
                  <c:pt idx="16">
                    <c:v>101,45</c:v>
                  </c:pt>
                  <c:pt idx="17">
                    <c:v>96,95</c:v>
                  </c:pt>
                  <c:pt idx="18">
                    <c:v>89,41</c:v>
                  </c:pt>
                  <c:pt idx="19">
                    <c:v>87,28</c:v>
                  </c:pt>
                  <c:pt idx="20">
                    <c:v>68,28</c:v>
                  </c:pt>
                  <c:pt idx="21">
                    <c:v>68,95</c:v>
                  </c:pt>
                  <c:pt idx="22">
                    <c:v>92,22</c:v>
                  </c:pt>
                  <c:pt idx="24">
                    <c:v>99,83</c:v>
                  </c:pt>
                  <c:pt idx="25">
                    <c:v>76,17</c:v>
                  </c:pt>
                  <c:pt idx="26">
                    <c:v>86,33</c:v>
                  </c:pt>
                  <c:pt idx="27">
                    <c:v>79,07</c:v>
                  </c:pt>
                  <c:pt idx="28">
                    <c:v>95,91</c:v>
                  </c:pt>
                  <c:pt idx="29">
                    <c:v>68,55</c:v>
                  </c:pt>
                  <c:pt idx="32">
                    <c:v>55,67</c:v>
                  </c:pt>
                  <c:pt idx="35">
                    <c:v>41248,97</c:v>
                  </c:pt>
                </c:lvl>
                <c:lvl>
                  <c:pt idx="0">
                    <c:v>71,14</c:v>
                  </c:pt>
                  <c:pt idx="1">
                    <c:v>91,53</c:v>
                  </c:pt>
                  <c:pt idx="2">
                    <c:v>97,02</c:v>
                  </c:pt>
                  <c:pt idx="3">
                    <c:v>73,32</c:v>
                  </c:pt>
                  <c:pt idx="4">
                    <c:v>83,64</c:v>
                  </c:pt>
                  <c:pt idx="5">
                    <c:v>61,23</c:v>
                  </c:pt>
                  <c:pt idx="6">
                    <c:v>108,55</c:v>
                  </c:pt>
                  <c:pt idx="8">
                    <c:v>65,76</c:v>
                  </c:pt>
                  <c:pt idx="9">
                    <c:v>71,06</c:v>
                  </c:pt>
                  <c:pt idx="10">
                    <c:v>91,45</c:v>
                  </c:pt>
                  <c:pt idx="11">
                    <c:v>93,90</c:v>
                  </c:pt>
                  <c:pt idx="12">
                    <c:v>71,61</c:v>
                  </c:pt>
                  <c:pt idx="13">
                    <c:v>79,68</c:v>
                  </c:pt>
                  <c:pt idx="14">
                    <c:v>95,14</c:v>
                  </c:pt>
                  <c:pt idx="16">
                    <c:v>75,92</c:v>
                  </c:pt>
                  <c:pt idx="17">
                    <c:v>91,03</c:v>
                  </c:pt>
                  <c:pt idx="18">
                    <c:v>73,67</c:v>
                  </c:pt>
                  <c:pt idx="19">
                    <c:v>66,78</c:v>
                  </c:pt>
                  <c:pt idx="21">
                    <c:v>166,54</c:v>
                  </c:pt>
                  <c:pt idx="22">
                    <c:v>88,08</c:v>
                  </c:pt>
                  <c:pt idx="24">
                    <c:v>93,32</c:v>
                  </c:pt>
                  <c:pt idx="25">
                    <c:v>95,06</c:v>
                  </c:pt>
                  <c:pt idx="26">
                    <c:v>104,77</c:v>
                  </c:pt>
                  <c:pt idx="27">
                    <c:v>81,16</c:v>
                  </c:pt>
                  <c:pt idx="28">
                    <c:v>87,83</c:v>
                  </c:pt>
                  <c:pt idx="29">
                    <c:v>87,67</c:v>
                  </c:pt>
                  <c:pt idx="30">
                    <c:v>86,01</c:v>
                  </c:pt>
                  <c:pt idx="31">
                    <c:v>71,07</c:v>
                  </c:pt>
                  <c:pt idx="32">
                    <c:v>81,96</c:v>
                  </c:pt>
                  <c:pt idx="35">
                    <c:v>41371,72</c:v>
                  </c:pt>
                </c:lvl>
                <c:lvl>
                  <c:pt idx="0">
                    <c:v>73,25</c:v>
                  </c:pt>
                  <c:pt idx="1">
                    <c:v>55,04</c:v>
                  </c:pt>
                  <c:pt idx="2">
                    <c:v>93,73</c:v>
                  </c:pt>
                  <c:pt idx="3">
                    <c:v>81,04</c:v>
                  </c:pt>
                  <c:pt idx="4">
                    <c:v>77,13</c:v>
                  </c:pt>
                  <c:pt idx="5">
                    <c:v>94,58</c:v>
                  </c:pt>
                  <c:pt idx="6">
                    <c:v>109,16</c:v>
                  </c:pt>
                  <c:pt idx="8">
                    <c:v>119,34</c:v>
                  </c:pt>
                  <c:pt idx="9">
                    <c:v>55,48</c:v>
                  </c:pt>
                  <c:pt idx="10">
                    <c:v>76,91</c:v>
                  </c:pt>
                  <c:pt idx="11">
                    <c:v>109,88</c:v>
                  </c:pt>
                  <c:pt idx="12">
                    <c:v>92,36</c:v>
                  </c:pt>
                  <c:pt idx="13">
                    <c:v>66,60</c:v>
                  </c:pt>
                  <c:pt idx="14">
                    <c:v>109,70</c:v>
                  </c:pt>
                  <c:pt idx="16">
                    <c:v>114,44</c:v>
                  </c:pt>
                  <c:pt idx="18">
                    <c:v>104,75</c:v>
                  </c:pt>
                  <c:pt idx="19">
                    <c:v>67,51</c:v>
                  </c:pt>
                  <c:pt idx="20">
                    <c:v>111,04</c:v>
                  </c:pt>
                  <c:pt idx="21">
                    <c:v>79,73</c:v>
                  </c:pt>
                  <c:pt idx="22">
                    <c:v>68,97</c:v>
                  </c:pt>
                  <c:pt idx="24">
                    <c:v>89,93</c:v>
                  </c:pt>
                  <c:pt idx="25">
                    <c:v>103,39</c:v>
                  </c:pt>
                  <c:pt idx="26">
                    <c:v>81,32</c:v>
                  </c:pt>
                  <c:pt idx="27">
                    <c:v>58,79</c:v>
                  </c:pt>
                  <c:pt idx="28">
                    <c:v>85,94</c:v>
                  </c:pt>
                  <c:pt idx="29">
                    <c:v>72,27</c:v>
                  </c:pt>
                  <c:pt idx="30">
                    <c:v>78,67</c:v>
                  </c:pt>
                  <c:pt idx="31">
                    <c:v>74,98</c:v>
                  </c:pt>
                  <c:pt idx="32">
                    <c:v>79,81</c:v>
                  </c:pt>
                </c:lvl>
                <c:lvl>
                  <c:pt idx="0">
                    <c:v>92,89</c:v>
                  </c:pt>
                  <c:pt idx="1">
                    <c:v>84,31</c:v>
                  </c:pt>
                  <c:pt idx="3">
                    <c:v>147,73</c:v>
                  </c:pt>
                  <c:pt idx="4">
                    <c:v>94,66</c:v>
                  </c:pt>
                  <c:pt idx="5">
                    <c:v>80,83</c:v>
                  </c:pt>
                  <c:pt idx="6">
                    <c:v>66,35</c:v>
                  </c:pt>
                  <c:pt idx="8">
                    <c:v>64,10</c:v>
                  </c:pt>
                  <c:pt idx="9">
                    <c:v>85,22</c:v>
                  </c:pt>
                  <c:pt idx="10">
                    <c:v>68,05</c:v>
                  </c:pt>
                  <c:pt idx="11">
                    <c:v>56,92</c:v>
                  </c:pt>
                  <c:pt idx="12">
                    <c:v>84,95</c:v>
                  </c:pt>
                  <c:pt idx="13">
                    <c:v>85,46</c:v>
                  </c:pt>
                  <c:pt idx="14">
                    <c:v>74,70</c:v>
                  </c:pt>
                  <c:pt idx="16">
                    <c:v>103,31</c:v>
                  </c:pt>
                  <c:pt idx="17">
                    <c:v>77,21</c:v>
                  </c:pt>
                  <c:pt idx="18">
                    <c:v>79,33</c:v>
                  </c:pt>
                  <c:pt idx="19">
                    <c:v>70,44</c:v>
                  </c:pt>
                  <c:pt idx="20">
                    <c:v>88,74</c:v>
                  </c:pt>
                  <c:pt idx="21">
                    <c:v>67,04</c:v>
                  </c:pt>
                  <c:pt idx="22">
                    <c:v>80,56</c:v>
                  </c:pt>
                  <c:pt idx="24">
                    <c:v>91,29</c:v>
                  </c:pt>
                  <c:pt idx="25">
                    <c:v>87,01</c:v>
                  </c:pt>
                  <c:pt idx="26">
                    <c:v>66,10</c:v>
                  </c:pt>
                  <c:pt idx="27">
                    <c:v>70,86</c:v>
                  </c:pt>
                  <c:pt idx="28">
                    <c:v>83,31</c:v>
                  </c:pt>
                  <c:pt idx="29">
                    <c:v>71,50</c:v>
                  </c:pt>
                  <c:pt idx="30">
                    <c:v>84,84</c:v>
                  </c:pt>
                  <c:pt idx="31">
                    <c:v>117,15</c:v>
                  </c:pt>
                  <c:pt idx="32">
                    <c:v>70,71</c:v>
                  </c:pt>
                </c:lvl>
                <c:lvl>
                  <c:pt idx="0">
                    <c:v>99,05</c:v>
                  </c:pt>
                  <c:pt idx="1">
                    <c:v>88,36</c:v>
                  </c:pt>
                  <c:pt idx="2">
                    <c:v>86,32</c:v>
                  </c:pt>
                  <c:pt idx="3">
                    <c:v>82,26</c:v>
                  </c:pt>
                  <c:pt idx="4">
                    <c:v>81,09</c:v>
                  </c:pt>
                  <c:pt idx="5">
                    <c:v>67,51</c:v>
                  </c:pt>
                  <c:pt idx="6">
                    <c:v>118,29</c:v>
                  </c:pt>
                  <c:pt idx="8">
                    <c:v>77,87</c:v>
                  </c:pt>
                  <c:pt idx="9">
                    <c:v>93,74</c:v>
                  </c:pt>
                  <c:pt idx="10">
                    <c:v>69,90</c:v>
                  </c:pt>
                  <c:pt idx="11">
                    <c:v>126,30</c:v>
                  </c:pt>
                  <c:pt idx="12">
                    <c:v>72,96</c:v>
                  </c:pt>
                  <c:pt idx="13">
                    <c:v>97,78</c:v>
                  </c:pt>
                  <c:pt idx="14">
                    <c:v>99,16</c:v>
                  </c:pt>
                  <c:pt idx="16">
                    <c:v>104,64</c:v>
                  </c:pt>
                  <c:pt idx="17">
                    <c:v>77,16</c:v>
                  </c:pt>
                  <c:pt idx="18">
                    <c:v>73,22</c:v>
                  </c:pt>
                  <c:pt idx="21">
                    <c:v>124,93</c:v>
                  </c:pt>
                  <c:pt idx="22">
                    <c:v>100,04</c:v>
                  </c:pt>
                  <c:pt idx="24">
                    <c:v>73,88</c:v>
                  </c:pt>
                  <c:pt idx="25">
                    <c:v>90,92</c:v>
                  </c:pt>
                  <c:pt idx="26">
                    <c:v>97,25</c:v>
                  </c:pt>
                  <c:pt idx="27">
                    <c:v>93,86</c:v>
                  </c:pt>
                  <c:pt idx="28">
                    <c:v>90,08</c:v>
                  </c:pt>
                  <c:pt idx="29">
                    <c:v>86,73</c:v>
                  </c:pt>
                  <c:pt idx="30">
                    <c:v>100,07</c:v>
                  </c:pt>
                  <c:pt idx="31">
                    <c:v>90,25</c:v>
                  </c:pt>
                  <c:pt idx="32">
                    <c:v>82,02</c:v>
                  </c:pt>
                </c:lvl>
                <c:lvl>
                  <c:pt idx="0">
                    <c:v>75,15</c:v>
                  </c:pt>
                  <c:pt idx="1">
                    <c:v>90,26</c:v>
                  </c:pt>
                  <c:pt idx="2">
                    <c:v>62,29</c:v>
                  </c:pt>
                  <c:pt idx="3">
                    <c:v>69,72</c:v>
                  </c:pt>
                  <c:pt idx="4">
                    <c:v>64,88</c:v>
                  </c:pt>
                  <c:pt idx="5">
                    <c:v>70,23</c:v>
                  </c:pt>
                  <c:pt idx="6">
                    <c:v>72,94</c:v>
                  </c:pt>
                  <c:pt idx="8">
                    <c:v>64,22</c:v>
                  </c:pt>
                  <c:pt idx="9">
                    <c:v>74,55</c:v>
                  </c:pt>
                  <c:pt idx="10">
                    <c:v>71,92</c:v>
                  </c:pt>
                  <c:pt idx="11">
                    <c:v>76,72</c:v>
                  </c:pt>
                  <c:pt idx="12">
                    <c:v>82,02</c:v>
                  </c:pt>
                  <c:pt idx="13">
                    <c:v>59,58</c:v>
                  </c:pt>
                  <c:pt idx="14">
                    <c:v>60,07</c:v>
                  </c:pt>
                  <c:pt idx="16">
                    <c:v>93,00</c:v>
                  </c:pt>
                  <c:pt idx="17">
                    <c:v>89,43</c:v>
                  </c:pt>
                  <c:pt idx="18">
                    <c:v>74,49</c:v>
                  </c:pt>
                  <c:pt idx="19">
                    <c:v>68,50</c:v>
                  </c:pt>
                  <c:pt idx="20">
                    <c:v>83,91</c:v>
                  </c:pt>
                  <c:pt idx="21">
                    <c:v>54,01</c:v>
                  </c:pt>
                  <c:pt idx="22">
                    <c:v>73,88</c:v>
                  </c:pt>
                  <c:pt idx="24">
                    <c:v>110,53</c:v>
                  </c:pt>
                  <c:pt idx="25">
                    <c:v>56,49</c:v>
                  </c:pt>
                  <c:pt idx="26">
                    <c:v>68,71</c:v>
                  </c:pt>
                  <c:pt idx="27">
                    <c:v>32,45</c:v>
                  </c:pt>
                  <c:pt idx="28">
                    <c:v>89,78</c:v>
                  </c:pt>
                  <c:pt idx="29">
                    <c:v>78,64</c:v>
                  </c:pt>
                  <c:pt idx="30">
                    <c:v>77,70</c:v>
                  </c:pt>
                  <c:pt idx="31">
                    <c:v>77,65</c:v>
                  </c:pt>
                  <c:pt idx="32">
                    <c:v>68,72</c:v>
                  </c:pt>
                </c:lvl>
                <c:lvl>
                  <c:pt idx="0">
                    <c:v>93,20</c:v>
                  </c:pt>
                  <c:pt idx="1">
                    <c:v>65,52</c:v>
                  </c:pt>
                  <c:pt idx="2">
                    <c:v>94,15</c:v>
                  </c:pt>
                  <c:pt idx="3">
                    <c:v>72,57</c:v>
                  </c:pt>
                  <c:pt idx="4">
                    <c:v>78,98</c:v>
                  </c:pt>
                  <c:pt idx="5">
                    <c:v>82,10</c:v>
                  </c:pt>
                  <c:pt idx="6">
                    <c:v>71,42</c:v>
                  </c:pt>
                  <c:pt idx="8">
                    <c:v>60,46</c:v>
                  </c:pt>
                  <c:pt idx="9">
                    <c:v>70,40</c:v>
                  </c:pt>
                  <c:pt idx="10">
                    <c:v>84,01</c:v>
                  </c:pt>
                  <c:pt idx="11">
                    <c:v>101,32</c:v>
                  </c:pt>
                  <c:pt idx="12">
                    <c:v>87,07</c:v>
                  </c:pt>
                  <c:pt idx="13">
                    <c:v>80,92</c:v>
                  </c:pt>
                  <c:pt idx="14">
                    <c:v>25,75</c:v>
                  </c:pt>
                  <c:pt idx="16">
                    <c:v>40,02</c:v>
                  </c:pt>
                  <c:pt idx="17">
                    <c:v>99,48</c:v>
                  </c:pt>
                  <c:pt idx="18">
                    <c:v>47,40</c:v>
                  </c:pt>
                  <c:pt idx="19">
                    <c:v>67,32</c:v>
                  </c:pt>
                  <c:pt idx="20">
                    <c:v>91,77</c:v>
                  </c:pt>
                  <c:pt idx="21">
                    <c:v>85,95</c:v>
                  </c:pt>
                  <c:pt idx="22">
                    <c:v>79,78</c:v>
                  </c:pt>
                  <c:pt idx="24">
                    <c:v>101,61</c:v>
                  </c:pt>
                  <c:pt idx="25">
                    <c:v>105,49</c:v>
                  </c:pt>
                  <c:pt idx="26">
                    <c:v>56,11</c:v>
                  </c:pt>
                  <c:pt idx="27">
                    <c:v>72,05</c:v>
                  </c:pt>
                  <c:pt idx="28">
                    <c:v>89,39</c:v>
                  </c:pt>
                  <c:pt idx="29">
                    <c:v>100,5</c:v>
                  </c:pt>
                  <c:pt idx="30">
                    <c:v>98,67</c:v>
                  </c:pt>
                  <c:pt idx="31">
                    <c:v>63,65</c:v>
                  </c:pt>
                  <c:pt idx="32">
                    <c:v>74,31</c:v>
                  </c:pt>
                </c:lvl>
                <c:lvl>
                  <c:pt idx="0">
                    <c:v>82,75</c:v>
                  </c:pt>
                  <c:pt idx="1">
                    <c:v>84,04</c:v>
                  </c:pt>
                  <c:pt idx="2">
                    <c:v>117,67</c:v>
                  </c:pt>
                  <c:pt idx="3">
                    <c:v>70,62</c:v>
                  </c:pt>
                  <c:pt idx="4">
                    <c:v>76,00</c:v>
                  </c:pt>
                  <c:pt idx="5">
                    <c:v>51,44</c:v>
                  </c:pt>
                  <c:pt idx="6">
                    <c:v>96,46</c:v>
                  </c:pt>
                  <c:pt idx="8">
                    <c:v>61,04</c:v>
                  </c:pt>
                  <c:pt idx="9">
                    <c:v>115,77</c:v>
                  </c:pt>
                  <c:pt idx="10">
                    <c:v>58,51</c:v>
                  </c:pt>
                  <c:pt idx="11">
                    <c:v>110,18</c:v>
                  </c:pt>
                  <c:pt idx="12">
                    <c:v>56,91</c:v>
                  </c:pt>
                  <c:pt idx="13">
                    <c:v>71,18</c:v>
                  </c:pt>
                  <c:pt idx="14">
                    <c:v>100,92</c:v>
                  </c:pt>
                  <c:pt idx="16">
                    <c:v>99,33</c:v>
                  </c:pt>
                  <c:pt idx="19">
                    <c:v>78,58</c:v>
                  </c:pt>
                  <c:pt idx="20">
                    <c:v>124,02</c:v>
                  </c:pt>
                  <c:pt idx="21">
                    <c:v>69,26</c:v>
                  </c:pt>
                  <c:pt idx="22">
                    <c:v>88,41</c:v>
                  </c:pt>
                  <c:pt idx="24">
                    <c:v>101,71</c:v>
                  </c:pt>
                  <c:pt idx="25">
                    <c:v>101,78</c:v>
                  </c:pt>
                  <c:pt idx="26">
                    <c:v>95,57</c:v>
                  </c:pt>
                  <c:pt idx="27">
                    <c:v>58,05</c:v>
                  </c:pt>
                  <c:pt idx="28">
                    <c:v>103,57</c:v>
                  </c:pt>
                  <c:pt idx="29">
                    <c:v>67,07</c:v>
                  </c:pt>
                  <c:pt idx="30">
                    <c:v>85,80</c:v>
                  </c:pt>
                  <c:pt idx="31">
                    <c:v>70,53</c:v>
                  </c:pt>
                  <c:pt idx="32">
                    <c:v>137,15</c:v>
                  </c:pt>
                </c:lvl>
                <c:lvl>
                  <c:pt idx="0">
                    <c:v>85,16</c:v>
                  </c:pt>
                  <c:pt idx="1">
                    <c:v>95,79</c:v>
                  </c:pt>
                  <c:pt idx="2">
                    <c:v>69,40</c:v>
                  </c:pt>
                  <c:pt idx="3">
                    <c:v>61,82</c:v>
                  </c:pt>
                  <c:pt idx="4">
                    <c:v>115,15</c:v>
                  </c:pt>
                  <c:pt idx="5">
                    <c:v>80,05</c:v>
                  </c:pt>
                  <c:pt idx="6">
                    <c:v>92,17</c:v>
                  </c:pt>
                  <c:pt idx="8">
                    <c:v>52,20</c:v>
                  </c:pt>
                  <c:pt idx="9">
                    <c:v>104,08</c:v>
                  </c:pt>
                  <c:pt idx="10">
                    <c:v>100,60</c:v>
                  </c:pt>
                  <c:pt idx="11">
                    <c:v>99,49</c:v>
                  </c:pt>
                  <c:pt idx="12">
                    <c:v>77,75</c:v>
                  </c:pt>
                  <c:pt idx="13">
                    <c:v>86,00</c:v>
                  </c:pt>
                  <c:pt idx="14">
                    <c:v>103,32</c:v>
                  </c:pt>
                  <c:pt idx="16">
                    <c:v>117,08</c:v>
                  </c:pt>
                  <c:pt idx="17">
                    <c:v>81,14</c:v>
                  </c:pt>
                  <c:pt idx="18">
                    <c:v>99,79</c:v>
                  </c:pt>
                  <c:pt idx="19">
                    <c:v>85,97</c:v>
                  </c:pt>
                  <c:pt idx="20">
                    <c:v>80,34</c:v>
                  </c:pt>
                  <c:pt idx="21">
                    <c:v>96,73</c:v>
                  </c:pt>
                  <c:pt idx="22">
                    <c:v>88,02</c:v>
                  </c:pt>
                  <c:pt idx="24">
                    <c:v>109,33</c:v>
                  </c:pt>
                  <c:pt idx="25">
                    <c:v>80,54</c:v>
                  </c:pt>
                  <c:pt idx="26">
                    <c:v>80,04</c:v>
                  </c:pt>
                  <c:pt idx="27">
                    <c:v>92,43</c:v>
                  </c:pt>
                  <c:pt idx="28">
                    <c:v>101,64</c:v>
                  </c:pt>
                  <c:pt idx="29">
                    <c:v>108,68</c:v>
                  </c:pt>
                  <c:pt idx="30">
                    <c:v>97,76</c:v>
                  </c:pt>
                  <c:pt idx="31">
                    <c:v>73,82</c:v>
                  </c:pt>
                  <c:pt idx="32">
                    <c:v>118,55</c:v>
                  </c:pt>
                </c:lvl>
                <c:lvl>
                  <c:pt idx="0">
                    <c:v>68,97</c:v>
                  </c:pt>
                  <c:pt idx="1">
                    <c:v>69,15</c:v>
                  </c:pt>
                  <c:pt idx="2">
                    <c:v>87,42</c:v>
                  </c:pt>
                  <c:pt idx="3">
                    <c:v>67,64</c:v>
                  </c:pt>
                  <c:pt idx="4">
                    <c:v>54,71</c:v>
                  </c:pt>
                  <c:pt idx="5">
                    <c:v>52,97</c:v>
                  </c:pt>
                  <c:pt idx="6">
                    <c:v>78,70</c:v>
                  </c:pt>
                  <c:pt idx="8">
                    <c:v>66,39</c:v>
                  </c:pt>
                  <c:pt idx="9">
                    <c:v>93,62</c:v>
                  </c:pt>
                  <c:pt idx="10">
                    <c:v>65,94</c:v>
                  </c:pt>
                  <c:pt idx="11">
                    <c:v>65,00</c:v>
                  </c:pt>
                  <c:pt idx="12">
                    <c:v>74,89</c:v>
                  </c:pt>
                  <c:pt idx="13">
                    <c:v>74,79</c:v>
                  </c:pt>
                  <c:pt idx="14">
                    <c:v>76,22</c:v>
                  </c:pt>
                  <c:pt idx="16">
                    <c:v>85,89</c:v>
                  </c:pt>
                  <c:pt idx="17">
                    <c:v>78,49</c:v>
                  </c:pt>
                  <c:pt idx="18">
                    <c:v>83,99</c:v>
                  </c:pt>
                  <c:pt idx="19">
                    <c:v>50,91</c:v>
                  </c:pt>
                  <c:pt idx="20">
                    <c:v>58,61</c:v>
                  </c:pt>
                  <c:pt idx="21">
                    <c:v>54,78</c:v>
                  </c:pt>
                  <c:pt idx="22">
                    <c:v>66,80</c:v>
                  </c:pt>
                  <c:pt idx="24">
                    <c:v>87,48</c:v>
                  </c:pt>
                  <c:pt idx="25">
                    <c:v>80,38</c:v>
                  </c:pt>
                  <c:pt idx="26">
                    <c:v>72,12</c:v>
                  </c:pt>
                  <c:pt idx="27">
                    <c:v>61,93</c:v>
                  </c:pt>
                  <c:pt idx="28">
                    <c:v>55,95</c:v>
                  </c:pt>
                  <c:pt idx="29">
                    <c:v>84,29</c:v>
                  </c:pt>
                  <c:pt idx="30">
                    <c:v>96,81</c:v>
                  </c:pt>
                  <c:pt idx="31">
                    <c:v>67,32</c:v>
                  </c:pt>
                  <c:pt idx="32">
                    <c:v>69,39</c:v>
                  </c:pt>
                  <c:pt idx="36">
                    <c:v>. HT 204 - 216, 230 Liter</c:v>
                  </c:pt>
                </c:lvl>
                <c:lvl>
                  <c:pt idx="0">
                    <c:v>97,21</c:v>
                  </c:pt>
                  <c:pt idx="1">
                    <c:v>92,37</c:v>
                  </c:pt>
                  <c:pt idx="2">
                    <c:v>61,16</c:v>
                  </c:pt>
                  <c:pt idx="3">
                    <c:v>68,80</c:v>
                  </c:pt>
                  <c:pt idx="4">
                    <c:v>53,87</c:v>
                  </c:pt>
                  <c:pt idx="5">
                    <c:v>65,60</c:v>
                  </c:pt>
                  <c:pt idx="6">
                    <c:v>59,99</c:v>
                  </c:pt>
                  <c:pt idx="8">
                    <c:v>70,85</c:v>
                  </c:pt>
                  <c:pt idx="9">
                    <c:v>73,91</c:v>
                  </c:pt>
                  <c:pt idx="10">
                    <c:v>77,92</c:v>
                  </c:pt>
                  <c:pt idx="11">
                    <c:v>62,11</c:v>
                  </c:pt>
                  <c:pt idx="12">
                    <c:v>63,19</c:v>
                  </c:pt>
                  <c:pt idx="13">
                    <c:v>60,43</c:v>
                  </c:pt>
                  <c:pt idx="14">
                    <c:v>81,71</c:v>
                  </c:pt>
                  <c:pt idx="16">
                    <c:v>79,41</c:v>
                  </c:pt>
                  <c:pt idx="17">
                    <c:v>84,77</c:v>
                  </c:pt>
                  <c:pt idx="18">
                    <c:v>64,93</c:v>
                  </c:pt>
                  <c:pt idx="19">
                    <c:v>71,54</c:v>
                  </c:pt>
                  <c:pt idx="20">
                    <c:v>72,53</c:v>
                  </c:pt>
                  <c:pt idx="21">
                    <c:v>70,48</c:v>
                  </c:pt>
                  <c:pt idx="22">
                    <c:v>69,68</c:v>
                  </c:pt>
                  <c:pt idx="24">
                    <c:v>74,47</c:v>
                  </c:pt>
                  <c:pt idx="25">
                    <c:v>81,72</c:v>
                  </c:pt>
                  <c:pt idx="26">
                    <c:v>65,13</c:v>
                  </c:pt>
                  <c:pt idx="27">
                    <c:v>82,61</c:v>
                  </c:pt>
                  <c:pt idx="28">
                    <c:v>78,99</c:v>
                  </c:pt>
                  <c:pt idx="29">
                    <c:v>68,72</c:v>
                  </c:pt>
                  <c:pt idx="30">
                    <c:v>73,10</c:v>
                  </c:pt>
                  <c:pt idx="31">
                    <c:v>16,93</c:v>
                  </c:pt>
                  <c:pt idx="32">
                    <c:v>43,96</c:v>
                  </c:pt>
                </c:lvl>
                <c:lvl>
                  <c:pt idx="0">
                    <c:v>74,48</c:v>
                  </c:pt>
                  <c:pt idx="1">
                    <c:v>57,38</c:v>
                  </c:pt>
                  <c:pt idx="2">
                    <c:v>50,97</c:v>
                  </c:pt>
                  <c:pt idx="3">
                    <c:v>68,85</c:v>
                  </c:pt>
                  <c:pt idx="4">
                    <c:v>87,90</c:v>
                  </c:pt>
                  <c:pt idx="5">
                    <c:v>54,86</c:v>
                  </c:pt>
                  <c:pt idx="6">
                    <c:v>68,65</c:v>
                  </c:pt>
                  <c:pt idx="8">
                    <c:v>50,80</c:v>
                  </c:pt>
                  <c:pt idx="9">
                    <c:v>66,89</c:v>
                  </c:pt>
                  <c:pt idx="10">
                    <c:v>50,13</c:v>
                  </c:pt>
                  <c:pt idx="11">
                    <c:v>74,61</c:v>
                  </c:pt>
                  <c:pt idx="12">
                    <c:v>77,51</c:v>
                  </c:pt>
                  <c:pt idx="13">
                    <c:v>77,75</c:v>
                  </c:pt>
                  <c:pt idx="14">
                    <c:v>90,87</c:v>
                  </c:pt>
                  <c:pt idx="16">
                    <c:v>82,76</c:v>
                  </c:pt>
                  <c:pt idx="17">
                    <c:v>91,06</c:v>
                  </c:pt>
                  <c:pt idx="18">
                    <c:v>78,70</c:v>
                  </c:pt>
                  <c:pt idx="19">
                    <c:v>85,10</c:v>
                  </c:pt>
                  <c:pt idx="20">
                    <c:v>66,28</c:v>
                  </c:pt>
                  <c:pt idx="21">
                    <c:v>70,62</c:v>
                  </c:pt>
                  <c:pt idx="22">
                    <c:v>84,26</c:v>
                  </c:pt>
                  <c:pt idx="24">
                    <c:v>80,96</c:v>
                  </c:pt>
                  <c:pt idx="25">
                    <c:v>96,53</c:v>
                  </c:pt>
                  <c:pt idx="26">
                    <c:v>63,91</c:v>
                  </c:pt>
                  <c:pt idx="27">
                    <c:v>68,97</c:v>
                  </c:pt>
                  <c:pt idx="28">
                    <c:v>78,55</c:v>
                  </c:pt>
                  <c:pt idx="29">
                    <c:v>54,59</c:v>
                  </c:pt>
                  <c:pt idx="30">
                    <c:v>78,69</c:v>
                  </c:pt>
                  <c:pt idx="31">
                    <c:v>61,34</c:v>
                  </c:pt>
                  <c:pt idx="32">
                    <c:v>75,85</c:v>
                  </c:pt>
                </c:lvl>
                <c:lvl>
                  <c:pt idx="0">
                    <c:v>77,73</c:v>
                  </c:pt>
                  <c:pt idx="1">
                    <c:v>71,14</c:v>
                  </c:pt>
                  <c:pt idx="2">
                    <c:v>73,86</c:v>
                  </c:pt>
                  <c:pt idx="3">
                    <c:v>88,48</c:v>
                  </c:pt>
                  <c:pt idx="4">
                    <c:v>70,15</c:v>
                  </c:pt>
                  <c:pt idx="5">
                    <c:v>59,67</c:v>
                  </c:pt>
                  <c:pt idx="6">
                    <c:v>85,29</c:v>
                  </c:pt>
                  <c:pt idx="8">
                    <c:v>60,32</c:v>
                  </c:pt>
                  <c:pt idx="9">
                    <c:v>74,05</c:v>
                  </c:pt>
                  <c:pt idx="10">
                    <c:v>84,71</c:v>
                  </c:pt>
                  <c:pt idx="11">
                    <c:v>80,83</c:v>
                  </c:pt>
                  <c:pt idx="12">
                    <c:v>83,74</c:v>
                  </c:pt>
                  <c:pt idx="13">
                    <c:v>82,17</c:v>
                  </c:pt>
                  <c:pt idx="14">
                    <c:v>84,70</c:v>
                  </c:pt>
                  <c:pt idx="16">
                    <c:v>97,47</c:v>
                  </c:pt>
                  <c:pt idx="17">
                    <c:v>114,55</c:v>
                  </c:pt>
                  <c:pt idx="18">
                    <c:v>53,37</c:v>
                  </c:pt>
                  <c:pt idx="19">
                    <c:v>65,01</c:v>
                  </c:pt>
                  <c:pt idx="20">
                    <c:v>69,88</c:v>
                  </c:pt>
                  <c:pt idx="21">
                    <c:v>65,82</c:v>
                  </c:pt>
                  <c:pt idx="22">
                    <c:v>96,47</c:v>
                  </c:pt>
                  <c:pt idx="24">
                    <c:v>75,44</c:v>
                  </c:pt>
                  <c:pt idx="25">
                    <c:v>78,89</c:v>
                  </c:pt>
                  <c:pt idx="26">
                    <c:v>68,56</c:v>
                  </c:pt>
                  <c:pt idx="27">
                    <c:v>72,66</c:v>
                  </c:pt>
                  <c:pt idx="28">
                    <c:v>83,22</c:v>
                  </c:pt>
                  <c:pt idx="29">
                    <c:v>76,11</c:v>
                  </c:pt>
                  <c:pt idx="30">
                    <c:v>87,74</c:v>
                  </c:pt>
                  <c:pt idx="31">
                    <c:v>65,48</c:v>
                  </c:pt>
                  <c:pt idx="32">
                    <c:v>74,19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74,99</c:v>
                  </c:pt>
                  <c:pt idx="1">
                    <c:v>62,39</c:v>
                  </c:pt>
                  <c:pt idx="2">
                    <c:v>61,34</c:v>
                  </c:pt>
                  <c:pt idx="3">
                    <c:v>59,79</c:v>
                  </c:pt>
                  <c:pt idx="4">
                    <c:v>54,93</c:v>
                  </c:pt>
                  <c:pt idx="5">
                    <c:v>56,69</c:v>
                  </c:pt>
                  <c:pt idx="6">
                    <c:v>64,03</c:v>
                  </c:pt>
                  <c:pt idx="8">
                    <c:v>58,99</c:v>
                  </c:pt>
                  <c:pt idx="9">
                    <c:v>75,37</c:v>
                  </c:pt>
                  <c:pt idx="10">
                    <c:v>76,72</c:v>
                  </c:pt>
                  <c:pt idx="11">
                    <c:v>73,40</c:v>
                  </c:pt>
                  <c:pt idx="12">
                    <c:v>67,65</c:v>
                  </c:pt>
                  <c:pt idx="13">
                    <c:v>55,00</c:v>
                  </c:pt>
                  <c:pt idx="14">
                    <c:v>69,87</c:v>
                  </c:pt>
                  <c:pt idx="16">
                    <c:v>84,42</c:v>
                  </c:pt>
                  <c:pt idx="17">
                    <c:v>58,19</c:v>
                  </c:pt>
                  <c:pt idx="18">
                    <c:v>70,23</c:v>
                  </c:pt>
                  <c:pt idx="19">
                    <c:v>55,11</c:v>
                  </c:pt>
                  <c:pt idx="20">
                    <c:v>75,18</c:v>
                  </c:pt>
                  <c:pt idx="21">
                    <c:v>65,18</c:v>
                  </c:pt>
                  <c:pt idx="22">
                    <c:v>70,81</c:v>
                  </c:pt>
                  <c:pt idx="24">
                    <c:v>71,20</c:v>
                  </c:pt>
                  <c:pt idx="25">
                    <c:v>74,04</c:v>
                  </c:pt>
                  <c:pt idx="26">
                    <c:v>61,91</c:v>
                  </c:pt>
                  <c:pt idx="27">
                    <c:v>78,69</c:v>
                  </c:pt>
                  <c:pt idx="28">
                    <c:v>66,47</c:v>
                  </c:pt>
                  <c:pt idx="29">
                    <c:v>75,08</c:v>
                  </c:pt>
                  <c:pt idx="30">
                    <c:v>71,44</c:v>
                  </c:pt>
                  <c:pt idx="31">
                    <c:v>73,81</c:v>
                  </c:pt>
                  <c:pt idx="32">
                    <c:v>78,07</c:v>
                  </c:pt>
                </c:lvl>
                <c:lvl>
                  <c:pt idx="0">
                    <c:v>108,56</c:v>
                  </c:pt>
                  <c:pt idx="1">
                    <c:v>104,74</c:v>
                  </c:pt>
                  <c:pt idx="2">
                    <c:v>96,37</c:v>
                  </c:pt>
                  <c:pt idx="3">
                    <c:v>86,22</c:v>
                  </c:pt>
                  <c:pt idx="4">
                    <c:v>82,19</c:v>
                  </c:pt>
                  <c:pt idx="5">
                    <c:v>83,37</c:v>
                  </c:pt>
                  <c:pt idx="6">
                    <c:v>81,25</c:v>
                  </c:pt>
                  <c:pt idx="8">
                    <c:v>102,31</c:v>
                  </c:pt>
                  <c:pt idx="9">
                    <c:v>99,87</c:v>
                  </c:pt>
                  <c:pt idx="10">
                    <c:v>92,46</c:v>
                  </c:pt>
                  <c:pt idx="11">
                    <c:v>102,75</c:v>
                  </c:pt>
                  <c:pt idx="12">
                    <c:v>76,33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69,83</c:v>
                  </c:pt>
                  <c:pt idx="1">
                    <c:v>74,23</c:v>
                  </c:pt>
                  <c:pt idx="2">
                    <c:v>73,72</c:v>
                  </c:pt>
                  <c:pt idx="3">
                    <c:v>65,74</c:v>
                  </c:pt>
                  <c:pt idx="4">
                    <c:v>59,91</c:v>
                  </c:pt>
                  <c:pt idx="5">
                    <c:v>74,53</c:v>
                  </c:pt>
                  <c:pt idx="6">
                    <c:v>67,65</c:v>
                  </c:pt>
                  <c:pt idx="8">
                    <c:v>49,85</c:v>
                  </c:pt>
                  <c:pt idx="9">
                    <c:v>72,69</c:v>
                  </c:pt>
                  <c:pt idx="10">
                    <c:v>65,45</c:v>
                  </c:pt>
                  <c:pt idx="11">
                    <c:v>75,78</c:v>
                  </c:pt>
                  <c:pt idx="12">
                    <c:v>70,73</c:v>
                  </c:pt>
                  <c:pt idx="13">
                    <c:v>76,04</c:v>
                  </c:pt>
                  <c:pt idx="14">
                    <c:v>65,83</c:v>
                  </c:pt>
                  <c:pt idx="16">
                    <c:v>86,63</c:v>
                  </c:pt>
                  <c:pt idx="17">
                    <c:v>80,43</c:v>
                  </c:pt>
                  <c:pt idx="18">
                    <c:v>70,40</c:v>
                  </c:pt>
                  <c:pt idx="20">
                    <c:v>66,48</c:v>
                  </c:pt>
                  <c:pt idx="21">
                    <c:v>68,75</c:v>
                  </c:pt>
                  <c:pt idx="22">
                    <c:v>75,21</c:v>
                  </c:pt>
                  <c:pt idx="24">
                    <c:v>99,14</c:v>
                  </c:pt>
                  <c:pt idx="25">
                    <c:v>76,46</c:v>
                  </c:pt>
                  <c:pt idx="26">
                    <c:v>66,65</c:v>
                  </c:pt>
                  <c:pt idx="27">
                    <c:v>43,46</c:v>
                  </c:pt>
                  <c:pt idx="28">
                    <c:v>80,36</c:v>
                  </c:pt>
                  <c:pt idx="29">
                    <c:v>66,98</c:v>
                  </c:pt>
                  <c:pt idx="30">
                    <c:v>87,00</c:v>
                  </c:pt>
                  <c:pt idx="31">
                    <c:v>73,52</c:v>
                  </c:pt>
                  <c:pt idx="32">
                    <c:v>82,27</c:v>
                  </c:pt>
                </c:lvl>
                <c:lvl>
                  <c:pt idx="0">
                    <c:v>87,02</c:v>
                  </c:pt>
                  <c:pt idx="1">
                    <c:v>69,61</c:v>
                  </c:pt>
                  <c:pt idx="2">
                    <c:v>95,97</c:v>
                  </c:pt>
                  <c:pt idx="3">
                    <c:v>88,96</c:v>
                  </c:pt>
                  <c:pt idx="4">
                    <c:v>66,97</c:v>
                  </c:pt>
                  <c:pt idx="5">
                    <c:v>81,11</c:v>
                  </c:pt>
                  <c:pt idx="6">
                    <c:v>79,28</c:v>
                  </c:pt>
                  <c:pt idx="8">
                    <c:v>70,37</c:v>
                  </c:pt>
                  <c:pt idx="9">
                    <c:v>90,54</c:v>
                  </c:pt>
                  <c:pt idx="10">
                    <c:v>73,13</c:v>
                  </c:pt>
                  <c:pt idx="12">
                    <c:v>129,99</c:v>
                  </c:pt>
                  <c:pt idx="13">
                    <c:v>78,30</c:v>
                  </c:pt>
                  <c:pt idx="14">
                    <c:v>90,69</c:v>
                  </c:pt>
                  <c:pt idx="16">
                    <c:v>107,10</c:v>
                  </c:pt>
                  <c:pt idx="17">
                    <c:v>94,25</c:v>
                  </c:pt>
                  <c:pt idx="18">
                    <c:v>89,24</c:v>
                  </c:pt>
                  <c:pt idx="19">
                    <c:v>80,86</c:v>
                  </c:pt>
                  <c:pt idx="20">
                    <c:v>76,66</c:v>
                  </c:pt>
                  <c:pt idx="21">
                    <c:v>102,29</c:v>
                  </c:pt>
                  <c:pt idx="22">
                    <c:v>90,62</c:v>
                  </c:pt>
                  <c:pt idx="24">
                    <c:v>97,63</c:v>
                  </c:pt>
                  <c:pt idx="25">
                    <c:v>100,68</c:v>
                  </c:pt>
                  <c:pt idx="26">
                    <c:v>77,06</c:v>
                  </c:pt>
                  <c:pt idx="27">
                    <c:v>74,12</c:v>
                  </c:pt>
                  <c:pt idx="28">
                    <c:v>100,53</c:v>
                  </c:pt>
                  <c:pt idx="29">
                    <c:v>88,32</c:v>
                  </c:pt>
                  <c:pt idx="30">
                    <c:v>25,14</c:v>
                  </c:pt>
                  <c:pt idx="31">
                    <c:v>55,86</c:v>
                  </c:pt>
                  <c:pt idx="32">
                    <c:v>87,61</c:v>
                  </c:pt>
                </c:lvl>
                <c:lvl>
                  <c:pt idx="0">
                    <c:v>75,35</c:v>
                  </c:pt>
                  <c:pt idx="1">
                    <c:v>70,68</c:v>
                  </c:pt>
                  <c:pt idx="2">
                    <c:v>81,70</c:v>
                  </c:pt>
                  <c:pt idx="3">
                    <c:v>98,85</c:v>
                  </c:pt>
                  <c:pt idx="4">
                    <c:v>48,46</c:v>
                  </c:pt>
                  <c:pt idx="5">
                    <c:v>3,87</c:v>
                  </c:pt>
                  <c:pt idx="6">
                    <c:v>69,30</c:v>
                  </c:pt>
                  <c:pt idx="8">
                    <c:v>57,61</c:v>
                  </c:pt>
                  <c:pt idx="9">
                    <c:v>81,47</c:v>
                  </c:pt>
                  <c:pt idx="10">
                    <c:v>85,20</c:v>
                  </c:pt>
                  <c:pt idx="11">
                    <c:v>87,57</c:v>
                  </c:pt>
                  <c:pt idx="12">
                    <c:v>66,61</c:v>
                  </c:pt>
                  <c:pt idx="13">
                    <c:v>77,86</c:v>
                  </c:pt>
                  <c:pt idx="14">
                    <c:v>81,37</c:v>
                  </c:pt>
                  <c:pt idx="16">
                    <c:v>87,75</c:v>
                  </c:pt>
                  <c:pt idx="17">
                    <c:v>92,59</c:v>
                  </c:pt>
                  <c:pt idx="18">
                    <c:v>73,39</c:v>
                  </c:pt>
                  <c:pt idx="19">
                    <c:v>79,19</c:v>
                  </c:pt>
                  <c:pt idx="20">
                    <c:v>85,19</c:v>
                  </c:pt>
                  <c:pt idx="21">
                    <c:v>77,15</c:v>
                  </c:pt>
                  <c:pt idx="22">
                    <c:v>88,22</c:v>
                  </c:pt>
                  <c:pt idx="24">
                    <c:v>89,01</c:v>
                  </c:pt>
                  <c:pt idx="25">
                    <c:v>72,14</c:v>
                  </c:pt>
                  <c:pt idx="26">
                    <c:v>87,79</c:v>
                  </c:pt>
                  <c:pt idx="27">
                    <c:v>119,59</c:v>
                  </c:pt>
                  <c:pt idx="28">
                    <c:v>93,15</c:v>
                  </c:pt>
                  <c:pt idx="29">
                    <c:v>69,65</c:v>
                  </c:pt>
                  <c:pt idx="30">
                    <c:v>108,13</c:v>
                  </c:pt>
                  <c:pt idx="31">
                    <c:v>57,78</c:v>
                  </c:pt>
                  <c:pt idx="32">
                    <c:v>86,51</c:v>
                  </c:pt>
                </c:lvl>
                <c:lvl>
                  <c:pt idx="0">
                    <c:v>76,22</c:v>
                  </c:pt>
                  <c:pt idx="1">
                    <c:v>83,13</c:v>
                  </c:pt>
                  <c:pt idx="2">
                    <c:v>71,11</c:v>
                  </c:pt>
                  <c:pt idx="3">
                    <c:v>75,42</c:v>
                  </c:pt>
                  <c:pt idx="4">
                    <c:v>68,93</c:v>
                  </c:pt>
                  <c:pt idx="5">
                    <c:v>70,64</c:v>
                  </c:pt>
                  <c:pt idx="6">
                    <c:v>83,44</c:v>
                  </c:pt>
                  <c:pt idx="8">
                    <c:v>70,48</c:v>
                  </c:pt>
                  <c:pt idx="9">
                    <c:v>85,35</c:v>
                  </c:pt>
                  <c:pt idx="10">
                    <c:v>94,85</c:v>
                  </c:pt>
                  <c:pt idx="11">
                    <c:v>81,38</c:v>
                  </c:pt>
                  <c:pt idx="12">
                    <c:v>79,76</c:v>
                  </c:pt>
                  <c:pt idx="13">
                    <c:v>76,84</c:v>
                  </c:pt>
                  <c:pt idx="14">
                    <c:v>68,37</c:v>
                  </c:pt>
                  <c:pt idx="16">
                    <c:v>97,82</c:v>
                  </c:pt>
                  <c:pt idx="17">
                    <c:v>76,49</c:v>
                  </c:pt>
                  <c:pt idx="18">
                    <c:v>71,75</c:v>
                  </c:pt>
                  <c:pt idx="19">
                    <c:v>97,51</c:v>
                  </c:pt>
                  <c:pt idx="20">
                    <c:v>82,36</c:v>
                  </c:pt>
                  <c:pt idx="21">
                    <c:v>76,44</c:v>
                  </c:pt>
                  <c:pt idx="22">
                    <c:v>82,17</c:v>
                  </c:pt>
                  <c:pt idx="24">
                    <c:v>93,95</c:v>
                  </c:pt>
                  <c:pt idx="25">
                    <c:v>85,99</c:v>
                  </c:pt>
                  <c:pt idx="26">
                    <c:v>66,34</c:v>
                  </c:pt>
                  <c:pt idx="27">
                    <c:v>65,13</c:v>
                  </c:pt>
                  <c:pt idx="28">
                    <c:v>92,59</c:v>
                  </c:pt>
                  <c:pt idx="29">
                    <c:v>71,62</c:v>
                  </c:pt>
                  <c:pt idx="30">
                    <c:v>94,73</c:v>
                  </c:pt>
                  <c:pt idx="31">
                    <c:v>62,48</c:v>
                  </c:pt>
                  <c:pt idx="32">
                    <c:v>84,82</c:v>
                  </c:pt>
                </c:lvl>
                <c:lvl>
                  <c:pt idx="0">
                    <c:v>75,98</c:v>
                  </c:pt>
                  <c:pt idx="1">
                    <c:v>86,42</c:v>
                  </c:pt>
                  <c:pt idx="2">
                    <c:v>70,74</c:v>
                  </c:pt>
                  <c:pt idx="3">
                    <c:v>66,66</c:v>
                  </c:pt>
                  <c:pt idx="4">
                    <c:v>76,39</c:v>
                  </c:pt>
                  <c:pt idx="5">
                    <c:v>66,95</c:v>
                  </c:pt>
                  <c:pt idx="6">
                    <c:v>76,41</c:v>
                  </c:pt>
                  <c:pt idx="8">
                    <c:v>68,83</c:v>
                  </c:pt>
                  <c:pt idx="9">
                    <c:v>80,94</c:v>
                  </c:pt>
                  <c:pt idx="10">
                    <c:v>66,48</c:v>
                  </c:pt>
                  <c:pt idx="11">
                    <c:v>78,66</c:v>
                  </c:pt>
                  <c:pt idx="12">
                    <c:v>71,02</c:v>
                  </c:pt>
                  <c:pt idx="13">
                    <c:v>64,75</c:v>
                  </c:pt>
                  <c:pt idx="14">
                    <c:v>81,53</c:v>
                  </c:pt>
                  <c:pt idx="16">
                    <c:v>91,39</c:v>
                  </c:pt>
                  <c:pt idx="17">
                    <c:v>89,37</c:v>
                  </c:pt>
                  <c:pt idx="18">
                    <c:v>91,17</c:v>
                  </c:pt>
                  <c:pt idx="19">
                    <c:v>77,60</c:v>
                  </c:pt>
                  <c:pt idx="20">
                    <c:v>75,55</c:v>
                  </c:pt>
                  <c:pt idx="21">
                    <c:v>75,30</c:v>
                  </c:pt>
                  <c:pt idx="22">
                    <c:v>84,20</c:v>
                  </c:pt>
                  <c:pt idx="24">
                    <c:v>88,45</c:v>
                  </c:pt>
                  <c:pt idx="25">
                    <c:v>80,17</c:v>
                  </c:pt>
                  <c:pt idx="26">
                    <c:v>80,12</c:v>
                  </c:pt>
                  <c:pt idx="27">
                    <c:v>57,31</c:v>
                  </c:pt>
                  <c:pt idx="28">
                    <c:v>58,31</c:v>
                  </c:pt>
                </c:lvl>
                <c:lvl>
                  <c:pt idx="0">
                    <c:v>76,23</c:v>
                  </c:pt>
                  <c:pt idx="1">
                    <c:v>78,95</c:v>
                  </c:pt>
                  <c:pt idx="2">
                    <c:v>43,03</c:v>
                  </c:pt>
                  <c:pt idx="3">
                    <c:v>89,27</c:v>
                  </c:pt>
                  <c:pt idx="4">
                    <c:v>61,53</c:v>
                  </c:pt>
                  <c:pt idx="5">
                    <c:v>41,99</c:v>
                  </c:pt>
                  <c:pt idx="6">
                    <c:v>82,37</c:v>
                  </c:pt>
                  <c:pt idx="8">
                    <c:v>60,84</c:v>
                  </c:pt>
                  <c:pt idx="9">
                    <c:v>71,25</c:v>
                  </c:pt>
                  <c:pt idx="10">
                    <c:v>90,58</c:v>
                  </c:pt>
                  <c:pt idx="11">
                    <c:v>78,95</c:v>
                  </c:pt>
                  <c:pt idx="12">
                    <c:v>77,94</c:v>
                  </c:pt>
                  <c:pt idx="13">
                    <c:v>80,88</c:v>
                  </c:pt>
                  <c:pt idx="14">
                    <c:v>76,39</c:v>
                  </c:pt>
                  <c:pt idx="16">
                    <c:v>85,08</c:v>
                  </c:pt>
                  <c:pt idx="17">
                    <c:v>101,07</c:v>
                  </c:pt>
                  <c:pt idx="18">
                    <c:v>64,61</c:v>
                  </c:pt>
                  <c:pt idx="19">
                    <c:v>70,57</c:v>
                  </c:pt>
                  <c:pt idx="20">
                    <c:v>66,33</c:v>
                  </c:pt>
                  <c:pt idx="22">
                    <c:v>116,51</c:v>
                  </c:pt>
                  <c:pt idx="24">
                    <c:v>72,60</c:v>
                  </c:pt>
                  <c:pt idx="25">
                    <c:v>88,93</c:v>
                  </c:pt>
                  <c:pt idx="27">
                    <c:v>48,35</c:v>
                  </c:pt>
                  <c:pt idx="28">
                    <c:v>75,30</c:v>
                  </c:pt>
                  <c:pt idx="29">
                    <c:v>72,34</c:v>
                  </c:pt>
                  <c:pt idx="30">
                    <c:v>87,71</c:v>
                  </c:pt>
                  <c:pt idx="31">
                    <c:v>66,90</c:v>
                  </c:pt>
                  <c:pt idx="32">
                    <c:v>87,51</c:v>
                  </c:pt>
                </c:lvl>
                <c:lvl>
                  <c:pt idx="0">
                    <c:v>92,58</c:v>
                  </c:pt>
                  <c:pt idx="1">
                    <c:v>78,93</c:v>
                  </c:pt>
                  <c:pt idx="2">
                    <c:v>64,34</c:v>
                  </c:pt>
                  <c:pt idx="3">
                    <c:v>70,15</c:v>
                  </c:pt>
                  <c:pt idx="4">
                    <c:v>84,40</c:v>
                  </c:pt>
                  <c:pt idx="5">
                    <c:v>66,36</c:v>
                  </c:pt>
                  <c:pt idx="6">
                    <c:v>74,53</c:v>
                  </c:pt>
                  <c:pt idx="8">
                    <c:v>54,36</c:v>
                  </c:pt>
                  <c:pt idx="9">
                    <c:v>86,41</c:v>
                  </c:pt>
                  <c:pt idx="10">
                    <c:v>87,61</c:v>
                  </c:pt>
                  <c:pt idx="11">
                    <c:v>65,03</c:v>
                  </c:pt>
                  <c:pt idx="12">
                    <c:v>73,94</c:v>
                  </c:pt>
                  <c:pt idx="13">
                    <c:v>78,62</c:v>
                  </c:pt>
                  <c:pt idx="14">
                    <c:v>70,96</c:v>
                  </c:pt>
                  <c:pt idx="16">
                    <c:v>92,35</c:v>
                  </c:pt>
                  <c:pt idx="17">
                    <c:v>93,40</c:v>
                  </c:pt>
                  <c:pt idx="18">
                    <c:v>84,86</c:v>
                  </c:pt>
                  <c:pt idx="19">
                    <c:v>72,84</c:v>
                  </c:pt>
                  <c:pt idx="20">
                    <c:v>54,86</c:v>
                  </c:pt>
                  <c:pt idx="21">
                    <c:v>81,55</c:v>
                  </c:pt>
                  <c:pt idx="22">
                    <c:v>77,26</c:v>
                  </c:pt>
                  <c:pt idx="24">
                    <c:v>82,90</c:v>
                  </c:pt>
                  <c:pt idx="25">
                    <c:v>71,74</c:v>
                  </c:pt>
                  <c:pt idx="26">
                    <c:v>85,01</c:v>
                  </c:pt>
                  <c:pt idx="27">
                    <c:v>86,37</c:v>
                  </c:pt>
                  <c:pt idx="28">
                    <c:v>92,56</c:v>
                  </c:pt>
                  <c:pt idx="29">
                    <c:v>66,32</c:v>
                  </c:pt>
                  <c:pt idx="30">
                    <c:v>72,22</c:v>
                  </c:pt>
                </c:lvl>
                <c:lvl>
                  <c:pt idx="0">
                    <c:v>69,56</c:v>
                  </c:pt>
                  <c:pt idx="1">
                    <c:v>39,42</c:v>
                  </c:pt>
                  <c:pt idx="2">
                    <c:v>81,50</c:v>
                  </c:pt>
                  <c:pt idx="3">
                    <c:v>86,14</c:v>
                  </c:pt>
                  <c:pt idx="4">
                    <c:v>58,31</c:v>
                  </c:pt>
                  <c:pt idx="5">
                    <c:v>73,76</c:v>
                  </c:pt>
                  <c:pt idx="8">
                    <c:v>87,56</c:v>
                  </c:pt>
                  <c:pt idx="9">
                    <c:v>82,90</c:v>
                  </c:pt>
                  <c:pt idx="10">
                    <c:v>78,18</c:v>
                  </c:pt>
                  <c:pt idx="11">
                    <c:v>61,05</c:v>
                  </c:pt>
                  <c:pt idx="12">
                    <c:v>66,59</c:v>
                  </c:pt>
                  <c:pt idx="14">
                    <c:v>30,08</c:v>
                  </c:pt>
                  <c:pt idx="18">
                    <c:v>41,00</c:v>
                  </c:pt>
                  <c:pt idx="19">
                    <c:v>15,07</c:v>
                  </c:pt>
                  <c:pt idx="20">
                    <c:v>73,08</c:v>
                  </c:pt>
                  <c:pt idx="21">
                    <c:v>66,52</c:v>
                  </c:pt>
                  <c:pt idx="22">
                    <c:v>69,91</c:v>
                  </c:pt>
                  <c:pt idx="24">
                    <c:v>111,07</c:v>
                  </c:pt>
                  <c:pt idx="25">
                    <c:v>60,83</c:v>
                  </c:pt>
                  <c:pt idx="27">
                    <c:v>95,72</c:v>
                  </c:pt>
                  <c:pt idx="29">
                    <c:v>62,53</c:v>
                  </c:pt>
                  <c:pt idx="30">
                    <c:v>82,15</c:v>
                  </c:pt>
                  <c:pt idx="31">
                    <c:v>86,28</c:v>
                  </c:pt>
                </c:lvl>
                <c:lvl>
                  <c:pt idx="0">
                    <c:v>97,27</c:v>
                  </c:pt>
                  <c:pt idx="1">
                    <c:v>80,43</c:v>
                  </c:pt>
                  <c:pt idx="2">
                    <c:v>62,21</c:v>
                  </c:pt>
                  <c:pt idx="3">
                    <c:v>90,58</c:v>
                  </c:pt>
                  <c:pt idx="4">
                    <c:v>49,73</c:v>
                  </c:pt>
                  <c:pt idx="5">
                    <c:v>67,11</c:v>
                  </c:pt>
                  <c:pt idx="6">
                    <c:v>96,93</c:v>
                  </c:pt>
                  <c:pt idx="8">
                    <c:v>60,80</c:v>
                  </c:pt>
                  <c:pt idx="9">
                    <c:v>90,43</c:v>
                  </c:pt>
                  <c:pt idx="10">
                    <c:v>67,70</c:v>
                  </c:pt>
                  <c:pt idx="11">
                    <c:v>67,19</c:v>
                  </c:pt>
                  <c:pt idx="12">
                    <c:v>89,45</c:v>
                  </c:pt>
                  <c:pt idx="13">
                    <c:v>63,89</c:v>
                  </c:pt>
                  <c:pt idx="14">
                    <c:v>65,89</c:v>
                  </c:pt>
                  <c:pt idx="16">
                    <c:v>91,85</c:v>
                  </c:pt>
                  <c:pt idx="17">
                    <c:v>94,45</c:v>
                  </c:pt>
                  <c:pt idx="18">
                    <c:v>87,57</c:v>
                  </c:pt>
                  <c:pt idx="19">
                    <c:v>76,77</c:v>
                  </c:pt>
                  <c:pt idx="20">
                    <c:v>68,11</c:v>
                  </c:pt>
                  <c:pt idx="21">
                    <c:v>81,09</c:v>
                  </c:pt>
                  <c:pt idx="22">
                    <c:v>74,07</c:v>
                  </c:pt>
                  <c:pt idx="24">
                    <c:v>74,93</c:v>
                  </c:pt>
                  <c:pt idx="26">
                    <c:v>138,97</c:v>
                  </c:pt>
                  <c:pt idx="27">
                    <c:v>43,38</c:v>
                  </c:pt>
                  <c:pt idx="29">
                    <c:v>100,66</c:v>
                  </c:pt>
                  <c:pt idx="30">
                    <c:v>84,43</c:v>
                  </c:pt>
                  <c:pt idx="31">
                    <c:v>71,78</c:v>
                  </c:pt>
                </c:lvl>
                <c:lvl>
                  <c:pt idx="0">
                    <c:v>76,46</c:v>
                  </c:pt>
                  <c:pt idx="1">
                    <c:v>42,89</c:v>
                  </c:pt>
                  <c:pt idx="2">
                    <c:v>78,79</c:v>
                  </c:pt>
                  <c:pt idx="3">
                    <c:v>72,21</c:v>
                  </c:pt>
                  <c:pt idx="4">
                    <c:v>47,30</c:v>
                  </c:pt>
                  <c:pt idx="5">
                    <c:v>49,50</c:v>
                  </c:pt>
                  <c:pt idx="8">
                    <c:v>13,06</c:v>
                  </c:pt>
                  <c:pt idx="9">
                    <c:v>67,91</c:v>
                  </c:pt>
                  <c:pt idx="10">
                    <c:v>70,45</c:v>
                  </c:pt>
                  <c:pt idx="11">
                    <c:v>109,44</c:v>
                  </c:pt>
                  <c:pt idx="12">
                    <c:v>52,89</c:v>
                  </c:pt>
                  <c:pt idx="13">
                    <c:v>71,24</c:v>
                  </c:pt>
                  <c:pt idx="14">
                    <c:v>95,92</c:v>
                  </c:pt>
                  <c:pt idx="16">
                    <c:v>111,92</c:v>
                  </c:pt>
                  <c:pt idx="17">
                    <c:v>62,30</c:v>
                  </c:pt>
                  <c:pt idx="18">
                    <c:v>81,23</c:v>
                  </c:pt>
                  <c:pt idx="19">
                    <c:v>87,58</c:v>
                  </c:pt>
                  <c:pt idx="20">
                    <c:v>84,78</c:v>
                  </c:pt>
                  <c:pt idx="21">
                    <c:v>77,57</c:v>
                  </c:pt>
                  <c:pt idx="24">
                    <c:v>91,17</c:v>
                  </c:pt>
                  <c:pt idx="25">
                    <c:v>86,40</c:v>
                  </c:pt>
                  <c:pt idx="26">
                    <c:v>78,22</c:v>
                  </c:pt>
                  <c:pt idx="27">
                    <c:v>73,24</c:v>
                  </c:pt>
                  <c:pt idx="28">
                    <c:v>63,96</c:v>
                  </c:pt>
                  <c:pt idx="29">
                    <c:v>61,70</c:v>
                  </c:pt>
                  <c:pt idx="31">
                    <c:v>35,57</c:v>
                  </c:pt>
                  <c:pt idx="32">
                    <c:v>87,32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94,35</c:v>
                  </c:pt>
                  <c:pt idx="1">
                    <c:v>59,74</c:v>
                  </c:pt>
                  <c:pt idx="2">
                    <c:v>81,91</c:v>
                  </c:pt>
                  <c:pt idx="3">
                    <c:v>71,16</c:v>
                  </c:pt>
                  <c:pt idx="4">
                    <c:v>40,01</c:v>
                  </c:pt>
                  <c:pt idx="5">
                    <c:v>66,38</c:v>
                  </c:pt>
                  <c:pt idx="6">
                    <c:v>87,00</c:v>
                  </c:pt>
                  <c:pt idx="8">
                    <c:v>62,03</c:v>
                  </c:pt>
                  <c:pt idx="9">
                    <c:v>81,03</c:v>
                  </c:pt>
                  <c:pt idx="10">
                    <c:v>76,29</c:v>
                  </c:pt>
                  <c:pt idx="11">
                    <c:v>82,95</c:v>
                  </c:pt>
                  <c:pt idx="12">
                    <c:v>80,21</c:v>
                  </c:pt>
                  <c:pt idx="13">
                    <c:v>71,35</c:v>
                  </c:pt>
                  <c:pt idx="14">
                    <c:v>67,35</c:v>
                  </c:pt>
                  <c:pt idx="16">
                    <c:v>76,59</c:v>
                  </c:pt>
                  <c:pt idx="17">
                    <c:v>65,78</c:v>
                  </c:pt>
                  <c:pt idx="18">
                    <c:v>56,07</c:v>
                  </c:pt>
                  <c:pt idx="19">
                    <c:v>71,92</c:v>
                  </c:pt>
                  <c:pt idx="20">
                    <c:v>75,96</c:v>
                  </c:pt>
                  <c:pt idx="21">
                    <c:v>58,95</c:v>
                  </c:pt>
                  <c:pt idx="22">
                    <c:v>66,21</c:v>
                  </c:pt>
                  <c:pt idx="24">
                    <c:v>135,00</c:v>
                  </c:pt>
                  <c:pt idx="25">
                    <c:v>76,09</c:v>
                  </c:pt>
                  <c:pt idx="26">
                    <c:v>77,09</c:v>
                  </c:pt>
                </c:lvl>
                <c:lvl>
                  <c:pt idx="0">
                    <c:v>71,96</c:v>
                  </c:pt>
                  <c:pt idx="1">
                    <c:v>79,02</c:v>
                  </c:pt>
                  <c:pt idx="2">
                    <c:v>64,51</c:v>
                  </c:pt>
                  <c:pt idx="3">
                    <c:v>84,47</c:v>
                  </c:pt>
                  <c:pt idx="4">
                    <c:v>75,25</c:v>
                  </c:pt>
                  <c:pt idx="5">
                    <c:v>49,48</c:v>
                  </c:pt>
                  <c:pt idx="6">
                    <c:v>70,06</c:v>
                  </c:pt>
                  <c:pt idx="8">
                    <c:v>69,40</c:v>
                  </c:pt>
                  <c:pt idx="9">
                    <c:v>70,39</c:v>
                  </c:pt>
                  <c:pt idx="10">
                    <c:v>76,19</c:v>
                  </c:pt>
                  <c:pt idx="11">
                    <c:v>79,70</c:v>
                  </c:pt>
                  <c:pt idx="12">
                    <c:v>74,77</c:v>
                  </c:pt>
                  <c:pt idx="13">
                    <c:v>82,78</c:v>
                  </c:pt>
                  <c:pt idx="14">
                    <c:v>71,92</c:v>
                  </c:pt>
                  <c:pt idx="16">
                    <c:v>91,44</c:v>
                  </c:pt>
                  <c:pt idx="17">
                    <c:v>69,09</c:v>
                  </c:pt>
                  <c:pt idx="18">
                    <c:v>65,01</c:v>
                  </c:pt>
                  <c:pt idx="19">
                    <c:v>40,17</c:v>
                  </c:pt>
                  <c:pt idx="20">
                    <c:v>48,83</c:v>
                  </c:pt>
                  <c:pt idx="21">
                    <c:v>82,77</c:v>
                  </c:pt>
                  <c:pt idx="22">
                    <c:v>60,30</c:v>
                  </c:pt>
                  <c:pt idx="24">
                    <c:v>84,35</c:v>
                  </c:pt>
                  <c:pt idx="25">
                    <c:v>53,55</c:v>
                  </c:pt>
                  <c:pt idx="26">
                    <c:v>72,03</c:v>
                  </c:pt>
                  <c:pt idx="27">
                    <c:v>67,84</c:v>
                  </c:pt>
                  <c:pt idx="28">
                    <c:v>91,10</c:v>
                  </c:pt>
                  <c:pt idx="29">
                    <c:v>85,24</c:v>
                  </c:pt>
                  <c:pt idx="30">
                    <c:v>76,72</c:v>
                  </c:pt>
                  <c:pt idx="31">
                    <c:v>69,23</c:v>
                  </c:pt>
                  <c:pt idx="32">
                    <c:v>93,23</c:v>
                  </c:pt>
                </c:lvl>
                <c:lvl>
                  <c:pt idx="0">
                    <c:v>90,94</c:v>
                  </c:pt>
                  <c:pt idx="1">
                    <c:v>58,43</c:v>
                  </c:pt>
                  <c:pt idx="2">
                    <c:v>82,52</c:v>
                  </c:pt>
                  <c:pt idx="3">
                    <c:v>63,62</c:v>
                  </c:pt>
                  <c:pt idx="4">
                    <c:v>50,96</c:v>
                  </c:pt>
                  <c:pt idx="5">
                    <c:v>56,79</c:v>
                  </c:pt>
                  <c:pt idx="6">
                    <c:v>75,28</c:v>
                  </c:pt>
                  <c:pt idx="8">
                    <c:v>38,73</c:v>
                  </c:pt>
                  <c:pt idx="9">
                    <c:v>95,13</c:v>
                  </c:pt>
                  <c:pt idx="10">
                    <c:v>56,33</c:v>
                  </c:pt>
                  <c:pt idx="11">
                    <c:v>66,09</c:v>
                  </c:pt>
                  <c:pt idx="12">
                    <c:v>111,84</c:v>
                  </c:pt>
                  <c:pt idx="13">
                    <c:v>83,90</c:v>
                  </c:pt>
                  <c:pt idx="14">
                    <c:v>66,44</c:v>
                  </c:pt>
                  <c:pt idx="16">
                    <c:v>54,80</c:v>
                  </c:pt>
                  <c:pt idx="17">
                    <c:v>106,78</c:v>
                  </c:pt>
                  <c:pt idx="18">
                    <c:v>93,12</c:v>
                  </c:pt>
                  <c:pt idx="19">
                    <c:v>84,61</c:v>
                  </c:pt>
                  <c:pt idx="20">
                    <c:v>149,34</c:v>
                  </c:pt>
                  <c:pt idx="21">
                    <c:v>80,88</c:v>
                  </c:pt>
                  <c:pt idx="22">
                    <c:v>71,18</c:v>
                  </c:pt>
                  <c:pt idx="24">
                    <c:v>96,43</c:v>
                  </c:pt>
                  <c:pt idx="25">
                    <c:v>56,67</c:v>
                  </c:pt>
                  <c:pt idx="26">
                    <c:v>51,03</c:v>
                  </c:pt>
                  <c:pt idx="27">
                    <c:v>63,52</c:v>
                  </c:pt>
                  <c:pt idx="28">
                    <c:v>60,06</c:v>
                  </c:pt>
                  <c:pt idx="29">
                    <c:v>90,06</c:v>
                  </c:pt>
                  <c:pt idx="31">
                    <c:v>47,61</c:v>
                  </c:pt>
                  <c:pt idx="32">
                    <c:v>74,98</c:v>
                  </c:pt>
                </c:lvl>
                <c:lvl>
                  <c:pt idx="0">
                    <c:v>183,85</c:v>
                  </c:pt>
                  <c:pt idx="1">
                    <c:v>87,54</c:v>
                  </c:pt>
                  <c:pt idx="2">
                    <c:v>55,67</c:v>
                  </c:pt>
                  <c:pt idx="3">
                    <c:v>89,17</c:v>
                  </c:pt>
                  <c:pt idx="4">
                    <c:v>77,56</c:v>
                  </c:pt>
                  <c:pt idx="5">
                    <c:v>78,02</c:v>
                  </c:pt>
                  <c:pt idx="6">
                    <c:v>82,07</c:v>
                  </c:pt>
                  <c:pt idx="8">
                    <c:v>76,95</c:v>
                  </c:pt>
                  <c:pt idx="9">
                    <c:v>82,23</c:v>
                  </c:pt>
                  <c:pt idx="10">
                    <c:v>78,44</c:v>
                  </c:pt>
                  <c:pt idx="11">
                    <c:v>78,65</c:v>
                  </c:pt>
                  <c:pt idx="12">
                    <c:v>83,91</c:v>
                  </c:pt>
                  <c:pt idx="13">
                    <c:v>86,75</c:v>
                  </c:pt>
                  <c:pt idx="14">
                    <c:v>75,19</c:v>
                  </c:pt>
                  <c:pt idx="23">
                    <c:v>PM</c:v>
                  </c:pt>
                  <c:pt idx="24">
                    <c:v>69,24</c:v>
                  </c:pt>
                  <c:pt idx="25">
                    <c:v>85,39</c:v>
                  </c:pt>
                  <c:pt idx="26">
                    <c:v>91,09</c:v>
                  </c:pt>
                  <c:pt idx="27">
                    <c:v>101,77</c:v>
                  </c:pt>
                  <c:pt idx="28">
                    <c:v>58,79</c:v>
                  </c:pt>
                  <c:pt idx="29">
                    <c:v>75,51</c:v>
                  </c:pt>
                  <c:pt idx="30">
                    <c:v>69,12</c:v>
                  </c:pt>
                  <c:pt idx="31">
                    <c:v>84,09</c:v>
                  </c:pt>
                  <c:pt idx="32">
                    <c:v>78,71</c:v>
                  </c:pt>
                </c:lvl>
                <c:lvl>
                  <c:pt idx="0">
                    <c:v>87,73</c:v>
                  </c:pt>
                  <c:pt idx="1">
                    <c:v>78,89</c:v>
                  </c:pt>
                  <c:pt idx="2">
                    <c:v>47,73</c:v>
                  </c:pt>
                  <c:pt idx="3">
                    <c:v>77,33</c:v>
                  </c:pt>
                  <c:pt idx="4">
                    <c:v>46,27</c:v>
                  </c:pt>
                  <c:pt idx="5">
                    <c:v>77,53</c:v>
                  </c:pt>
                  <c:pt idx="6">
                    <c:v>72,95</c:v>
                  </c:pt>
                  <c:pt idx="8">
                    <c:v>54,93</c:v>
                  </c:pt>
                  <c:pt idx="9">
                    <c:v>80,61</c:v>
                  </c:pt>
                  <c:pt idx="10">
                    <c:v>60,08</c:v>
                  </c:pt>
                  <c:pt idx="11">
                    <c:v>68,84</c:v>
                  </c:pt>
                  <c:pt idx="12">
                    <c:v>73,26</c:v>
                  </c:pt>
                  <c:pt idx="13">
                    <c:v>83,14</c:v>
                  </c:pt>
                  <c:pt idx="14">
                    <c:v>71,26</c:v>
                  </c:pt>
                  <c:pt idx="16">
                    <c:v>91,08</c:v>
                  </c:pt>
                  <c:pt idx="17">
                    <c:v>85,07</c:v>
                  </c:pt>
                  <c:pt idx="18">
                    <c:v>90,18</c:v>
                  </c:pt>
                  <c:pt idx="19">
                    <c:v>84,95</c:v>
                  </c:pt>
                  <c:pt idx="20">
                    <c:v>71,98</c:v>
                  </c:pt>
                  <c:pt idx="21">
                    <c:v>84,20</c:v>
                  </c:pt>
                  <c:pt idx="22">
                    <c:v>97,00</c:v>
                  </c:pt>
                  <c:pt idx="25">
                    <c:v>117,39</c:v>
                  </c:pt>
                  <c:pt idx="26">
                    <c:v>79,07</c:v>
                  </c:pt>
                  <c:pt idx="27">
                    <c:v>82,65</c:v>
                  </c:pt>
                  <c:pt idx="28">
                    <c:v>78,82</c:v>
                  </c:pt>
                  <c:pt idx="29">
                    <c:v>81,23</c:v>
                  </c:pt>
                  <c:pt idx="30">
                    <c:v>76,75</c:v>
                  </c:pt>
                  <c:pt idx="31">
                    <c:v>62,69</c:v>
                  </c:pt>
                  <c:pt idx="32">
                    <c:v>75,41</c:v>
                  </c:pt>
                </c:lvl>
                <c:lvl>
                  <c:pt idx="0">
                    <c:v>146,97</c:v>
                  </c:pt>
                  <c:pt idx="1">
                    <c:v>102,95</c:v>
                  </c:pt>
                  <c:pt idx="3">
                    <c:v>39,43</c:v>
                  </c:pt>
                  <c:pt idx="4">
                    <c:v>39,21</c:v>
                  </c:pt>
                  <c:pt idx="5">
                    <c:v>114,60</c:v>
                  </c:pt>
                  <c:pt idx="6">
                    <c:v>90,08</c:v>
                  </c:pt>
                  <c:pt idx="8">
                    <c:v>77,79</c:v>
                  </c:pt>
                  <c:pt idx="9">
                    <c:v>90,04</c:v>
                  </c:pt>
                  <c:pt idx="10">
                    <c:v>88,25</c:v>
                  </c:pt>
                  <c:pt idx="11">
                    <c:v>86,79</c:v>
                  </c:pt>
                  <c:pt idx="13">
                    <c:v>58,84</c:v>
                  </c:pt>
                  <c:pt idx="14">
                    <c:v>87,18</c:v>
                  </c:pt>
                  <c:pt idx="16">
                    <c:v>52,12</c:v>
                  </c:pt>
                  <c:pt idx="17">
                    <c:v>75,91</c:v>
                  </c:pt>
                  <c:pt idx="18">
                    <c:v>21,04</c:v>
                  </c:pt>
                  <c:pt idx="19">
                    <c:v>77,97</c:v>
                  </c:pt>
                  <c:pt idx="20">
                    <c:v>51,61</c:v>
                  </c:pt>
                  <c:pt idx="21">
                    <c:v>90,73</c:v>
                  </c:pt>
                  <c:pt idx="22">
                    <c:v>115,72</c:v>
                  </c:pt>
                  <c:pt idx="24">
                    <c:v>70,52</c:v>
                  </c:pt>
                  <c:pt idx="25">
                    <c:v>48,80</c:v>
                  </c:pt>
                  <c:pt idx="26">
                    <c:v>52,41</c:v>
                  </c:pt>
                  <c:pt idx="27">
                    <c:v>77,42</c:v>
                  </c:pt>
                  <c:pt idx="28">
                    <c:v>65,54</c:v>
                  </c:pt>
                  <c:pt idx="29">
                    <c:v>64,56</c:v>
                  </c:pt>
                  <c:pt idx="30">
                    <c:v>57,80</c:v>
                  </c:pt>
                  <c:pt idx="31">
                    <c:v>165,60</c:v>
                  </c:pt>
                  <c:pt idx="32">
                    <c:v>89,09</c:v>
                  </c:pt>
                </c:lvl>
                <c:lvl>
                  <c:pt idx="1">
                    <c:v>134,42</c:v>
                  </c:pt>
                  <c:pt idx="8">
                    <c:v>103,47</c:v>
                  </c:pt>
                  <c:pt idx="10">
                    <c:v>41,81</c:v>
                  </c:pt>
                  <c:pt idx="12">
                    <c:v>29,15</c:v>
                  </c:pt>
                  <c:pt idx="16">
                    <c:v>85,27</c:v>
                  </c:pt>
                  <c:pt idx="18">
                    <c:v>82,45</c:v>
                  </c:pt>
                  <c:pt idx="25">
                    <c:v>196,66</c:v>
                  </c:pt>
                  <c:pt idx="26">
                    <c:v>30,86</c:v>
                  </c:pt>
                </c:lvl>
                <c:lvl>
                  <c:pt idx="0">
                    <c:v>96,91</c:v>
                  </c:pt>
                  <c:pt idx="2">
                    <c:v>65,34</c:v>
                  </c:pt>
                  <c:pt idx="3">
                    <c:v>79,58</c:v>
                  </c:pt>
                  <c:pt idx="4">
                    <c:v>70,57</c:v>
                  </c:pt>
                  <c:pt idx="5">
                    <c:v>56,23</c:v>
                  </c:pt>
                  <c:pt idx="6">
                    <c:v>126,32</c:v>
                  </c:pt>
                  <c:pt idx="8">
                    <c:v>77,40</c:v>
                  </c:pt>
                  <c:pt idx="9">
                    <c:v>55,81</c:v>
                  </c:pt>
                  <c:pt idx="10">
                    <c:v>44,01</c:v>
                  </c:pt>
                  <c:pt idx="11">
                    <c:v>143,07</c:v>
                  </c:pt>
                  <c:pt idx="12">
                    <c:v>78,43</c:v>
                  </c:pt>
                  <c:pt idx="13">
                    <c:v>68,51</c:v>
                  </c:pt>
                  <c:pt idx="14">
                    <c:v>72,63</c:v>
                  </c:pt>
                  <c:pt idx="16">
                    <c:v>131,35</c:v>
                  </c:pt>
                  <c:pt idx="17">
                    <c:v>83,03</c:v>
                  </c:pt>
                  <c:pt idx="18">
                    <c:v>84,81</c:v>
                  </c:pt>
                  <c:pt idx="19">
                    <c:v>71,86</c:v>
                  </c:pt>
                  <c:pt idx="20">
                    <c:v>78,52</c:v>
                  </c:pt>
                  <c:pt idx="21">
                    <c:v>71,09</c:v>
                  </c:pt>
                  <c:pt idx="22">
                    <c:v>85,08</c:v>
                  </c:pt>
                  <c:pt idx="24">
                    <c:v>111,49</c:v>
                  </c:pt>
                  <c:pt idx="25">
                    <c:v>105,34</c:v>
                  </c:pt>
                  <c:pt idx="26">
                    <c:v>84,41</c:v>
                  </c:pt>
                  <c:pt idx="27">
                    <c:v>67,97</c:v>
                  </c:pt>
                  <c:pt idx="28">
                    <c:v>95,36</c:v>
                  </c:pt>
                  <c:pt idx="29">
                    <c:v>101,59</c:v>
                  </c:pt>
                  <c:pt idx="30">
                    <c:v>80,12</c:v>
                  </c:pt>
                  <c:pt idx="31">
                    <c:v>70,31</c:v>
                  </c:pt>
                  <c:pt idx="32">
                    <c:v>90,96</c:v>
                  </c:pt>
                </c:lvl>
                <c:lvl>
                  <c:pt idx="0">
                    <c:v>87,99</c:v>
                  </c:pt>
                  <c:pt idx="1">
                    <c:v>82,39</c:v>
                  </c:pt>
                  <c:pt idx="2">
                    <c:v>66,15</c:v>
                  </c:pt>
                  <c:pt idx="3">
                    <c:v>77,75</c:v>
                  </c:pt>
                  <c:pt idx="4">
                    <c:v>55,75</c:v>
                  </c:pt>
                  <c:pt idx="9">
                    <c:v>53,91</c:v>
                  </c:pt>
                  <c:pt idx="10">
                    <c:v>66,25</c:v>
                  </c:pt>
                  <c:pt idx="11">
                    <c:v>76,22</c:v>
                  </c:pt>
                  <c:pt idx="12">
                    <c:v>67,59</c:v>
                  </c:pt>
                  <c:pt idx="13">
                    <c:v>86,00</c:v>
                  </c:pt>
                  <c:pt idx="14">
                    <c:v>74,05</c:v>
                  </c:pt>
                  <c:pt idx="16">
                    <c:v>92,74</c:v>
                  </c:pt>
                  <c:pt idx="17">
                    <c:v>92,52</c:v>
                  </c:pt>
                  <c:pt idx="18">
                    <c:v>87,84</c:v>
                  </c:pt>
                  <c:pt idx="19">
                    <c:v>95,48</c:v>
                  </c:pt>
                  <c:pt idx="20">
                    <c:v>49,33</c:v>
                  </c:pt>
                  <c:pt idx="21">
                    <c:v>75,12</c:v>
                  </c:pt>
                  <c:pt idx="22">
                    <c:v>77,94</c:v>
                  </c:pt>
                  <c:pt idx="24">
                    <c:v>78,21</c:v>
                  </c:pt>
                  <c:pt idx="25">
                    <c:v>91,09</c:v>
                  </c:pt>
                  <c:pt idx="26">
                    <c:v>68,80</c:v>
                  </c:pt>
                  <c:pt idx="27">
                    <c:v>79,71</c:v>
                  </c:pt>
                  <c:pt idx="28">
                    <c:v>79,86</c:v>
                  </c:pt>
                  <c:pt idx="29">
                    <c:v>61,66</c:v>
                  </c:pt>
                  <c:pt idx="31">
                    <c:v>82,89</c:v>
                  </c:pt>
                  <c:pt idx="32">
                    <c:v>79,74</c:v>
                  </c:pt>
                </c:lvl>
                <c:lvl>
                  <c:pt idx="7">
                    <c:v>PM</c:v>
                  </c:pt>
                  <c:pt idx="13">
                    <c:v>65,17</c:v>
                  </c:pt>
                  <c:pt idx="19">
                    <c:v>41,34</c:v>
                  </c:pt>
                  <c:pt idx="20">
                    <c:v>53,35</c:v>
                  </c:pt>
                  <c:pt idx="21">
                    <c:v>73,62</c:v>
                  </c:pt>
                  <c:pt idx="22">
                    <c:v>82,82</c:v>
                  </c:pt>
                  <c:pt idx="24">
                    <c:v>77,32</c:v>
                  </c:pt>
                  <c:pt idx="25">
                    <c:v>82,36</c:v>
                  </c:pt>
                  <c:pt idx="26">
                    <c:v>71,73</c:v>
                  </c:pt>
                  <c:pt idx="28">
                    <c:v>109,50</c:v>
                  </c:pt>
                  <c:pt idx="29">
                    <c:v>60,18</c:v>
                  </c:pt>
                  <c:pt idx="30">
                    <c:v>83,47</c:v>
                  </c:pt>
                  <c:pt idx="31">
                    <c:v>72,47</c:v>
                  </c:pt>
                  <c:pt idx="32">
                    <c:v>77,93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67,25</c:v>
                  </c:pt>
                  <c:pt idx="1">
                    <c:v>68,73</c:v>
                  </c:pt>
                  <c:pt idx="2">
                    <c:v>62,01</c:v>
                  </c:pt>
                  <c:pt idx="3">
                    <c:v>71,54</c:v>
                  </c:pt>
                  <c:pt idx="4">
                    <c:v>68,27</c:v>
                  </c:pt>
                  <c:pt idx="5">
                    <c:v>56,06</c:v>
                  </c:pt>
                  <c:pt idx="6">
                    <c:v>75,96</c:v>
                  </c:pt>
                  <c:pt idx="8">
                    <c:v>62,35</c:v>
                  </c:pt>
                  <c:pt idx="9">
                    <c:v>64,59</c:v>
                  </c:pt>
                  <c:pt idx="10">
                    <c:v>68,66</c:v>
                  </c:pt>
                  <c:pt idx="11">
                    <c:v>78,85</c:v>
                  </c:pt>
                  <c:pt idx="12">
                    <c:v>57,30</c:v>
                  </c:pt>
                  <c:pt idx="13">
                    <c:v>58,83</c:v>
                  </c:pt>
                  <c:pt idx="14">
                    <c:v>69,06</c:v>
                  </c:pt>
                  <c:pt idx="16">
                    <c:v>76,45</c:v>
                  </c:pt>
                  <c:pt idx="17">
                    <c:v>66,94</c:v>
                  </c:pt>
                  <c:pt idx="18">
                    <c:v>68,59</c:v>
                  </c:pt>
                  <c:pt idx="19">
                    <c:v>73,38</c:v>
                  </c:pt>
                  <c:pt idx="20">
                    <c:v>78,57</c:v>
                  </c:pt>
                  <c:pt idx="21">
                    <c:v>73,02</c:v>
                  </c:pt>
                  <c:pt idx="22">
                    <c:v>58,93</c:v>
                  </c:pt>
                  <c:pt idx="24">
                    <c:v>74,06</c:v>
                  </c:pt>
                  <c:pt idx="25">
                    <c:v>81,15</c:v>
                  </c:pt>
                  <c:pt idx="26">
                    <c:v>75,97</c:v>
                  </c:pt>
                  <c:pt idx="27">
                    <c:v>62,05</c:v>
                  </c:pt>
                  <c:pt idx="28">
                    <c:v>60,69</c:v>
                  </c:pt>
                  <c:pt idx="29">
                    <c:v>71,56</c:v>
                  </c:pt>
                  <c:pt idx="30">
                    <c:v>72,26</c:v>
                  </c:pt>
                  <c:pt idx="31">
                    <c:v>42,54</c:v>
                  </c:pt>
                  <c:pt idx="32">
                    <c:v>78,58</c:v>
                  </c:pt>
                  <c:pt idx="36">
                    <c:v>   </c:v>
                  </c:pt>
                </c:lvl>
                <c:lvl>
                  <c:pt idx="0">
                    <c:v>89,29</c:v>
                  </c:pt>
                  <c:pt idx="1">
                    <c:v>62,06</c:v>
                  </c:pt>
                  <c:pt idx="2">
                    <c:v>51,83</c:v>
                  </c:pt>
                  <c:pt idx="3">
                    <c:v>73,70</c:v>
                  </c:pt>
                  <c:pt idx="4">
                    <c:v>44,71</c:v>
                  </c:pt>
                  <c:pt idx="5">
                    <c:v>55,01</c:v>
                  </c:pt>
                  <c:pt idx="6">
                    <c:v>80,66</c:v>
                  </c:pt>
                  <c:pt idx="8">
                    <c:v>50,19</c:v>
                  </c:pt>
                  <c:pt idx="11">
                    <c:v>74,22</c:v>
                  </c:pt>
                  <c:pt idx="12">
                    <c:v>74,47</c:v>
                  </c:pt>
                  <c:pt idx="13">
                    <c:v>78,45</c:v>
                  </c:pt>
                  <c:pt idx="14">
                    <c:v>75,70</c:v>
                  </c:pt>
                  <c:pt idx="16">
                    <c:v>84,20</c:v>
                  </c:pt>
                  <c:pt idx="17">
                    <c:v>75,22</c:v>
                  </c:pt>
                  <c:pt idx="18">
                    <c:v>84,26</c:v>
                  </c:pt>
                  <c:pt idx="19">
                    <c:v>73,79</c:v>
                  </c:pt>
                  <c:pt idx="20">
                    <c:v>75,88</c:v>
                  </c:pt>
                  <c:pt idx="21">
                    <c:v>73,64</c:v>
                  </c:pt>
                  <c:pt idx="22">
                    <c:v>60,29</c:v>
                  </c:pt>
                  <c:pt idx="24">
                    <c:v>69,34</c:v>
                  </c:pt>
                  <c:pt idx="25">
                    <c:v>77,70</c:v>
                  </c:pt>
                  <c:pt idx="26">
                    <c:v>78,35</c:v>
                  </c:pt>
                  <c:pt idx="27">
                    <c:v>74,35</c:v>
                  </c:pt>
                  <c:pt idx="28">
                    <c:v>66,24</c:v>
                  </c:pt>
                  <c:pt idx="29">
                    <c:v>70,78</c:v>
                  </c:pt>
                  <c:pt idx="31">
                    <c:v>113,02</c:v>
                  </c:pt>
                  <c:pt idx="32">
                    <c:v>57,48</c:v>
                  </c:pt>
                  <c:pt idx="36">
                    <c:v>. HT 174 - 203, 190 Liter</c:v>
                  </c:pt>
                </c:lvl>
                <c:lvl>
                  <c:pt idx="7">
                    <c:v>PM</c:v>
                  </c:pt>
                  <c:pt idx="11">
                    <c:v>90,52</c:v>
                  </c:pt>
                  <c:pt idx="16">
                    <c:v>85,50</c:v>
                  </c:pt>
                  <c:pt idx="25">
                    <c:v>72,16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6">
                    <c:v>253,32</c:v>
                  </c:pt>
                  <c:pt idx="17">
                    <c:v>17,70</c:v>
                  </c:pt>
                  <c:pt idx="34">
                    <c:v>PM</c:v>
                  </c:pt>
                </c:lvl>
                <c:lvl>
                  <c:pt idx="0">
                    <c:v>73,89</c:v>
                  </c:pt>
                  <c:pt idx="1">
                    <c:v>89,87</c:v>
                  </c:pt>
                  <c:pt idx="2">
                    <c:v>79,28</c:v>
                  </c:pt>
                  <c:pt idx="3">
                    <c:v>89,54</c:v>
                  </c:pt>
                  <c:pt idx="4">
                    <c:v>78,38</c:v>
                  </c:pt>
                  <c:pt idx="5">
                    <c:v>73,28</c:v>
                  </c:pt>
                  <c:pt idx="6">
                    <c:v>82,93</c:v>
                  </c:pt>
                  <c:pt idx="8">
                    <c:v>66,43</c:v>
                  </c:pt>
                  <c:pt idx="9">
                    <c:v>89,12</c:v>
                  </c:pt>
                  <c:pt idx="10">
                    <c:v>78,59</c:v>
                  </c:pt>
                  <c:pt idx="11">
                    <c:v>81,48</c:v>
                  </c:pt>
                  <c:pt idx="12">
                    <c:v>71,47</c:v>
                  </c:pt>
                  <c:pt idx="13">
                    <c:v>92,19</c:v>
                  </c:pt>
                  <c:pt idx="14">
                    <c:v>91,57</c:v>
                  </c:pt>
                  <c:pt idx="17">
                    <c:v>189,35</c:v>
                  </c:pt>
                  <c:pt idx="18">
                    <c:v>99,38</c:v>
                  </c:pt>
                  <c:pt idx="19">
                    <c:v>84,31</c:v>
                  </c:pt>
                  <c:pt idx="20">
                    <c:v>69,15</c:v>
                  </c:pt>
                  <c:pt idx="21">
                    <c:v>66,47</c:v>
                  </c:pt>
                  <c:pt idx="22">
                    <c:v>110,82</c:v>
                  </c:pt>
                  <c:pt idx="24">
                    <c:v>97,98</c:v>
                  </c:pt>
                  <c:pt idx="25">
                    <c:v>77,40</c:v>
                  </c:pt>
                  <c:pt idx="27">
                    <c:v>64,20</c:v>
                  </c:pt>
                  <c:pt idx="28">
                    <c:v>110,34</c:v>
                  </c:pt>
                  <c:pt idx="29">
                    <c:v>49,29</c:v>
                  </c:pt>
                  <c:pt idx="30">
                    <c:v>102,71</c:v>
                  </c:pt>
                  <c:pt idx="31">
                    <c:v>151,81</c:v>
                  </c:pt>
                </c:lvl>
                <c:lvl>
                  <c:pt idx="0">
                    <c:v>115,43</c:v>
                  </c:pt>
                  <c:pt idx="1">
                    <c:v>84,01</c:v>
                  </c:pt>
                  <c:pt idx="2">
                    <c:v>68,57</c:v>
                  </c:pt>
                  <c:pt idx="3">
                    <c:v>94,62</c:v>
                  </c:pt>
                  <c:pt idx="4">
                    <c:v>93,43</c:v>
                  </c:pt>
                  <c:pt idx="5">
                    <c:v>85,68</c:v>
                  </c:pt>
                  <c:pt idx="6">
                    <c:v>83,89</c:v>
                  </c:pt>
                  <c:pt idx="8">
                    <c:v>83,87</c:v>
                  </c:pt>
                  <c:pt idx="9">
                    <c:v>93,11</c:v>
                  </c:pt>
                  <c:pt idx="10">
                    <c:v>115,05</c:v>
                  </c:pt>
                  <c:pt idx="11">
                    <c:v>103,49</c:v>
                  </c:pt>
                  <c:pt idx="12">
                    <c:v>85,14</c:v>
                  </c:pt>
                  <c:pt idx="13">
                    <c:v>80,66</c:v>
                  </c:pt>
                  <c:pt idx="14">
                    <c:v>83,47</c:v>
                  </c:pt>
                  <c:pt idx="16">
                    <c:v>92,45</c:v>
                  </c:pt>
                  <c:pt idx="17">
                    <c:v>95,21</c:v>
                  </c:pt>
                  <c:pt idx="18">
                    <c:v>98,97</c:v>
                  </c:pt>
                  <c:pt idx="19">
                    <c:v>82,77</c:v>
                  </c:pt>
                  <c:pt idx="20">
                    <c:v>94,74</c:v>
                  </c:pt>
                  <c:pt idx="21">
                    <c:v>80,41</c:v>
                  </c:pt>
                  <c:pt idx="22">
                    <c:v>88,98</c:v>
                  </c:pt>
                  <c:pt idx="24">
                    <c:v>88,07</c:v>
                  </c:pt>
                  <c:pt idx="25">
                    <c:v>85,72</c:v>
                  </c:pt>
                  <c:pt idx="26">
                    <c:v>69,27</c:v>
                  </c:pt>
                  <c:pt idx="27">
                    <c:v>85,07</c:v>
                  </c:pt>
                  <c:pt idx="28">
                    <c:v>100,66</c:v>
                  </c:pt>
                  <c:pt idx="29">
                    <c:v>106,18</c:v>
                  </c:pt>
                  <c:pt idx="30">
                    <c:v>87,73</c:v>
                  </c:pt>
                  <c:pt idx="31">
                    <c:v>92,23</c:v>
                  </c:pt>
                  <c:pt idx="32">
                    <c:v>83,91</c:v>
                  </c:pt>
                </c:lvl>
                <c:lvl>
                  <c:pt idx="0">
                    <c:v>87,91</c:v>
                  </c:pt>
                  <c:pt idx="1">
                    <c:v>72,51</c:v>
                  </c:pt>
                  <c:pt idx="2">
                    <c:v>66,19</c:v>
                  </c:pt>
                  <c:pt idx="12">
                    <c:v>58,56</c:v>
                  </c:pt>
                  <c:pt idx="13">
                    <c:v>84,14</c:v>
                  </c:pt>
                  <c:pt idx="14">
                    <c:v>93,38</c:v>
                  </c:pt>
                  <c:pt idx="16">
                    <c:v>93,22</c:v>
                  </c:pt>
                  <c:pt idx="17">
                    <c:v>94,94</c:v>
                  </c:pt>
                  <c:pt idx="18">
                    <c:v>76,73</c:v>
                  </c:pt>
                  <c:pt idx="19">
                    <c:v>92,52</c:v>
                  </c:pt>
                  <c:pt idx="20">
                    <c:v>99,44</c:v>
                  </c:pt>
                  <c:pt idx="21">
                    <c:v>85,29</c:v>
                  </c:pt>
                  <c:pt idx="22">
                    <c:v>108,37</c:v>
                  </c:pt>
                  <c:pt idx="24">
                    <c:v>85,61</c:v>
                  </c:pt>
                  <c:pt idx="25">
                    <c:v>92,18</c:v>
                  </c:pt>
                  <c:pt idx="26">
                    <c:v>88,55</c:v>
                  </c:pt>
                  <c:pt idx="27">
                    <c:v>65,18</c:v>
                  </c:pt>
                  <c:pt idx="28">
                    <c:v>92,70</c:v>
                  </c:pt>
                  <c:pt idx="29">
                    <c:v>84,01</c:v>
                  </c:pt>
                  <c:pt idx="30">
                    <c:v>91,21</c:v>
                  </c:pt>
                  <c:pt idx="31">
                    <c:v>108,86</c:v>
                  </c:pt>
                  <c:pt idx="32">
                    <c:v>69,30</c:v>
                  </c:pt>
                </c:lvl>
                <c:lvl>
                  <c:pt idx="0">
                    <c:v>72,69</c:v>
                  </c:pt>
                  <c:pt idx="1">
                    <c:v>80,03</c:v>
                  </c:pt>
                  <c:pt idx="2">
                    <c:v>74,79</c:v>
                  </c:pt>
                  <c:pt idx="3">
                    <c:v>61,85</c:v>
                  </c:pt>
                  <c:pt idx="4">
                    <c:v>71,41</c:v>
                  </c:pt>
                  <c:pt idx="5">
                    <c:v>77,16</c:v>
                  </c:pt>
                  <c:pt idx="6">
                    <c:v>89,96</c:v>
                  </c:pt>
                  <c:pt idx="8">
                    <c:v>53,90</c:v>
                  </c:pt>
                  <c:pt idx="9">
                    <c:v>84,11</c:v>
                  </c:pt>
                  <c:pt idx="10">
                    <c:v>70,94</c:v>
                  </c:pt>
                  <c:pt idx="11">
                    <c:v>90,81</c:v>
                  </c:pt>
                  <c:pt idx="12">
                    <c:v>76,83</c:v>
                  </c:pt>
                  <c:pt idx="13">
                    <c:v>70,09</c:v>
                  </c:pt>
                  <c:pt idx="14">
                    <c:v>77,18</c:v>
                  </c:pt>
                  <c:pt idx="16">
                    <c:v>91,02</c:v>
                  </c:pt>
                  <c:pt idx="17">
                    <c:v>68,44</c:v>
                  </c:pt>
                  <c:pt idx="18">
                    <c:v>77,60</c:v>
                  </c:pt>
                  <c:pt idx="19">
                    <c:v>79,39</c:v>
                  </c:pt>
                  <c:pt idx="20">
                    <c:v>119,49</c:v>
                  </c:pt>
                  <c:pt idx="21">
                    <c:v>93,48</c:v>
                  </c:pt>
                  <c:pt idx="22">
                    <c:v>90,30</c:v>
                  </c:pt>
                  <c:pt idx="24">
                    <c:v>82,40</c:v>
                  </c:pt>
                  <c:pt idx="25">
                    <c:v>101,08</c:v>
                  </c:pt>
                  <c:pt idx="26">
                    <c:v>90,46</c:v>
                  </c:pt>
                  <c:pt idx="27">
                    <c:v>62,48</c:v>
                  </c:pt>
                  <c:pt idx="28">
                    <c:v>83,34</c:v>
                  </c:pt>
                  <c:pt idx="29">
                    <c:v>87,14</c:v>
                  </c:pt>
                  <c:pt idx="30">
                    <c:v>108,94</c:v>
                  </c:pt>
                  <c:pt idx="31">
                    <c:v>72,40</c:v>
                  </c:pt>
                  <c:pt idx="32">
                    <c:v>88,30</c:v>
                  </c:pt>
                </c:lvl>
                <c:lvl>
                  <c:pt idx="0">
                    <c:v>112,36</c:v>
                  </c:pt>
                  <c:pt idx="1">
                    <c:v>84,49</c:v>
                  </c:pt>
                  <c:pt idx="3">
                    <c:v>72,24</c:v>
                  </c:pt>
                  <c:pt idx="4">
                    <c:v>76,00</c:v>
                  </c:pt>
                  <c:pt idx="5">
                    <c:v>52,10</c:v>
                  </c:pt>
                  <c:pt idx="6">
                    <c:v>91,47</c:v>
                  </c:pt>
                  <c:pt idx="8">
                    <c:v>79,84</c:v>
                  </c:pt>
                  <c:pt idx="9">
                    <c:v>71,92</c:v>
                  </c:pt>
                  <c:pt idx="11">
                    <c:v>56,25</c:v>
                  </c:pt>
                  <c:pt idx="12">
                    <c:v>53,45</c:v>
                  </c:pt>
                  <c:pt idx="14">
                    <c:v>44,88</c:v>
                  </c:pt>
                  <c:pt idx="16">
                    <c:v>31,41</c:v>
                  </c:pt>
                  <c:pt idx="17">
                    <c:v>24,36</c:v>
                  </c:pt>
                  <c:pt idx="18">
                    <c:v>68,83</c:v>
                  </c:pt>
                  <c:pt idx="19">
                    <c:v>77,35</c:v>
                  </c:pt>
                  <c:pt idx="20">
                    <c:v>100,63</c:v>
                  </c:pt>
                  <c:pt idx="21">
                    <c:v>46,39</c:v>
                  </c:pt>
                  <c:pt idx="22">
                    <c:v>86,19</c:v>
                  </c:pt>
                  <c:pt idx="24">
                    <c:v>116,55</c:v>
                  </c:pt>
                  <c:pt idx="25">
                    <c:v>104,71</c:v>
                  </c:pt>
                  <c:pt idx="26">
                    <c:v>86,38</c:v>
                  </c:pt>
                  <c:pt idx="27">
                    <c:v>64,53</c:v>
                  </c:pt>
                  <c:pt idx="28">
                    <c:v>128,19</c:v>
                  </c:pt>
                  <c:pt idx="29">
                    <c:v>78,95</c:v>
                  </c:pt>
                  <c:pt idx="30">
                    <c:v>105,20</c:v>
                  </c:pt>
                  <c:pt idx="31">
                    <c:v>61,44</c:v>
                  </c:pt>
                </c:lvl>
                <c:lvl>
                  <c:pt idx="0">
                    <c:v>79,06</c:v>
                  </c:pt>
                  <c:pt idx="1">
                    <c:v>73,66</c:v>
                  </c:pt>
                  <c:pt idx="2">
                    <c:v>61,32</c:v>
                  </c:pt>
                  <c:pt idx="3">
                    <c:v>67,77</c:v>
                  </c:pt>
                  <c:pt idx="4">
                    <c:v>69,93</c:v>
                  </c:pt>
                  <c:pt idx="5">
                    <c:v>65,94</c:v>
                  </c:pt>
                  <c:pt idx="6">
                    <c:v>62,07</c:v>
                  </c:pt>
                  <c:pt idx="8">
                    <c:v>45,54</c:v>
                  </c:pt>
                  <c:pt idx="9">
                    <c:v>71,13</c:v>
                  </c:pt>
                  <c:pt idx="10">
                    <c:v>74,87</c:v>
                  </c:pt>
                  <c:pt idx="11">
                    <c:v>69,28</c:v>
                  </c:pt>
                  <c:pt idx="12">
                    <c:v>84,17</c:v>
                  </c:pt>
                  <c:pt idx="13">
                    <c:v>82,70</c:v>
                  </c:pt>
                  <c:pt idx="14">
                    <c:v>70,60</c:v>
                  </c:pt>
                  <c:pt idx="16">
                    <c:v>83,86</c:v>
                  </c:pt>
                  <c:pt idx="17">
                    <c:v>85,65</c:v>
                  </c:pt>
                  <c:pt idx="18">
                    <c:v>64,74</c:v>
                  </c:pt>
                  <c:pt idx="19">
                    <c:v>83,53</c:v>
                  </c:pt>
                  <c:pt idx="20">
                    <c:v>71,05</c:v>
                  </c:pt>
                  <c:pt idx="21">
                    <c:v>74,19</c:v>
                  </c:pt>
                  <c:pt idx="22">
                    <c:v>82,24</c:v>
                  </c:pt>
                  <c:pt idx="24">
                    <c:v>97,62</c:v>
                  </c:pt>
                  <c:pt idx="25">
                    <c:v>76,05</c:v>
                  </c:pt>
                  <c:pt idx="26">
                    <c:v>70,26</c:v>
                  </c:pt>
                  <c:pt idx="27">
                    <c:v>60,08</c:v>
                  </c:pt>
                  <c:pt idx="28">
                    <c:v>77,06</c:v>
                  </c:pt>
                  <c:pt idx="29">
                    <c:v>68,08</c:v>
                  </c:pt>
                  <c:pt idx="30">
                    <c:v>87,05</c:v>
                  </c:pt>
                  <c:pt idx="31">
                    <c:v>59,28</c:v>
                  </c:pt>
                  <c:pt idx="32">
                    <c:v>76,36</c:v>
                  </c:pt>
                </c:lvl>
                <c:lvl>
                  <c:pt idx="0">
                    <c:v>80,41</c:v>
                  </c:pt>
                  <c:pt idx="1">
                    <c:v>92,81</c:v>
                  </c:pt>
                  <c:pt idx="2">
                    <c:v>70,01</c:v>
                  </c:pt>
                  <c:pt idx="3">
                    <c:v>61,52</c:v>
                  </c:pt>
                  <c:pt idx="4">
                    <c:v>116,47</c:v>
                  </c:pt>
                  <c:pt idx="5">
                    <c:v>71,69</c:v>
                  </c:pt>
                  <c:pt idx="6">
                    <c:v>91,45</c:v>
                  </c:pt>
                  <c:pt idx="8">
                    <c:v>67,44</c:v>
                  </c:pt>
                  <c:pt idx="9">
                    <c:v>76,31</c:v>
                  </c:pt>
                  <c:pt idx="10">
                    <c:v>64,26</c:v>
                  </c:pt>
                  <c:pt idx="11">
                    <c:v>94,38</c:v>
                  </c:pt>
                  <c:pt idx="12">
                    <c:v>84,97</c:v>
                  </c:pt>
                  <c:pt idx="13">
                    <c:v>68,59</c:v>
                  </c:pt>
                  <c:pt idx="14">
                    <c:v>81,63</c:v>
                  </c:pt>
                  <c:pt idx="17">
                    <c:v>99,13</c:v>
                  </c:pt>
                  <c:pt idx="18">
                    <c:v>133,94</c:v>
                  </c:pt>
                  <c:pt idx="19">
                    <c:v>68,68</c:v>
                  </c:pt>
                  <c:pt idx="20">
                    <c:v>85,04</c:v>
                  </c:pt>
                  <c:pt idx="21">
                    <c:v>81,31</c:v>
                  </c:pt>
                  <c:pt idx="22">
                    <c:v>82,70</c:v>
                  </c:pt>
                  <c:pt idx="24">
                    <c:v>69,98</c:v>
                  </c:pt>
                  <c:pt idx="25">
                    <c:v>106,92</c:v>
                  </c:pt>
                  <c:pt idx="26">
                    <c:v>102,81</c:v>
                  </c:pt>
                  <c:pt idx="27">
                    <c:v>58,06</c:v>
                  </c:pt>
                  <c:pt idx="28">
                    <c:v>48,84</c:v>
                  </c:pt>
                  <c:pt idx="29">
                    <c:v>85,67</c:v>
                  </c:pt>
                  <c:pt idx="30">
                    <c:v>80,25</c:v>
                  </c:pt>
                  <c:pt idx="31">
                    <c:v>72,47</c:v>
                  </c:pt>
                  <c:pt idx="32">
                    <c:v>73,68</c:v>
                  </c:pt>
                </c:lvl>
                <c:lvl>
                  <c:pt idx="0">
                    <c:v>67,44</c:v>
                  </c:pt>
                  <c:pt idx="1">
                    <c:v>79,16</c:v>
                  </c:pt>
                  <c:pt idx="2">
                    <c:v>61,79</c:v>
                  </c:pt>
                  <c:pt idx="3">
                    <c:v>48,02</c:v>
                  </c:pt>
                  <c:pt idx="4">
                    <c:v>71,21</c:v>
                  </c:pt>
                  <c:pt idx="5">
                    <c:v>76,98</c:v>
                  </c:pt>
                  <c:pt idx="6">
                    <c:v>89,35</c:v>
                  </c:pt>
                  <c:pt idx="8">
                    <c:v>70,04</c:v>
                  </c:pt>
                  <c:pt idx="9">
                    <c:v>83,48</c:v>
                  </c:pt>
                  <c:pt idx="10">
                    <c:v>51,74</c:v>
                  </c:pt>
                  <c:pt idx="11">
                    <c:v>102,20</c:v>
                  </c:pt>
                  <c:pt idx="12">
                    <c:v>76,17</c:v>
                  </c:pt>
                  <c:pt idx="13">
                    <c:v>63,59</c:v>
                  </c:pt>
                  <c:pt idx="14">
                    <c:v>85,66</c:v>
                  </c:pt>
                  <c:pt idx="16">
                    <c:v>83,04</c:v>
                  </c:pt>
                  <c:pt idx="17">
                    <c:v>84,85</c:v>
                  </c:pt>
                  <c:pt idx="18">
                    <c:v>81,32</c:v>
                  </c:pt>
                  <c:pt idx="19">
                    <c:v>59,65</c:v>
                  </c:pt>
                  <c:pt idx="20">
                    <c:v>96,49</c:v>
                  </c:pt>
                  <c:pt idx="21">
                    <c:v>66,98</c:v>
                  </c:pt>
                  <c:pt idx="22">
                    <c:v>91,88</c:v>
                  </c:pt>
                  <c:pt idx="24">
                    <c:v>112,89</c:v>
                  </c:pt>
                  <c:pt idx="25">
                    <c:v>93,04</c:v>
                  </c:pt>
                  <c:pt idx="26">
                    <c:v>80,24</c:v>
                  </c:pt>
                  <c:pt idx="27">
                    <c:v>60,07</c:v>
                  </c:pt>
                  <c:pt idx="28">
                    <c:v>84,94</c:v>
                  </c:pt>
                  <c:pt idx="29">
                    <c:v>75,58</c:v>
                  </c:pt>
                  <c:pt idx="30">
                    <c:v>87,74</c:v>
                  </c:pt>
                  <c:pt idx="31">
                    <c:v>58,46</c:v>
                  </c:pt>
                  <c:pt idx="32">
                    <c:v>86,14</c:v>
                  </c:pt>
                </c:lvl>
                <c:lvl>
                  <c:pt idx="0">
                    <c:v>81,90</c:v>
                  </c:pt>
                  <c:pt idx="1">
                    <c:v>79,69</c:v>
                  </c:pt>
                  <c:pt idx="2">
                    <c:v>58,21</c:v>
                  </c:pt>
                  <c:pt idx="3">
                    <c:v>67,35</c:v>
                  </c:pt>
                  <c:pt idx="4">
                    <c:v>65,81</c:v>
                  </c:pt>
                  <c:pt idx="5">
                    <c:v>74,69</c:v>
                  </c:pt>
                  <c:pt idx="6">
                    <c:v>109,95</c:v>
                  </c:pt>
                  <c:pt idx="8">
                    <c:v>80,24</c:v>
                  </c:pt>
                  <c:pt idx="9">
                    <c:v>82,95</c:v>
                  </c:pt>
                  <c:pt idx="10">
                    <c:v>87,65</c:v>
                  </c:pt>
                  <c:pt idx="11">
                    <c:v>107,50</c:v>
                  </c:pt>
                  <c:pt idx="12">
                    <c:v>83,03</c:v>
                  </c:pt>
                  <c:pt idx="13">
                    <c:v>62,26</c:v>
                  </c:pt>
                  <c:pt idx="14">
                    <c:v>100,43</c:v>
                  </c:pt>
                  <c:pt idx="16">
                    <c:v>116,43</c:v>
                  </c:pt>
                  <c:pt idx="17">
                    <c:v>99,85</c:v>
                  </c:pt>
                  <c:pt idx="18">
                    <c:v>73,53</c:v>
                  </c:pt>
                  <c:pt idx="19">
                    <c:v>67,37</c:v>
                  </c:pt>
                  <c:pt idx="20">
                    <c:v>88,90</c:v>
                  </c:pt>
                  <c:pt idx="21">
                    <c:v>83,12</c:v>
                  </c:pt>
                  <c:pt idx="22">
                    <c:v>85,57</c:v>
                  </c:pt>
                  <c:pt idx="24">
                    <c:v>100,28</c:v>
                  </c:pt>
                  <c:pt idx="25">
                    <c:v>105,02</c:v>
                  </c:pt>
                  <c:pt idx="26">
                    <c:v>94,38</c:v>
                  </c:pt>
                  <c:pt idx="27">
                    <c:v>75,46</c:v>
                  </c:pt>
                  <c:pt idx="28">
                    <c:v>68,72</c:v>
                  </c:pt>
                  <c:pt idx="29">
                    <c:v>91,76</c:v>
                  </c:pt>
                  <c:pt idx="30">
                    <c:v>100,96</c:v>
                  </c:pt>
                  <c:pt idx="31">
                    <c:v>44,11</c:v>
                  </c:pt>
                  <c:pt idx="32">
                    <c:v>103,13</c:v>
                  </c:pt>
                </c:lvl>
                <c:lvl>
                  <c:pt idx="0">
                    <c:v>97,88</c:v>
                  </c:pt>
                  <c:pt idx="1">
                    <c:v>66,01</c:v>
                  </c:pt>
                  <c:pt idx="2">
                    <c:v>58,79</c:v>
                  </c:pt>
                  <c:pt idx="3">
                    <c:v>72,41</c:v>
                  </c:pt>
                  <c:pt idx="4">
                    <c:v>60,05</c:v>
                  </c:pt>
                  <c:pt idx="5">
                    <c:v>68,88</c:v>
                  </c:pt>
                  <c:pt idx="6">
                    <c:v>75,65</c:v>
                  </c:pt>
                  <c:pt idx="8">
                    <c:v>56,31</c:v>
                  </c:pt>
                  <c:pt idx="9">
                    <c:v>81,41</c:v>
                  </c:pt>
                  <c:pt idx="10">
                    <c:v>76,28</c:v>
                  </c:pt>
                  <c:pt idx="11">
                    <c:v>80,75</c:v>
                  </c:pt>
                  <c:pt idx="12">
                    <c:v>96,57</c:v>
                  </c:pt>
                  <c:pt idx="13">
                    <c:v>65,62</c:v>
                  </c:pt>
                  <c:pt idx="14">
                    <c:v>78,58</c:v>
                  </c:pt>
                  <c:pt idx="17">
                    <c:v>137,73</c:v>
                  </c:pt>
                  <c:pt idx="19">
                    <c:v>71,37</c:v>
                  </c:pt>
                  <c:pt idx="20">
                    <c:v>46,93</c:v>
                  </c:pt>
                  <c:pt idx="21">
                    <c:v>85,45</c:v>
                  </c:pt>
                  <c:pt idx="22">
                    <c:v>101,49</c:v>
                  </c:pt>
                  <c:pt idx="24">
                    <c:v>66,28</c:v>
                  </c:pt>
                  <c:pt idx="25">
                    <c:v>77,47</c:v>
                  </c:pt>
                  <c:pt idx="26">
                    <c:v>76,39</c:v>
                  </c:pt>
                  <c:pt idx="27">
                    <c:v>54,72</c:v>
                  </c:pt>
                  <c:pt idx="28">
                    <c:v>87,66</c:v>
                  </c:pt>
                  <c:pt idx="29">
                    <c:v>77,43</c:v>
                  </c:pt>
                  <c:pt idx="30">
                    <c:v>87,91</c:v>
                  </c:pt>
                  <c:pt idx="31">
                    <c:v>66,72</c:v>
                  </c:pt>
                  <c:pt idx="32">
                    <c:v>83,81</c:v>
                  </c:pt>
                </c:lvl>
                <c:lvl>
                  <c:pt idx="0">
                    <c:v>81,69</c:v>
                  </c:pt>
                  <c:pt idx="1">
                    <c:v>92,71</c:v>
                  </c:pt>
                  <c:pt idx="2">
                    <c:v>78,02</c:v>
                  </c:pt>
                  <c:pt idx="3">
                    <c:v>97,74</c:v>
                  </c:pt>
                  <c:pt idx="4">
                    <c:v>77,63</c:v>
                  </c:pt>
                  <c:pt idx="5">
                    <c:v>67,53</c:v>
                  </c:pt>
                  <c:pt idx="6">
                    <c:v>78,52</c:v>
                  </c:pt>
                  <c:pt idx="8">
                    <c:v>76,07</c:v>
                  </c:pt>
                  <c:pt idx="9">
                    <c:v>82,02</c:v>
                  </c:pt>
                  <c:pt idx="10">
                    <c:v>67,47</c:v>
                  </c:pt>
                  <c:pt idx="11">
                    <c:v>80,58</c:v>
                  </c:pt>
                  <c:pt idx="12">
                    <c:v>66,12</c:v>
                  </c:pt>
                  <c:pt idx="13">
                    <c:v>94,07</c:v>
                  </c:pt>
                  <c:pt idx="14">
                    <c:v>75,93</c:v>
                  </c:pt>
                  <c:pt idx="16">
                    <c:v>85,37</c:v>
                  </c:pt>
                  <c:pt idx="17">
                    <c:v>84,52</c:v>
                  </c:pt>
                  <c:pt idx="18">
                    <c:v>68,71</c:v>
                  </c:pt>
                  <c:pt idx="19">
                    <c:v>72,18</c:v>
                  </c:pt>
                  <c:pt idx="20">
                    <c:v>87,98</c:v>
                  </c:pt>
                  <c:pt idx="21">
                    <c:v>71,21</c:v>
                  </c:pt>
                  <c:pt idx="22">
                    <c:v>77,89</c:v>
                  </c:pt>
                  <c:pt idx="24">
                    <c:v>85,37</c:v>
                  </c:pt>
                  <c:pt idx="25">
                    <c:v>86,13</c:v>
                  </c:pt>
                  <c:pt idx="26">
                    <c:v>90,25</c:v>
                  </c:pt>
                  <c:pt idx="27">
                    <c:v>56,32</c:v>
                  </c:pt>
                  <c:pt idx="28">
                    <c:v>73,03</c:v>
                  </c:pt>
                  <c:pt idx="29">
                    <c:v>80,67</c:v>
                  </c:pt>
                  <c:pt idx="30">
                    <c:v>78,26</c:v>
                  </c:pt>
                  <c:pt idx="31">
                    <c:v>78,42</c:v>
                  </c:pt>
                  <c:pt idx="32">
                    <c:v>75,73</c:v>
                  </c:pt>
                </c:lvl>
                <c:lvl>
                  <c:pt idx="7">
                    <c:v>PM</c:v>
                  </c:pt>
                  <c:pt idx="8">
                    <c:v>51,13</c:v>
                  </c:pt>
                  <c:pt idx="9">
                    <c:v>82,45</c:v>
                  </c:pt>
                  <c:pt idx="10">
                    <c:v>71,75</c:v>
                  </c:pt>
                  <c:pt idx="11">
                    <c:v>108,61</c:v>
                  </c:pt>
                  <c:pt idx="12">
                    <c:v>86,22</c:v>
                  </c:pt>
                  <c:pt idx="14">
                    <c:v>120,31</c:v>
                  </c:pt>
                  <c:pt idx="17">
                    <c:v>156,25</c:v>
                  </c:pt>
                  <c:pt idx="18">
                    <c:v>87,37</c:v>
                  </c:pt>
                  <c:pt idx="19">
                    <c:v>67,57</c:v>
                  </c:pt>
                  <c:pt idx="20">
                    <c:v>101,95</c:v>
                  </c:pt>
                  <c:pt idx="21">
                    <c:v>65,26</c:v>
                  </c:pt>
                  <c:pt idx="22">
                    <c:v>113,99</c:v>
                  </c:pt>
                  <c:pt idx="24">
                    <c:v>109,04</c:v>
                  </c:pt>
                  <c:pt idx="25">
                    <c:v>90,99</c:v>
                  </c:pt>
                  <c:pt idx="26">
                    <c:v>96,05</c:v>
                  </c:pt>
                  <c:pt idx="27">
                    <c:v>81,89</c:v>
                  </c:pt>
                  <c:pt idx="28">
                    <c:v>86,33</c:v>
                  </c:pt>
                  <c:pt idx="29">
                    <c:v>88,10</c:v>
                  </c:pt>
                  <c:pt idx="30">
                    <c:v>101,41</c:v>
                  </c:pt>
                  <c:pt idx="31">
                    <c:v>67,89</c:v>
                  </c:pt>
                  <c:pt idx="32">
                    <c:v>79,13</c:v>
                  </c:pt>
                </c:lvl>
                <c:lvl>
                  <c:pt idx="0">
                    <c:v>88,92</c:v>
                  </c:pt>
                  <c:pt idx="1">
                    <c:v>79,76</c:v>
                  </c:pt>
                  <c:pt idx="2">
                    <c:v>76,65</c:v>
                  </c:pt>
                  <c:pt idx="3">
                    <c:v>97,87</c:v>
                  </c:pt>
                  <c:pt idx="4">
                    <c:v>88,24</c:v>
                  </c:pt>
                  <c:pt idx="5">
                    <c:v>85,75</c:v>
                  </c:pt>
                  <c:pt idx="6">
                    <c:v>99,41</c:v>
                  </c:pt>
                  <c:pt idx="8">
                    <c:v>47,50</c:v>
                  </c:pt>
                  <c:pt idx="9">
                    <c:v>97,66</c:v>
                  </c:pt>
                  <c:pt idx="10">
                    <c:v>80,07</c:v>
                  </c:pt>
                  <c:pt idx="11">
                    <c:v>91,39</c:v>
                  </c:pt>
                  <c:pt idx="12">
                    <c:v>90,68</c:v>
                  </c:pt>
                  <c:pt idx="13">
                    <c:v>88,57</c:v>
                  </c:pt>
                  <c:pt idx="14">
                    <c:v>99,59</c:v>
                  </c:pt>
                  <c:pt idx="16">
                    <c:v>107,12</c:v>
                  </c:pt>
                  <c:pt idx="17">
                    <c:v>62,56</c:v>
                  </c:pt>
                  <c:pt idx="18">
                    <c:v>78,89</c:v>
                  </c:pt>
                  <c:pt idx="19">
                    <c:v>68,98</c:v>
                  </c:pt>
                  <c:pt idx="20">
                    <c:v>69,28</c:v>
                  </c:pt>
                  <c:pt idx="21">
                    <c:v>79,54</c:v>
                  </c:pt>
                  <c:pt idx="22">
                    <c:v>96,14</c:v>
                  </c:pt>
                  <c:pt idx="24">
                    <c:v>100,37</c:v>
                  </c:pt>
                  <c:pt idx="25">
                    <c:v>96,86</c:v>
                  </c:pt>
                  <c:pt idx="26">
                    <c:v>98,30</c:v>
                  </c:pt>
                  <c:pt idx="27">
                    <c:v>80,20</c:v>
                  </c:pt>
                  <c:pt idx="28">
                    <c:v>106,73</c:v>
                  </c:pt>
                  <c:pt idx="29">
                    <c:v>94,37</c:v>
                  </c:pt>
                  <c:pt idx="30">
                    <c:v>82,63</c:v>
                  </c:pt>
                  <c:pt idx="31">
                    <c:v>86,75</c:v>
                  </c:pt>
                  <c:pt idx="32">
                    <c:v>76,19</c:v>
                  </c:pt>
                </c:lvl>
                <c:lvl>
                  <c:pt idx="0">
                    <c:v>83,19</c:v>
                  </c:pt>
                  <c:pt idx="1">
                    <c:v>55,01</c:v>
                  </c:pt>
                  <c:pt idx="2">
                    <c:v>63,41</c:v>
                  </c:pt>
                  <c:pt idx="3">
                    <c:v>93,18</c:v>
                  </c:pt>
                  <c:pt idx="4">
                    <c:v>75,53</c:v>
                  </c:pt>
                  <c:pt idx="5">
                    <c:v>70,08</c:v>
                  </c:pt>
                  <c:pt idx="6">
                    <c:v>94,05</c:v>
                  </c:pt>
                  <c:pt idx="8">
                    <c:v>64,73</c:v>
                  </c:pt>
                  <c:pt idx="9">
                    <c:v>81,62</c:v>
                  </c:pt>
                  <c:pt idx="10">
                    <c:v>81,51</c:v>
                  </c:pt>
                  <c:pt idx="11">
                    <c:v>97,44</c:v>
                  </c:pt>
                  <c:pt idx="12">
                    <c:v>74,91</c:v>
                  </c:pt>
                  <c:pt idx="13">
                    <c:v>63,04</c:v>
                  </c:pt>
                  <c:pt idx="14">
                    <c:v>90,26</c:v>
                  </c:pt>
                  <c:pt idx="16">
                    <c:v>21,07</c:v>
                  </c:pt>
                  <c:pt idx="17">
                    <c:v>66,52</c:v>
                  </c:pt>
                  <c:pt idx="18">
                    <c:v>75,62</c:v>
                  </c:pt>
                  <c:pt idx="19">
                    <c:v>68,23</c:v>
                  </c:pt>
                  <c:pt idx="20">
                    <c:v>75,27</c:v>
                  </c:pt>
                  <c:pt idx="21">
                    <c:v>100,55</c:v>
                  </c:pt>
                  <c:pt idx="22">
                    <c:v>70,85</c:v>
                  </c:pt>
                  <c:pt idx="24">
                    <c:v>79,98</c:v>
                  </c:pt>
                  <c:pt idx="25">
                    <c:v>85,64</c:v>
                  </c:pt>
                  <c:pt idx="26">
                    <c:v>98,91</c:v>
                  </c:pt>
                  <c:pt idx="27">
                    <c:v>57,18</c:v>
                  </c:pt>
                  <c:pt idx="28">
                    <c:v>82,86</c:v>
                  </c:pt>
                  <c:pt idx="29">
                    <c:v>83,05</c:v>
                  </c:pt>
                  <c:pt idx="30">
                    <c:v>98,19</c:v>
                  </c:pt>
                  <c:pt idx="31">
                    <c:v>46,18</c:v>
                  </c:pt>
                  <c:pt idx="32">
                    <c:v>85,49</c:v>
                  </c:pt>
                </c:lvl>
                <c:lvl>
                  <c:pt idx="0">
                    <c:v>93,28</c:v>
                  </c:pt>
                  <c:pt idx="1">
                    <c:v>88,74</c:v>
                  </c:pt>
                  <c:pt idx="2">
                    <c:v>80,08</c:v>
                  </c:pt>
                  <c:pt idx="3">
                    <c:v>87,88</c:v>
                  </c:pt>
                  <c:pt idx="4">
                    <c:v>83,14</c:v>
                  </c:pt>
                  <c:pt idx="5">
                    <c:v>52,57</c:v>
                  </c:pt>
                  <c:pt idx="6">
                    <c:v>88,00</c:v>
                  </c:pt>
                  <c:pt idx="8">
                    <c:v>84,58</c:v>
                  </c:pt>
                  <c:pt idx="9">
                    <c:v>99,15</c:v>
                  </c:pt>
                  <c:pt idx="10">
                    <c:v>85,68</c:v>
                  </c:pt>
                  <c:pt idx="11">
                    <c:v>77,26</c:v>
                  </c:pt>
                  <c:pt idx="12">
                    <c:v>95,62</c:v>
                  </c:pt>
                  <c:pt idx="13">
                    <c:v>84,47</c:v>
                  </c:pt>
                  <c:pt idx="14">
                    <c:v>59,95</c:v>
                  </c:pt>
                  <c:pt idx="16">
                    <c:v>107,44</c:v>
                  </c:pt>
                  <c:pt idx="17">
                    <c:v>90,16</c:v>
                  </c:pt>
                  <c:pt idx="18">
                    <c:v>95,01</c:v>
                  </c:pt>
                  <c:pt idx="19">
                    <c:v>61,58</c:v>
                  </c:pt>
                  <c:pt idx="20">
                    <c:v>80,43</c:v>
                  </c:pt>
                  <c:pt idx="21">
                    <c:v>89,09</c:v>
                  </c:pt>
                  <c:pt idx="24">
                    <c:v>101,39</c:v>
                  </c:pt>
                  <c:pt idx="25">
                    <c:v>70,98</c:v>
                  </c:pt>
                  <c:pt idx="26">
                    <c:v>89,57</c:v>
                  </c:pt>
                  <c:pt idx="27">
                    <c:v>90,50</c:v>
                  </c:pt>
                  <c:pt idx="28">
                    <c:v>82,24</c:v>
                  </c:pt>
                  <c:pt idx="29">
                    <c:v>71,47</c:v>
                  </c:pt>
                  <c:pt idx="30">
                    <c:v>95,07</c:v>
                  </c:pt>
                  <c:pt idx="31">
                    <c:v>63,95</c:v>
                  </c:pt>
                  <c:pt idx="32">
                    <c:v>86,95</c:v>
                  </c:pt>
                </c:lvl>
                <c:lvl>
                  <c:pt idx="0">
                    <c:v>98,38</c:v>
                  </c:pt>
                  <c:pt idx="1">
                    <c:v>88,48</c:v>
                  </c:pt>
                  <c:pt idx="2">
                    <c:v>105,55</c:v>
                  </c:pt>
                  <c:pt idx="3">
                    <c:v>91,01</c:v>
                  </c:pt>
                  <c:pt idx="4">
                    <c:v>87,86</c:v>
                  </c:pt>
                  <c:pt idx="5">
                    <c:v>76,81</c:v>
                  </c:pt>
                  <c:pt idx="6">
                    <c:v>92,60</c:v>
                  </c:pt>
                  <c:pt idx="15">
                    <c:v>PM</c:v>
                  </c:pt>
                  <c:pt idx="19">
                    <c:v>84,94</c:v>
                  </c:pt>
                  <c:pt idx="34">
                    <c:v>PM</c:v>
                  </c:pt>
                </c:lvl>
                <c:lvl>
                  <c:pt idx="0">
                    <c:v>65,41</c:v>
                  </c:pt>
                  <c:pt idx="1">
                    <c:v>71,25</c:v>
                  </c:pt>
                  <c:pt idx="2">
                    <c:v>78,41</c:v>
                  </c:pt>
                  <c:pt idx="3">
                    <c:v>57,37</c:v>
                  </c:pt>
                  <c:pt idx="4">
                    <c:v>77,24</c:v>
                  </c:pt>
                  <c:pt idx="5">
                    <c:v>70,40</c:v>
                  </c:pt>
                  <c:pt idx="6">
                    <c:v>73,43</c:v>
                  </c:pt>
                  <c:pt idx="8">
                    <c:v>43,20</c:v>
                  </c:pt>
                  <c:pt idx="9">
                    <c:v>75,78</c:v>
                  </c:pt>
                  <c:pt idx="10">
                    <c:v>51,72</c:v>
                  </c:pt>
                  <c:pt idx="11">
                    <c:v>89,51</c:v>
                  </c:pt>
                  <c:pt idx="12">
                    <c:v>80,31</c:v>
                  </c:pt>
                  <c:pt idx="13">
                    <c:v>83,04</c:v>
                  </c:pt>
                  <c:pt idx="14">
                    <c:v>79,31</c:v>
                  </c:pt>
                  <c:pt idx="16">
                    <c:v>95,94</c:v>
                  </c:pt>
                  <c:pt idx="17">
                    <c:v>95,65</c:v>
                  </c:pt>
                  <c:pt idx="18">
                    <c:v>67,36</c:v>
                  </c:pt>
                  <c:pt idx="20">
                    <c:v>80,21</c:v>
                  </c:pt>
                  <c:pt idx="21">
                    <c:v>84,14</c:v>
                  </c:pt>
                  <c:pt idx="22">
                    <c:v>84,32</c:v>
                  </c:pt>
                  <c:pt idx="24">
                    <c:v>96,15</c:v>
                  </c:pt>
                  <c:pt idx="25">
                    <c:v>86,23</c:v>
                  </c:pt>
                  <c:pt idx="26">
                    <c:v>79,73</c:v>
                  </c:pt>
                  <c:pt idx="27">
                    <c:v>72,26</c:v>
                  </c:pt>
                  <c:pt idx="28">
                    <c:v>85,67</c:v>
                  </c:pt>
                  <c:pt idx="29">
                    <c:v>97,10</c:v>
                  </c:pt>
                  <c:pt idx="30">
                    <c:v>86,95</c:v>
                  </c:pt>
                  <c:pt idx="31">
                    <c:v>62,13</c:v>
                  </c:pt>
                  <c:pt idx="32">
                    <c:v>74,15</c:v>
                  </c:pt>
                </c:lvl>
                <c:lvl>
                  <c:pt idx="0">
                    <c:v>96,87</c:v>
                  </c:pt>
                  <c:pt idx="1">
                    <c:v>80,99</c:v>
                  </c:pt>
                  <c:pt idx="2">
                    <c:v>82,57</c:v>
                  </c:pt>
                  <c:pt idx="3">
                    <c:v>65,64</c:v>
                  </c:pt>
                  <c:pt idx="4">
                    <c:v>51,43</c:v>
                  </c:pt>
                  <c:pt idx="5">
                    <c:v>56,40</c:v>
                  </c:pt>
                  <c:pt idx="6">
                    <c:v>81,85</c:v>
                  </c:pt>
                  <c:pt idx="8">
                    <c:v>58,57</c:v>
                  </c:pt>
                  <c:pt idx="9">
                    <c:v>69,01</c:v>
                  </c:pt>
                  <c:pt idx="10">
                    <c:v>64,42</c:v>
                  </c:pt>
                  <c:pt idx="11">
                    <c:v>107,46</c:v>
                  </c:pt>
                  <c:pt idx="12">
                    <c:v>90,81</c:v>
                  </c:pt>
                  <c:pt idx="13">
                    <c:v>70,14</c:v>
                  </c:pt>
                  <c:pt idx="14">
                    <c:v>70,46</c:v>
                  </c:pt>
                  <c:pt idx="16">
                    <c:v>83,14</c:v>
                  </c:pt>
                  <c:pt idx="17">
                    <c:v>94,84</c:v>
                  </c:pt>
                  <c:pt idx="18">
                    <c:v>55,34</c:v>
                  </c:pt>
                  <c:pt idx="19">
                    <c:v>75,03</c:v>
                  </c:pt>
                  <c:pt idx="20">
                    <c:v>83,71</c:v>
                  </c:pt>
                  <c:pt idx="21">
                    <c:v>78,81</c:v>
                  </c:pt>
                  <c:pt idx="22">
                    <c:v>63,13</c:v>
                  </c:pt>
                  <c:pt idx="24">
                    <c:v>82,15</c:v>
                  </c:pt>
                  <c:pt idx="25">
                    <c:v>95,85</c:v>
                  </c:pt>
                  <c:pt idx="26">
                    <c:v>71,07</c:v>
                  </c:pt>
                  <c:pt idx="27">
                    <c:v>72,56</c:v>
                  </c:pt>
                  <c:pt idx="28">
                    <c:v>90,28</c:v>
                  </c:pt>
                  <c:pt idx="29">
                    <c:v>100,99</c:v>
                  </c:pt>
                  <c:pt idx="30">
                    <c:v>68,52</c:v>
                  </c:pt>
                  <c:pt idx="31">
                    <c:v>71,39</c:v>
                  </c:pt>
                  <c:pt idx="32">
                    <c:v>76,90</c:v>
                  </c:pt>
                </c:lvl>
                <c:lvl>
                  <c:pt idx="0">
                    <c:v>64,82</c:v>
                  </c:pt>
                  <c:pt idx="1">
                    <c:v>91,72</c:v>
                  </c:pt>
                  <c:pt idx="2">
                    <c:v>74,92</c:v>
                  </c:pt>
                  <c:pt idx="3">
                    <c:v>86,05</c:v>
                  </c:pt>
                  <c:pt idx="4">
                    <c:v>68,64</c:v>
                  </c:pt>
                  <c:pt idx="5">
                    <c:v>66,38</c:v>
                  </c:pt>
                  <c:pt idx="6">
                    <c:v>91,48</c:v>
                  </c:pt>
                  <c:pt idx="8">
                    <c:v>86,70</c:v>
                  </c:pt>
                  <c:pt idx="9">
                    <c:v>85,41</c:v>
                  </c:pt>
                  <c:pt idx="10">
                    <c:v>73,91</c:v>
                  </c:pt>
                  <c:pt idx="11">
                    <c:v>55,03</c:v>
                  </c:pt>
                  <c:pt idx="12">
                    <c:v>102,40</c:v>
                  </c:pt>
                  <c:pt idx="13">
                    <c:v>80,63</c:v>
                  </c:pt>
                  <c:pt idx="14">
                    <c:v>101,05</c:v>
                  </c:pt>
                  <c:pt idx="16">
                    <c:v>102,53</c:v>
                  </c:pt>
                  <c:pt idx="17">
                    <c:v>71,94</c:v>
                  </c:pt>
                  <c:pt idx="18">
                    <c:v>92,71</c:v>
                  </c:pt>
                  <c:pt idx="19">
                    <c:v>73,72</c:v>
                  </c:pt>
                  <c:pt idx="20">
                    <c:v>92,64</c:v>
                  </c:pt>
                  <c:pt idx="21">
                    <c:v>83,17</c:v>
                  </c:pt>
                  <c:pt idx="22">
                    <c:v>85,26</c:v>
                  </c:pt>
                  <c:pt idx="24">
                    <c:v>101,99</c:v>
                  </c:pt>
                  <c:pt idx="25">
                    <c:v>95,32</c:v>
                  </c:pt>
                  <c:pt idx="26">
                    <c:v>102,19</c:v>
                  </c:pt>
                  <c:pt idx="27">
                    <c:v>69,80</c:v>
                  </c:pt>
                  <c:pt idx="28">
                    <c:v>106,37</c:v>
                  </c:pt>
                  <c:pt idx="29">
                    <c:v>86,05</c:v>
                  </c:pt>
                  <c:pt idx="30">
                    <c:v>97,07</c:v>
                  </c:pt>
                  <c:pt idx="31">
                    <c:v>78,74</c:v>
                  </c:pt>
                  <c:pt idx="32">
                    <c:v>93,73</c:v>
                  </c:pt>
                </c:lvl>
                <c:lvl>
                  <c:pt idx="0">
                    <c:v>84,02</c:v>
                  </c:pt>
                  <c:pt idx="1">
                    <c:v>80,44</c:v>
                  </c:pt>
                  <c:pt idx="2">
                    <c:v>77,28</c:v>
                  </c:pt>
                  <c:pt idx="3">
                    <c:v>74,48</c:v>
                  </c:pt>
                  <c:pt idx="4">
                    <c:v>54,82</c:v>
                  </c:pt>
                  <c:pt idx="5">
                    <c:v>76,25</c:v>
                  </c:pt>
                  <c:pt idx="6">
                    <c:v>72,30</c:v>
                  </c:pt>
                  <c:pt idx="8">
                    <c:v>93,65</c:v>
                  </c:pt>
                  <c:pt idx="9">
                    <c:v>72,51</c:v>
                  </c:pt>
                  <c:pt idx="10">
                    <c:v>73,49</c:v>
                  </c:pt>
                  <c:pt idx="11">
                    <c:v>88,90</c:v>
                  </c:pt>
                  <c:pt idx="12">
                    <c:v>85,43</c:v>
                  </c:pt>
                  <c:pt idx="13">
                    <c:v>80,09</c:v>
                  </c:pt>
                  <c:pt idx="14">
                    <c:v>93,75</c:v>
                  </c:pt>
                  <c:pt idx="16">
                    <c:v>83,40</c:v>
                  </c:pt>
                  <c:pt idx="17">
                    <c:v>127,41</c:v>
                  </c:pt>
                  <c:pt idx="18">
                    <c:v>79,18</c:v>
                  </c:pt>
                  <c:pt idx="19">
                    <c:v>55,27</c:v>
                  </c:pt>
                  <c:pt idx="20">
                    <c:v>85,74</c:v>
                  </c:pt>
                  <c:pt idx="21">
                    <c:v>85,29</c:v>
                  </c:pt>
                  <c:pt idx="22">
                    <c:v>78,90</c:v>
                  </c:pt>
                  <c:pt idx="24">
                    <c:v>78,93</c:v>
                  </c:pt>
                  <c:pt idx="25">
                    <c:v>96,46</c:v>
                  </c:pt>
                  <c:pt idx="26">
                    <c:v>74,97</c:v>
                  </c:pt>
                  <c:pt idx="27">
                    <c:v>90,19</c:v>
                  </c:pt>
                  <c:pt idx="28">
                    <c:v>79,06</c:v>
                  </c:pt>
                  <c:pt idx="29">
                    <c:v>87,56</c:v>
                  </c:pt>
                  <c:pt idx="30">
                    <c:v>75,25</c:v>
                  </c:pt>
                  <c:pt idx="31">
                    <c:v>67,22</c:v>
                  </c:pt>
                  <c:pt idx="32">
                    <c:v>80,16</c:v>
                  </c:pt>
                </c:lvl>
                <c:lvl>
                  <c:pt idx="0">
                    <c:v>59,98</c:v>
                  </c:pt>
                  <c:pt idx="1">
                    <c:v>83,64</c:v>
                  </c:pt>
                  <c:pt idx="2">
                    <c:v>79,14</c:v>
                  </c:pt>
                  <c:pt idx="3">
                    <c:v>75,29</c:v>
                  </c:pt>
                  <c:pt idx="4">
                    <c:v>66,88</c:v>
                  </c:pt>
                  <c:pt idx="5">
                    <c:v>62,66</c:v>
                  </c:pt>
                  <c:pt idx="6">
                    <c:v>101,81</c:v>
                  </c:pt>
                  <c:pt idx="8">
                    <c:v>69,43</c:v>
                  </c:pt>
                  <c:pt idx="9">
                    <c:v>52,42</c:v>
                  </c:pt>
                  <c:pt idx="10">
                    <c:v>73,67</c:v>
                  </c:pt>
                  <c:pt idx="11">
                    <c:v>104,57</c:v>
                  </c:pt>
                  <c:pt idx="12">
                    <c:v>95,40</c:v>
                  </c:pt>
                  <c:pt idx="13">
                    <c:v>80,31</c:v>
                  </c:pt>
                  <c:pt idx="14">
                    <c:v>85,40</c:v>
                  </c:pt>
                  <c:pt idx="16">
                    <c:v>84,14</c:v>
                  </c:pt>
                  <c:pt idx="17">
                    <c:v>123,28</c:v>
                  </c:pt>
                  <c:pt idx="18">
                    <c:v>63,88</c:v>
                  </c:pt>
                  <c:pt idx="19">
                    <c:v>83,67</c:v>
                  </c:pt>
                  <c:pt idx="20">
                    <c:v>95,24</c:v>
                  </c:pt>
                  <c:pt idx="21">
                    <c:v>80,63</c:v>
                  </c:pt>
                  <c:pt idx="22">
                    <c:v>93,77</c:v>
                  </c:pt>
                  <c:pt idx="24">
                    <c:v>88,74</c:v>
                  </c:pt>
                  <c:pt idx="25">
                    <c:v>67,15</c:v>
                  </c:pt>
                  <c:pt idx="26">
                    <c:v>92,09</c:v>
                  </c:pt>
                  <c:pt idx="27">
                    <c:v>82,55</c:v>
                  </c:pt>
                  <c:pt idx="28">
                    <c:v>96,43</c:v>
                  </c:pt>
                  <c:pt idx="29">
                    <c:v>97,90</c:v>
                  </c:pt>
                  <c:pt idx="30">
                    <c:v>79,63</c:v>
                  </c:pt>
                  <c:pt idx="31">
                    <c:v>78,66</c:v>
                  </c:pt>
                  <c:pt idx="32">
                    <c:v>88,75</c:v>
                  </c:pt>
                </c:lvl>
                <c:lvl>
                  <c:pt idx="0">
                    <c:v>89,79</c:v>
                  </c:pt>
                  <c:pt idx="1">
                    <c:v>71,87</c:v>
                  </c:pt>
                  <c:pt idx="2">
                    <c:v>67,88</c:v>
                  </c:pt>
                  <c:pt idx="3">
                    <c:v>87,49</c:v>
                  </c:pt>
                  <c:pt idx="4">
                    <c:v>80,51</c:v>
                  </c:pt>
                  <c:pt idx="5">
                    <c:v>67,94</c:v>
                  </c:pt>
                  <c:pt idx="6">
                    <c:v>85,45</c:v>
                  </c:pt>
                  <c:pt idx="8">
                    <c:v>49,71</c:v>
                  </c:pt>
                  <c:pt idx="9">
                    <c:v>86,55</c:v>
                  </c:pt>
                  <c:pt idx="10">
                    <c:v>80,24</c:v>
                  </c:pt>
                  <c:pt idx="11">
                    <c:v>93,32</c:v>
                  </c:pt>
                  <c:pt idx="12">
                    <c:v>65,19</c:v>
                  </c:pt>
                  <c:pt idx="13">
                    <c:v>77,26</c:v>
                  </c:pt>
                  <c:pt idx="14">
                    <c:v>106,68</c:v>
                  </c:pt>
                  <c:pt idx="17">
                    <c:v>119,31</c:v>
                  </c:pt>
                  <c:pt idx="18">
                    <c:v>100,30</c:v>
                  </c:pt>
                  <c:pt idx="19">
                    <c:v>78,54</c:v>
                  </c:pt>
                  <c:pt idx="20">
                    <c:v>75,04</c:v>
                  </c:pt>
                  <c:pt idx="21">
                    <c:v>87,06</c:v>
                  </c:pt>
                  <c:pt idx="22">
                    <c:v>66,52</c:v>
                  </c:pt>
                  <c:pt idx="24">
                    <c:v>78,53</c:v>
                  </c:pt>
                  <c:pt idx="25">
                    <c:v>118,42</c:v>
                  </c:pt>
                  <c:pt idx="26">
                    <c:v>67,16</c:v>
                  </c:pt>
                  <c:pt idx="28">
                    <c:v>84,27</c:v>
                  </c:pt>
                  <c:pt idx="29">
                    <c:v>73,10</c:v>
                  </c:pt>
                  <c:pt idx="30">
                    <c:v>91,28</c:v>
                  </c:pt>
                  <c:pt idx="31">
                    <c:v>68,97</c:v>
                  </c:pt>
                  <c:pt idx="32">
                    <c:v>77,88</c:v>
                  </c:pt>
                </c:lvl>
                <c:lvl>
                  <c:pt idx="0">
                    <c:v>60,45</c:v>
                  </c:pt>
                  <c:pt idx="1">
                    <c:v>93,51</c:v>
                  </c:pt>
                  <c:pt idx="2">
                    <c:v>61,97</c:v>
                  </c:pt>
                  <c:pt idx="3">
                    <c:v>83,16</c:v>
                  </c:pt>
                  <c:pt idx="4">
                    <c:v>66,74</c:v>
                  </c:pt>
                  <c:pt idx="5">
                    <c:v>72,58</c:v>
                  </c:pt>
                  <c:pt idx="6">
                    <c:v>83,46</c:v>
                  </c:pt>
                  <c:pt idx="8">
                    <c:v>47,22</c:v>
                  </c:pt>
                  <c:pt idx="9">
                    <c:v>70,81</c:v>
                  </c:pt>
                  <c:pt idx="10">
                    <c:v>66,16</c:v>
                  </c:pt>
                  <c:pt idx="11">
                    <c:v>81,52</c:v>
                  </c:pt>
                  <c:pt idx="12">
                    <c:v>80,55</c:v>
                  </c:pt>
                  <c:pt idx="13">
                    <c:v>63,90</c:v>
                  </c:pt>
                  <c:pt idx="14">
                    <c:v>83,92</c:v>
                  </c:pt>
                  <c:pt idx="16">
                    <c:v>101,68</c:v>
                  </c:pt>
                  <c:pt idx="17">
                    <c:v>91,98</c:v>
                  </c:pt>
                  <c:pt idx="18">
                    <c:v>52,53</c:v>
                  </c:pt>
                  <c:pt idx="19">
                    <c:v>89,14</c:v>
                  </c:pt>
                  <c:pt idx="20">
                    <c:v>92,64</c:v>
                  </c:pt>
                  <c:pt idx="21">
                    <c:v>49,41</c:v>
                  </c:pt>
                  <c:pt idx="34">
                    <c:v>PM</c:v>
                  </c:pt>
                </c:lvl>
                <c:lvl>
                  <c:pt idx="0">
                    <c:v>104,65</c:v>
                  </c:pt>
                  <c:pt idx="1">
                    <c:v>97,57</c:v>
                  </c:pt>
                  <c:pt idx="2">
                    <c:v>89,55</c:v>
                  </c:pt>
                  <c:pt idx="3">
                    <c:v>103,32</c:v>
                  </c:pt>
                  <c:pt idx="4">
                    <c:v>77,33</c:v>
                  </c:pt>
                  <c:pt idx="5">
                    <c:v>89,49</c:v>
                  </c:pt>
                  <c:pt idx="6">
                    <c:v>105,43</c:v>
                  </c:pt>
                  <c:pt idx="8">
                    <c:v>88,21</c:v>
                  </c:pt>
                  <c:pt idx="9">
                    <c:v>114,38</c:v>
                  </c:pt>
                  <c:pt idx="10">
                    <c:v>55,68</c:v>
                  </c:pt>
                  <c:pt idx="11">
                    <c:v>124,85</c:v>
                  </c:pt>
                  <c:pt idx="14">
                    <c:v>111,90</c:v>
                  </c:pt>
                  <c:pt idx="16">
                    <c:v>90,41</c:v>
                  </c:pt>
                  <c:pt idx="17">
                    <c:v>32,11</c:v>
                  </c:pt>
                  <c:pt idx="18">
                    <c:v>72,49</c:v>
                  </c:pt>
                  <c:pt idx="20">
                    <c:v>179,98</c:v>
                  </c:pt>
                  <c:pt idx="21">
                    <c:v>99,97</c:v>
                  </c:pt>
                  <c:pt idx="22">
                    <c:v>84,79</c:v>
                  </c:pt>
                  <c:pt idx="24">
                    <c:v>64,33</c:v>
                  </c:pt>
                  <c:pt idx="25">
                    <c:v>91,99</c:v>
                  </c:pt>
                  <c:pt idx="26">
                    <c:v>107,22</c:v>
                  </c:pt>
                  <c:pt idx="27">
                    <c:v>27,60</c:v>
                  </c:pt>
                  <c:pt idx="28">
                    <c:v>91,75</c:v>
                  </c:pt>
                  <c:pt idx="29">
                    <c:v>87,55</c:v>
                  </c:pt>
                  <c:pt idx="30">
                    <c:v>117,90</c:v>
                  </c:pt>
                  <c:pt idx="31">
                    <c:v>42,91</c:v>
                  </c:pt>
                  <c:pt idx="32">
                    <c:v>113,92</c:v>
                  </c:pt>
                </c:lvl>
                <c:lvl>
                  <c:pt idx="0">
                    <c:v>65,38</c:v>
                  </c:pt>
                  <c:pt idx="1">
                    <c:v>106,02</c:v>
                  </c:pt>
                  <c:pt idx="2">
                    <c:v>78,31</c:v>
                  </c:pt>
                  <c:pt idx="3">
                    <c:v>60,92</c:v>
                  </c:pt>
                  <c:pt idx="4">
                    <c:v>75,80</c:v>
                  </c:pt>
                  <c:pt idx="5">
                    <c:v>57,63</c:v>
                  </c:pt>
                  <c:pt idx="6">
                    <c:v>133,01</c:v>
                  </c:pt>
                  <c:pt idx="8">
                    <c:v>61,28</c:v>
                  </c:pt>
                  <c:pt idx="9">
                    <c:v>58,57</c:v>
                  </c:pt>
                  <c:pt idx="10">
                    <c:v>76,40</c:v>
                  </c:pt>
                  <c:pt idx="11">
                    <c:v>100,88</c:v>
                  </c:pt>
                  <c:pt idx="12">
                    <c:v>63,33</c:v>
                  </c:pt>
                  <c:pt idx="13">
                    <c:v>95,33</c:v>
                  </c:pt>
                  <c:pt idx="14">
                    <c:v>88,49</c:v>
                  </c:pt>
                  <c:pt idx="16">
                    <c:v>80,07</c:v>
                  </c:pt>
                  <c:pt idx="18">
                    <c:v>132,15</c:v>
                  </c:pt>
                  <c:pt idx="19">
                    <c:v>78,85</c:v>
                  </c:pt>
                  <c:pt idx="20">
                    <c:v>100,83</c:v>
                  </c:pt>
                  <c:pt idx="21">
                    <c:v>80,37</c:v>
                  </c:pt>
                  <c:pt idx="22">
                    <c:v>98,10</c:v>
                  </c:pt>
                  <c:pt idx="24">
                    <c:v>103,88</c:v>
                  </c:pt>
                  <c:pt idx="25">
                    <c:v>120,42</c:v>
                  </c:pt>
                  <c:pt idx="26">
                    <c:v>80,33</c:v>
                  </c:pt>
                  <c:pt idx="27">
                    <c:v>90,18</c:v>
                  </c:pt>
                  <c:pt idx="28">
                    <c:v>90,45</c:v>
                  </c:pt>
                  <c:pt idx="29">
                    <c:v>99,45</c:v>
                  </c:pt>
                  <c:pt idx="30">
                    <c:v>85,79</c:v>
                  </c:pt>
                  <c:pt idx="31">
                    <c:v>62,55</c:v>
                  </c:pt>
                  <c:pt idx="32">
                    <c:v>88,16</c:v>
                  </c:pt>
                </c:lvl>
                <c:lvl>
                  <c:pt idx="0">
                    <c:v>74,59</c:v>
                  </c:pt>
                  <c:pt idx="1">
                    <c:v>76,94</c:v>
                  </c:pt>
                  <c:pt idx="2">
                    <c:v>74,04</c:v>
                  </c:pt>
                  <c:pt idx="4">
                    <c:v>54,52</c:v>
                  </c:pt>
                  <c:pt idx="5">
                    <c:v>53,48</c:v>
                  </c:pt>
                  <c:pt idx="6">
                    <c:v>82,91</c:v>
                  </c:pt>
                  <c:pt idx="9">
                    <c:v>120,44</c:v>
                  </c:pt>
                  <c:pt idx="10">
                    <c:v>76,61</c:v>
                  </c:pt>
                  <c:pt idx="11">
                    <c:v>84,83</c:v>
                  </c:pt>
                  <c:pt idx="12">
                    <c:v>76,93</c:v>
                  </c:pt>
                  <c:pt idx="13">
                    <c:v>73,82</c:v>
                  </c:pt>
                  <c:pt idx="14">
                    <c:v>75,78</c:v>
                  </c:pt>
                  <c:pt idx="16">
                    <c:v>100,56</c:v>
                  </c:pt>
                  <c:pt idx="17">
                    <c:v>70,56</c:v>
                  </c:pt>
                  <c:pt idx="18">
                    <c:v>78,24</c:v>
                  </c:pt>
                  <c:pt idx="19">
                    <c:v>77,61</c:v>
                  </c:pt>
                  <c:pt idx="20">
                    <c:v>88,67</c:v>
                  </c:pt>
                  <c:pt idx="21">
                    <c:v>91,02</c:v>
                  </c:pt>
                  <c:pt idx="22">
                    <c:v>106,43</c:v>
                  </c:pt>
                  <c:pt idx="24">
                    <c:v>80,19</c:v>
                  </c:pt>
                  <c:pt idx="25">
                    <c:v>84,61</c:v>
                  </c:pt>
                  <c:pt idx="26">
                    <c:v>83,22</c:v>
                  </c:pt>
                  <c:pt idx="27">
                    <c:v>81,53</c:v>
                  </c:pt>
                  <c:pt idx="28">
                    <c:v>75,89</c:v>
                  </c:pt>
                  <c:pt idx="29">
                    <c:v>77,98</c:v>
                  </c:pt>
                  <c:pt idx="30">
                    <c:v>72,39</c:v>
                  </c:pt>
                  <c:pt idx="31">
                    <c:v>57,88</c:v>
                  </c:pt>
                  <c:pt idx="32">
                    <c:v>80,70</c:v>
                  </c:pt>
                </c:lvl>
                <c:lvl>
                  <c:pt idx="0">
                    <c:v>88,44</c:v>
                  </c:pt>
                  <c:pt idx="1">
                    <c:v>91,28</c:v>
                  </c:pt>
                  <c:pt idx="2">
                    <c:v>91,94</c:v>
                  </c:pt>
                  <c:pt idx="3">
                    <c:v>93,60</c:v>
                  </c:pt>
                  <c:pt idx="4">
                    <c:v>61,64</c:v>
                  </c:pt>
                  <c:pt idx="6">
                    <c:v>94,64</c:v>
                  </c:pt>
                  <c:pt idx="8">
                    <c:v>67,23</c:v>
                  </c:pt>
                  <c:pt idx="9">
                    <c:v>94,09</c:v>
                  </c:pt>
                  <c:pt idx="10">
                    <c:v>77,74</c:v>
                  </c:pt>
                  <c:pt idx="11">
                    <c:v>91,29</c:v>
                  </c:pt>
                  <c:pt idx="12">
                    <c:v>102,72</c:v>
                  </c:pt>
                  <c:pt idx="14">
                    <c:v>87,74</c:v>
                  </c:pt>
                  <c:pt idx="16">
                    <c:v>108,17</c:v>
                  </c:pt>
                  <c:pt idx="18">
                    <c:v>127,84</c:v>
                  </c:pt>
                  <c:pt idx="19">
                    <c:v>91,63</c:v>
                  </c:pt>
                  <c:pt idx="20">
                    <c:v>82,33</c:v>
                  </c:pt>
                  <c:pt idx="21">
                    <c:v>99,79</c:v>
                  </c:pt>
                  <c:pt idx="22">
                    <c:v>85,30</c:v>
                  </c:pt>
                  <c:pt idx="24">
                    <c:v>100,82</c:v>
                  </c:pt>
                  <c:pt idx="25">
                    <c:v>79,58</c:v>
                  </c:pt>
                  <c:pt idx="26">
                    <c:v>78,67</c:v>
                  </c:pt>
                  <c:pt idx="27">
                    <c:v>91,10</c:v>
                  </c:pt>
                  <c:pt idx="28">
                    <c:v>95,97</c:v>
                  </c:pt>
                  <c:pt idx="29">
                    <c:v>95,97</c:v>
                  </c:pt>
                  <c:pt idx="30">
                    <c:v>101,31</c:v>
                  </c:pt>
                  <c:pt idx="31">
                    <c:v>67,10</c:v>
                  </c:pt>
                  <c:pt idx="32">
                    <c:v>73,94</c:v>
                  </c:pt>
                  <c:pt idx="36">
                    <c:v> 92 Unit</c:v>
                  </c:pt>
                </c:lvl>
                <c:lvl>
                  <c:pt idx="0">
                    <c:v>57,60</c:v>
                  </c:pt>
                  <c:pt idx="1">
                    <c:v>81,11</c:v>
                  </c:pt>
                  <c:pt idx="2">
                    <c:v>62,92</c:v>
                  </c:pt>
                  <c:pt idx="3">
                    <c:v>81,36</c:v>
                  </c:pt>
                  <c:pt idx="4">
                    <c:v>82,47</c:v>
                  </c:pt>
                  <c:pt idx="5">
                    <c:v>75,78</c:v>
                  </c:pt>
                  <c:pt idx="6">
                    <c:v>100,60</c:v>
                  </c:pt>
                  <c:pt idx="8">
                    <c:v>88,15</c:v>
                  </c:pt>
                  <c:pt idx="9">
                    <c:v>67,51</c:v>
                  </c:pt>
                  <c:pt idx="10">
                    <c:v>81,38</c:v>
                  </c:pt>
                  <c:pt idx="11">
                    <c:v>123,11</c:v>
                  </c:pt>
                  <c:pt idx="12">
                    <c:v>93,16</c:v>
                  </c:pt>
                  <c:pt idx="13">
                    <c:v>83,44</c:v>
                  </c:pt>
                  <c:pt idx="14">
                    <c:v>66,41</c:v>
                  </c:pt>
                  <c:pt idx="16">
                    <c:v>86,28</c:v>
                  </c:pt>
                  <c:pt idx="17">
                    <c:v>102,25</c:v>
                  </c:pt>
                  <c:pt idx="18">
                    <c:v>71,34</c:v>
                  </c:pt>
                  <c:pt idx="19">
                    <c:v>70,59</c:v>
                  </c:pt>
                  <c:pt idx="20">
                    <c:v>89,22</c:v>
                  </c:pt>
                  <c:pt idx="21">
                    <c:v>66,20</c:v>
                  </c:pt>
                  <c:pt idx="22">
                    <c:v>70,79</c:v>
                  </c:pt>
                  <c:pt idx="24">
                    <c:v>78,27</c:v>
                  </c:pt>
                  <c:pt idx="25">
                    <c:v>89,01</c:v>
                  </c:pt>
                  <c:pt idx="26">
                    <c:v>86,61</c:v>
                  </c:pt>
                  <c:pt idx="27">
                    <c:v>76,98</c:v>
                  </c:pt>
                  <c:pt idx="28">
                    <c:v>79,52</c:v>
                  </c:pt>
                  <c:pt idx="29">
                    <c:v>95,27</c:v>
                  </c:pt>
                  <c:pt idx="30">
                    <c:v>82,10</c:v>
                  </c:pt>
                  <c:pt idx="31">
                    <c:v>85,14</c:v>
                  </c:pt>
                  <c:pt idx="32">
                    <c:v>65,10</c:v>
                  </c:pt>
                  <c:pt idx="36">
                    <c:v>Total HT utk OPS</c:v>
                  </c:pt>
                </c:lvl>
                <c:lvl>
                  <c:pt idx="0">
                    <c:v>99,58</c:v>
                  </c:pt>
                  <c:pt idx="1">
                    <c:v>90,09</c:v>
                  </c:pt>
                  <c:pt idx="2">
                    <c:v>98,19</c:v>
                  </c:pt>
                  <c:pt idx="3">
                    <c:v>55,97</c:v>
                  </c:pt>
                  <c:pt idx="4">
                    <c:v>76,98</c:v>
                  </c:pt>
                  <c:pt idx="5">
                    <c:v>78,96</c:v>
                  </c:pt>
                  <c:pt idx="6">
                    <c:v>106,11</c:v>
                  </c:pt>
                  <c:pt idx="10">
                    <c:v>110,37</c:v>
                  </c:pt>
                  <c:pt idx="11">
                    <c:v>109,73</c:v>
                  </c:pt>
                  <c:pt idx="12">
                    <c:v>89,31</c:v>
                  </c:pt>
                  <c:pt idx="13">
                    <c:v>69,14</c:v>
                  </c:pt>
                  <c:pt idx="14">
                    <c:v>83,31</c:v>
                  </c:pt>
                  <c:pt idx="16">
                    <c:v>101,08</c:v>
                  </c:pt>
                  <c:pt idx="17">
                    <c:v>96,73</c:v>
                  </c:pt>
                  <c:pt idx="18">
                    <c:v>96,43</c:v>
                  </c:pt>
                  <c:pt idx="19">
                    <c:v>92,85</c:v>
                  </c:pt>
                  <c:pt idx="20">
                    <c:v>93,72</c:v>
                  </c:pt>
                  <c:pt idx="21">
                    <c:v>99,19</c:v>
                  </c:pt>
                  <c:pt idx="22">
                    <c:v>84,05</c:v>
                  </c:pt>
                  <c:pt idx="24">
                    <c:v>101,55</c:v>
                  </c:pt>
                  <c:pt idx="25">
                    <c:v>105,54</c:v>
                  </c:pt>
                  <c:pt idx="26">
                    <c:v>97,02</c:v>
                  </c:pt>
                  <c:pt idx="27">
                    <c:v>102,30</c:v>
                  </c:pt>
                  <c:pt idx="28">
                    <c:v>90,48</c:v>
                  </c:pt>
                  <c:pt idx="29">
                    <c:v>92,22</c:v>
                  </c:pt>
                  <c:pt idx="30">
                    <c:v>103,79</c:v>
                  </c:pt>
                  <c:pt idx="31">
                    <c:v>63,36</c:v>
                  </c:pt>
                  <c:pt idx="32">
                    <c:v>89,92</c:v>
                  </c:pt>
                </c:lvl>
                <c:lvl>
                  <c:pt idx="0">
                    <c:v>73,66</c:v>
                  </c:pt>
                  <c:pt idx="1">
                    <c:v>56,95</c:v>
                  </c:pt>
                  <c:pt idx="2">
                    <c:v>57,20</c:v>
                  </c:pt>
                  <c:pt idx="3">
                    <c:v>63,32</c:v>
                  </c:pt>
                  <c:pt idx="4">
                    <c:v>75,76</c:v>
                  </c:pt>
                  <c:pt idx="5">
                    <c:v>93,19</c:v>
                  </c:pt>
                  <c:pt idx="6">
                    <c:v>94,10</c:v>
                  </c:pt>
                  <c:pt idx="8">
                    <c:v>45,77</c:v>
                  </c:pt>
                  <c:pt idx="9">
                    <c:v>90,19</c:v>
                  </c:pt>
                  <c:pt idx="10">
                    <c:v>88,84</c:v>
                  </c:pt>
                  <c:pt idx="11">
                    <c:v>80,47</c:v>
                  </c:pt>
                  <c:pt idx="12">
                    <c:v>78,52</c:v>
                  </c:pt>
                  <c:pt idx="13">
                    <c:v>69,41</c:v>
                  </c:pt>
                  <c:pt idx="14">
                    <c:v>75,45</c:v>
                  </c:pt>
                  <c:pt idx="16">
                    <c:v>88,27</c:v>
                  </c:pt>
                  <c:pt idx="17">
                    <c:v>96,61</c:v>
                  </c:pt>
                  <c:pt idx="19">
                    <c:v>93,55</c:v>
                  </c:pt>
                  <c:pt idx="20">
                    <c:v>86,20</c:v>
                  </c:pt>
                  <c:pt idx="21">
                    <c:v>68,93</c:v>
                  </c:pt>
                  <c:pt idx="22">
                    <c:v>99,04</c:v>
                  </c:pt>
                  <c:pt idx="24">
                    <c:v>100,15</c:v>
                  </c:pt>
                  <c:pt idx="25">
                    <c:v>103,81</c:v>
                  </c:pt>
                  <c:pt idx="26">
                    <c:v>80,74</c:v>
                  </c:pt>
                  <c:pt idx="27">
                    <c:v>76,73</c:v>
                  </c:pt>
                  <c:pt idx="28">
                    <c:v>89,65</c:v>
                  </c:pt>
                  <c:pt idx="29">
                    <c:v>89,08</c:v>
                  </c:pt>
                  <c:pt idx="30">
                    <c:v>105,83</c:v>
                  </c:pt>
                  <c:pt idx="31">
                    <c:v>83,11</c:v>
                  </c:pt>
                  <c:pt idx="32">
                    <c:v>105,86</c:v>
                  </c:pt>
                  <c:pt idx="36">
                    <c:v> Total  24 Unit di Scrub</c:v>
                  </c:pt>
                </c:lvl>
                <c:lvl>
                  <c:pt idx="0">
                    <c:v>69,50</c:v>
                  </c:pt>
                  <c:pt idx="1">
                    <c:v>74,53</c:v>
                  </c:pt>
                  <c:pt idx="2">
                    <c:v>69,74</c:v>
                  </c:pt>
                  <c:pt idx="3">
                    <c:v>79,11</c:v>
                  </c:pt>
                  <c:pt idx="4">
                    <c:v>65,53</c:v>
                  </c:pt>
                  <c:pt idx="5">
                    <c:v>63,10</c:v>
                  </c:pt>
                  <c:pt idx="6">
                    <c:v>75,12</c:v>
                  </c:pt>
                  <c:pt idx="8">
                    <c:v>59,27</c:v>
                  </c:pt>
                  <c:pt idx="9">
                    <c:v>84,68</c:v>
                  </c:pt>
                  <c:pt idx="10">
                    <c:v>71,10</c:v>
                  </c:pt>
                  <c:pt idx="11">
                    <c:v>84,36</c:v>
                  </c:pt>
                  <c:pt idx="12">
                    <c:v>73,77</c:v>
                  </c:pt>
                  <c:pt idx="13">
                    <c:v>83,65</c:v>
                  </c:pt>
                  <c:pt idx="14">
                    <c:v>61,41</c:v>
                  </c:pt>
                  <c:pt idx="17">
                    <c:v>43,01</c:v>
                  </c:pt>
                  <c:pt idx="18">
                    <c:v>87,73</c:v>
                  </c:pt>
                  <c:pt idx="19">
                    <c:v>63,01</c:v>
                  </c:pt>
                  <c:pt idx="20">
                    <c:v>86,39</c:v>
                  </c:pt>
                  <c:pt idx="21">
                    <c:v>67,70</c:v>
                  </c:pt>
                  <c:pt idx="22">
                    <c:v>76,43</c:v>
                  </c:pt>
                  <c:pt idx="24">
                    <c:v>91,72</c:v>
                  </c:pt>
                  <c:pt idx="25">
                    <c:v>61,44</c:v>
                  </c:pt>
                  <c:pt idx="26">
                    <c:v>83,19</c:v>
                  </c:pt>
                  <c:pt idx="27">
                    <c:v>91,69</c:v>
                  </c:pt>
                  <c:pt idx="28">
                    <c:v>78,46</c:v>
                  </c:pt>
                  <c:pt idx="29">
                    <c:v>62,68</c:v>
                  </c:pt>
                  <c:pt idx="30">
                    <c:v>102,45</c:v>
                  </c:pt>
                  <c:pt idx="31">
                    <c:v>65,29</c:v>
                  </c:pt>
                  <c:pt idx="32">
                    <c:v>74,51</c:v>
                  </c:pt>
                </c:lvl>
                <c:lvl>
                  <c:pt idx="0">
                    <c:v>82,40</c:v>
                  </c:pt>
                  <c:pt idx="1">
                    <c:v>77,93</c:v>
                  </c:pt>
                  <c:pt idx="2">
                    <c:v>80,82</c:v>
                  </c:pt>
                  <c:pt idx="3">
                    <c:v>74,10</c:v>
                  </c:pt>
                  <c:pt idx="4">
                    <c:v>74,30</c:v>
                  </c:pt>
                  <c:pt idx="5">
                    <c:v>73,75</c:v>
                  </c:pt>
                  <c:pt idx="6">
                    <c:v>78,94</c:v>
                  </c:pt>
                  <c:pt idx="8">
                    <c:v>73,85</c:v>
                  </c:pt>
                  <c:pt idx="9">
                    <c:v>85,28</c:v>
                  </c:pt>
                  <c:pt idx="10">
                    <c:v>80,53</c:v>
                  </c:pt>
                  <c:pt idx="11">
                    <c:v>89,55</c:v>
                  </c:pt>
                  <c:pt idx="12">
                    <c:v>80,53</c:v>
                  </c:pt>
                  <c:pt idx="13">
                    <c:v>86,75</c:v>
                  </c:pt>
                  <c:pt idx="14">
                    <c:v>65,85</c:v>
                  </c:pt>
                  <c:pt idx="17">
                    <c:v>112,99</c:v>
                  </c:pt>
                  <c:pt idx="18">
                    <c:v>75,57</c:v>
                  </c:pt>
                  <c:pt idx="19">
                    <c:v>67,32</c:v>
                  </c:pt>
                  <c:pt idx="20">
                    <c:v>93,74</c:v>
                  </c:pt>
                  <c:pt idx="21">
                    <c:v>67,26</c:v>
                  </c:pt>
                  <c:pt idx="22">
                    <c:v>86,53</c:v>
                  </c:pt>
                  <c:pt idx="24">
                    <c:v>72,84</c:v>
                  </c:pt>
                  <c:pt idx="25">
                    <c:v>81,37</c:v>
                  </c:pt>
                  <c:pt idx="26">
                    <c:v>91,93</c:v>
                  </c:pt>
                  <c:pt idx="27">
                    <c:v>49,00</c:v>
                  </c:pt>
                  <c:pt idx="28">
                    <c:v>70,63</c:v>
                  </c:pt>
                  <c:pt idx="29">
                    <c:v>95,76</c:v>
                  </c:pt>
                  <c:pt idx="30">
                    <c:v>94,38</c:v>
                  </c:pt>
                  <c:pt idx="31">
                    <c:v>72,48</c:v>
                  </c:pt>
                  <c:pt idx="32">
                    <c:v>87,11</c:v>
                  </c:pt>
                  <c:pt idx="36">
                    <c:v>  106,107 . Lelang srcub</c:v>
                  </c:pt>
                </c:lvl>
                <c:lvl>
                  <c:pt idx="0">
                    <c:v>84,28</c:v>
                  </c:pt>
                  <c:pt idx="1">
                    <c:v>90,50</c:v>
                  </c:pt>
                  <c:pt idx="3">
                    <c:v>91,55</c:v>
                  </c:pt>
                  <c:pt idx="4">
                    <c:v>87,61</c:v>
                  </c:pt>
                  <c:pt idx="5">
                    <c:v>61,45</c:v>
                  </c:pt>
                  <c:pt idx="6">
                    <c:v>92,95</c:v>
                  </c:pt>
                  <c:pt idx="8">
                    <c:v>65,26</c:v>
                  </c:pt>
                  <c:pt idx="9">
                    <c:v>107,61</c:v>
                  </c:pt>
                  <c:pt idx="10">
                    <c:v>106,40</c:v>
                  </c:pt>
                  <c:pt idx="11">
                    <c:v>74,57</c:v>
                  </c:pt>
                  <c:pt idx="12">
                    <c:v>87,76</c:v>
                  </c:pt>
                  <c:pt idx="13">
                    <c:v>89,21</c:v>
                  </c:pt>
                  <c:pt idx="14">
                    <c:v>85,08</c:v>
                  </c:pt>
                  <c:pt idx="16">
                    <c:v>81,20</c:v>
                  </c:pt>
                  <c:pt idx="17">
                    <c:v>96,58</c:v>
                  </c:pt>
                  <c:pt idx="18">
                    <c:v>97,36</c:v>
                  </c:pt>
                  <c:pt idx="19">
                    <c:v>106,18</c:v>
                  </c:pt>
                  <c:pt idx="20">
                    <c:v>71,93</c:v>
                  </c:pt>
                  <c:pt idx="21">
                    <c:v>90,31</c:v>
                  </c:pt>
                  <c:pt idx="25">
                    <c:v>150,41</c:v>
                  </c:pt>
                  <c:pt idx="26">
                    <c:v>78,82</c:v>
                  </c:pt>
                  <c:pt idx="27">
                    <c:v>89,92</c:v>
                  </c:pt>
                  <c:pt idx="28">
                    <c:v>114,13</c:v>
                  </c:pt>
                  <c:pt idx="29">
                    <c:v>58,00</c:v>
                  </c:pt>
                  <c:pt idx="30">
                    <c:v>87,75</c:v>
                  </c:pt>
                  <c:pt idx="31">
                    <c:v>86,64</c:v>
                  </c:pt>
                  <c:pt idx="32">
                    <c:v>101,31</c:v>
                  </c:pt>
                  <c:pt idx="36">
                    <c:v>   99, 101. 102, 103, 105,</c:v>
                  </c:pt>
                </c:lvl>
                <c:lvl>
                  <c:pt idx="0">
                    <c:v>83,69</c:v>
                  </c:pt>
                  <c:pt idx="1">
                    <c:v>77,52</c:v>
                  </c:pt>
                  <c:pt idx="2">
                    <c:v>72,94</c:v>
                  </c:pt>
                  <c:pt idx="3">
                    <c:v>81,88</c:v>
                  </c:pt>
                  <c:pt idx="4">
                    <c:v>92,15</c:v>
                  </c:pt>
                  <c:pt idx="5">
                    <c:v>75,05</c:v>
                  </c:pt>
                  <c:pt idx="6">
                    <c:v>79,70</c:v>
                  </c:pt>
                  <c:pt idx="8">
                    <c:v>75,18</c:v>
                  </c:pt>
                  <c:pt idx="9">
                    <c:v>81,91</c:v>
                  </c:pt>
                  <c:pt idx="10">
                    <c:v>76,57</c:v>
                  </c:pt>
                  <c:pt idx="11">
                    <c:v>74,98</c:v>
                  </c:pt>
                  <c:pt idx="12">
                    <c:v>52,46</c:v>
                  </c:pt>
                  <c:pt idx="13">
                    <c:v>80,17</c:v>
                  </c:pt>
                  <c:pt idx="14">
                    <c:v>64,75</c:v>
                  </c:pt>
                  <c:pt idx="16">
                    <c:v>91,34</c:v>
                  </c:pt>
                  <c:pt idx="17">
                    <c:v>81,11</c:v>
                  </c:pt>
                  <c:pt idx="18">
                    <c:v>83,38</c:v>
                  </c:pt>
                  <c:pt idx="19">
                    <c:v>75,04</c:v>
                  </c:pt>
                  <c:pt idx="20">
                    <c:v>85,26</c:v>
                  </c:pt>
                  <c:pt idx="21">
                    <c:v>72,78</c:v>
                  </c:pt>
                  <c:pt idx="22">
                    <c:v>77,69</c:v>
                  </c:pt>
                  <c:pt idx="24">
                    <c:v>83,09</c:v>
                  </c:pt>
                  <c:pt idx="25">
                    <c:v>83,97</c:v>
                  </c:pt>
                  <c:pt idx="26">
                    <c:v>68,51</c:v>
                  </c:pt>
                  <c:pt idx="27">
                    <c:v>80,24</c:v>
                  </c:pt>
                  <c:pt idx="28">
                    <c:v>87,23</c:v>
                  </c:pt>
                  <c:pt idx="29">
                    <c:v>70,46</c:v>
                  </c:pt>
                  <c:pt idx="30">
                    <c:v>85,58</c:v>
                  </c:pt>
                  <c:pt idx="31">
                    <c:v>73,97</c:v>
                  </c:pt>
                  <c:pt idx="32">
                    <c:v>78,67</c:v>
                  </c:pt>
                  <c:pt idx="36">
                    <c:v>   89, 91, 92, 94, 96, 97,</c:v>
                  </c:pt>
                </c:lvl>
                <c:lvl>
                  <c:pt idx="0">
                    <c:v>97,85</c:v>
                  </c:pt>
                  <c:pt idx="1">
                    <c:v>96,28</c:v>
                  </c:pt>
                  <c:pt idx="2">
                    <c:v>85,24</c:v>
                  </c:pt>
                  <c:pt idx="3">
                    <c:v>84,06</c:v>
                  </c:pt>
                  <c:pt idx="4">
                    <c:v>46,22</c:v>
                  </c:pt>
                  <c:pt idx="5">
                    <c:v>54,70</c:v>
                  </c:pt>
                  <c:pt idx="6">
                    <c:v>88,00</c:v>
                  </c:pt>
                  <c:pt idx="8">
                    <c:v>73,47</c:v>
                  </c:pt>
                  <c:pt idx="9">
                    <c:v>95,05</c:v>
                  </c:pt>
                  <c:pt idx="10">
                    <c:v>86,32</c:v>
                  </c:pt>
                  <c:pt idx="11">
                    <c:v>94,94</c:v>
                  </c:pt>
                  <c:pt idx="12">
                    <c:v>84,38</c:v>
                  </c:pt>
                  <c:pt idx="13">
                    <c:v>78,04</c:v>
                  </c:pt>
                  <c:pt idx="14">
                    <c:v>77,99</c:v>
                  </c:pt>
                  <c:pt idx="16">
                    <c:v>74,51</c:v>
                  </c:pt>
                  <c:pt idx="17">
                    <c:v>90,88</c:v>
                  </c:pt>
                  <c:pt idx="18">
                    <c:v>86,13</c:v>
                  </c:pt>
                  <c:pt idx="19">
                    <c:v>87,62</c:v>
                  </c:pt>
                  <c:pt idx="20">
                    <c:v>104,7</c:v>
                  </c:pt>
                  <c:pt idx="21">
                    <c:v>75,89</c:v>
                  </c:pt>
                  <c:pt idx="22">
                    <c:v>81,94</c:v>
                  </c:pt>
                  <c:pt idx="24">
                    <c:v>87,49</c:v>
                  </c:pt>
                  <c:pt idx="25">
                    <c:v>112,00</c:v>
                  </c:pt>
                  <c:pt idx="26">
                    <c:v>87,68</c:v>
                  </c:pt>
                  <c:pt idx="27">
                    <c:v>93,70</c:v>
                  </c:pt>
                  <c:pt idx="28">
                    <c:v>73,55</c:v>
                  </c:pt>
                  <c:pt idx="29">
                    <c:v>57,28</c:v>
                  </c:pt>
                  <c:pt idx="30">
                    <c:v>103,70</c:v>
                  </c:pt>
                  <c:pt idx="31">
                    <c:v>89,39</c:v>
                  </c:pt>
                  <c:pt idx="32">
                    <c:v>83,15</c:v>
                  </c:pt>
                  <c:pt idx="36">
                    <c:v>   82, 84, 85, 86, 87, 88, </c:v>
                  </c:pt>
                </c:lvl>
                <c:lvl>
                  <c:pt idx="0">
                    <c:v>110,23</c:v>
                  </c:pt>
                  <c:pt idx="1">
                    <c:v>94,25</c:v>
                  </c:pt>
                  <c:pt idx="2">
                    <c:v>23,23</c:v>
                  </c:pt>
                  <c:pt idx="3">
                    <c:v>78,50</c:v>
                  </c:pt>
                  <c:pt idx="4">
                    <c:v>100,68</c:v>
                  </c:pt>
                  <c:pt idx="5">
                    <c:v>62,78</c:v>
                  </c:pt>
                  <c:pt idx="6">
                    <c:v>89,48</c:v>
                  </c:pt>
                  <c:pt idx="8">
                    <c:v>77,35</c:v>
                  </c:pt>
                  <c:pt idx="9">
                    <c:v>88,52</c:v>
                  </c:pt>
                  <c:pt idx="10">
                    <c:v>95,13</c:v>
                  </c:pt>
                  <c:pt idx="11">
                    <c:v>102,15</c:v>
                  </c:pt>
                  <c:pt idx="12">
                    <c:v>100,10</c:v>
                  </c:pt>
                  <c:pt idx="13">
                    <c:v>76,09</c:v>
                  </c:pt>
                  <c:pt idx="14">
                    <c:v>99,20</c:v>
                  </c:pt>
                  <c:pt idx="16">
                    <c:v>112,17</c:v>
                  </c:pt>
                  <c:pt idx="17">
                    <c:v>90,67</c:v>
                  </c:pt>
                  <c:pt idx="18">
                    <c:v>82,95</c:v>
                  </c:pt>
                  <c:pt idx="19">
                    <c:v>105,57</c:v>
                  </c:pt>
                  <c:pt idx="20">
                    <c:v>85,01</c:v>
                  </c:pt>
                  <c:pt idx="21">
                    <c:v>86,31</c:v>
                  </c:pt>
                  <c:pt idx="22">
                    <c:v>101,83</c:v>
                  </c:pt>
                  <c:pt idx="24">
                    <c:v>86,67</c:v>
                  </c:pt>
                  <c:pt idx="25">
                    <c:v>73,16</c:v>
                  </c:pt>
                  <c:pt idx="28">
                    <c:v>78,47</c:v>
                  </c:pt>
                  <c:pt idx="29">
                    <c:v>78,61</c:v>
                  </c:pt>
                  <c:pt idx="30">
                    <c:v>68,95</c:v>
                  </c:pt>
                  <c:pt idx="31">
                    <c:v>81,53</c:v>
                  </c:pt>
                  <c:pt idx="32">
                    <c:v>93,07</c:v>
                  </c:pt>
                  <c:pt idx="36">
                    <c:v>. HT 129, 130, 146, 160, </c:v>
                  </c:pt>
                </c:lvl>
                <c:lvl>
                  <c:pt idx="0">
                    <c:v>78,99</c:v>
                  </c:pt>
                  <c:pt idx="1">
                    <c:v>78,99</c:v>
                  </c:pt>
                  <c:pt idx="2">
                    <c:v>64,39</c:v>
                  </c:pt>
                  <c:pt idx="3">
                    <c:v>105,05</c:v>
                  </c:pt>
                  <c:pt idx="4">
                    <c:v>86,22</c:v>
                  </c:pt>
                  <c:pt idx="5">
                    <c:v>83,68</c:v>
                  </c:pt>
                  <c:pt idx="6">
                    <c:v>107,81</c:v>
                  </c:pt>
                  <c:pt idx="8">
                    <c:v>58,66</c:v>
                  </c:pt>
                  <c:pt idx="9">
                    <c:v>82,64</c:v>
                  </c:pt>
                  <c:pt idx="10">
                    <c:v>70,99</c:v>
                  </c:pt>
                  <c:pt idx="11">
                    <c:v>73,94</c:v>
                  </c:pt>
                  <c:pt idx="12">
                    <c:v>100,04</c:v>
                  </c:pt>
                  <c:pt idx="13">
                    <c:v>69,40</c:v>
                  </c:pt>
                  <c:pt idx="14">
                    <c:v>76,05</c:v>
                  </c:pt>
                  <c:pt idx="16">
                    <c:v>101,61</c:v>
                  </c:pt>
                  <c:pt idx="17">
                    <c:v>71,20</c:v>
                  </c:pt>
                  <c:pt idx="18">
                    <c:v>110,72</c:v>
                  </c:pt>
                  <c:pt idx="19">
                    <c:v>80,20</c:v>
                  </c:pt>
                  <c:pt idx="20">
                    <c:v>73,49</c:v>
                  </c:pt>
                  <c:pt idx="21">
                    <c:v>99,71</c:v>
                  </c:pt>
                  <c:pt idx="22">
                    <c:v>80,69</c:v>
                  </c:pt>
                  <c:pt idx="24">
                    <c:v>119,94</c:v>
                  </c:pt>
                  <c:pt idx="25">
                    <c:v>77,09</c:v>
                  </c:pt>
                  <c:pt idx="27">
                    <c:v>77,87</c:v>
                  </c:pt>
                  <c:pt idx="28">
                    <c:v>96,62</c:v>
                  </c:pt>
                  <c:pt idx="29">
                    <c:v>114,82</c:v>
                  </c:pt>
                  <c:pt idx="30">
                    <c:v>117,07</c:v>
                  </c:pt>
                  <c:pt idx="31">
                    <c:v>60,91</c:v>
                  </c:pt>
                  <c:pt idx="32">
                    <c:v>102,82</c:v>
                  </c:pt>
                  <c:pt idx="36">
                    <c:v>  Hasil dilapangan</c:v>
                  </c:pt>
                </c:lvl>
                <c:lvl>
                  <c:pt idx="0">
                    <c:v>89,25</c:v>
                  </c:pt>
                  <c:pt idx="2">
                    <c:v>147,51</c:v>
                  </c:pt>
                  <c:pt idx="3">
                    <c:v>70,92</c:v>
                  </c:pt>
                  <c:pt idx="4">
                    <c:v>83,18</c:v>
                  </c:pt>
                  <c:pt idx="5">
                    <c:v>63,87</c:v>
                  </c:pt>
                  <c:pt idx="6">
                    <c:v>93,92</c:v>
                  </c:pt>
                  <c:pt idx="8">
                    <c:v>62,43</c:v>
                  </c:pt>
                  <c:pt idx="9">
                    <c:v>75,35</c:v>
                  </c:pt>
                  <c:pt idx="10">
                    <c:v>60,60</c:v>
                  </c:pt>
                  <c:pt idx="11">
                    <c:v>86,53</c:v>
                  </c:pt>
                  <c:pt idx="12">
                    <c:v>72,29</c:v>
                  </c:pt>
                  <c:pt idx="13">
                    <c:v>98,38</c:v>
                  </c:pt>
                  <c:pt idx="14">
                    <c:v>76,53</c:v>
                  </c:pt>
                  <c:pt idx="16">
                    <c:v>95,59</c:v>
                  </c:pt>
                  <c:pt idx="17">
                    <c:v>89,32</c:v>
                  </c:pt>
                  <c:pt idx="18">
                    <c:v>63,84</c:v>
                  </c:pt>
                  <c:pt idx="19">
                    <c:v>72,22</c:v>
                  </c:pt>
                  <c:pt idx="20">
                    <c:v>70,61</c:v>
                  </c:pt>
                  <c:pt idx="21">
                    <c:v>68,91</c:v>
                  </c:pt>
                  <c:pt idx="22">
                    <c:v>79,68</c:v>
                  </c:pt>
                  <c:pt idx="24">
                    <c:v>88,22</c:v>
                  </c:pt>
                  <c:pt idx="25">
                    <c:v>85,66</c:v>
                  </c:pt>
                  <c:pt idx="26">
                    <c:v>73,84</c:v>
                  </c:pt>
                  <c:pt idx="27">
                    <c:v>80,03</c:v>
                  </c:pt>
                  <c:pt idx="29">
                    <c:v>84,78</c:v>
                  </c:pt>
                  <c:pt idx="30">
                    <c:v>92,75</c:v>
                  </c:pt>
                  <c:pt idx="31">
                    <c:v>60,81</c:v>
                  </c:pt>
                  <c:pt idx="32">
                    <c:v>81,08</c:v>
                  </c:pt>
                </c:lvl>
                <c:lvl>
                  <c:pt idx="0">
                    <c:v>65,89</c:v>
                  </c:pt>
                  <c:pt idx="1">
                    <c:v>69,72</c:v>
                  </c:pt>
                  <c:pt idx="2">
                    <c:v>66,68</c:v>
                  </c:pt>
                  <c:pt idx="3">
                    <c:v>72,75</c:v>
                  </c:pt>
                  <c:pt idx="4">
                    <c:v>62,51</c:v>
                  </c:pt>
                  <c:pt idx="5">
                    <c:v>70,32</c:v>
                  </c:pt>
                  <c:pt idx="6">
                    <c:v>83,78</c:v>
                  </c:pt>
                  <c:pt idx="8">
                    <c:v>77,62</c:v>
                  </c:pt>
                  <c:pt idx="9">
                    <c:v>56,13</c:v>
                  </c:pt>
                  <c:pt idx="10">
                    <c:v>66,98</c:v>
                  </c:pt>
                  <c:pt idx="11">
                    <c:v>88,02</c:v>
                  </c:pt>
                  <c:pt idx="12">
                    <c:v>66,37</c:v>
                  </c:pt>
                  <c:pt idx="13">
                    <c:v>77,99</c:v>
                  </c:pt>
                  <c:pt idx="14">
                    <c:v>75,30</c:v>
                  </c:pt>
                  <c:pt idx="16">
                    <c:v>79,73</c:v>
                  </c:pt>
                  <c:pt idx="17">
                    <c:v>85,07</c:v>
                  </c:pt>
                  <c:pt idx="18">
                    <c:v>66,10</c:v>
                  </c:pt>
                  <c:pt idx="19">
                    <c:v>81,97</c:v>
                  </c:pt>
                  <c:pt idx="20">
                    <c:v>63,24</c:v>
                  </c:pt>
                  <c:pt idx="21">
                    <c:v>82,97</c:v>
                  </c:pt>
                  <c:pt idx="22">
                    <c:v>77,09</c:v>
                  </c:pt>
                  <c:pt idx="24">
                    <c:v>91,75</c:v>
                  </c:pt>
                  <c:pt idx="25">
                    <c:v>79,79</c:v>
                  </c:pt>
                  <c:pt idx="26">
                    <c:v>92,49</c:v>
                  </c:pt>
                  <c:pt idx="27">
                    <c:v>73,46</c:v>
                  </c:pt>
                  <c:pt idx="28">
                    <c:v>108,49</c:v>
                  </c:pt>
                  <c:pt idx="29">
                    <c:v>103,14</c:v>
                  </c:pt>
                  <c:pt idx="30">
                    <c:v>92,46</c:v>
                  </c:pt>
                  <c:pt idx="31">
                    <c:v>48,62</c:v>
                  </c:pt>
                  <c:pt idx="32">
                    <c:v>88,27</c:v>
                  </c:pt>
                  <c:pt idx="36">
                    <c:v>. HT 118 Utk Behandle</c:v>
                  </c:pt>
                </c:lvl>
                <c:lvl>
                  <c:pt idx="0">
                    <c:v>79,17</c:v>
                  </c:pt>
                  <c:pt idx="1">
                    <c:v>78,64</c:v>
                  </c:pt>
                  <c:pt idx="2">
                    <c:v>84,42</c:v>
                  </c:pt>
                  <c:pt idx="3">
                    <c:v>83,47</c:v>
                  </c:pt>
                  <c:pt idx="4">
                    <c:v>74,39</c:v>
                  </c:pt>
                  <c:pt idx="5">
                    <c:v>80,96</c:v>
                  </c:pt>
                  <c:pt idx="6">
                    <c:v>97,68</c:v>
                  </c:pt>
                  <c:pt idx="8">
                    <c:v>64,03</c:v>
                  </c:pt>
                  <c:pt idx="9">
                    <c:v>75,57</c:v>
                  </c:pt>
                  <c:pt idx="10">
                    <c:v>82,89</c:v>
                  </c:pt>
                  <c:pt idx="11">
                    <c:v>92,25</c:v>
                  </c:pt>
                  <c:pt idx="12">
                    <c:v>78,67</c:v>
                  </c:pt>
                  <c:pt idx="13">
                    <c:v>79,34</c:v>
                  </c:pt>
                  <c:pt idx="14">
                    <c:v>94,82</c:v>
                  </c:pt>
                  <c:pt idx="16">
                    <c:v>89,03</c:v>
                  </c:pt>
                  <c:pt idx="17">
                    <c:v>101,35</c:v>
                  </c:pt>
                  <c:pt idx="18">
                    <c:v>104,65</c:v>
                  </c:pt>
                  <c:pt idx="19">
                    <c:v>80,21</c:v>
                  </c:pt>
                  <c:pt idx="20">
                    <c:v>88,76</c:v>
                  </c:pt>
                  <c:pt idx="25">
                    <c:v>71,13</c:v>
                  </c:pt>
                  <c:pt idx="26">
                    <c:v>89,84</c:v>
                  </c:pt>
                  <c:pt idx="27">
                    <c:v>73,14</c:v>
                  </c:pt>
                  <c:pt idx="28">
                    <c:v>90,30</c:v>
                  </c:pt>
                  <c:pt idx="29">
                    <c:v>72,16</c:v>
                  </c:pt>
                  <c:pt idx="30">
                    <c:v>88,83</c:v>
                  </c:pt>
                  <c:pt idx="31">
                    <c:v>80,41</c:v>
                  </c:pt>
                  <c:pt idx="32">
                    <c:v>92,42</c:v>
                  </c:pt>
                  <c:pt idx="36">
                    <c:v>. HT 23 Utk Alban BM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8">
                    <c:v>137,32</c:v>
                  </c:pt>
                  <c:pt idx="34">
                    <c:v>PM</c:v>
                  </c:pt>
                  <c:pt idx="36">
                    <c:v>Khusus HT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Full tanki BBM Solar</c:v>
                  </c:pt>
                </c:lvl>
                <c:lvl>
                  <c:pt idx="0">
                    <c:v>109,42</c:v>
                  </c:pt>
                  <c:pt idx="1">
                    <c:v>91,66</c:v>
                  </c:pt>
                  <c:pt idx="2">
                    <c:v>70,13</c:v>
                  </c:pt>
                  <c:pt idx="3">
                    <c:v>103,25</c:v>
                  </c:pt>
                  <c:pt idx="4">
                    <c:v>71,80</c:v>
                  </c:pt>
                  <c:pt idx="5">
                    <c:v>109,43</c:v>
                  </c:pt>
                  <c:pt idx="6">
                    <c:v>107,39</c:v>
                  </c:pt>
                  <c:pt idx="10">
                    <c:v>68,32</c:v>
                  </c:pt>
                  <c:pt idx="11">
                    <c:v>106,23</c:v>
                  </c:pt>
                  <c:pt idx="12">
                    <c:v>25,76</c:v>
                  </c:pt>
                  <c:pt idx="13">
                    <c:v>84,46</c:v>
                  </c:pt>
                  <c:pt idx="14">
                    <c:v>88,00</c:v>
                  </c:pt>
                  <c:pt idx="16">
                    <c:v>136,40</c:v>
                  </c:pt>
                  <c:pt idx="17">
                    <c:v>98,86</c:v>
                  </c:pt>
                  <c:pt idx="18">
                    <c:v>103,51</c:v>
                  </c:pt>
                  <c:pt idx="19">
                    <c:v>103,58</c:v>
                  </c:pt>
                  <c:pt idx="20">
                    <c:v>100,03</c:v>
                  </c:pt>
                  <c:pt idx="21">
                    <c:v>98,34</c:v>
                  </c:pt>
                  <c:pt idx="22">
                    <c:v>50,88</c:v>
                  </c:pt>
                  <c:pt idx="24">
                    <c:v>93,57</c:v>
                  </c:pt>
                  <c:pt idx="25">
                    <c:v>72,39</c:v>
                  </c:pt>
                  <c:pt idx="26">
                    <c:v>89,62</c:v>
                  </c:pt>
                  <c:pt idx="27">
                    <c:v>109,66</c:v>
                  </c:pt>
                  <c:pt idx="28">
                    <c:v>99,85</c:v>
                  </c:pt>
                  <c:pt idx="30">
                    <c:v>88,28</c:v>
                  </c:pt>
                  <c:pt idx="31">
                    <c:v>77,64</c:v>
                  </c:pt>
                  <c:pt idx="32">
                    <c:v>134,47</c:v>
                  </c:pt>
                  <c:pt idx="36">
                    <c:v>semua Uni HT diisi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Tgl 14 Desember '25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83 - 104, 230 Liter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23, 230 Liter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  <c:lvl>
                  <c:pt idx="0">
                    <c:v>39.18.11</c:v>
                  </c:pt>
                  <c:pt idx="1">
                    <c:v>36.16.11</c:v>
                  </c:pt>
                  <c:pt idx="2">
                    <c:v>39.13.11</c:v>
                  </c:pt>
                  <c:pt idx="3">
                    <c:v>41.11.11</c:v>
                  </c:pt>
                  <c:pt idx="4">
                    <c:v>36.16.11</c:v>
                  </c:pt>
                  <c:pt idx="5">
                    <c:v>38.14.11</c:v>
                  </c:pt>
                  <c:pt idx="6">
                    <c:v>37.15.11</c:v>
                  </c:pt>
                  <c:pt idx="8">
                    <c:v>36.16.11</c:v>
                  </c:pt>
                  <c:pt idx="9">
                    <c:v>36.16.11</c:v>
                  </c:pt>
                  <c:pt idx="10">
                    <c:v>38.14.11</c:v>
                  </c:pt>
                  <c:pt idx="11">
                    <c:v>38.14.11</c:v>
                  </c:pt>
                  <c:pt idx="12">
                    <c:v>38.14.11</c:v>
                  </c:pt>
                  <c:pt idx="13">
                    <c:v>36.16.11</c:v>
                  </c:pt>
                  <c:pt idx="14">
                    <c:v>38.14.11</c:v>
                  </c:pt>
                  <c:pt idx="16">
                    <c:v>39.13.11</c:v>
                  </c:pt>
                  <c:pt idx="17">
                    <c:v>35.17.11</c:v>
                  </c:pt>
                  <c:pt idx="18">
                    <c:v>37.15.11</c:v>
                  </c:pt>
                  <c:pt idx="19">
                    <c:v>37.15.11</c:v>
                  </c:pt>
                  <c:pt idx="20">
                    <c:v>38.14.11</c:v>
                  </c:pt>
                  <c:pt idx="21">
                    <c:v>36.16.11</c:v>
                  </c:pt>
                  <c:pt idx="22">
                    <c:v>39.13.11</c:v>
                  </c:pt>
                  <c:pt idx="24">
                    <c:v>38.14.11</c:v>
                  </c:pt>
                  <c:pt idx="25">
                    <c:v>36.16.11</c:v>
                  </c:pt>
                  <c:pt idx="26">
                    <c:v>37.15.11</c:v>
                  </c:pt>
                  <c:pt idx="27">
                    <c:v>38.14.11</c:v>
                  </c:pt>
                  <c:pt idx="28">
                    <c:v>39.13.11</c:v>
                  </c:pt>
                  <c:pt idx="29">
                    <c:v>39.13.11</c:v>
                  </c:pt>
                  <c:pt idx="30">
                    <c:v>39.13.11</c:v>
                  </c:pt>
                  <c:pt idx="31">
                    <c:v>36.16.11</c:v>
                  </c:pt>
                  <c:pt idx="32">
                    <c:v>39.13.11</c:v>
                  </c:pt>
                </c:lvl>
                <c:lvl>
                  <c:pt idx="0">
                    <c:v>9895,89</c:v>
                  </c:pt>
                  <c:pt idx="1">
                    <c:v>9964,69</c:v>
                  </c:pt>
                  <c:pt idx="2">
                    <c:v>12307,57</c:v>
                  </c:pt>
                  <c:pt idx="3">
                    <c:v>12254,61</c:v>
                  </c:pt>
                  <c:pt idx="4">
                    <c:v>11498,34</c:v>
                  </c:pt>
                  <c:pt idx="5">
                    <c:v>13113,87</c:v>
                  </c:pt>
                  <c:pt idx="6">
                    <c:v>11218,15</c:v>
                  </c:pt>
                  <c:pt idx="7">
                    <c:v>80253,12</c:v>
                  </c:pt>
                  <c:pt idx="8">
                    <c:v>9399,98</c:v>
                  </c:pt>
                  <c:pt idx="9">
                    <c:v>9968,22</c:v>
                  </c:pt>
                  <c:pt idx="10">
                    <c:v>12174,80</c:v>
                  </c:pt>
                  <c:pt idx="11">
                    <c:v>11162,21</c:v>
                  </c:pt>
                  <c:pt idx="12">
                    <c:v>10601,86</c:v>
                  </c:pt>
                  <c:pt idx="13">
                    <c:v>10912,59</c:v>
                  </c:pt>
                  <c:pt idx="14">
                    <c:v>12360,61</c:v>
                  </c:pt>
                  <c:pt idx="15">
                    <c:v>76580,27</c:v>
                  </c:pt>
                  <c:pt idx="16">
                    <c:v>10272,45</c:v>
                  </c:pt>
                  <c:pt idx="17">
                    <c:v>9894,73</c:v>
                  </c:pt>
                  <c:pt idx="18">
                    <c:v>11561,29</c:v>
                  </c:pt>
                  <c:pt idx="19">
                    <c:v>10410,12</c:v>
                  </c:pt>
                  <c:pt idx="20">
                    <c:v>12458,33</c:v>
                  </c:pt>
                  <c:pt idx="21">
                    <c:v>11463,59</c:v>
                  </c:pt>
                  <c:pt idx="22">
                    <c:v>13208,32</c:v>
                  </c:pt>
                  <c:pt idx="23">
                    <c:v>79268,83</c:v>
                  </c:pt>
                  <c:pt idx="24">
                    <c:v>12417,02</c:v>
                  </c:pt>
                  <c:pt idx="25">
                    <c:v>11331,55</c:v>
                  </c:pt>
                  <c:pt idx="26">
                    <c:v>11398,18</c:v>
                  </c:pt>
                  <c:pt idx="27">
                    <c:v>11498,11</c:v>
                  </c:pt>
                  <c:pt idx="28">
                    <c:v>13013,03</c:v>
                  </c:pt>
                  <c:pt idx="29">
                    <c:v>11538,36</c:v>
                  </c:pt>
                  <c:pt idx="30">
                    <c:v>11894,62</c:v>
                  </c:pt>
                  <c:pt idx="31">
                    <c:v>10027,87</c:v>
                  </c:pt>
                  <c:pt idx="32">
                    <c:v>12099,92</c:v>
                  </c:pt>
                  <c:pt idx="34">
                    <c:v>105218,66</c:v>
                  </c:pt>
                  <c:pt idx="35">
                    <c:v>341320,88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202,24</c:v>
                  </c:pt>
                  <c:pt idx="1">
                    <c:v>199,91</c:v>
                  </c:pt>
                  <c:pt idx="2">
                    <c:v>250,86</c:v>
                  </c:pt>
                  <c:pt idx="3">
                    <c:v>250,30</c:v>
                  </c:pt>
                  <c:pt idx="4">
                    <c:v>251,22</c:v>
                  </c:pt>
                  <c:pt idx="5">
                    <c:v>300,21</c:v>
                  </c:pt>
                  <c:pt idx="6">
                    <c:v>200,48</c:v>
                  </c:pt>
                  <c:pt idx="8">
                    <c:v>200,31</c:v>
                  </c:pt>
                  <c:pt idx="9">
                    <c:v>200,20</c:v>
                  </c:pt>
                  <c:pt idx="10">
                    <c:v>300,21</c:v>
                  </c:pt>
                  <c:pt idx="11">
                    <c:v>200,18</c:v>
                  </c:pt>
                  <c:pt idx="12">
                    <c:v>250,14</c:v>
                  </c:pt>
                  <c:pt idx="13">
                    <c:v>137,68</c:v>
                  </c:pt>
                  <c:pt idx="14">
                    <c:v>300,36</c:v>
                  </c:pt>
                  <c:pt idx="16">
                    <c:v>200,58</c:v>
                  </c:pt>
                  <c:pt idx="17">
                    <c:v>250,31</c:v>
                  </c:pt>
                  <c:pt idx="18">
                    <c:v>199,75</c:v>
                  </c:pt>
                  <c:pt idx="19">
                    <c:v>200,53</c:v>
                  </c:pt>
                  <c:pt idx="20">
                    <c:v>250,48</c:v>
                  </c:pt>
                  <c:pt idx="21">
                    <c:v>299,85</c:v>
                  </c:pt>
                  <c:pt idx="22">
                    <c:v>451,65</c:v>
                  </c:pt>
                  <c:pt idx="24">
                    <c:v>300,19</c:v>
                  </c:pt>
                  <c:pt idx="25">
                    <c:v>200,76</c:v>
                  </c:pt>
                  <c:pt idx="26">
                    <c:v>250,72</c:v>
                  </c:pt>
                  <c:pt idx="27">
                    <c:v>200,51</c:v>
                  </c:pt>
                  <c:pt idx="28">
                    <c:v>250,43</c:v>
                  </c:pt>
                  <c:pt idx="29">
                    <c:v>200,42</c:v>
                  </c:pt>
                  <c:pt idx="30">
                    <c:v>200,33</c:v>
                  </c:pt>
                  <c:pt idx="31">
                    <c:v>200,13</c:v>
                  </c:pt>
                  <c:pt idx="32">
                    <c:v>200,25</c:v>
                  </c:pt>
                  <c:pt idx="35">
                    <c:v>105218,66</c:v>
                  </c:pt>
                </c:lvl>
                <c:lvl>
                  <c:pt idx="0">
                    <c:v>250,12</c:v>
                  </c:pt>
                  <c:pt idx="1">
                    <c:v>200,09</c:v>
                  </c:pt>
                  <c:pt idx="2">
                    <c:v>200,03</c:v>
                  </c:pt>
                  <c:pt idx="3">
                    <c:v>199,84</c:v>
                  </c:pt>
                  <c:pt idx="4">
                    <c:v>247,99</c:v>
                  </c:pt>
                  <c:pt idx="5">
                    <c:v>199,95</c:v>
                  </c:pt>
                  <c:pt idx="6">
                    <c:v>200,62</c:v>
                  </c:pt>
                  <c:pt idx="8">
                    <c:v>250,28</c:v>
                  </c:pt>
                  <c:pt idx="9">
                    <c:v>300,23</c:v>
                  </c:pt>
                  <c:pt idx="10">
                    <c:v>250,55</c:v>
                  </c:pt>
                  <c:pt idx="11">
                    <c:v>254,25</c:v>
                  </c:pt>
                  <c:pt idx="12">
                    <c:v>200,19</c:v>
                  </c:pt>
                  <c:pt idx="13">
                    <c:v>250,45</c:v>
                  </c:pt>
                  <c:pt idx="14">
                    <c:v>300,00</c:v>
                  </c:pt>
                  <c:pt idx="16">
                    <c:v>249,97</c:v>
                  </c:pt>
                  <c:pt idx="17">
                    <c:v>200,17</c:v>
                  </c:pt>
                  <c:pt idx="18">
                    <c:v>300,24</c:v>
                  </c:pt>
                  <c:pt idx="19">
                    <c:v>200,16</c:v>
                  </c:pt>
                  <c:pt idx="20">
                    <c:v>300,77</c:v>
                  </c:pt>
                  <c:pt idx="21">
                    <c:v>250,56</c:v>
                  </c:pt>
                  <c:pt idx="22">
                    <c:v>250,95</c:v>
                  </c:pt>
                  <c:pt idx="24">
                    <c:v>200,57</c:v>
                  </c:pt>
                  <c:pt idx="25">
                    <c:v>200,48</c:v>
                  </c:pt>
                  <c:pt idx="26">
                    <c:v>199,99</c:v>
                  </c:pt>
                  <c:pt idx="27">
                    <c:v>200,18</c:v>
                  </c:pt>
                  <c:pt idx="28">
                    <c:v>250,38</c:v>
                  </c:pt>
                  <c:pt idx="29">
                    <c:v>300,01</c:v>
                  </c:pt>
                  <c:pt idx="30">
                    <c:v>200,35</c:v>
                  </c:pt>
                  <c:pt idx="31">
                    <c:v>200,21</c:v>
                  </c:pt>
                  <c:pt idx="32">
                    <c:v>251,63</c:v>
                  </c:pt>
                  <c:pt idx="35">
                    <c:v>79268,83</c:v>
                  </c:pt>
                </c:lvl>
                <c:lvl>
                  <c:pt idx="0">
                    <c:v>321,22</c:v>
                  </c:pt>
                  <c:pt idx="1">
                    <c:v>150,02</c:v>
                  </c:pt>
                  <c:pt idx="2">
                    <c:v>201,08</c:v>
                  </c:pt>
                  <c:pt idx="3">
                    <c:v>250,28</c:v>
                  </c:pt>
                  <c:pt idx="4">
                    <c:v>250,85</c:v>
                  </c:pt>
                  <c:pt idx="5">
                    <c:v>300,04</c:v>
                  </c:pt>
                  <c:pt idx="6">
                    <c:v>200,64</c:v>
                  </c:pt>
                  <c:pt idx="8">
                    <c:v>200,65</c:v>
                  </c:pt>
                  <c:pt idx="9">
                    <c:v>250,15</c:v>
                  </c:pt>
                  <c:pt idx="10">
                    <c:v>300,36</c:v>
                  </c:pt>
                  <c:pt idx="11">
                    <c:v>200,26</c:v>
                  </c:pt>
                  <c:pt idx="12">
                    <c:v>250,35</c:v>
                  </c:pt>
                  <c:pt idx="13">
                    <c:v>200,41</c:v>
                  </c:pt>
                  <c:pt idx="14">
                    <c:v>350,57</c:v>
                  </c:pt>
                  <c:pt idx="16">
                    <c:v>200,28</c:v>
                  </c:pt>
                  <c:pt idx="17">
                    <c:v>250,27</c:v>
                  </c:pt>
                  <c:pt idx="18">
                    <c:v>250,01</c:v>
                  </c:pt>
                  <c:pt idx="19">
                    <c:v>250,31</c:v>
                  </c:pt>
                  <c:pt idx="20">
                    <c:v>250,28</c:v>
                  </c:pt>
                  <c:pt idx="21">
                    <c:v>200,65</c:v>
                  </c:pt>
                  <c:pt idx="22">
                    <c:v>200,14</c:v>
                  </c:pt>
                  <c:pt idx="24">
                    <c:v>300,34</c:v>
                  </c:pt>
                  <c:pt idx="25">
                    <c:v>203,09</c:v>
                  </c:pt>
                  <c:pt idx="26">
                    <c:v>299,90</c:v>
                  </c:pt>
                  <c:pt idx="27">
                    <c:v>250,34</c:v>
                  </c:pt>
                  <c:pt idx="28">
                    <c:v>250,47</c:v>
                  </c:pt>
                  <c:pt idx="29">
                    <c:v>250,94</c:v>
                  </c:pt>
                  <c:pt idx="30">
                    <c:v>350,33</c:v>
                  </c:pt>
                  <c:pt idx="31">
                    <c:v>300,30</c:v>
                  </c:pt>
                  <c:pt idx="32">
                    <c:v>250,16</c:v>
                  </c:pt>
                  <c:pt idx="35">
                    <c:v>76580,27</c:v>
                  </c:pt>
                </c:lvl>
                <c:lvl>
                  <c:pt idx="0">
                    <c:v>250,23</c:v>
                  </c:pt>
                  <c:pt idx="1">
                    <c:v>200,98</c:v>
                  </c:pt>
                  <c:pt idx="2">
                    <c:v>250,49</c:v>
                  </c:pt>
                  <c:pt idx="3">
                    <c:v>200,90</c:v>
                  </c:pt>
                  <c:pt idx="4">
                    <c:v>147,13</c:v>
                  </c:pt>
                  <c:pt idx="5">
                    <c:v>299,70</c:v>
                  </c:pt>
                  <c:pt idx="6">
                    <c:v>200,40</c:v>
                  </c:pt>
                  <c:pt idx="8">
                    <c:v>200,24</c:v>
                  </c:pt>
                  <c:pt idx="9">
                    <c:v>250,18</c:v>
                  </c:pt>
                  <c:pt idx="10">
                    <c:v>249,98</c:v>
                  </c:pt>
                  <c:pt idx="11">
                    <c:v>200,30</c:v>
                  </c:pt>
                  <c:pt idx="12">
                    <c:v>200,27</c:v>
                  </c:pt>
                  <c:pt idx="13">
                    <c:v>199,60</c:v>
                  </c:pt>
                  <c:pt idx="14">
                    <c:v>250,89</c:v>
                  </c:pt>
                  <c:pt idx="16">
                    <c:v>250,24</c:v>
                  </c:pt>
                  <c:pt idx="17">
                    <c:v>250,15</c:v>
                  </c:pt>
                  <c:pt idx="18">
                    <c:v>201,15</c:v>
                  </c:pt>
                  <c:pt idx="19">
                    <c:v>200,39</c:v>
                  </c:pt>
                  <c:pt idx="20">
                    <c:v>200,49</c:v>
                  </c:pt>
                  <c:pt idx="21">
                    <c:v>250,22</c:v>
                  </c:pt>
                  <c:pt idx="22">
                    <c:v>200,05</c:v>
                  </c:pt>
                  <c:pt idx="24">
                    <c:v>250,44</c:v>
                  </c:pt>
                  <c:pt idx="25">
                    <c:v>249,88</c:v>
                  </c:pt>
                  <c:pt idx="26">
                    <c:v>235,46</c:v>
                  </c:pt>
                  <c:pt idx="27">
                    <c:v>200,59</c:v>
                  </c:pt>
                  <c:pt idx="28">
                    <c:v>250,55</c:v>
                  </c:pt>
                  <c:pt idx="29">
                    <c:v>250,50</c:v>
                  </c:pt>
                  <c:pt idx="30">
                    <c:v>300,13</c:v>
                  </c:pt>
                  <c:pt idx="31">
                    <c:v>199,73</c:v>
                  </c:pt>
                  <c:pt idx="32">
                    <c:v>250,52</c:v>
                  </c:pt>
                  <c:pt idx="35">
                    <c:v>80253,12</c:v>
                  </c:pt>
                </c:lvl>
                <c:lvl>
                  <c:pt idx="0">
                    <c:v>150,16</c:v>
                  </c:pt>
                  <c:pt idx="1">
                    <c:v>99,82</c:v>
                  </c:pt>
                  <c:pt idx="2">
                    <c:v>146,00</c:v>
                  </c:pt>
                  <c:pt idx="3">
                    <c:v>100,63</c:v>
                  </c:pt>
                  <c:pt idx="4">
                    <c:v>FULL</c:v>
                  </c:pt>
                  <c:pt idx="5">
                    <c:v>199,68</c:v>
                  </c:pt>
                  <c:pt idx="6">
                    <c:v>200,35</c:v>
                  </c:pt>
                  <c:pt idx="8">
                    <c:v>250,31</c:v>
                  </c:pt>
                  <c:pt idx="9">
                    <c:v>200,22</c:v>
                  </c:pt>
                  <c:pt idx="10">
                    <c:v>200,19</c:v>
                  </c:pt>
                  <c:pt idx="11">
                    <c:v>250,56</c:v>
                  </c:pt>
                  <c:pt idx="12">
                    <c:v>200,27</c:v>
                  </c:pt>
                  <c:pt idx="13">
                    <c:v>201,22</c:v>
                  </c:pt>
                  <c:pt idx="14">
                    <c:v>250,70</c:v>
                  </c:pt>
                  <c:pt idx="16">
                    <c:v>200,39</c:v>
                  </c:pt>
                  <c:pt idx="17">
                    <c:v>200,48</c:v>
                  </c:pt>
                  <c:pt idx="18">
                    <c:v>249,98</c:v>
                  </c:pt>
                  <c:pt idx="19">
                    <c:v>200,20</c:v>
                  </c:pt>
                  <c:pt idx="20">
                    <c:v>250,12</c:v>
                  </c:pt>
                  <c:pt idx="21">
                    <c:v>250,24</c:v>
                  </c:pt>
                  <c:pt idx="22">
                    <c:v>250,95</c:v>
                  </c:pt>
                  <c:pt idx="24">
                    <c:v>250,37</c:v>
                  </c:pt>
                  <c:pt idx="25">
                    <c:v>199,71</c:v>
                  </c:pt>
                  <c:pt idx="26">
                    <c:v>200,43</c:v>
                  </c:pt>
                  <c:pt idx="27">
                    <c:v>201,39</c:v>
                  </c:pt>
                  <c:pt idx="28">
                    <c:v>250,03</c:v>
                  </c:pt>
                  <c:pt idx="29">
                    <c:v>250,80</c:v>
                  </c:pt>
                  <c:pt idx="30">
                    <c:v>200,15</c:v>
                  </c:pt>
                  <c:pt idx="31">
                    <c:v>250,14</c:v>
                  </c:pt>
                  <c:pt idx="32">
                    <c:v>301,03</c:v>
                  </c:pt>
                </c:lvl>
                <c:lvl>
                  <c:pt idx="0">
                    <c:v>254,05</c:v>
                  </c:pt>
                  <c:pt idx="1">
                    <c:v>250,44</c:v>
                  </c:pt>
                  <c:pt idx="2">
                    <c:v>299,86</c:v>
                  </c:pt>
                  <c:pt idx="3">
                    <c:v>250,79</c:v>
                  </c:pt>
                  <c:pt idx="4">
                    <c:v>296,47</c:v>
                  </c:pt>
                  <c:pt idx="5">
                    <c:v>300,12</c:v>
                  </c:pt>
                  <c:pt idx="6">
                    <c:v>200,30</c:v>
                  </c:pt>
                  <c:pt idx="8">
                    <c:v>211,77</c:v>
                  </c:pt>
                  <c:pt idx="9">
                    <c:v>300,05</c:v>
                  </c:pt>
                  <c:pt idx="10">
                    <c:v>200,33</c:v>
                  </c:pt>
                  <c:pt idx="11">
                    <c:v>250,25</c:v>
                  </c:pt>
                  <c:pt idx="12">
                    <c:v>250,40</c:v>
                  </c:pt>
                  <c:pt idx="13">
                    <c:v>201,70</c:v>
                  </c:pt>
                  <c:pt idx="14">
                    <c:v>350,80</c:v>
                  </c:pt>
                  <c:pt idx="16">
                    <c:v>200,44</c:v>
                  </c:pt>
                  <c:pt idx="17">
                    <c:v>200,28</c:v>
                  </c:pt>
                  <c:pt idx="18">
                    <c:v>248,76</c:v>
                  </c:pt>
                  <c:pt idx="19">
                    <c:v>200,21</c:v>
                  </c:pt>
                  <c:pt idx="20">
                    <c:v>251,36</c:v>
                  </c:pt>
                  <c:pt idx="21">
                    <c:v>300,12</c:v>
                  </c:pt>
                  <c:pt idx="22">
                    <c:v>251,00</c:v>
                  </c:pt>
                  <c:pt idx="24">
                    <c:v>200,18</c:v>
                  </c:pt>
                  <c:pt idx="25">
                    <c:v>199,79</c:v>
                  </c:pt>
                  <c:pt idx="26">
                    <c:v>299,76</c:v>
                  </c:pt>
                  <c:pt idx="27">
                    <c:v>200,39</c:v>
                  </c:pt>
                  <c:pt idx="28">
                    <c:v>300,13</c:v>
                  </c:pt>
                  <c:pt idx="29">
                    <c:v>250,21</c:v>
                  </c:pt>
                  <c:pt idx="30">
                    <c:v>250,51</c:v>
                  </c:pt>
                  <c:pt idx="31">
                    <c:v>200,26</c:v>
                  </c:pt>
                  <c:pt idx="32">
                    <c:v>250,35</c:v>
                  </c:pt>
                </c:lvl>
                <c:lvl>
                  <c:pt idx="0">
                    <c:v>250,53</c:v>
                  </c:pt>
                  <c:pt idx="1">
                    <c:v>150,08</c:v>
                  </c:pt>
                  <c:pt idx="2">
                    <c:v>250,09</c:v>
                  </c:pt>
                  <c:pt idx="3">
                    <c:v>250,30</c:v>
                  </c:pt>
                  <c:pt idx="4">
                    <c:v>300,45</c:v>
                  </c:pt>
                  <c:pt idx="5">
                    <c:v>250,49</c:v>
                  </c:pt>
                  <c:pt idx="6">
                    <c:v>200,45</c:v>
                  </c:pt>
                  <c:pt idx="8">
                    <c:v>251,09</c:v>
                  </c:pt>
                  <c:pt idx="9">
                    <c:v>250,76</c:v>
                  </c:pt>
                  <c:pt idx="10">
                    <c:v>200,29</c:v>
                  </c:pt>
                  <c:pt idx="11">
                    <c:v>200,12</c:v>
                  </c:pt>
                  <c:pt idx="12">
                    <c:v>200,13</c:v>
                  </c:pt>
                  <c:pt idx="13">
                    <c:v>200,59</c:v>
                  </c:pt>
                  <c:pt idx="14">
                    <c:v>249,99</c:v>
                  </c:pt>
                  <c:pt idx="16">
                    <c:v>203,48</c:v>
                  </c:pt>
                  <c:pt idx="17">
                    <c:v>300,12</c:v>
                  </c:pt>
                  <c:pt idx="18">
                    <c:v>200,00</c:v>
                  </c:pt>
                  <c:pt idx="19">
                    <c:v>250,67</c:v>
                  </c:pt>
                  <c:pt idx="20">
                    <c:v>250,40</c:v>
                  </c:pt>
                  <c:pt idx="21">
                    <c:v>350,26</c:v>
                  </c:pt>
                  <c:pt idx="22">
                    <c:v>200,24</c:v>
                  </c:pt>
                  <c:pt idx="24">
                    <c:v>250,33</c:v>
                  </c:pt>
                  <c:pt idx="25">
                    <c:v>199,50</c:v>
                  </c:pt>
                  <c:pt idx="26">
                    <c:v>250,71</c:v>
                  </c:pt>
                  <c:pt idx="27">
                    <c:v>200,25</c:v>
                  </c:pt>
                  <c:pt idx="28">
                    <c:v>250,50</c:v>
                  </c:pt>
                  <c:pt idx="29">
                    <c:v>200,51</c:v>
                  </c:pt>
                  <c:pt idx="30">
                    <c:v>150,41</c:v>
                  </c:pt>
                  <c:pt idx="31">
                    <c:v>FULL</c:v>
                  </c:pt>
                  <c:pt idx="32">
                    <c:v>250,90</c:v>
                  </c:pt>
                </c:lvl>
                <c:lvl>
                  <c:pt idx="0">
                    <c:v>160,45</c:v>
                  </c:pt>
                  <c:pt idx="1">
                    <c:v>101,31</c:v>
                  </c:pt>
                  <c:pt idx="2">
                    <c:v>250,39</c:v>
                  </c:pt>
                  <c:pt idx="3">
                    <c:v>200,29</c:v>
                  </c:pt>
                  <c:pt idx="4">
                    <c:v>248,85</c:v>
                  </c:pt>
                  <c:pt idx="5">
                    <c:v>250,32</c:v>
                  </c:pt>
                  <c:pt idx="6">
                    <c:v>350,14</c:v>
                  </c:pt>
                  <c:pt idx="8">
                    <c:v>100,09</c:v>
                  </c:pt>
                  <c:pt idx="9">
                    <c:v>200,49</c:v>
                  </c:pt>
                  <c:pt idx="10">
                    <c:v>200,64</c:v>
                  </c:pt>
                  <c:pt idx="11">
                    <c:v>200,49</c:v>
                  </c:pt>
                  <c:pt idx="12">
                    <c:v>250,38</c:v>
                  </c:pt>
                  <c:pt idx="13">
                    <c:v>200,60</c:v>
                  </c:pt>
                  <c:pt idx="14">
                    <c:v>300,58</c:v>
                  </c:pt>
                  <c:pt idx="16">
                    <c:v>200,41</c:v>
                  </c:pt>
                  <c:pt idx="17">
                    <c:v>300,01</c:v>
                  </c:pt>
                  <c:pt idx="18">
                    <c:v>235,89</c:v>
                  </c:pt>
                  <c:pt idx="19">
                    <c:v>150,72</c:v>
                  </c:pt>
                  <c:pt idx="20">
                    <c:v>FULL</c:v>
                  </c:pt>
                  <c:pt idx="21">
                    <c:v>200,41</c:v>
                  </c:pt>
                  <c:pt idx="22">
                    <c:v>200,43</c:v>
                  </c:pt>
                  <c:pt idx="24">
                    <c:v>250,14</c:v>
                  </c:pt>
                  <c:pt idx="25">
                    <c:v>251,10</c:v>
                  </c:pt>
                  <c:pt idx="26">
                    <c:v>251,38</c:v>
                  </c:pt>
                  <c:pt idx="27">
                    <c:v>250,41</c:v>
                  </c:pt>
                  <c:pt idx="28">
                    <c:v>200,20</c:v>
                  </c:pt>
                  <c:pt idx="29">
                    <c:v>251,27</c:v>
                  </c:pt>
                  <c:pt idx="30">
                    <c:v>250,44</c:v>
                  </c:pt>
                  <c:pt idx="31">
                    <c:v>130,35</c:v>
                  </c:pt>
                  <c:pt idx="32">
                    <c:v>250,50</c:v>
                  </c:pt>
                </c:lvl>
                <c:lvl>
                  <c:pt idx="0">
                    <c:v>200,46</c:v>
                  </c:pt>
                  <c:pt idx="1">
                    <c:v>149,95</c:v>
                  </c:pt>
                  <c:pt idx="2">
                    <c:v>200,14</c:v>
                  </c:pt>
                  <c:pt idx="3">
                    <c:v>250,99</c:v>
                  </c:pt>
                  <c:pt idx="4">
                    <c:v>251,25</c:v>
                  </c:pt>
                  <c:pt idx="5">
                    <c:v>200,20</c:v>
                  </c:pt>
                  <c:pt idx="6">
                    <c:v>200,30</c:v>
                  </c:pt>
                  <c:pt idx="8">
                    <c:v>250,86</c:v>
                  </c:pt>
                  <c:pt idx="9">
                    <c:v>200,32</c:v>
                  </c:pt>
                  <c:pt idx="10">
                    <c:v>300,37</c:v>
                  </c:pt>
                  <c:pt idx="11">
                    <c:v>250,19</c:v>
                  </c:pt>
                  <c:pt idx="12">
                    <c:v>100,38</c:v>
                  </c:pt>
                  <c:pt idx="13">
                    <c:v>245,49</c:v>
                  </c:pt>
                  <c:pt idx="14">
                    <c:v>200,80</c:v>
                  </c:pt>
                  <c:pt idx="16">
                    <c:v>200,18</c:v>
                  </c:pt>
                  <c:pt idx="17">
                    <c:v>211,39</c:v>
                  </c:pt>
                  <c:pt idx="18">
                    <c:v>299,54</c:v>
                  </c:pt>
                  <c:pt idx="19">
                    <c:v>200,18</c:v>
                  </c:pt>
                  <c:pt idx="20">
                    <c:v>201,06</c:v>
                  </c:pt>
                  <c:pt idx="21">
                    <c:v>300,26</c:v>
                  </c:pt>
                  <c:pt idx="22">
                    <c:v>200,05</c:v>
                  </c:pt>
                  <c:pt idx="24">
                    <c:v>250,26</c:v>
                  </c:pt>
                  <c:pt idx="25">
                    <c:v>200,26</c:v>
                  </c:pt>
                  <c:pt idx="26">
                    <c:v>250,27</c:v>
                  </c:pt>
                  <c:pt idx="27">
                    <c:v>200,22</c:v>
                  </c:pt>
                  <c:pt idx="28">
                    <c:v>250,26</c:v>
                  </c:pt>
                  <c:pt idx="29">
                    <c:v>250,44</c:v>
                  </c:pt>
                  <c:pt idx="30">
                    <c:v>247,65</c:v>
                  </c:pt>
                  <c:pt idx="31">
                    <c:v>200,73</c:v>
                  </c:pt>
                  <c:pt idx="32">
                    <c:v>200,35</c:v>
                  </c:pt>
                </c:lvl>
                <c:lvl>
                  <c:pt idx="0">
                    <c:v>189,48</c:v>
                  </c:pt>
                  <c:pt idx="1">
                    <c:v>250,20</c:v>
                  </c:pt>
                  <c:pt idx="2">
                    <c:v>300,21</c:v>
                  </c:pt>
                  <c:pt idx="3">
                    <c:v>250,28</c:v>
                  </c:pt>
                  <c:pt idx="4">
                    <c:v>242,01</c:v>
                  </c:pt>
                  <c:pt idx="5">
                    <c:v>201,12</c:v>
                  </c:pt>
                  <c:pt idx="6">
                    <c:v>200,21</c:v>
                  </c:pt>
                  <c:pt idx="8">
                    <c:v>150,63</c:v>
                  </c:pt>
                  <c:pt idx="9">
                    <c:v>200,16</c:v>
                  </c:pt>
                  <c:pt idx="10">
                    <c:v>250,50</c:v>
                  </c:pt>
                  <c:pt idx="11">
                    <c:v>200,42</c:v>
                  </c:pt>
                  <c:pt idx="12">
                    <c:v>150,47</c:v>
                  </c:pt>
                  <c:pt idx="13">
                    <c:v>200,39</c:v>
                  </c:pt>
                  <c:pt idx="14">
                    <c:v>200,19</c:v>
                  </c:pt>
                  <c:pt idx="16">
                    <c:v>199,58</c:v>
                  </c:pt>
                  <c:pt idx="17">
                    <c:v>250,47</c:v>
                  </c:pt>
                  <c:pt idx="18">
                    <c:v>200,46</c:v>
                  </c:pt>
                  <c:pt idx="19">
                    <c:v>200,22</c:v>
                  </c:pt>
                  <c:pt idx="20">
                    <c:v>200,48</c:v>
                  </c:pt>
                  <c:pt idx="21">
                    <c:v>250,29</c:v>
                  </c:pt>
                  <c:pt idx="22">
                    <c:v>320,17</c:v>
                  </c:pt>
                  <c:pt idx="24">
                    <c:v>250,36</c:v>
                  </c:pt>
                  <c:pt idx="25">
                    <c:v>250,91</c:v>
                  </c:pt>
                  <c:pt idx="26">
                    <c:v>250,68</c:v>
                  </c:pt>
                  <c:pt idx="27">
                    <c:v>200,46</c:v>
                  </c:pt>
                  <c:pt idx="28">
                    <c:v>250,40</c:v>
                  </c:pt>
                  <c:pt idx="29">
                    <c:v>300,66</c:v>
                  </c:pt>
                  <c:pt idx="30">
                    <c:v>200,53</c:v>
                  </c:pt>
                  <c:pt idx="31">
                    <c:v>FULL</c:v>
                  </c:pt>
                  <c:pt idx="32">
                    <c:v>250,31</c:v>
                  </c:pt>
                </c:lvl>
                <c:lvl>
                  <c:pt idx="0">
                    <c:v>200,34</c:v>
                  </c:pt>
                  <c:pt idx="1">
                    <c:v>350,00</c:v>
                  </c:pt>
                  <c:pt idx="2">
                    <c:v>200,46</c:v>
                  </c:pt>
                  <c:pt idx="3">
                    <c:v>200,90</c:v>
                  </c:pt>
                  <c:pt idx="4">
                    <c:v>200,17</c:v>
                  </c:pt>
                  <c:pt idx="5">
                    <c:v>300,03</c:v>
                  </c:pt>
                  <c:pt idx="6">
                    <c:v>200,52</c:v>
                  </c:pt>
                  <c:pt idx="8">
                    <c:v>200,53</c:v>
                  </c:pt>
                  <c:pt idx="9">
                    <c:v>250,42</c:v>
                  </c:pt>
                  <c:pt idx="10">
                    <c:v>200,34</c:v>
                  </c:pt>
                  <c:pt idx="11">
                    <c:v>200,49</c:v>
                  </c:pt>
                  <c:pt idx="12">
                    <c:v>200,52</c:v>
                  </c:pt>
                  <c:pt idx="13">
                    <c:v>200,26</c:v>
                  </c:pt>
                  <c:pt idx="14">
                    <c:v>151,08</c:v>
                  </c:pt>
                  <c:pt idx="16">
                    <c:v>200,66</c:v>
                  </c:pt>
                  <c:pt idx="17">
                    <c:v>FULL</c:v>
                  </c:pt>
                  <c:pt idx="18">
                    <c:v>207,88</c:v>
                  </c:pt>
                  <c:pt idx="19">
                    <c:v>200,96</c:v>
                  </c:pt>
                  <c:pt idx="20">
                    <c:v>200,32</c:v>
                  </c:pt>
                  <c:pt idx="21">
                    <c:v>200,88</c:v>
                  </c:pt>
                  <c:pt idx="22">
                    <c:v>265,65</c:v>
                  </c:pt>
                  <c:pt idx="24">
                    <c:v>208,85</c:v>
                  </c:pt>
                  <c:pt idx="25">
                    <c:v>200,30</c:v>
                  </c:pt>
                  <c:pt idx="26">
                    <c:v>200,22</c:v>
                  </c:pt>
                  <c:pt idx="27">
                    <c:v>199,99</c:v>
                  </c:pt>
                  <c:pt idx="28">
                    <c:v>200,35</c:v>
                  </c:pt>
                  <c:pt idx="29">
                    <c:v>200,36</c:v>
                  </c:pt>
                  <c:pt idx="30">
                    <c:v>149,93</c:v>
                  </c:pt>
                  <c:pt idx="31">
                    <c:v>200,27</c:v>
                  </c:pt>
                  <c:pt idx="32">
                    <c:v>238,26</c:v>
                  </c:pt>
                </c:lvl>
                <c:lvl>
                  <c:pt idx="0">
                    <c:v>300,25</c:v>
                  </c:pt>
                  <c:pt idx="1">
                    <c:v>250,14</c:v>
                  </c:pt>
                  <c:pt idx="2">
                    <c:v>450,23</c:v>
                  </c:pt>
                  <c:pt idx="3">
                    <c:v>300,44</c:v>
                  </c:pt>
                  <c:pt idx="4">
                    <c:v>298,90</c:v>
                  </c:pt>
                  <c:pt idx="5">
                    <c:v>300,21</c:v>
                  </c:pt>
                  <c:pt idx="6">
                    <c:v>300,28</c:v>
                  </c:pt>
                  <c:pt idx="8">
                    <c:v>300,21</c:v>
                  </c:pt>
                  <c:pt idx="9">
                    <c:v>150,94</c:v>
                  </c:pt>
                  <c:pt idx="10">
                    <c:v>400,57</c:v>
                  </c:pt>
                  <c:pt idx="11">
                    <c:v>300,44</c:v>
                  </c:pt>
                  <c:pt idx="12">
                    <c:v>201,26</c:v>
                  </c:pt>
                  <c:pt idx="13">
                    <c:v>300,62</c:v>
                  </c:pt>
                  <c:pt idx="14">
                    <c:v>300,44</c:v>
                  </c:pt>
                  <c:pt idx="16">
                    <c:v>250,18</c:v>
                  </c:pt>
                  <c:pt idx="17">
                    <c:v>300,26</c:v>
                  </c:pt>
                  <c:pt idx="18">
                    <c:v>352,34</c:v>
                  </c:pt>
                  <c:pt idx="19">
                    <c:v>300,52</c:v>
                  </c:pt>
                  <c:pt idx="20">
                    <c:v>286,78</c:v>
                  </c:pt>
                  <c:pt idx="21">
                    <c:v>300,24</c:v>
                  </c:pt>
                  <c:pt idx="22">
                    <c:v>312,18</c:v>
                  </c:pt>
                  <c:pt idx="24">
                    <c:v>400,00</c:v>
                  </c:pt>
                  <c:pt idx="25">
                    <c:v>302,09</c:v>
                  </c:pt>
                  <c:pt idx="26">
                    <c:v>399,93</c:v>
                  </c:pt>
                  <c:pt idx="27">
                    <c:v>300,55</c:v>
                  </c:pt>
                  <c:pt idx="28">
                    <c:v>299,78</c:v>
                  </c:pt>
                  <c:pt idx="29">
                    <c:v>400,03</c:v>
                  </c:pt>
                  <c:pt idx="30">
                    <c:v>350,33</c:v>
                  </c:pt>
                  <c:pt idx="31">
                    <c:v>300,15</c:v>
                  </c:pt>
                  <c:pt idx="32">
                    <c:v>300,23</c:v>
                  </c:pt>
                </c:lvl>
                <c:lvl>
                  <c:pt idx="0">
                    <c:v>289,32</c:v>
                  </c:pt>
                  <c:pt idx="1">
                    <c:v>301,93</c:v>
                  </c:pt>
                  <c:pt idx="2">
                    <c:v>299,50</c:v>
                  </c:pt>
                  <c:pt idx="3">
                    <c:v>299,90</c:v>
                  </c:pt>
                  <c:pt idx="4">
                    <c:v>300,29</c:v>
                  </c:pt>
                  <c:pt idx="5">
                    <c:v>400,89</c:v>
                  </c:pt>
                  <c:pt idx="6">
                    <c:v>300,00</c:v>
                  </c:pt>
                  <c:pt idx="8">
                    <c:v>300,01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356,96</c:v>
                  </c:pt>
                  <c:pt idx="31">
                    <c:v>132,87</c:v>
                  </c:pt>
                  <c:pt idx="32">
                    <c:v>282,61</c:v>
                  </c:pt>
                </c:lvl>
                <c:lvl>
                  <c:pt idx="0">
                    <c:v>15,24</c:v>
                  </c:pt>
                  <c:pt idx="1">
                    <c:v>170,95</c:v>
                  </c:pt>
                  <c:pt idx="2">
                    <c:v>300,06</c:v>
                  </c:pt>
                  <c:pt idx="3">
                    <c:v>299,90</c:v>
                  </c:pt>
                  <c:pt idx="4">
                    <c:v>271,39</c:v>
                  </c:pt>
                  <c:pt idx="5">
                    <c:v>200,33</c:v>
                  </c:pt>
                  <c:pt idx="6">
                    <c:v>300,39</c:v>
                  </c:pt>
                  <c:pt idx="8">
                    <c:v>275,77</c:v>
                  </c:pt>
                  <c:pt idx="9">
                    <c:v>350,84</c:v>
                  </c:pt>
                  <c:pt idx="10">
                    <c:v>316,31</c:v>
                  </c:pt>
                  <c:pt idx="11">
                    <c:v>250,32</c:v>
                  </c:pt>
                  <c:pt idx="12">
                    <c:v>300,76</c:v>
                  </c:pt>
                  <c:pt idx="13">
                    <c:v>317,46</c:v>
                  </c:pt>
                  <c:pt idx="14">
                    <c:v>296,90</c:v>
                  </c:pt>
                  <c:pt idx="16">
                    <c:v>279,43</c:v>
                  </c:pt>
                  <c:pt idx="17">
                    <c:v>262,75</c:v>
                  </c:pt>
                  <c:pt idx="18">
                    <c:v>303,69</c:v>
                  </c:pt>
                  <c:pt idx="19">
                    <c:v>299,91</c:v>
                  </c:pt>
                  <c:pt idx="20">
                    <c:v>320,74</c:v>
                  </c:pt>
                  <c:pt idx="21">
                    <c:v>300,12</c:v>
                  </c:pt>
                  <c:pt idx="22">
                    <c:v>300,24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499,41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263,45</c:v>
                  </c:pt>
                  <c:pt idx="4">
                    <c:v>293,16</c:v>
                  </c:pt>
                  <c:pt idx="5">
                    <c:v>350,37</c:v>
                  </c:pt>
                  <c:pt idx="6">
                    <c:v>300,75</c:v>
                  </c:pt>
                  <c:pt idx="8">
                    <c:v>300,02</c:v>
                  </c:pt>
                  <c:pt idx="9">
                    <c:v>300,65</c:v>
                  </c:pt>
                  <c:pt idx="10">
                    <c:v>381,17</c:v>
                  </c:pt>
                  <c:pt idx="11">
                    <c:v>274,23</c:v>
                  </c:pt>
                  <c:pt idx="12">
                    <c:v>300,95</c:v>
                  </c:pt>
                  <c:pt idx="13">
                    <c:v>310,59</c:v>
                  </c:pt>
                  <c:pt idx="14">
                    <c:v>239,48</c:v>
                  </c:pt>
                  <c:pt idx="16">
                    <c:v>318,34</c:v>
                  </c:pt>
                  <c:pt idx="17">
                    <c:v>300,27</c:v>
                  </c:pt>
                  <c:pt idx="18">
                    <c:v>287,59</c:v>
                  </c:pt>
                  <c:pt idx="19">
                    <c:v>235,38</c:v>
                  </c:pt>
                  <c:pt idx="20">
                    <c:v>299,88</c:v>
                  </c:pt>
                  <c:pt idx="21">
                    <c:v>313,83</c:v>
                  </c:pt>
                  <c:pt idx="22">
                    <c:v>301,01</c:v>
                  </c:pt>
                  <c:pt idx="24">
                    <c:v>295,99</c:v>
                  </c:pt>
                  <c:pt idx="25">
                    <c:v>283,18</c:v>
                  </c:pt>
                  <c:pt idx="26">
                    <c:v>250,45</c:v>
                  </c:pt>
                  <c:pt idx="27">
                    <c:v>391,60</c:v>
                  </c:pt>
                  <c:pt idx="28">
                    <c:v>269,42</c:v>
                  </c:pt>
                  <c:pt idx="29">
                    <c:v>297,84</c:v>
                  </c:pt>
                  <c:pt idx="30">
                    <c:v>246,25</c:v>
                  </c:pt>
                  <c:pt idx="31">
                    <c:v>236,30</c:v>
                  </c:pt>
                  <c:pt idx="32">
                    <c:v>282,40</c:v>
                  </c:pt>
                </c:lvl>
                <c:lvl>
                  <c:pt idx="0">
                    <c:v>329,28</c:v>
                  </c:pt>
                  <c:pt idx="1">
                    <c:v>299,99</c:v>
                  </c:pt>
                  <c:pt idx="2">
                    <c:v>267,65</c:v>
                  </c:pt>
                  <c:pt idx="3">
                    <c:v>300,54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471,60</c:v>
                  </c:pt>
                  <c:pt idx="21">
                    <c:v>202,95</c:v>
                  </c:pt>
                  <c:pt idx="22">
                    <c:v>268,66</c:v>
                  </c:pt>
                  <c:pt idx="24">
                    <c:v>400,50</c:v>
                  </c:pt>
                  <c:pt idx="25">
                    <c:v>327,97</c:v>
                  </c:pt>
                  <c:pt idx="26">
                    <c:v>218,34</c:v>
                  </c:pt>
                  <c:pt idx="27">
                    <c:v>280,29</c:v>
                  </c:pt>
                  <c:pt idx="28">
                    <c:v>250,07</c:v>
                  </c:pt>
                  <c:pt idx="29">
                    <c:v>250,22</c:v>
                  </c:pt>
                  <c:pt idx="30">
                    <c:v>399,98</c:v>
                  </c:pt>
                  <c:pt idx="31">
                    <c:v>242,84</c:v>
                  </c:pt>
                  <c:pt idx="32">
                    <c:v>309,72</c:v>
                  </c:pt>
                </c:lvl>
                <c:lvl>
                  <c:pt idx="0">
                    <c:v>269,19</c:v>
                  </c:pt>
                  <c:pt idx="1">
                    <c:v>261,76</c:v>
                  </c:pt>
                  <c:pt idx="2">
                    <c:v>190,88</c:v>
                  </c:pt>
                  <c:pt idx="3">
                    <c:v>273,66</c:v>
                  </c:pt>
                  <c:pt idx="4">
                    <c:v>281,89</c:v>
                  </c:pt>
                  <c:pt idx="5">
                    <c:v>255,39</c:v>
                  </c:pt>
                  <c:pt idx="6">
                    <c:v>272,28</c:v>
                  </c:pt>
                  <c:pt idx="8">
                    <c:v>247,13</c:v>
                  </c:pt>
                  <c:pt idx="9">
                    <c:v>256,05</c:v>
                  </c:pt>
                  <c:pt idx="10">
                    <c:v>260,53</c:v>
                  </c:pt>
                  <c:pt idx="11">
                    <c:v>255,44</c:v>
                  </c:pt>
                  <c:pt idx="12">
                    <c:v>244,99</c:v>
                  </c:pt>
                  <c:pt idx="13">
                    <c:v>283,96</c:v>
                  </c:pt>
                  <c:pt idx="14">
                    <c:v>243,27</c:v>
                  </c:pt>
                  <c:pt idx="16">
                    <c:v>243,42</c:v>
                  </c:pt>
                  <c:pt idx="17">
                    <c:v>272,97</c:v>
                  </c:pt>
                  <c:pt idx="18">
                    <c:v>273,68</c:v>
                  </c:pt>
                  <c:pt idx="19">
                    <c:v>251,90</c:v>
                  </c:pt>
                  <c:pt idx="20">
                    <c:v>269,94</c:v>
                  </c:pt>
                  <c:pt idx="21">
                    <c:v>257,13</c:v>
                  </c:pt>
                  <c:pt idx="22">
                    <c:v>241,13</c:v>
                  </c:pt>
                  <c:pt idx="24">
                    <c:v>400,37</c:v>
                  </c:pt>
                  <c:pt idx="25">
                    <c:v>269,33</c:v>
                  </c:pt>
                  <c:pt idx="26">
                    <c:v>250,07</c:v>
                  </c:pt>
                  <c:pt idx="27">
                    <c:v>285,47</c:v>
                  </c:pt>
                  <c:pt idx="28">
                    <c:v>271,12</c:v>
                  </c:pt>
                  <c:pt idx="29">
                    <c:v>248,97</c:v>
                  </c:pt>
                  <c:pt idx="30">
                    <c:v>249,99</c:v>
                  </c:pt>
                  <c:pt idx="31">
                    <c:v>266,40</c:v>
                  </c:pt>
                  <c:pt idx="32">
                    <c:v>280,49</c:v>
                  </c:pt>
                </c:lvl>
                <c:lvl>
                  <c:pt idx="0">
                    <c:v>323,06</c:v>
                  </c:pt>
                  <c:pt idx="1">
                    <c:v>227,24</c:v>
                  </c:pt>
                  <c:pt idx="2">
                    <c:v>321,28</c:v>
                  </c:pt>
                  <c:pt idx="3">
                    <c:v>300,49</c:v>
                  </c:pt>
                  <c:pt idx="4">
                    <c:v>417,27</c:v>
                  </c:pt>
                  <c:pt idx="5">
                    <c:v>252,97</c:v>
                  </c:pt>
                  <c:pt idx="6">
                    <c:v>217,63</c:v>
                  </c:pt>
                  <c:pt idx="8">
                    <c:v>227,02</c:v>
                  </c:pt>
                  <c:pt idx="9">
                    <c:v>300,31</c:v>
                  </c:pt>
                  <c:pt idx="10">
                    <c:v>328,04</c:v>
                  </c:pt>
                  <c:pt idx="11">
                    <c:v>334,07</c:v>
                  </c:pt>
                  <c:pt idx="12">
                    <c:v>337,05</c:v>
                  </c:pt>
                  <c:pt idx="13">
                    <c:v>306,72</c:v>
                  </c:pt>
                  <c:pt idx="14">
                    <c:v>377,90</c:v>
                  </c:pt>
                  <c:pt idx="16">
                    <c:v>374,38</c:v>
                  </c:pt>
                  <c:pt idx="17">
                    <c:v>258,53</c:v>
                  </c:pt>
                  <c:pt idx="18">
                    <c:v>308,15</c:v>
                  </c:pt>
                  <c:pt idx="19">
                    <c:v>339,92</c:v>
                  </c:pt>
                  <c:pt idx="20">
                    <c:v>350,48</c:v>
                  </c:pt>
                  <c:pt idx="21">
                    <c:v>322,15</c:v>
                  </c:pt>
                  <c:pt idx="22">
                    <c:v>345,03</c:v>
                  </c:pt>
                  <c:pt idx="24">
                    <c:v>300,22</c:v>
                  </c:pt>
                  <c:pt idx="25">
                    <c:v>316,54</c:v>
                  </c:pt>
                  <c:pt idx="26">
                    <c:v>54,58</c:v>
                  </c:pt>
                  <c:pt idx="27">
                    <c:v>284,87</c:v>
                  </c:pt>
                  <c:pt idx="28">
                    <c:v>352,01</c:v>
                  </c:pt>
                  <c:pt idx="29">
                    <c:v>300,02</c:v>
                  </c:pt>
                  <c:pt idx="30">
                    <c:v>350,27</c:v>
                  </c:pt>
                  <c:pt idx="31">
                    <c:v>249,30</c:v>
                  </c:pt>
                  <c:pt idx="32">
                    <c:v>88,29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400,20</c:v>
                  </c:pt>
                  <c:pt idx="1">
                    <c:v>379,81</c:v>
                  </c:pt>
                  <c:pt idx="2">
                    <c:v>420,92</c:v>
                  </c:pt>
                  <c:pt idx="3">
                    <c:v>351,52</c:v>
                  </c:pt>
                  <c:pt idx="4">
                    <c:v>352,22</c:v>
                  </c:pt>
                  <c:pt idx="5">
                    <c:v>400,01</c:v>
                  </c:pt>
                  <c:pt idx="6">
                    <c:v>400,05</c:v>
                  </c:pt>
                  <c:pt idx="8">
                    <c:v>250,02</c:v>
                  </c:pt>
                  <c:pt idx="9">
                    <c:v>FULL</c:v>
                  </c:pt>
                  <c:pt idx="10">
                    <c:v>150,26</c:v>
                  </c:pt>
                  <c:pt idx="11">
                    <c:v>FULL</c:v>
                  </c:pt>
                  <c:pt idx="12">
                    <c:v>349,92</c:v>
                  </c:pt>
                  <c:pt idx="13">
                    <c:v>FULL</c:v>
                  </c:pt>
                  <c:pt idx="14">
                    <c:v>250,26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97,07</c:v>
                  </c:pt>
                  <c:pt idx="19">
                    <c:v>130,06</c:v>
                  </c:pt>
                  <c:pt idx="20">
                    <c:v>500,18</c:v>
                  </c:pt>
                  <c:pt idx="21">
                    <c:v>500,02</c:v>
                  </c:pt>
                  <c:pt idx="22">
                    <c:v>400,39</c:v>
                  </c:pt>
                  <c:pt idx="24">
                    <c:v>400,48</c:v>
                  </c:pt>
                  <c:pt idx="25">
                    <c:v>500,53</c:v>
                  </c:pt>
                  <c:pt idx="26">
                    <c:v>500,25</c:v>
                  </c:pt>
                  <c:pt idx="27">
                    <c:v>399,51</c:v>
                  </c:pt>
                  <c:pt idx="28">
                    <c:v>500,23</c:v>
                  </c:pt>
                  <c:pt idx="29">
                    <c:v>500,47</c:v>
                  </c:pt>
                  <c:pt idx="30">
                    <c:v>365,65</c:v>
                  </c:pt>
                  <c:pt idx="31">
                    <c:v>334,00</c:v>
                  </c:pt>
                  <c:pt idx="32">
                    <c:v>500,65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400,79</c:v>
                  </c:pt>
                  <c:pt idx="1">
                    <c:v>131,06</c:v>
                  </c:pt>
                  <c:pt idx="2">
                    <c:v>320,69</c:v>
                  </c:pt>
                  <c:pt idx="3">
                    <c:v>456,08</c:v>
                  </c:pt>
                  <c:pt idx="4">
                    <c:v>FULL</c:v>
                  </c:pt>
                  <c:pt idx="5">
                    <c:v>400,14</c:v>
                  </c:pt>
                  <c:pt idx="6">
                    <c:v>350,22</c:v>
                  </c:pt>
                  <c:pt idx="8">
                    <c:v>450,36</c:v>
                  </c:pt>
                  <c:pt idx="9">
                    <c:v>400,60</c:v>
                  </c:pt>
                  <c:pt idx="10">
                    <c:v>500,23</c:v>
                  </c:pt>
                  <c:pt idx="11">
                    <c:v>400,54</c:v>
                  </c:pt>
                  <c:pt idx="12">
                    <c:v>350,67</c:v>
                  </c:pt>
                  <c:pt idx="13">
                    <c:v>300,71</c:v>
                  </c:pt>
                  <c:pt idx="14">
                    <c:v>503,25</c:v>
                  </c:pt>
                  <c:pt idx="16">
                    <c:v>300,24</c:v>
                  </c:pt>
                  <c:pt idx="17">
                    <c:v>300,19</c:v>
                  </c:pt>
                  <c:pt idx="18">
                    <c:v>273,45</c:v>
                  </c:pt>
                  <c:pt idx="19">
                    <c:v>300,07</c:v>
                  </c:pt>
                  <c:pt idx="20">
                    <c:v>350,33</c:v>
                  </c:pt>
                  <c:pt idx="21">
                    <c:v>350,34</c:v>
                  </c:pt>
                  <c:pt idx="22">
                    <c:v>300,13</c:v>
                  </c:pt>
                  <c:pt idx="24">
                    <c:v>200,21</c:v>
                  </c:pt>
                  <c:pt idx="25">
                    <c:v>351,07</c:v>
                  </c:pt>
                  <c:pt idx="26">
                    <c:v>350,46</c:v>
                  </c:pt>
                  <c:pt idx="27">
                    <c:v>400,06</c:v>
                  </c:pt>
                  <c:pt idx="28">
                    <c:v>400,10</c:v>
                  </c:pt>
                  <c:pt idx="29">
                    <c:v>350,22</c:v>
                  </c:pt>
                  <c:pt idx="30">
                    <c:v>350,20</c:v>
                  </c:pt>
                  <c:pt idx="31">
                    <c:v>300,37</c:v>
                  </c:pt>
                  <c:pt idx="32">
                    <c:v>300,25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299,94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250,88</c:v>
                  </c:pt>
                  <c:pt idx="10">
                    <c:v>400,21</c:v>
                  </c:pt>
                  <c:pt idx="11">
                    <c:v>300,58</c:v>
                  </c:pt>
                  <c:pt idx="12">
                    <c:v>268,81</c:v>
                  </c:pt>
                  <c:pt idx="13">
                    <c:v>310,58</c:v>
                  </c:pt>
                  <c:pt idx="14">
                    <c:v>380,46</c:v>
                  </c:pt>
                  <c:pt idx="16">
                    <c:v>199,95</c:v>
                  </c:pt>
                  <c:pt idx="17">
                    <c:v>300,86</c:v>
                  </c:pt>
                  <c:pt idx="18">
                    <c:v>168,72</c:v>
                  </c:pt>
                  <c:pt idx="19">
                    <c:v>FULL</c:v>
                  </c:pt>
                  <c:pt idx="20">
                    <c:v>250,01</c:v>
                  </c:pt>
                  <c:pt idx="21">
                    <c:v>FULL</c:v>
                  </c:pt>
                  <c:pt idx="22">
                    <c:v>352,67</c:v>
                  </c:pt>
                  <c:pt idx="24">
                    <c:v>150,62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300,10</c:v>
                  </c:pt>
                  <c:pt idx="29">
                    <c:v>100,01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400,46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300,34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350,81</c:v>
                  </c:pt>
                  <c:pt idx="10">
                    <c:v>350,48</c:v>
                  </c:pt>
                  <c:pt idx="11">
                    <c:v>269,22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299,88</c:v>
                  </c:pt>
                  <c:pt idx="1">
                    <c:v>230,78</c:v>
                  </c:pt>
                  <c:pt idx="2">
                    <c:v>333,84</c:v>
                  </c:pt>
                  <c:pt idx="3">
                    <c:v>278,99</c:v>
                  </c:pt>
                  <c:pt idx="4">
                    <c:v>89,87</c:v>
                  </c:pt>
                  <c:pt idx="5">
                    <c:v>401,11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10,83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299,97</c:v>
                  </c:pt>
                  <c:pt idx="26">
                    <c:v>301,29</c:v>
                  </c:pt>
                  <c:pt idx="27">
                    <c:v>258,15</c:v>
                  </c:pt>
                  <c:pt idx="28">
                    <c:v>400,22</c:v>
                  </c:pt>
                  <c:pt idx="29">
                    <c:v>117,26</c:v>
                  </c:pt>
                  <c:pt idx="30">
                    <c:v>300,13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323,06</c:v>
                  </c:pt>
                  <c:pt idx="1">
                    <c:v>299,98</c:v>
                  </c:pt>
                  <c:pt idx="2">
                    <c:v>200,74</c:v>
                  </c:pt>
                  <c:pt idx="3">
                    <c:v>192,08</c:v>
                  </c:pt>
                  <c:pt idx="4">
                    <c:v>226,39</c:v>
                  </c:pt>
                  <c:pt idx="5">
                    <c:v>399,85</c:v>
                  </c:pt>
                  <c:pt idx="6">
                    <c:v>350,18</c:v>
                  </c:pt>
                  <c:pt idx="8">
                    <c:v>200,39</c:v>
                  </c:pt>
                  <c:pt idx="9">
                    <c:v>251,86</c:v>
                  </c:pt>
                  <c:pt idx="10">
                    <c:v>250,32</c:v>
                  </c:pt>
                  <c:pt idx="11">
                    <c:v>249,98</c:v>
                  </c:pt>
                  <c:pt idx="12">
                    <c:v>200,22</c:v>
                  </c:pt>
                  <c:pt idx="13">
                    <c:v>200,91</c:v>
                  </c:pt>
                  <c:pt idx="14">
                    <c:v>251,15</c:v>
                  </c:pt>
                  <c:pt idx="16">
                    <c:v>250,31</c:v>
                  </c:pt>
                  <c:pt idx="17">
                    <c:v>250,23</c:v>
                  </c:pt>
                  <c:pt idx="18">
                    <c:v>250,46</c:v>
                  </c:pt>
                  <c:pt idx="19">
                    <c:v>200,29</c:v>
                  </c:pt>
                  <c:pt idx="20">
                    <c:v>300,44</c:v>
                  </c:pt>
                  <c:pt idx="21">
                    <c:v>150,65</c:v>
                  </c:pt>
                  <c:pt idx="22">
                    <c:v>249,94</c:v>
                  </c:pt>
                  <c:pt idx="24">
                    <c:v>250,37</c:v>
                  </c:pt>
                  <c:pt idx="25">
                    <c:v>200,14</c:v>
                  </c:pt>
                  <c:pt idx="26">
                    <c:v>150,69</c:v>
                  </c:pt>
                  <c:pt idx="27">
                    <c:v>250,55</c:v>
                  </c:pt>
                  <c:pt idx="28">
                    <c:v>250,14</c:v>
                  </c:pt>
                  <c:pt idx="29">
                    <c:v>250,46</c:v>
                  </c:pt>
                  <c:pt idx="30">
                    <c:v>200,51</c:v>
                  </c:pt>
                  <c:pt idx="31">
                    <c:v>199,78</c:v>
                  </c:pt>
                  <c:pt idx="32">
                    <c:v>300,39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500,51</c:v>
                  </c:pt>
                  <c:pt idx="4">
                    <c:v>338,26</c:v>
                  </c:pt>
                  <c:pt idx="5">
                    <c:v>400,01</c:v>
                  </c:pt>
                  <c:pt idx="6">
                    <c:v>400,09</c:v>
                  </c:pt>
                  <c:pt idx="8">
                    <c:v>200,59</c:v>
                  </c:pt>
                  <c:pt idx="9">
                    <c:v>269,98</c:v>
                  </c:pt>
                  <c:pt idx="10">
                    <c:v>239,05</c:v>
                  </c:pt>
                  <c:pt idx="11">
                    <c:v>240,66</c:v>
                  </c:pt>
                  <c:pt idx="12">
                    <c:v>100,47</c:v>
                  </c:pt>
                  <c:pt idx="13">
                    <c:v>150,27</c:v>
                  </c:pt>
                  <c:pt idx="14">
                    <c:v>249,33</c:v>
                  </c:pt>
                  <c:pt idx="16">
                    <c:v>264,13</c:v>
                  </c:pt>
                  <c:pt idx="17">
                    <c:v>161,54</c:v>
                  </c:pt>
                  <c:pt idx="18">
                    <c:v>329,41</c:v>
                  </c:pt>
                  <c:pt idx="19">
                    <c:v>150,26</c:v>
                  </c:pt>
                  <c:pt idx="20">
                    <c:v>250,55</c:v>
                  </c:pt>
                  <c:pt idx="21">
                    <c:v>FULL</c:v>
                  </c:pt>
                  <c:pt idx="22">
                    <c:v>359,62</c:v>
                  </c:pt>
                  <c:pt idx="24">
                    <c:v>250,50</c:v>
                  </c:pt>
                  <c:pt idx="25">
                    <c:v>402,85</c:v>
                  </c:pt>
                  <c:pt idx="26">
                    <c:v>300,33</c:v>
                  </c:pt>
                  <c:pt idx="27">
                    <c:v>277,28</c:v>
                  </c:pt>
                  <c:pt idx="28">
                    <c:v>400,24</c:v>
                  </c:pt>
                  <c:pt idx="29">
                    <c:v>237,32</c:v>
                  </c:pt>
                  <c:pt idx="30">
                    <c:v>400,65</c:v>
                  </c:pt>
                  <c:pt idx="31">
                    <c:v>385,22</c:v>
                  </c:pt>
                  <c:pt idx="32">
                    <c:v>156,17</c:v>
                  </c:pt>
                </c:lvl>
                <c:lvl>
                  <c:pt idx="0">
                    <c:v>199,93</c:v>
                  </c:pt>
                  <c:pt idx="1">
                    <c:v>300,06</c:v>
                  </c:pt>
                  <c:pt idx="2">
                    <c:v>300,13</c:v>
                  </c:pt>
                  <c:pt idx="3">
                    <c:v>250,74</c:v>
                  </c:pt>
                  <c:pt idx="4">
                    <c:v>209,70</c:v>
                  </c:pt>
                  <c:pt idx="5">
                    <c:v>FULL</c:v>
                  </c:pt>
                  <c:pt idx="6">
                    <c:v>400,05</c:v>
                  </c:pt>
                  <c:pt idx="8">
                    <c:v>150,38</c:v>
                  </c:pt>
                  <c:pt idx="9">
                    <c:v>299,91</c:v>
                  </c:pt>
                  <c:pt idx="10">
                    <c:v>500,35</c:v>
                  </c:pt>
                  <c:pt idx="11">
                    <c:v>400,54</c:v>
                  </c:pt>
                  <c:pt idx="12">
                    <c:v>150,28</c:v>
                  </c:pt>
                  <c:pt idx="13">
                    <c:v>350,97</c:v>
                  </c:pt>
                  <c:pt idx="14">
                    <c:v>250,73</c:v>
                  </c:pt>
                  <c:pt idx="16">
                    <c:v>FULL</c:v>
                  </c:pt>
                  <c:pt idx="17">
                    <c:v>300,16</c:v>
                  </c:pt>
                  <c:pt idx="18">
                    <c:v>351,43</c:v>
                  </c:pt>
                  <c:pt idx="19">
                    <c:v>250,39</c:v>
                  </c:pt>
                  <c:pt idx="20">
                    <c:v>350,34</c:v>
                  </c:pt>
                  <c:pt idx="21">
                    <c:v>250,14</c:v>
                  </c:pt>
                  <c:pt idx="22">
                    <c:v>248,77</c:v>
                  </c:pt>
                  <c:pt idx="24">
                    <c:v>400,83</c:v>
                  </c:pt>
                  <c:pt idx="25">
                    <c:v>214,45</c:v>
                  </c:pt>
                  <c:pt idx="26">
                    <c:v>200,19</c:v>
                  </c:pt>
                  <c:pt idx="27">
                    <c:v>299,79</c:v>
                  </c:pt>
                  <c:pt idx="28">
                    <c:v>250,34</c:v>
                  </c:pt>
                  <c:pt idx="29">
                    <c:v>250,55</c:v>
                  </c:pt>
                  <c:pt idx="30">
                    <c:v>250,42</c:v>
                  </c:pt>
                  <c:pt idx="31">
                    <c:v>249,51</c:v>
                  </c:pt>
                  <c:pt idx="32">
                    <c:v>251,06</c:v>
                  </c:pt>
                </c:lvl>
                <c:lvl>
                  <c:pt idx="0">
                    <c:v>299,87</c:v>
                  </c:pt>
                  <c:pt idx="1">
                    <c:v>300,08</c:v>
                  </c:pt>
                  <c:pt idx="2">
                    <c:v>299,94</c:v>
                  </c:pt>
                  <c:pt idx="3">
                    <c:v>200,94</c:v>
                  </c:pt>
                  <c:pt idx="4">
                    <c:v>278,18</c:v>
                  </c:pt>
                  <c:pt idx="5">
                    <c:v>399,99</c:v>
                  </c:pt>
                  <c:pt idx="6">
                    <c:v>349,98</c:v>
                  </c:pt>
                  <c:pt idx="8">
                    <c:v>300,01</c:v>
                  </c:pt>
                  <c:pt idx="9">
                    <c:v>299,93</c:v>
                  </c:pt>
                  <c:pt idx="10">
                    <c:v>300,19</c:v>
                  </c:pt>
                  <c:pt idx="11">
                    <c:v>300,17</c:v>
                  </c:pt>
                  <c:pt idx="12">
                    <c:v>300,08</c:v>
                  </c:pt>
                  <c:pt idx="13">
                    <c:v>300,15</c:v>
                  </c:pt>
                  <c:pt idx="14">
                    <c:v>250,24</c:v>
                  </c:pt>
                  <c:pt idx="16">
                    <c:v>187,27</c:v>
                  </c:pt>
                  <c:pt idx="17">
                    <c:v>112,21</c:v>
                  </c:pt>
                  <c:pt idx="18">
                    <c:v>79,38</c:v>
                  </c:pt>
                  <c:pt idx="19">
                    <c:v>300,33</c:v>
                  </c:pt>
                  <c:pt idx="20">
                    <c:v>319,98</c:v>
                  </c:pt>
                  <c:pt idx="21">
                    <c:v>250,05</c:v>
                  </c:pt>
                  <c:pt idx="22">
                    <c:v>357,35</c:v>
                  </c:pt>
                  <c:pt idx="24">
                    <c:v>250,13</c:v>
                  </c:pt>
                  <c:pt idx="25">
                    <c:v>402,92</c:v>
                  </c:pt>
                  <c:pt idx="26">
                    <c:v>200,36</c:v>
                  </c:pt>
                  <c:pt idx="27">
                    <c:v>93,11</c:v>
                  </c:pt>
                  <c:pt idx="28">
                    <c:v>400,10</c:v>
                  </c:pt>
                  <c:pt idx="29">
                    <c:v>106,41</c:v>
                  </c:pt>
                  <c:pt idx="30">
                    <c:v>FULL</c:v>
                  </c:pt>
                  <c:pt idx="31">
                    <c:v>199,52</c:v>
                  </c:pt>
                  <c:pt idx="32">
                    <c:v>333,21</c:v>
                  </c:pt>
                </c:lvl>
                <c:lvl>
                  <c:pt idx="0">
                    <c:v>300,48</c:v>
                  </c:pt>
                  <c:pt idx="1">
                    <c:v>300,05</c:v>
                  </c:pt>
                  <c:pt idx="2">
                    <c:v>250,28</c:v>
                  </c:pt>
                  <c:pt idx="3">
                    <c:v>266,16</c:v>
                  </c:pt>
                  <c:pt idx="4">
                    <c:v>306,31</c:v>
                  </c:pt>
                  <c:pt idx="5">
                    <c:v>350,10</c:v>
                  </c:pt>
                  <c:pt idx="6">
                    <c:v>250,35</c:v>
                  </c:pt>
                  <c:pt idx="8">
                    <c:v>250,35</c:v>
                  </c:pt>
                  <c:pt idx="9">
                    <c:v>150,76</c:v>
                  </c:pt>
                  <c:pt idx="10">
                    <c:v>250,16</c:v>
                  </c:pt>
                  <c:pt idx="11">
                    <c:v>350,34</c:v>
                  </c:pt>
                  <c:pt idx="12">
                    <c:v>200,83</c:v>
                  </c:pt>
                  <c:pt idx="13">
                    <c:v>300,81</c:v>
                  </c:pt>
                  <c:pt idx="14">
                    <c:v>350,33</c:v>
                  </c:pt>
                  <c:pt idx="16">
                    <c:v>292,91</c:v>
                  </c:pt>
                  <c:pt idx="17">
                    <c:v>200,11</c:v>
                  </c:pt>
                  <c:pt idx="18">
                    <c:v>351,09</c:v>
                  </c:pt>
                  <c:pt idx="19">
                    <c:v>200,68</c:v>
                  </c:pt>
                  <c:pt idx="20">
                    <c:v>400,18</c:v>
                  </c:pt>
                  <c:pt idx="21">
                    <c:v>250,27</c:v>
                  </c:pt>
                  <c:pt idx="22">
                    <c:v>320,17</c:v>
                  </c:pt>
                  <c:pt idx="24">
                    <c:v>300,00</c:v>
                  </c:pt>
                  <c:pt idx="25">
                    <c:v>299,96</c:v>
                  </c:pt>
                  <c:pt idx="26">
                    <c:v>352,12</c:v>
                  </c:pt>
                  <c:pt idx="27">
                    <c:v>349,98</c:v>
                  </c:pt>
                  <c:pt idx="28">
                    <c:v>400,14</c:v>
                  </c:pt>
                  <c:pt idx="29">
                    <c:v>200,44</c:v>
                  </c:pt>
                  <c:pt idx="30">
                    <c:v>250,64</c:v>
                  </c:pt>
                  <c:pt idx="31">
                    <c:v>299,74</c:v>
                  </c:pt>
                  <c:pt idx="32">
                    <c:v>300,59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299,55</c:v>
                  </c:pt>
                  <c:pt idx="2">
                    <c:v>299,87</c:v>
                  </c:pt>
                  <c:pt idx="3">
                    <c:v>200,89</c:v>
                  </c:pt>
                  <c:pt idx="4">
                    <c:v>386,22</c:v>
                  </c:pt>
                  <c:pt idx="5">
                    <c:v>350,10</c:v>
                  </c:pt>
                  <c:pt idx="6">
                    <c:v>350,18</c:v>
                  </c:pt>
                  <c:pt idx="8">
                    <c:v>120,23</c:v>
                  </c:pt>
                  <c:pt idx="9">
                    <c:v>250,17</c:v>
                  </c:pt>
                  <c:pt idx="10">
                    <c:v>250,30</c:v>
                  </c:pt>
                  <c:pt idx="11">
                    <c:v>300,12</c:v>
                  </c:pt>
                  <c:pt idx="12">
                    <c:v>200,35</c:v>
                  </c:pt>
                  <c:pt idx="13">
                    <c:v>300,78</c:v>
                  </c:pt>
                  <c:pt idx="14">
                    <c:v>300,40</c:v>
                  </c:pt>
                  <c:pt idx="16">
                    <c:v>199,94</c:v>
                  </c:pt>
                  <c:pt idx="17">
                    <c:v>200,21</c:v>
                  </c:pt>
                  <c:pt idx="18">
                    <c:v>351,86</c:v>
                  </c:pt>
                  <c:pt idx="19">
                    <c:v>200,18</c:v>
                  </c:pt>
                  <c:pt idx="20">
                    <c:v>250,57</c:v>
                  </c:pt>
                  <c:pt idx="21">
                    <c:v>FULL</c:v>
                  </c:pt>
                  <c:pt idx="22">
                    <c:v>451,09</c:v>
                  </c:pt>
                  <c:pt idx="24">
                    <c:v>400,43</c:v>
                  </c:pt>
                  <c:pt idx="25">
                    <c:v>300,21</c:v>
                  </c:pt>
                  <c:pt idx="26">
                    <c:v>250,98</c:v>
                  </c:pt>
                  <c:pt idx="27">
                    <c:v>165,78</c:v>
                  </c:pt>
                  <c:pt idx="28">
                    <c:v>200,43</c:v>
                  </c:pt>
                  <c:pt idx="29">
                    <c:v>250,06</c:v>
                  </c:pt>
                  <c:pt idx="30">
                    <c:v>350,33</c:v>
                  </c:pt>
                  <c:pt idx="31">
                    <c:v>199,76</c:v>
                  </c:pt>
                  <c:pt idx="32">
                    <c:v>200,35</c:v>
                  </c:pt>
                </c:lvl>
                <c:lvl>
                  <c:pt idx="0">
                    <c:v>400,20</c:v>
                  </c:pt>
                  <c:pt idx="1">
                    <c:v>349,90</c:v>
                  </c:pt>
                  <c:pt idx="2">
                    <c:v>350,19</c:v>
                  </c:pt>
                  <c:pt idx="3">
                    <c:v>250,85</c:v>
                  </c:pt>
                  <c:pt idx="4">
                    <c:v>208,67</c:v>
                  </c:pt>
                  <c:pt idx="5">
                    <c:v>400,18</c:v>
                  </c:pt>
                  <c:pt idx="6">
                    <c:v>300,18</c:v>
                  </c:pt>
                  <c:pt idx="8">
                    <c:v>200,26</c:v>
                  </c:pt>
                  <c:pt idx="9">
                    <c:v>FULL</c:v>
                  </c:pt>
                  <c:pt idx="10">
                    <c:v>400,24</c:v>
                  </c:pt>
                  <c:pt idx="11">
                    <c:v>250,51</c:v>
                  </c:pt>
                  <c:pt idx="12">
                    <c:v>200,37</c:v>
                  </c:pt>
                  <c:pt idx="13">
                    <c:v>300,61</c:v>
                  </c:pt>
                  <c:pt idx="14">
                    <c:v>303,09</c:v>
                  </c:pt>
                  <c:pt idx="16">
                    <c:v>200,63</c:v>
                  </c:pt>
                  <c:pt idx="17">
                    <c:v>207,86</c:v>
                  </c:pt>
                  <c:pt idx="18">
                    <c:v>270,84</c:v>
                  </c:pt>
                  <c:pt idx="19">
                    <c:v>200,49</c:v>
                  </c:pt>
                  <c:pt idx="20">
                    <c:v>250,35</c:v>
                  </c:pt>
                  <c:pt idx="21">
                    <c:v>250,56</c:v>
                  </c:pt>
                  <c:pt idx="22">
                    <c:v>357,35</c:v>
                  </c:pt>
                  <c:pt idx="24">
                    <c:v>300,05</c:v>
                  </c:pt>
                  <c:pt idx="25">
                    <c:v>200,82</c:v>
                  </c:pt>
                  <c:pt idx="26">
                    <c:v>249,94</c:v>
                  </c:pt>
                  <c:pt idx="27">
                    <c:v>250,78</c:v>
                  </c:pt>
                  <c:pt idx="28">
                    <c:v>250,78</c:v>
                  </c:pt>
                  <c:pt idx="29">
                    <c:v>250,52</c:v>
                  </c:pt>
                  <c:pt idx="30">
                    <c:v>250,13</c:v>
                  </c:pt>
                  <c:pt idx="31">
                    <c:v>305,44</c:v>
                  </c:pt>
                  <c:pt idx="32">
                    <c:v>251,46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270,61</c:v>
                  </c:pt>
                  <c:pt idx="3">
                    <c:v>269,87</c:v>
                  </c:pt>
                  <c:pt idx="4">
                    <c:v>FULL</c:v>
                  </c:pt>
                  <c:pt idx="5">
                    <c:v>500,18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121,42</c:v>
                  </c:pt>
                  <c:pt idx="10">
                    <c:v>FULL</c:v>
                  </c:pt>
                  <c:pt idx="11">
                    <c:v>370,62</c:v>
                  </c:pt>
                  <c:pt idx="12">
                    <c:v>350,25</c:v>
                  </c:pt>
                  <c:pt idx="13">
                    <c:v>400,69</c:v>
                  </c:pt>
                  <c:pt idx="14">
                    <c:v>500,12</c:v>
                  </c:pt>
                  <c:pt idx="16">
                    <c:v>200,62</c:v>
                  </c:pt>
                  <c:pt idx="17">
                    <c:v>FULL</c:v>
                  </c:pt>
                  <c:pt idx="18">
                    <c:v>452,92</c:v>
                  </c:pt>
                  <c:pt idx="19">
                    <c:v>399,94</c:v>
                  </c:pt>
                  <c:pt idx="20">
                    <c:v>400,00</c:v>
                  </c:pt>
                  <c:pt idx="21">
                    <c:v>499,94</c:v>
                  </c:pt>
                  <c:pt idx="22">
                    <c:v>415,63</c:v>
                  </c:pt>
                  <c:pt idx="24">
                    <c:v>500,27</c:v>
                  </c:pt>
                  <c:pt idx="25">
                    <c:v>251,18</c:v>
                  </c:pt>
                  <c:pt idx="26">
                    <c:v>FULL</c:v>
                  </c:pt>
                  <c:pt idx="27">
                    <c:v>400,30</c:v>
                  </c:pt>
                  <c:pt idx="28">
                    <c:v>400,09</c:v>
                  </c:pt>
                  <c:pt idx="29">
                    <c:v>400,13</c:v>
                  </c:pt>
                  <c:pt idx="30">
                    <c:v>400,14</c:v>
                  </c:pt>
                  <c:pt idx="31">
                    <c:v>499,62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71,76</c:v>
                  </c:pt>
                  <c:pt idx="2">
                    <c:v>380,46</c:v>
                  </c:pt>
                  <c:pt idx="3">
                    <c:v>323,93</c:v>
                  </c:pt>
                  <c:pt idx="4">
                    <c:v>391,29</c:v>
                  </c:pt>
                  <c:pt idx="5">
                    <c:v>400,18</c:v>
                  </c:pt>
                  <c:pt idx="6">
                    <c:v>400,26</c:v>
                  </c:pt>
                  <c:pt idx="8">
                    <c:v>500,16</c:v>
                  </c:pt>
                  <c:pt idx="9">
                    <c:v>270,49</c:v>
                  </c:pt>
                  <c:pt idx="10">
                    <c:v>450,20</c:v>
                  </c:pt>
                  <c:pt idx="11">
                    <c:v>500,34</c:v>
                  </c:pt>
                  <c:pt idx="12">
                    <c:v>400,09</c:v>
                  </c:pt>
                  <c:pt idx="13">
                    <c:v>400,84</c:v>
                  </c:pt>
                  <c:pt idx="14">
                    <c:v>283,81</c:v>
                  </c:pt>
                  <c:pt idx="16">
                    <c:v>350,19</c:v>
                  </c:pt>
                  <c:pt idx="17">
                    <c:v>350,43</c:v>
                  </c:pt>
                  <c:pt idx="18">
                    <c:v>119,49</c:v>
                  </c:pt>
                  <c:pt idx="19">
                    <c:v>500,19</c:v>
                  </c:pt>
                  <c:pt idx="20">
                    <c:v>400,51</c:v>
                  </c:pt>
                  <c:pt idx="21">
                    <c:v>400,23</c:v>
                  </c:pt>
                  <c:pt idx="22">
                    <c:v>419,57</c:v>
                  </c:pt>
                  <c:pt idx="24">
                    <c:v>300,50</c:v>
                  </c:pt>
                  <c:pt idx="25">
                    <c:v>312,27</c:v>
                  </c:pt>
                  <c:pt idx="26">
                    <c:v>450,83</c:v>
                  </c:pt>
                  <c:pt idx="27">
                    <c:v>369,96</c:v>
                  </c:pt>
                  <c:pt idx="28">
                    <c:v>400,19</c:v>
                  </c:pt>
                  <c:pt idx="29">
                    <c:v>399,92</c:v>
                  </c:pt>
                  <c:pt idx="30">
                    <c:v>400,22</c:v>
                  </c:pt>
                  <c:pt idx="31">
                    <c:v>299,92</c:v>
                  </c:pt>
                  <c:pt idx="32">
                    <c:v>450,55</c:v>
                  </c:pt>
                </c:lvl>
                <c:lvl>
                  <c:pt idx="7">
                    <c:v>GRAHA</c:v>
                  </c:pt>
                  <c:pt idx="15">
                    <c:v>GRAHA</c:v>
                  </c:pt>
                  <c:pt idx="23">
                    <c:v>GRAHA</c:v>
                  </c:pt>
                  <c:pt idx="34">
                    <c:v>GRAHA</c:v>
                  </c:pt>
                </c:lvl>
                <c:lvl>
                  <c:pt idx="0">
                    <c:v>57,69</c:v>
                  </c:pt>
                  <c:pt idx="1">
                    <c:v>67,25</c:v>
                  </c:pt>
                  <c:pt idx="2">
                    <c:v>418,37</c:v>
                  </c:pt>
                  <c:pt idx="3">
                    <c:v>293,43</c:v>
                  </c:pt>
                  <c:pt idx="4">
                    <c:v>490,71</c:v>
                  </c:pt>
                  <c:pt idx="5">
                    <c:v>399,99</c:v>
                  </c:pt>
                  <c:pt idx="6">
                    <c:v>352,83</c:v>
                  </c:pt>
                  <c:pt idx="8">
                    <c:v>200,39</c:v>
                  </c:pt>
                  <c:pt idx="9">
                    <c:v>232,41</c:v>
                  </c:pt>
                  <c:pt idx="10">
                    <c:v>35,71</c:v>
                  </c:pt>
                  <c:pt idx="11">
                    <c:v>50,04</c:v>
                  </c:pt>
                  <c:pt idx="12">
                    <c:v>89,06</c:v>
                  </c:pt>
                  <c:pt idx="13">
                    <c:v>412,37</c:v>
                  </c:pt>
                  <c:pt idx="14">
                    <c:v>334,29</c:v>
                  </c:pt>
                  <c:pt idx="16">
                    <c:v>502,21</c:v>
                  </c:pt>
                  <c:pt idx="17">
                    <c:v>400,31</c:v>
                  </c:pt>
                  <c:pt idx="18">
                    <c:v>434,69</c:v>
                  </c:pt>
                  <c:pt idx="19">
                    <c:v>355,10</c:v>
                  </c:pt>
                  <c:pt idx="20">
                    <c:v>267,25</c:v>
                  </c:pt>
                  <c:pt idx="21">
                    <c:v>209,37</c:v>
                  </c:pt>
                  <c:pt idx="22">
                    <c:v>500,42</c:v>
                  </c:pt>
                  <c:pt idx="24">
                    <c:v>268,41</c:v>
                  </c:pt>
                  <c:pt idx="25">
                    <c:v>FULL</c:v>
                  </c:pt>
                  <c:pt idx="26">
                    <c:v>173,75</c:v>
                  </c:pt>
                  <c:pt idx="27">
                    <c:v>486,51</c:v>
                  </c:pt>
                  <c:pt idx="28">
                    <c:v>400,40</c:v>
                  </c:pt>
                  <c:pt idx="29">
                    <c:v>68,68</c:v>
                  </c:pt>
                  <c:pt idx="30">
                    <c:v>400,04</c:v>
                  </c:pt>
                  <c:pt idx="31">
                    <c:v>65,22</c:v>
                  </c:pt>
                  <c:pt idx="32">
                    <c:v>16,90</c:v>
                  </c:pt>
                </c:lvl>
                <c:lvl>
                  <c:pt idx="0">
                    <c:v>450,81</c:v>
                  </c:pt>
                  <c:pt idx="1">
                    <c:v>403,52</c:v>
                  </c:pt>
                  <c:pt idx="2">
                    <c:v>450,90</c:v>
                  </c:pt>
                  <c:pt idx="3">
                    <c:v>355,16</c:v>
                  </c:pt>
                  <c:pt idx="4">
                    <c:v>483,87</c:v>
                  </c:pt>
                  <c:pt idx="5">
                    <c:v>500,17</c:v>
                  </c:pt>
                  <c:pt idx="6">
                    <c:v>350,48</c:v>
                  </c:pt>
                  <c:pt idx="8">
                    <c:v>350,32</c:v>
                  </c:pt>
                  <c:pt idx="9">
                    <c:v>353,28</c:v>
                  </c:pt>
                  <c:pt idx="10">
                    <c:v>300,46</c:v>
                  </c:pt>
                  <c:pt idx="11">
                    <c:v>205,25</c:v>
                  </c:pt>
                  <c:pt idx="12">
                    <c:v>500,08</c:v>
                  </c:pt>
                  <c:pt idx="13">
                    <c:v>463,80</c:v>
                  </c:pt>
                  <c:pt idx="14">
                    <c:v>480,25</c:v>
                  </c:pt>
                  <c:pt idx="16">
                    <c:v>400,36</c:v>
                  </c:pt>
                  <c:pt idx="17">
                    <c:v>400,75</c:v>
                  </c:pt>
                  <c:pt idx="18">
                    <c:v>450,36</c:v>
                  </c:pt>
                  <c:pt idx="19">
                    <c:v>399,85</c:v>
                  </c:pt>
                  <c:pt idx="20">
                    <c:v>400,47</c:v>
                  </c:pt>
                  <c:pt idx="21">
                    <c:v>500,19</c:v>
                  </c:pt>
                  <c:pt idx="22">
                    <c:v>499,97</c:v>
                  </c:pt>
                  <c:pt idx="24">
                    <c:v>500,15</c:v>
                  </c:pt>
                  <c:pt idx="25">
                    <c:v>500,06</c:v>
                  </c:pt>
                  <c:pt idx="26">
                    <c:v>500,33</c:v>
                  </c:pt>
                  <c:pt idx="27">
                    <c:v>499,61</c:v>
                  </c:pt>
                  <c:pt idx="28">
                    <c:v>500,60</c:v>
                  </c:pt>
                  <c:pt idx="29">
                    <c:v>500,34</c:v>
                  </c:pt>
                  <c:pt idx="30">
                    <c:v>500,18</c:v>
                  </c:pt>
                  <c:pt idx="31">
                    <c:v>477,14</c:v>
                  </c:pt>
                  <c:pt idx="32">
                    <c:v>500,13</c:v>
                  </c:pt>
                </c:lvl>
                <c:lvl>
                  <c:pt idx="0">
                    <c:v>399,71</c:v>
                  </c:pt>
                  <c:pt idx="1">
                    <c:v>501,49</c:v>
                  </c:pt>
                  <c:pt idx="2">
                    <c:v>500,28</c:v>
                  </c:pt>
                  <c:pt idx="3">
                    <c:v>500,45</c:v>
                  </c:pt>
                  <c:pt idx="4">
                    <c:v>415,33</c:v>
                  </c:pt>
                  <c:pt idx="5">
                    <c:v>399,85</c:v>
                  </c:pt>
                  <c:pt idx="6">
                    <c:v>400,40</c:v>
                  </c:pt>
                  <c:pt idx="8">
                    <c:v>457,89</c:v>
                  </c:pt>
                  <c:pt idx="9">
                    <c:v>372,57</c:v>
                  </c:pt>
                  <c:pt idx="10">
                    <c:v>454,62</c:v>
                  </c:pt>
                  <c:pt idx="11">
                    <c:v>400,39</c:v>
                  </c:pt>
                  <c:pt idx="12">
                    <c:v>500,25</c:v>
                  </c:pt>
                  <c:pt idx="13">
                    <c:v>497,85</c:v>
                  </c:pt>
                  <c:pt idx="14">
                    <c:v>462,09</c:v>
                  </c:pt>
                  <c:pt idx="16">
                    <c:v>457,14</c:v>
                  </c:pt>
                  <c:pt idx="17">
                    <c:v>400,12</c:v>
                  </c:pt>
                  <c:pt idx="18">
                    <c:v>499,69</c:v>
                  </c:pt>
                  <c:pt idx="19">
                    <c:v>400,11</c:v>
                  </c:pt>
                  <c:pt idx="20">
                    <c:v>500,49</c:v>
                  </c:pt>
                  <c:pt idx="21">
                    <c:v>499,98</c:v>
                  </c:pt>
                  <c:pt idx="22">
                    <c:v>498,80</c:v>
                  </c:pt>
                  <c:pt idx="24">
                    <c:v>432,69</c:v>
                  </c:pt>
                  <c:pt idx="25">
                    <c:v>465,73</c:v>
                  </c:pt>
                  <c:pt idx="26">
                    <c:v>451,69</c:v>
                  </c:pt>
                  <c:pt idx="27">
                    <c:v>499,91</c:v>
                  </c:pt>
                  <c:pt idx="28">
                    <c:v>494,90</c:v>
                  </c:pt>
                  <c:pt idx="29">
                    <c:v>400,16</c:v>
                  </c:pt>
                  <c:pt idx="30">
                    <c:v>FULL</c:v>
                  </c:pt>
                  <c:pt idx="31">
                    <c:v>500,56</c:v>
                  </c:pt>
                  <c:pt idx="32">
                    <c:v>498,26</c:v>
                  </c:pt>
                  <c:pt idx="36">
                    <c:v>05, 09,12,22,38, 43, 44.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 full BBM Solar -----------</c:v>
                  </c:pt>
                </c:lvl>
                <c:lvl>
                  <c:pt idx="0">
                    <c:v>400,23</c:v>
                  </c:pt>
                  <c:pt idx="1">
                    <c:v>499,41</c:v>
                  </c:pt>
                  <c:pt idx="2">
                    <c:v>400,19</c:v>
                  </c:pt>
                  <c:pt idx="3">
                    <c:v>500,51</c:v>
                  </c:pt>
                  <c:pt idx="4">
                    <c:v>500,52</c:v>
                  </c:pt>
                  <c:pt idx="5">
                    <c:v>400,01</c:v>
                  </c:pt>
                  <c:pt idx="6">
                    <c:v>265,71</c:v>
                  </c:pt>
                  <c:pt idx="8">
                    <c:v>FULL</c:v>
                  </c:pt>
                  <c:pt idx="9">
                    <c:v>331,44</c:v>
                  </c:pt>
                  <c:pt idx="10">
                    <c:v>500,19</c:v>
                  </c:pt>
                  <c:pt idx="11">
                    <c:v>500,15</c:v>
                  </c:pt>
                  <c:pt idx="12">
                    <c:v>500,08</c:v>
                  </c:pt>
                  <c:pt idx="13">
                    <c:v>500,31</c:v>
                  </c:pt>
                  <c:pt idx="14">
                    <c:v>470,21</c:v>
                  </c:pt>
                  <c:pt idx="16">
                    <c:v>400,34</c:v>
                  </c:pt>
                  <c:pt idx="17">
                    <c:v>400,09</c:v>
                  </c:pt>
                  <c:pt idx="18">
                    <c:v>500,96</c:v>
                  </c:pt>
                  <c:pt idx="19">
                    <c:v>500,19</c:v>
                  </c:pt>
                  <c:pt idx="20">
                    <c:v>500,09</c:v>
                  </c:pt>
                  <c:pt idx="21">
                    <c:v>450,06</c:v>
                  </c:pt>
                  <c:pt idx="22">
                    <c:v>500,03</c:v>
                  </c:pt>
                  <c:pt idx="24">
                    <c:v>500,73</c:v>
                  </c:pt>
                  <c:pt idx="25">
                    <c:v>499,84</c:v>
                  </c:pt>
                  <c:pt idx="26">
                    <c:v>500,81</c:v>
                  </c:pt>
                  <c:pt idx="27">
                    <c:v>500,05</c:v>
                  </c:pt>
                  <c:pt idx="28">
                    <c:v>500,41</c:v>
                  </c:pt>
                  <c:pt idx="29">
                    <c:v>500,27</c:v>
                  </c:pt>
                  <c:pt idx="30">
                    <c:v>500,57</c:v>
                  </c:pt>
                  <c:pt idx="31">
                    <c:v>499,95</c:v>
                  </c:pt>
                  <c:pt idx="32">
                    <c:v>500,41</c:v>
                  </c:pt>
                  <c:pt idx="36">
                    <c:v>. RTGC Standby status</c:v>
                  </c:pt>
                </c:lvl>
                <c:lvl>
                  <c:pt idx="0">
                    <c:v>500,07</c:v>
                  </c:pt>
                  <c:pt idx="1">
                    <c:v>450,04</c:v>
                  </c:pt>
                  <c:pt idx="2">
                    <c:v>400,17</c:v>
                  </c:pt>
                  <c:pt idx="3">
                    <c:v>500,17</c:v>
                  </c:pt>
                  <c:pt idx="4">
                    <c:v>500,72</c:v>
                  </c:pt>
                  <c:pt idx="5">
                    <c:v>499,88</c:v>
                  </c:pt>
                  <c:pt idx="6">
                    <c:v>400,09</c:v>
                  </c:pt>
                  <c:pt idx="8">
                    <c:v>450,21</c:v>
                  </c:pt>
                  <c:pt idx="9">
                    <c:v>400,82</c:v>
                  </c:pt>
                  <c:pt idx="10">
                    <c:v>500,12</c:v>
                  </c:pt>
                  <c:pt idx="11">
                    <c:v>500,36</c:v>
                  </c:pt>
                  <c:pt idx="12">
                    <c:v>500,13</c:v>
                  </c:pt>
                  <c:pt idx="13">
                    <c:v>500,51</c:v>
                  </c:pt>
                  <c:pt idx="14">
                    <c:v>450,23</c:v>
                  </c:pt>
                  <c:pt idx="16">
                    <c:v>450,21</c:v>
                  </c:pt>
                  <c:pt idx="17">
                    <c:v>400,33</c:v>
                  </c:pt>
                  <c:pt idx="18">
                    <c:v>500,02</c:v>
                  </c:pt>
                  <c:pt idx="19">
                    <c:v>400,08</c:v>
                  </c:pt>
                  <c:pt idx="20">
                    <c:v>500,61</c:v>
                  </c:pt>
                  <c:pt idx="21">
                    <c:v>500,68</c:v>
                  </c:pt>
                  <c:pt idx="22">
                    <c:v>500,80</c:v>
                  </c:pt>
                  <c:pt idx="24">
                    <c:v>400,10</c:v>
                  </c:pt>
                  <c:pt idx="25">
                    <c:v>500,16</c:v>
                  </c:pt>
                  <c:pt idx="26">
                    <c:v>500,22</c:v>
                  </c:pt>
                  <c:pt idx="27">
                    <c:v>400,20</c:v>
                  </c:pt>
                  <c:pt idx="28">
                    <c:v>502,68</c:v>
                  </c:pt>
                  <c:pt idx="29">
                    <c:v>500,23</c:v>
                  </c:pt>
                  <c:pt idx="30">
                    <c:v>500,10</c:v>
                  </c:pt>
                  <c:pt idx="31">
                    <c:v>300,61</c:v>
                  </c:pt>
                  <c:pt idx="32">
                    <c:v>400,50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21, 23, 24, 25.</c:v>
                  </c:pt>
                </c:lvl>
                <c:lvl>
                  <c:pt idx="0">
                    <c:v>400,56</c:v>
                  </c:pt>
                  <c:pt idx="1">
                    <c:v>344,71</c:v>
                  </c:pt>
                  <c:pt idx="2">
                    <c:v>449,99</c:v>
                  </c:pt>
                  <c:pt idx="3">
                    <c:v>361,62</c:v>
                  </c:pt>
                  <c:pt idx="4">
                    <c:v>432,63</c:v>
                  </c:pt>
                  <c:pt idx="5">
                    <c:v>350,37</c:v>
                  </c:pt>
                  <c:pt idx="6">
                    <c:v>400,55</c:v>
                  </c:pt>
                  <c:pt idx="8">
                    <c:v>201,31</c:v>
                  </c:pt>
                  <c:pt idx="9">
                    <c:v>FULL</c:v>
                  </c:pt>
                  <c:pt idx="10">
                    <c:v>300,53</c:v>
                  </c:pt>
                  <c:pt idx="11">
                    <c:v>400,47</c:v>
                  </c:pt>
                  <c:pt idx="12">
                    <c:v>450,27</c:v>
                  </c:pt>
                  <c:pt idx="13">
                    <c:v>400,55</c:v>
                  </c:pt>
                  <c:pt idx="14">
                    <c:v>354,76</c:v>
                  </c:pt>
                  <c:pt idx="16">
                    <c:v>386,71</c:v>
                  </c:pt>
                  <c:pt idx="17">
                    <c:v>399,97</c:v>
                  </c:pt>
                  <c:pt idx="18">
                    <c:v>307,37</c:v>
                  </c:pt>
                  <c:pt idx="19">
                    <c:v>400,32</c:v>
                  </c:pt>
                  <c:pt idx="20">
                    <c:v>260,40</c:v>
                  </c:pt>
                  <c:pt idx="21">
                    <c:v>399,63</c:v>
                  </c:pt>
                  <c:pt idx="22">
                    <c:v>420,22</c:v>
                  </c:pt>
                  <c:pt idx="24">
                    <c:v>450,52</c:v>
                  </c:pt>
                  <c:pt idx="25">
                    <c:v>350,01</c:v>
                  </c:pt>
                  <c:pt idx="26">
                    <c:v>500,55</c:v>
                  </c:pt>
                  <c:pt idx="27">
                    <c:v>349,87</c:v>
                  </c:pt>
                  <c:pt idx="28">
                    <c:v>412,66</c:v>
                  </c:pt>
                  <c:pt idx="29">
                    <c:v>400,38</c:v>
                  </c:pt>
                  <c:pt idx="30">
                    <c:v>418,29</c:v>
                  </c:pt>
                  <c:pt idx="31">
                    <c:v>398,94</c:v>
                  </c:pt>
                  <c:pt idx="32">
                    <c:v>400,33</c:v>
                  </c:pt>
                  <c:pt idx="36">
                    <c:v>. RTGC yg Dilelang Srucb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301,52</c:v>
                  </c:pt>
                  <c:pt idx="1">
                    <c:v>350,00</c:v>
                  </c:pt>
                  <c:pt idx="2">
                    <c:v>270,04</c:v>
                  </c:pt>
                  <c:pt idx="3">
                    <c:v>303,64</c:v>
                  </c:pt>
                  <c:pt idx="4">
                    <c:v>310,42</c:v>
                  </c:pt>
                  <c:pt idx="5">
                    <c:v>399,99</c:v>
                  </c:pt>
                  <c:pt idx="6">
                    <c:v>300,23</c:v>
                  </c:pt>
                  <c:pt idx="8">
                    <c:v>149,98</c:v>
                  </c:pt>
                  <c:pt idx="9">
                    <c:v>249,99</c:v>
                  </c:pt>
                  <c:pt idx="10">
                    <c:v>400,44</c:v>
                  </c:pt>
                  <c:pt idx="11">
                    <c:v>149,16</c:v>
                  </c:pt>
                  <c:pt idx="12">
                    <c:v>150,32</c:v>
                  </c:pt>
                  <c:pt idx="13">
                    <c:v>FULL</c:v>
                  </c:pt>
                  <c:pt idx="14">
                    <c:v>270,57</c:v>
                  </c:pt>
                  <c:pt idx="16">
                    <c:v>400,36</c:v>
                  </c:pt>
                  <c:pt idx="17">
                    <c:v>200,34</c:v>
                  </c:pt>
                  <c:pt idx="18">
                    <c:v>352,22</c:v>
                  </c:pt>
                  <c:pt idx="19">
                    <c:v>288,21</c:v>
                  </c:pt>
                  <c:pt idx="20">
                    <c:v>400,08</c:v>
                  </c:pt>
                  <c:pt idx="21">
                    <c:v>350,53</c:v>
                  </c:pt>
                  <c:pt idx="22">
                    <c:v>350,31</c:v>
                  </c:pt>
                  <c:pt idx="24">
                    <c:v>350,30</c:v>
                  </c:pt>
                  <c:pt idx="25">
                    <c:v>350,79</c:v>
                  </c:pt>
                  <c:pt idx="26">
                    <c:v>350,53</c:v>
                  </c:pt>
                  <c:pt idx="27">
                    <c:v>200,07</c:v>
                  </c:pt>
                  <c:pt idx="28">
                    <c:v>350,66</c:v>
                  </c:pt>
                  <c:pt idx="29">
                    <c:v>350,41</c:v>
                  </c:pt>
                  <c:pt idx="30">
                    <c:v>400,07</c:v>
                  </c:pt>
                  <c:pt idx="31">
                    <c:v>251,31</c:v>
                  </c:pt>
                  <c:pt idx="32">
                    <c:v>400,23</c:v>
                  </c:pt>
                  <c:pt idx="36">
                    <c:v>07, 26, 29, 35,36, 42, 63.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. RTGC PM ---------------</c:v>
                  </c:pt>
                </c:lvl>
                <c:lvl>
                  <c:pt idx="0">
                    <c:v>505,63</c:v>
                  </c:pt>
                  <c:pt idx="1">
                    <c:v>470,43</c:v>
                  </c:pt>
                  <c:pt idx="2">
                    <c:v>500,38</c:v>
                  </c:pt>
                  <c:pt idx="3">
                    <c:v>400,65</c:v>
                  </c:pt>
                  <c:pt idx="4">
                    <c:v>486,13</c:v>
                  </c:pt>
                  <c:pt idx="5">
                    <c:v>500,05</c:v>
                  </c:pt>
                  <c:pt idx="6">
                    <c:v>400,15</c:v>
                  </c:pt>
                  <c:pt idx="8">
                    <c:v>450,15</c:v>
                  </c:pt>
                  <c:pt idx="9">
                    <c:v>499,90</c:v>
                  </c:pt>
                  <c:pt idx="10">
                    <c:v>500,17</c:v>
                  </c:pt>
                  <c:pt idx="11">
                    <c:v>450,05</c:v>
                  </c:pt>
                  <c:pt idx="12">
                    <c:v>500,23</c:v>
                  </c:pt>
                  <c:pt idx="13">
                    <c:v>400,89</c:v>
                  </c:pt>
                  <c:pt idx="14">
                    <c:v>500,62</c:v>
                  </c:pt>
                  <c:pt idx="16">
                    <c:v>450,81</c:v>
                  </c:pt>
                  <c:pt idx="17">
                    <c:v>400,22</c:v>
                  </c:pt>
                  <c:pt idx="18">
                    <c:v>499,92</c:v>
                  </c:pt>
                  <c:pt idx="19">
                    <c:v>500,29</c:v>
                  </c:pt>
                  <c:pt idx="20">
                    <c:v>450,11</c:v>
                  </c:pt>
                  <c:pt idx="21">
                    <c:v>400,44</c:v>
                  </c:pt>
                  <c:pt idx="22">
                    <c:v>517,91</c:v>
                  </c:pt>
                  <c:pt idx="24">
                    <c:v>500,00</c:v>
                  </c:pt>
                  <c:pt idx="25">
                    <c:v>400,16</c:v>
                  </c:pt>
                  <c:pt idx="26">
                    <c:v>449,45</c:v>
                  </c:pt>
                  <c:pt idx="27">
                    <c:v>499,25</c:v>
                  </c:pt>
                  <c:pt idx="28">
                    <c:v>400,35</c:v>
                  </c:pt>
                  <c:pt idx="29">
                    <c:v>500,21</c:v>
                  </c:pt>
                  <c:pt idx="30">
                    <c:v>499,97</c:v>
                  </c:pt>
                  <c:pt idx="31">
                    <c:v>400,47</c:v>
                  </c:pt>
                  <c:pt idx="32">
                    <c:v>500,62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GraHa Segara</c:v>
                  </c:pt>
                </c:lvl>
                <c:lvl>
                  <c:pt idx="0">
                    <c:v>299,64</c:v>
                  </c:pt>
                  <c:pt idx="1">
                    <c:v>350,00</c:v>
                  </c:pt>
                  <c:pt idx="2">
                    <c:v>400,18</c:v>
                  </c:pt>
                  <c:pt idx="3">
                    <c:v>351,14</c:v>
                  </c:pt>
                  <c:pt idx="4">
                    <c:v>436,30</c:v>
                  </c:pt>
                  <c:pt idx="5">
                    <c:v>399,85</c:v>
                  </c:pt>
                  <c:pt idx="6">
                    <c:v>350,22</c:v>
                  </c:pt>
                  <c:pt idx="8">
                    <c:v>400,09</c:v>
                  </c:pt>
                  <c:pt idx="9">
                    <c:v>337,72</c:v>
                  </c:pt>
                  <c:pt idx="10">
                    <c:v>400,09</c:v>
                  </c:pt>
                  <c:pt idx="11">
                    <c:v>400,27</c:v>
                  </c:pt>
                  <c:pt idx="12">
                    <c:v>350,33</c:v>
                  </c:pt>
                  <c:pt idx="13">
                    <c:v>353,86</c:v>
                  </c:pt>
                  <c:pt idx="14">
                    <c:v>400,37</c:v>
                  </c:pt>
                  <c:pt idx="16">
                    <c:v>350,57</c:v>
                  </c:pt>
                  <c:pt idx="17">
                    <c:v>400,13</c:v>
                  </c:pt>
                  <c:pt idx="18">
                    <c:v>400,34</c:v>
                  </c:pt>
                  <c:pt idx="19">
                    <c:v>350,43</c:v>
                  </c:pt>
                  <c:pt idx="20">
                    <c:v>400,06</c:v>
                  </c:pt>
                  <c:pt idx="21">
                    <c:v>400,16</c:v>
                  </c:pt>
                  <c:pt idx="22">
                    <c:v>326,23</c:v>
                  </c:pt>
                  <c:pt idx="24">
                    <c:v>400,35</c:v>
                  </c:pt>
                  <c:pt idx="25">
                    <c:v>401,12</c:v>
                  </c:pt>
                  <c:pt idx="26">
                    <c:v>350,11</c:v>
                  </c:pt>
                  <c:pt idx="27">
                    <c:v>400,13</c:v>
                  </c:pt>
                  <c:pt idx="28">
                    <c:v>350,51</c:v>
                  </c:pt>
                  <c:pt idx="29">
                    <c:v>400,05</c:v>
                  </c:pt>
                  <c:pt idx="30">
                    <c:v>351,58</c:v>
                  </c:pt>
                  <c:pt idx="31">
                    <c:v>300,07</c:v>
                  </c:pt>
                  <c:pt idx="32">
                    <c:v>400,14</c:v>
                  </c:pt>
                  <c:pt idx="36">
                    <c:v>. RTGC 16 Disewakan ke</c:v>
                  </c:pt>
                </c:lvl>
                <c:lvl>
                  <c:pt idx="0">
                    <c:v>FULL</c:v>
                  </c:pt>
                  <c:pt idx="1">
                    <c:v>250,00</c:v>
                  </c:pt>
                  <c:pt idx="2">
                    <c:v>410,25</c:v>
                  </c:pt>
                  <c:pt idx="3">
                    <c:v>401,06</c:v>
                  </c:pt>
                  <c:pt idx="4">
                    <c:v>355,31</c:v>
                  </c:pt>
                  <c:pt idx="5">
                    <c:v>299,84</c:v>
                  </c:pt>
                  <c:pt idx="6">
                    <c:v>400,21</c:v>
                  </c:pt>
                  <c:pt idx="8">
                    <c:v>199,97</c:v>
                  </c:pt>
                  <c:pt idx="9">
                    <c:v>300,48</c:v>
                  </c:pt>
                  <c:pt idx="10">
                    <c:v>400,10</c:v>
                  </c:pt>
                  <c:pt idx="11">
                    <c:v>350,44</c:v>
                  </c:pt>
                  <c:pt idx="12">
                    <c:v>350,26</c:v>
                  </c:pt>
                  <c:pt idx="13">
                    <c:v>307,39</c:v>
                  </c:pt>
                  <c:pt idx="14">
                    <c:v>400,10</c:v>
                  </c:pt>
                  <c:pt idx="16">
                    <c:v>255,59</c:v>
                  </c:pt>
                  <c:pt idx="17">
                    <c:v>300,24</c:v>
                  </c:pt>
                  <c:pt idx="18">
                    <c:v>400,49</c:v>
                  </c:pt>
                  <c:pt idx="19">
                    <c:v>300,48</c:v>
                  </c:pt>
                  <c:pt idx="20">
                    <c:v>400,15</c:v>
                  </c:pt>
                  <c:pt idx="21">
                    <c:v>300,19</c:v>
                  </c:pt>
                  <c:pt idx="22">
                    <c:v>301,42</c:v>
                  </c:pt>
                  <c:pt idx="24">
                    <c:v>400,27</c:v>
                  </c:pt>
                  <c:pt idx="25">
                    <c:v>272,42</c:v>
                  </c:pt>
                  <c:pt idx="26">
                    <c:v>450,41</c:v>
                  </c:pt>
                  <c:pt idx="27">
                    <c:v>299,75</c:v>
                  </c:pt>
                  <c:pt idx="28">
                    <c:v>400,66</c:v>
                  </c:pt>
                  <c:pt idx="29">
                    <c:v>300,66</c:v>
                  </c:pt>
                  <c:pt idx="30">
                    <c:v>350,26</c:v>
                  </c:pt>
                  <c:pt idx="31">
                    <c:v>250,74</c:v>
                  </c:pt>
                  <c:pt idx="32">
                    <c:v>299,85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</c:multiLvlStrCache>
            </c:multiLvlStrRef>
          </c:cat>
          <c:val>
            <c:numRef>
              <c:f>'JUNI 2026'!$B$172:$AM$172</c:f>
              <c:numCache>
                <c:formatCode>0.00</c:formatCode>
                <c:ptCount val="37"/>
              </c:numCache>
            </c:numRef>
          </c:val>
        </c:ser>
        <c:ser>
          <c:idx val="6"/>
          <c:order val="6"/>
          <c:tx>
            <c:strRef>
              <c:f>'JUNI 2026'!$A$173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'JUNI 2026'!$B$1:$AM$166</c:f>
              <c:multiLvlStrCache>
                <c:ptCount val="3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6">
                    <c:v>Note</c:v>
                  </c:pt>
                </c:lvl>
                <c:lvl>
                  <c:pt idx="0">
                    <c:v>92.77</c:v>
                  </c:pt>
                  <c:pt idx="1">
                    <c:v>92.72</c:v>
                  </c:pt>
                  <c:pt idx="2">
                    <c:v>92.74</c:v>
                  </c:pt>
                  <c:pt idx="3">
                    <c:v>92.76</c:v>
                  </c:pt>
                  <c:pt idx="4">
                    <c:v>92.79</c:v>
                  </c:pt>
                  <c:pt idx="5">
                    <c:v>92.75</c:v>
                  </c:pt>
                  <c:pt idx="6">
                    <c:v>92.74</c:v>
                  </c:pt>
                  <c:pt idx="8">
                    <c:v>92.74</c:v>
                  </c:pt>
                  <c:pt idx="9">
                    <c:v>92.74</c:v>
                  </c:pt>
                  <c:pt idx="10">
                    <c:v>92.75</c:v>
                  </c:pt>
                  <c:pt idx="11">
                    <c:v>92.77</c:v>
                  </c:pt>
                  <c:pt idx="12">
                    <c:v>92.77</c:v>
                  </c:pt>
                  <c:pt idx="13">
                    <c:v>92.73</c:v>
                  </c:pt>
                  <c:pt idx="14">
                    <c:v>92.77</c:v>
                  </c:pt>
                  <c:pt idx="16">
                    <c:v>92.71</c:v>
                  </c:pt>
                  <c:pt idx="17">
                    <c:v>92.72</c:v>
                  </c:pt>
                  <c:pt idx="18">
                    <c:v>92.75</c:v>
                  </c:pt>
                  <c:pt idx="19">
                    <c:v>92.74</c:v>
                  </c:pt>
                  <c:pt idx="20">
                    <c:v>92.75</c:v>
                  </c:pt>
                  <c:pt idx="21">
                    <c:v>92.75</c:v>
                  </c:pt>
                  <c:pt idx="22">
                    <c:v>92.72</c:v>
                  </c:pt>
                  <c:pt idx="24">
                    <c:v>92.75</c:v>
                  </c:pt>
                  <c:pt idx="25">
                    <c:v>92.78</c:v>
                  </c:pt>
                  <c:pt idx="26">
                    <c:v>92.73</c:v>
                  </c:pt>
                  <c:pt idx="27">
                    <c:v>92.73</c:v>
                  </c:pt>
                  <c:pt idx="28">
                    <c:v>92.73</c:v>
                  </c:pt>
                  <c:pt idx="29">
                    <c:v>92.74</c:v>
                  </c:pt>
                  <c:pt idx="30">
                    <c:v>92.70</c:v>
                  </c:pt>
                  <c:pt idx="31">
                    <c:v>92.74</c:v>
                  </c:pt>
                  <c:pt idx="32">
                    <c:v>92.70</c:v>
                  </c:pt>
                </c:lvl>
                <c:lvl>
                  <c:pt idx="0">
                    <c:v>6662,40</c:v>
                  </c:pt>
                  <c:pt idx="1">
                    <c:v>6181,46</c:v>
                  </c:pt>
                  <c:pt idx="2">
                    <c:v>5449,10</c:v>
                  </c:pt>
                  <c:pt idx="3">
                    <c:v>5917,58</c:v>
                  </c:pt>
                  <c:pt idx="4">
                    <c:v>5481,75</c:v>
                  </c:pt>
                  <c:pt idx="5">
                    <c:v>5209,42</c:v>
                  </c:pt>
                  <c:pt idx="6">
                    <c:v>6470,01</c:v>
                  </c:pt>
                  <c:pt idx="7">
                    <c:v>41371,72</c:v>
                  </c:pt>
                  <c:pt idx="8">
                    <c:v>4919,99</c:v>
                  </c:pt>
                  <c:pt idx="9">
                    <c:v>6025,86</c:v>
                  </c:pt>
                  <c:pt idx="10">
                    <c:v>5631,71</c:v>
                  </c:pt>
                  <c:pt idx="11">
                    <c:v>6898,52</c:v>
                  </c:pt>
                  <c:pt idx="12">
                    <c:v>5969,85</c:v>
                  </c:pt>
                  <c:pt idx="13">
                    <c:v>5632,86</c:v>
                  </c:pt>
                  <c:pt idx="14">
                    <c:v>6170,18</c:v>
                  </c:pt>
                  <c:pt idx="15">
                    <c:v>41248,97</c:v>
                  </c:pt>
                  <c:pt idx="16">
                    <c:v>6556,14</c:v>
                  </c:pt>
                  <c:pt idx="17">
                    <c:v>6351,87</c:v>
                  </c:pt>
                  <c:pt idx="18">
                    <c:v>6159,44</c:v>
                  </c:pt>
                  <c:pt idx="19">
                    <c:v>5595,52</c:v>
                  </c:pt>
                  <c:pt idx="20">
                    <c:v>6263,54</c:v>
                  </c:pt>
                  <c:pt idx="21">
                    <c:v>5953,98</c:v>
                  </c:pt>
                  <c:pt idx="22">
                    <c:v>5971,14</c:v>
                  </c:pt>
                  <c:pt idx="23">
                    <c:v>42851,63</c:v>
                  </c:pt>
                  <c:pt idx="24">
                    <c:v>6694,38</c:v>
                  </c:pt>
                  <c:pt idx="25">
                    <c:v>6869,59</c:v>
                  </c:pt>
                  <c:pt idx="26">
                    <c:v>5926,68</c:v>
                  </c:pt>
                  <c:pt idx="27">
                    <c:v>5421,42</c:v>
                  </c:pt>
                  <c:pt idx="28">
                    <c:v>6222,84</c:v>
                  </c:pt>
                  <c:pt idx="29">
                    <c:v>5964,21</c:v>
                  </c:pt>
                  <c:pt idx="30">
                    <c:v>6111,90</c:v>
                  </c:pt>
                  <c:pt idx="31">
                    <c:v>5306,48</c:v>
                  </c:pt>
                  <c:pt idx="32">
                    <c:v>5897,44</c:v>
                  </c:pt>
                  <c:pt idx="34">
                    <c:v>54414,94</c:v>
                  </c:pt>
                  <c:pt idx="35">
                    <c:v>179884,26</c:v>
                  </c:pt>
                </c:lvl>
                <c:lvl>
                  <c:pt idx="0">
                    <c:v>69,87</c:v>
                  </c:pt>
                  <c:pt idx="1">
                    <c:v>85,55</c:v>
                  </c:pt>
                  <c:pt idx="2">
                    <c:v>40,04</c:v>
                  </c:pt>
                  <c:pt idx="3">
                    <c:v>89,88</c:v>
                  </c:pt>
                  <c:pt idx="4">
                    <c:v>51,52</c:v>
                  </c:pt>
                  <c:pt idx="5">
                    <c:v>76,86</c:v>
                  </c:pt>
                  <c:pt idx="6">
                    <c:v>95,85</c:v>
                  </c:pt>
                  <c:pt idx="8">
                    <c:v>66,97</c:v>
                  </c:pt>
                  <c:pt idx="9">
                    <c:v>73,35</c:v>
                  </c:pt>
                  <c:pt idx="10">
                    <c:v>57,55</c:v>
                  </c:pt>
                  <c:pt idx="11">
                    <c:v>77,65</c:v>
                  </c:pt>
                  <c:pt idx="12">
                    <c:v>75,78</c:v>
                  </c:pt>
                  <c:pt idx="13">
                    <c:v>62,34</c:v>
                  </c:pt>
                  <c:pt idx="14">
                    <c:v>74,62</c:v>
                  </c:pt>
                  <c:pt idx="16">
                    <c:v>105,49</c:v>
                  </c:pt>
                  <c:pt idx="17">
                    <c:v>103,53</c:v>
                  </c:pt>
                  <c:pt idx="18">
                    <c:v>84,69</c:v>
                  </c:pt>
                  <c:pt idx="19">
                    <c:v>46,34</c:v>
                  </c:pt>
                  <c:pt idx="20">
                    <c:v>92,17</c:v>
                  </c:pt>
                  <c:pt idx="21">
                    <c:v>62,58</c:v>
                  </c:pt>
                  <c:pt idx="22">
                    <c:v>68,39</c:v>
                  </c:pt>
                  <c:pt idx="24">
                    <c:v>86,57</c:v>
                  </c:pt>
                  <c:pt idx="25">
                    <c:v>82,13</c:v>
                  </c:pt>
                  <c:pt idx="26">
                    <c:v>88,08</c:v>
                  </c:pt>
                  <c:pt idx="27">
                    <c:v>70,33</c:v>
                  </c:pt>
                  <c:pt idx="28">
                    <c:v>65,48</c:v>
                  </c:pt>
                  <c:pt idx="29">
                    <c:v>64,07</c:v>
                  </c:pt>
                  <c:pt idx="30">
                    <c:v>85,37</c:v>
                  </c:pt>
                  <c:pt idx="31">
                    <c:v>76,35</c:v>
                  </c:pt>
                  <c:pt idx="32">
                    <c:v>68,54</c:v>
                  </c:pt>
                </c:lvl>
                <c:lvl>
                  <c:pt idx="0">
                    <c:v>94,88</c:v>
                  </c:pt>
                  <c:pt idx="1">
                    <c:v>94,75</c:v>
                  </c:pt>
                  <c:pt idx="2">
                    <c:v>70,80</c:v>
                  </c:pt>
                  <c:pt idx="3">
                    <c:v>25,54</c:v>
                  </c:pt>
                  <c:pt idx="4">
                    <c:v>49,63</c:v>
                  </c:pt>
                  <c:pt idx="5">
                    <c:v>87,58</c:v>
                  </c:pt>
                  <c:pt idx="6">
                    <c:v>93,40</c:v>
                  </c:pt>
                  <c:pt idx="8">
                    <c:v>72,07</c:v>
                  </c:pt>
                  <c:pt idx="9">
                    <c:v>93,76</c:v>
                  </c:pt>
                  <c:pt idx="10">
                    <c:v>74,24</c:v>
                  </c:pt>
                  <c:pt idx="11">
                    <c:v>109,58</c:v>
                  </c:pt>
                  <c:pt idx="12">
                    <c:v>85,04</c:v>
                  </c:pt>
                  <c:pt idx="13">
                    <c:v>90,95</c:v>
                  </c:pt>
                  <c:pt idx="14">
                    <c:v>84,75</c:v>
                  </c:pt>
                  <c:pt idx="16">
                    <c:v>84,80</c:v>
                  </c:pt>
                  <c:pt idx="17">
                    <c:v>72,30</c:v>
                  </c:pt>
                  <c:pt idx="18">
                    <c:v>112,35</c:v>
                  </c:pt>
                  <c:pt idx="19">
                    <c:v>95,67</c:v>
                  </c:pt>
                  <c:pt idx="20">
                    <c:v>84,10</c:v>
                  </c:pt>
                  <c:pt idx="21">
                    <c:v>77,54</c:v>
                  </c:pt>
                  <c:pt idx="22">
                    <c:v>51,38</c:v>
                  </c:pt>
                  <c:pt idx="24">
                    <c:v>114,77</c:v>
                  </c:pt>
                  <c:pt idx="25">
                    <c:v>96,62</c:v>
                  </c:pt>
                  <c:pt idx="26">
                    <c:v>93,24</c:v>
                  </c:pt>
                  <c:pt idx="27">
                    <c:v>88,30</c:v>
                  </c:pt>
                  <c:pt idx="28">
                    <c:v>98,59</c:v>
                  </c:pt>
                  <c:pt idx="29">
                    <c:v>101,45</c:v>
                  </c:pt>
                  <c:pt idx="30">
                    <c:v>87,19</c:v>
                  </c:pt>
                  <c:pt idx="31">
                    <c:v>79,44</c:v>
                  </c:pt>
                  <c:pt idx="32">
                    <c:v>93,48</c:v>
                  </c:pt>
                  <c:pt idx="35">
                    <c:v>54411,94</c:v>
                  </c:pt>
                </c:lvl>
                <c:lvl>
                  <c:pt idx="0">
                    <c:v>75,82</c:v>
                  </c:pt>
                  <c:pt idx="1">
                    <c:v>71,36</c:v>
                  </c:pt>
                  <c:pt idx="2">
                    <c:v>68,11</c:v>
                  </c:pt>
                  <c:pt idx="3">
                    <c:v>82,01</c:v>
                  </c:pt>
                  <c:pt idx="4">
                    <c:v>86,56</c:v>
                  </c:pt>
                  <c:pt idx="5">
                    <c:v>72,14</c:v>
                  </c:pt>
                  <c:pt idx="6">
                    <c:v>107,02</c:v>
                  </c:pt>
                  <c:pt idx="8">
                    <c:v>45,71</c:v>
                  </c:pt>
                  <c:pt idx="9">
                    <c:v>61,93</c:v>
                  </c:pt>
                  <c:pt idx="11">
                    <c:v>208,17</c:v>
                  </c:pt>
                  <c:pt idx="12">
                    <c:v>57,00</c:v>
                  </c:pt>
                  <c:pt idx="13">
                    <c:v>82,06</c:v>
                  </c:pt>
                  <c:pt idx="14">
                    <c:v>83,60</c:v>
                  </c:pt>
                  <c:pt idx="16">
                    <c:v>80,28</c:v>
                  </c:pt>
                  <c:pt idx="17">
                    <c:v>90,96</c:v>
                  </c:pt>
                  <c:pt idx="18">
                    <c:v>110,84</c:v>
                  </c:pt>
                  <c:pt idx="19">
                    <c:v>86,21</c:v>
                  </c:pt>
                  <c:pt idx="20">
                    <c:v>93,82</c:v>
                  </c:pt>
                  <c:pt idx="21">
                    <c:v>70,26</c:v>
                  </c:pt>
                  <c:pt idx="22">
                    <c:v>69,18</c:v>
                  </c:pt>
                  <c:pt idx="24">
                    <c:v>100,47</c:v>
                  </c:pt>
                  <c:pt idx="25">
                    <c:v>81,75</c:v>
                  </c:pt>
                  <c:pt idx="26">
                    <c:v>75,77</c:v>
                  </c:pt>
                  <c:pt idx="27">
                    <c:v>106,83</c:v>
                  </c:pt>
                  <c:pt idx="28">
                    <c:v>78,26</c:v>
                  </c:pt>
                  <c:pt idx="29">
                    <c:v>76,14</c:v>
                  </c:pt>
                  <c:pt idx="30">
                    <c:v>79,02</c:v>
                  </c:pt>
                  <c:pt idx="31">
                    <c:v>88,27</c:v>
                  </c:pt>
                  <c:pt idx="32">
                    <c:v>118,74</c:v>
                  </c:pt>
                  <c:pt idx="35">
                    <c:v>42851,63</c:v>
                  </c:pt>
                </c:lvl>
                <c:lvl>
                  <c:pt idx="0">
                    <c:v>83,22</c:v>
                  </c:pt>
                  <c:pt idx="1">
                    <c:v>88,58</c:v>
                  </c:pt>
                  <c:pt idx="2">
                    <c:v>75,59</c:v>
                  </c:pt>
                  <c:pt idx="3">
                    <c:v>73,95</c:v>
                  </c:pt>
                  <c:pt idx="4">
                    <c:v>97,83</c:v>
                  </c:pt>
                  <c:pt idx="5">
                    <c:v>86,42</c:v>
                  </c:pt>
                  <c:pt idx="6">
                    <c:v>79,55</c:v>
                  </c:pt>
                  <c:pt idx="8">
                    <c:v>79,73</c:v>
                  </c:pt>
                  <c:pt idx="9">
                    <c:v>92,33</c:v>
                  </c:pt>
                  <c:pt idx="10">
                    <c:v>72,43</c:v>
                  </c:pt>
                  <c:pt idx="11">
                    <c:v>94,35</c:v>
                  </c:pt>
                  <c:pt idx="12">
                    <c:v>63,14</c:v>
                  </c:pt>
                  <c:pt idx="13">
                    <c:v>98,05</c:v>
                  </c:pt>
                  <c:pt idx="14">
                    <c:v>69,22</c:v>
                  </c:pt>
                  <c:pt idx="16">
                    <c:v>101,45</c:v>
                  </c:pt>
                  <c:pt idx="17">
                    <c:v>96,95</c:v>
                  </c:pt>
                  <c:pt idx="18">
                    <c:v>89,41</c:v>
                  </c:pt>
                  <c:pt idx="19">
                    <c:v>87,28</c:v>
                  </c:pt>
                  <c:pt idx="20">
                    <c:v>68,28</c:v>
                  </c:pt>
                  <c:pt idx="21">
                    <c:v>68,95</c:v>
                  </c:pt>
                  <c:pt idx="22">
                    <c:v>92,22</c:v>
                  </c:pt>
                  <c:pt idx="24">
                    <c:v>99,83</c:v>
                  </c:pt>
                  <c:pt idx="25">
                    <c:v>76,17</c:v>
                  </c:pt>
                  <c:pt idx="26">
                    <c:v>86,33</c:v>
                  </c:pt>
                  <c:pt idx="27">
                    <c:v>79,07</c:v>
                  </c:pt>
                  <c:pt idx="28">
                    <c:v>95,91</c:v>
                  </c:pt>
                  <c:pt idx="29">
                    <c:v>68,55</c:v>
                  </c:pt>
                  <c:pt idx="32">
                    <c:v>55,67</c:v>
                  </c:pt>
                  <c:pt idx="35">
                    <c:v>41248,97</c:v>
                  </c:pt>
                </c:lvl>
                <c:lvl>
                  <c:pt idx="0">
                    <c:v>71,14</c:v>
                  </c:pt>
                  <c:pt idx="1">
                    <c:v>91,53</c:v>
                  </c:pt>
                  <c:pt idx="2">
                    <c:v>97,02</c:v>
                  </c:pt>
                  <c:pt idx="3">
                    <c:v>73,32</c:v>
                  </c:pt>
                  <c:pt idx="4">
                    <c:v>83,64</c:v>
                  </c:pt>
                  <c:pt idx="5">
                    <c:v>61,23</c:v>
                  </c:pt>
                  <c:pt idx="6">
                    <c:v>108,55</c:v>
                  </c:pt>
                  <c:pt idx="8">
                    <c:v>65,76</c:v>
                  </c:pt>
                  <c:pt idx="9">
                    <c:v>71,06</c:v>
                  </c:pt>
                  <c:pt idx="10">
                    <c:v>91,45</c:v>
                  </c:pt>
                  <c:pt idx="11">
                    <c:v>93,90</c:v>
                  </c:pt>
                  <c:pt idx="12">
                    <c:v>71,61</c:v>
                  </c:pt>
                  <c:pt idx="13">
                    <c:v>79,68</c:v>
                  </c:pt>
                  <c:pt idx="14">
                    <c:v>95,14</c:v>
                  </c:pt>
                  <c:pt idx="16">
                    <c:v>75,92</c:v>
                  </c:pt>
                  <c:pt idx="17">
                    <c:v>91,03</c:v>
                  </c:pt>
                  <c:pt idx="18">
                    <c:v>73,67</c:v>
                  </c:pt>
                  <c:pt idx="19">
                    <c:v>66,78</c:v>
                  </c:pt>
                  <c:pt idx="21">
                    <c:v>166,54</c:v>
                  </c:pt>
                  <c:pt idx="22">
                    <c:v>88,08</c:v>
                  </c:pt>
                  <c:pt idx="24">
                    <c:v>93,32</c:v>
                  </c:pt>
                  <c:pt idx="25">
                    <c:v>95,06</c:v>
                  </c:pt>
                  <c:pt idx="26">
                    <c:v>104,77</c:v>
                  </c:pt>
                  <c:pt idx="27">
                    <c:v>81,16</c:v>
                  </c:pt>
                  <c:pt idx="28">
                    <c:v>87,83</c:v>
                  </c:pt>
                  <c:pt idx="29">
                    <c:v>87,67</c:v>
                  </c:pt>
                  <c:pt idx="30">
                    <c:v>86,01</c:v>
                  </c:pt>
                  <c:pt idx="31">
                    <c:v>71,07</c:v>
                  </c:pt>
                  <c:pt idx="32">
                    <c:v>81,96</c:v>
                  </c:pt>
                  <c:pt idx="35">
                    <c:v>41371,72</c:v>
                  </c:pt>
                </c:lvl>
                <c:lvl>
                  <c:pt idx="0">
                    <c:v>73,25</c:v>
                  </c:pt>
                  <c:pt idx="1">
                    <c:v>55,04</c:v>
                  </c:pt>
                  <c:pt idx="2">
                    <c:v>93,73</c:v>
                  </c:pt>
                  <c:pt idx="3">
                    <c:v>81,04</c:v>
                  </c:pt>
                  <c:pt idx="4">
                    <c:v>77,13</c:v>
                  </c:pt>
                  <c:pt idx="5">
                    <c:v>94,58</c:v>
                  </c:pt>
                  <c:pt idx="6">
                    <c:v>109,16</c:v>
                  </c:pt>
                  <c:pt idx="8">
                    <c:v>119,34</c:v>
                  </c:pt>
                  <c:pt idx="9">
                    <c:v>55,48</c:v>
                  </c:pt>
                  <c:pt idx="10">
                    <c:v>76,91</c:v>
                  </c:pt>
                  <c:pt idx="11">
                    <c:v>109,88</c:v>
                  </c:pt>
                  <c:pt idx="12">
                    <c:v>92,36</c:v>
                  </c:pt>
                  <c:pt idx="13">
                    <c:v>66,60</c:v>
                  </c:pt>
                  <c:pt idx="14">
                    <c:v>109,70</c:v>
                  </c:pt>
                  <c:pt idx="16">
                    <c:v>114,44</c:v>
                  </c:pt>
                  <c:pt idx="18">
                    <c:v>104,75</c:v>
                  </c:pt>
                  <c:pt idx="19">
                    <c:v>67,51</c:v>
                  </c:pt>
                  <c:pt idx="20">
                    <c:v>111,04</c:v>
                  </c:pt>
                  <c:pt idx="21">
                    <c:v>79,73</c:v>
                  </c:pt>
                  <c:pt idx="22">
                    <c:v>68,97</c:v>
                  </c:pt>
                  <c:pt idx="24">
                    <c:v>89,93</c:v>
                  </c:pt>
                  <c:pt idx="25">
                    <c:v>103,39</c:v>
                  </c:pt>
                  <c:pt idx="26">
                    <c:v>81,32</c:v>
                  </c:pt>
                  <c:pt idx="27">
                    <c:v>58,79</c:v>
                  </c:pt>
                  <c:pt idx="28">
                    <c:v>85,94</c:v>
                  </c:pt>
                  <c:pt idx="29">
                    <c:v>72,27</c:v>
                  </c:pt>
                  <c:pt idx="30">
                    <c:v>78,67</c:v>
                  </c:pt>
                  <c:pt idx="31">
                    <c:v>74,98</c:v>
                  </c:pt>
                  <c:pt idx="32">
                    <c:v>79,81</c:v>
                  </c:pt>
                </c:lvl>
                <c:lvl>
                  <c:pt idx="0">
                    <c:v>92,89</c:v>
                  </c:pt>
                  <c:pt idx="1">
                    <c:v>84,31</c:v>
                  </c:pt>
                  <c:pt idx="3">
                    <c:v>147,73</c:v>
                  </c:pt>
                  <c:pt idx="4">
                    <c:v>94,66</c:v>
                  </c:pt>
                  <c:pt idx="5">
                    <c:v>80,83</c:v>
                  </c:pt>
                  <c:pt idx="6">
                    <c:v>66,35</c:v>
                  </c:pt>
                  <c:pt idx="8">
                    <c:v>64,10</c:v>
                  </c:pt>
                  <c:pt idx="9">
                    <c:v>85,22</c:v>
                  </c:pt>
                  <c:pt idx="10">
                    <c:v>68,05</c:v>
                  </c:pt>
                  <c:pt idx="11">
                    <c:v>56,92</c:v>
                  </c:pt>
                  <c:pt idx="12">
                    <c:v>84,95</c:v>
                  </c:pt>
                  <c:pt idx="13">
                    <c:v>85,46</c:v>
                  </c:pt>
                  <c:pt idx="14">
                    <c:v>74,70</c:v>
                  </c:pt>
                  <c:pt idx="16">
                    <c:v>103,31</c:v>
                  </c:pt>
                  <c:pt idx="17">
                    <c:v>77,21</c:v>
                  </c:pt>
                  <c:pt idx="18">
                    <c:v>79,33</c:v>
                  </c:pt>
                  <c:pt idx="19">
                    <c:v>70,44</c:v>
                  </c:pt>
                  <c:pt idx="20">
                    <c:v>88,74</c:v>
                  </c:pt>
                  <c:pt idx="21">
                    <c:v>67,04</c:v>
                  </c:pt>
                  <c:pt idx="22">
                    <c:v>80,56</c:v>
                  </c:pt>
                  <c:pt idx="24">
                    <c:v>91,29</c:v>
                  </c:pt>
                  <c:pt idx="25">
                    <c:v>87,01</c:v>
                  </c:pt>
                  <c:pt idx="26">
                    <c:v>66,10</c:v>
                  </c:pt>
                  <c:pt idx="27">
                    <c:v>70,86</c:v>
                  </c:pt>
                  <c:pt idx="28">
                    <c:v>83,31</c:v>
                  </c:pt>
                  <c:pt idx="29">
                    <c:v>71,50</c:v>
                  </c:pt>
                  <c:pt idx="30">
                    <c:v>84,84</c:v>
                  </c:pt>
                  <c:pt idx="31">
                    <c:v>117,15</c:v>
                  </c:pt>
                  <c:pt idx="32">
                    <c:v>70,71</c:v>
                  </c:pt>
                </c:lvl>
                <c:lvl>
                  <c:pt idx="0">
                    <c:v>99,05</c:v>
                  </c:pt>
                  <c:pt idx="1">
                    <c:v>88,36</c:v>
                  </c:pt>
                  <c:pt idx="2">
                    <c:v>86,32</c:v>
                  </c:pt>
                  <c:pt idx="3">
                    <c:v>82,26</c:v>
                  </c:pt>
                  <c:pt idx="4">
                    <c:v>81,09</c:v>
                  </c:pt>
                  <c:pt idx="5">
                    <c:v>67,51</c:v>
                  </c:pt>
                  <c:pt idx="6">
                    <c:v>118,29</c:v>
                  </c:pt>
                  <c:pt idx="8">
                    <c:v>77,87</c:v>
                  </c:pt>
                  <c:pt idx="9">
                    <c:v>93,74</c:v>
                  </c:pt>
                  <c:pt idx="10">
                    <c:v>69,90</c:v>
                  </c:pt>
                  <c:pt idx="11">
                    <c:v>126,30</c:v>
                  </c:pt>
                  <c:pt idx="12">
                    <c:v>72,96</c:v>
                  </c:pt>
                  <c:pt idx="13">
                    <c:v>97,78</c:v>
                  </c:pt>
                  <c:pt idx="14">
                    <c:v>99,16</c:v>
                  </c:pt>
                  <c:pt idx="16">
                    <c:v>104,64</c:v>
                  </c:pt>
                  <c:pt idx="17">
                    <c:v>77,16</c:v>
                  </c:pt>
                  <c:pt idx="18">
                    <c:v>73,22</c:v>
                  </c:pt>
                  <c:pt idx="21">
                    <c:v>124,93</c:v>
                  </c:pt>
                  <c:pt idx="22">
                    <c:v>100,04</c:v>
                  </c:pt>
                  <c:pt idx="24">
                    <c:v>73,88</c:v>
                  </c:pt>
                  <c:pt idx="25">
                    <c:v>90,92</c:v>
                  </c:pt>
                  <c:pt idx="26">
                    <c:v>97,25</c:v>
                  </c:pt>
                  <c:pt idx="27">
                    <c:v>93,86</c:v>
                  </c:pt>
                  <c:pt idx="28">
                    <c:v>90,08</c:v>
                  </c:pt>
                  <c:pt idx="29">
                    <c:v>86,73</c:v>
                  </c:pt>
                  <c:pt idx="30">
                    <c:v>100,07</c:v>
                  </c:pt>
                  <c:pt idx="31">
                    <c:v>90,25</c:v>
                  </c:pt>
                  <c:pt idx="32">
                    <c:v>82,02</c:v>
                  </c:pt>
                </c:lvl>
                <c:lvl>
                  <c:pt idx="0">
                    <c:v>75,15</c:v>
                  </c:pt>
                  <c:pt idx="1">
                    <c:v>90,26</c:v>
                  </c:pt>
                  <c:pt idx="2">
                    <c:v>62,29</c:v>
                  </c:pt>
                  <c:pt idx="3">
                    <c:v>69,72</c:v>
                  </c:pt>
                  <c:pt idx="4">
                    <c:v>64,88</c:v>
                  </c:pt>
                  <c:pt idx="5">
                    <c:v>70,23</c:v>
                  </c:pt>
                  <c:pt idx="6">
                    <c:v>72,94</c:v>
                  </c:pt>
                  <c:pt idx="8">
                    <c:v>64,22</c:v>
                  </c:pt>
                  <c:pt idx="9">
                    <c:v>74,55</c:v>
                  </c:pt>
                  <c:pt idx="10">
                    <c:v>71,92</c:v>
                  </c:pt>
                  <c:pt idx="11">
                    <c:v>76,72</c:v>
                  </c:pt>
                  <c:pt idx="12">
                    <c:v>82,02</c:v>
                  </c:pt>
                  <c:pt idx="13">
                    <c:v>59,58</c:v>
                  </c:pt>
                  <c:pt idx="14">
                    <c:v>60,07</c:v>
                  </c:pt>
                  <c:pt idx="16">
                    <c:v>93,00</c:v>
                  </c:pt>
                  <c:pt idx="17">
                    <c:v>89,43</c:v>
                  </c:pt>
                  <c:pt idx="18">
                    <c:v>74,49</c:v>
                  </c:pt>
                  <c:pt idx="19">
                    <c:v>68,50</c:v>
                  </c:pt>
                  <c:pt idx="20">
                    <c:v>83,91</c:v>
                  </c:pt>
                  <c:pt idx="21">
                    <c:v>54,01</c:v>
                  </c:pt>
                  <c:pt idx="22">
                    <c:v>73,88</c:v>
                  </c:pt>
                  <c:pt idx="24">
                    <c:v>110,53</c:v>
                  </c:pt>
                  <c:pt idx="25">
                    <c:v>56,49</c:v>
                  </c:pt>
                  <c:pt idx="26">
                    <c:v>68,71</c:v>
                  </c:pt>
                  <c:pt idx="27">
                    <c:v>32,45</c:v>
                  </c:pt>
                  <c:pt idx="28">
                    <c:v>89,78</c:v>
                  </c:pt>
                  <c:pt idx="29">
                    <c:v>78,64</c:v>
                  </c:pt>
                  <c:pt idx="30">
                    <c:v>77,70</c:v>
                  </c:pt>
                  <c:pt idx="31">
                    <c:v>77,65</c:v>
                  </c:pt>
                  <c:pt idx="32">
                    <c:v>68,72</c:v>
                  </c:pt>
                </c:lvl>
                <c:lvl>
                  <c:pt idx="0">
                    <c:v>93,20</c:v>
                  </c:pt>
                  <c:pt idx="1">
                    <c:v>65,52</c:v>
                  </c:pt>
                  <c:pt idx="2">
                    <c:v>94,15</c:v>
                  </c:pt>
                  <c:pt idx="3">
                    <c:v>72,57</c:v>
                  </c:pt>
                  <c:pt idx="4">
                    <c:v>78,98</c:v>
                  </c:pt>
                  <c:pt idx="5">
                    <c:v>82,10</c:v>
                  </c:pt>
                  <c:pt idx="6">
                    <c:v>71,42</c:v>
                  </c:pt>
                  <c:pt idx="8">
                    <c:v>60,46</c:v>
                  </c:pt>
                  <c:pt idx="9">
                    <c:v>70,40</c:v>
                  </c:pt>
                  <c:pt idx="10">
                    <c:v>84,01</c:v>
                  </c:pt>
                  <c:pt idx="11">
                    <c:v>101,32</c:v>
                  </c:pt>
                  <c:pt idx="12">
                    <c:v>87,07</c:v>
                  </c:pt>
                  <c:pt idx="13">
                    <c:v>80,92</c:v>
                  </c:pt>
                  <c:pt idx="14">
                    <c:v>25,75</c:v>
                  </c:pt>
                  <c:pt idx="16">
                    <c:v>40,02</c:v>
                  </c:pt>
                  <c:pt idx="17">
                    <c:v>99,48</c:v>
                  </c:pt>
                  <c:pt idx="18">
                    <c:v>47,40</c:v>
                  </c:pt>
                  <c:pt idx="19">
                    <c:v>67,32</c:v>
                  </c:pt>
                  <c:pt idx="20">
                    <c:v>91,77</c:v>
                  </c:pt>
                  <c:pt idx="21">
                    <c:v>85,95</c:v>
                  </c:pt>
                  <c:pt idx="22">
                    <c:v>79,78</c:v>
                  </c:pt>
                  <c:pt idx="24">
                    <c:v>101,61</c:v>
                  </c:pt>
                  <c:pt idx="25">
                    <c:v>105,49</c:v>
                  </c:pt>
                  <c:pt idx="26">
                    <c:v>56,11</c:v>
                  </c:pt>
                  <c:pt idx="27">
                    <c:v>72,05</c:v>
                  </c:pt>
                  <c:pt idx="28">
                    <c:v>89,39</c:v>
                  </c:pt>
                  <c:pt idx="29">
                    <c:v>100,5</c:v>
                  </c:pt>
                  <c:pt idx="30">
                    <c:v>98,67</c:v>
                  </c:pt>
                  <c:pt idx="31">
                    <c:v>63,65</c:v>
                  </c:pt>
                  <c:pt idx="32">
                    <c:v>74,31</c:v>
                  </c:pt>
                </c:lvl>
                <c:lvl>
                  <c:pt idx="0">
                    <c:v>82,75</c:v>
                  </c:pt>
                  <c:pt idx="1">
                    <c:v>84,04</c:v>
                  </c:pt>
                  <c:pt idx="2">
                    <c:v>117,67</c:v>
                  </c:pt>
                  <c:pt idx="3">
                    <c:v>70,62</c:v>
                  </c:pt>
                  <c:pt idx="4">
                    <c:v>76,00</c:v>
                  </c:pt>
                  <c:pt idx="5">
                    <c:v>51,44</c:v>
                  </c:pt>
                  <c:pt idx="6">
                    <c:v>96,46</c:v>
                  </c:pt>
                  <c:pt idx="8">
                    <c:v>61,04</c:v>
                  </c:pt>
                  <c:pt idx="9">
                    <c:v>115,77</c:v>
                  </c:pt>
                  <c:pt idx="10">
                    <c:v>58,51</c:v>
                  </c:pt>
                  <c:pt idx="11">
                    <c:v>110,18</c:v>
                  </c:pt>
                  <c:pt idx="12">
                    <c:v>56,91</c:v>
                  </c:pt>
                  <c:pt idx="13">
                    <c:v>71,18</c:v>
                  </c:pt>
                  <c:pt idx="14">
                    <c:v>100,92</c:v>
                  </c:pt>
                  <c:pt idx="16">
                    <c:v>99,33</c:v>
                  </c:pt>
                  <c:pt idx="19">
                    <c:v>78,58</c:v>
                  </c:pt>
                  <c:pt idx="20">
                    <c:v>124,02</c:v>
                  </c:pt>
                  <c:pt idx="21">
                    <c:v>69,26</c:v>
                  </c:pt>
                  <c:pt idx="22">
                    <c:v>88,41</c:v>
                  </c:pt>
                  <c:pt idx="24">
                    <c:v>101,71</c:v>
                  </c:pt>
                  <c:pt idx="25">
                    <c:v>101,78</c:v>
                  </c:pt>
                  <c:pt idx="26">
                    <c:v>95,57</c:v>
                  </c:pt>
                  <c:pt idx="27">
                    <c:v>58,05</c:v>
                  </c:pt>
                  <c:pt idx="28">
                    <c:v>103,57</c:v>
                  </c:pt>
                  <c:pt idx="29">
                    <c:v>67,07</c:v>
                  </c:pt>
                  <c:pt idx="30">
                    <c:v>85,80</c:v>
                  </c:pt>
                  <c:pt idx="31">
                    <c:v>70,53</c:v>
                  </c:pt>
                  <c:pt idx="32">
                    <c:v>137,15</c:v>
                  </c:pt>
                </c:lvl>
                <c:lvl>
                  <c:pt idx="0">
                    <c:v>85,16</c:v>
                  </c:pt>
                  <c:pt idx="1">
                    <c:v>95,79</c:v>
                  </c:pt>
                  <c:pt idx="2">
                    <c:v>69,40</c:v>
                  </c:pt>
                  <c:pt idx="3">
                    <c:v>61,82</c:v>
                  </c:pt>
                  <c:pt idx="4">
                    <c:v>115,15</c:v>
                  </c:pt>
                  <c:pt idx="5">
                    <c:v>80,05</c:v>
                  </c:pt>
                  <c:pt idx="6">
                    <c:v>92,17</c:v>
                  </c:pt>
                  <c:pt idx="8">
                    <c:v>52,20</c:v>
                  </c:pt>
                  <c:pt idx="9">
                    <c:v>104,08</c:v>
                  </c:pt>
                  <c:pt idx="10">
                    <c:v>100,60</c:v>
                  </c:pt>
                  <c:pt idx="11">
                    <c:v>99,49</c:v>
                  </c:pt>
                  <c:pt idx="12">
                    <c:v>77,75</c:v>
                  </c:pt>
                  <c:pt idx="13">
                    <c:v>86,00</c:v>
                  </c:pt>
                  <c:pt idx="14">
                    <c:v>103,32</c:v>
                  </c:pt>
                  <c:pt idx="16">
                    <c:v>117,08</c:v>
                  </c:pt>
                  <c:pt idx="17">
                    <c:v>81,14</c:v>
                  </c:pt>
                  <c:pt idx="18">
                    <c:v>99,79</c:v>
                  </c:pt>
                  <c:pt idx="19">
                    <c:v>85,97</c:v>
                  </c:pt>
                  <c:pt idx="20">
                    <c:v>80,34</c:v>
                  </c:pt>
                  <c:pt idx="21">
                    <c:v>96,73</c:v>
                  </c:pt>
                  <c:pt idx="22">
                    <c:v>88,02</c:v>
                  </c:pt>
                  <c:pt idx="24">
                    <c:v>109,33</c:v>
                  </c:pt>
                  <c:pt idx="25">
                    <c:v>80,54</c:v>
                  </c:pt>
                  <c:pt idx="26">
                    <c:v>80,04</c:v>
                  </c:pt>
                  <c:pt idx="27">
                    <c:v>92,43</c:v>
                  </c:pt>
                  <c:pt idx="28">
                    <c:v>101,64</c:v>
                  </c:pt>
                  <c:pt idx="29">
                    <c:v>108,68</c:v>
                  </c:pt>
                  <c:pt idx="30">
                    <c:v>97,76</c:v>
                  </c:pt>
                  <c:pt idx="31">
                    <c:v>73,82</c:v>
                  </c:pt>
                  <c:pt idx="32">
                    <c:v>118,55</c:v>
                  </c:pt>
                </c:lvl>
                <c:lvl>
                  <c:pt idx="0">
                    <c:v>68,97</c:v>
                  </c:pt>
                  <c:pt idx="1">
                    <c:v>69,15</c:v>
                  </c:pt>
                  <c:pt idx="2">
                    <c:v>87,42</c:v>
                  </c:pt>
                  <c:pt idx="3">
                    <c:v>67,64</c:v>
                  </c:pt>
                  <c:pt idx="4">
                    <c:v>54,71</c:v>
                  </c:pt>
                  <c:pt idx="5">
                    <c:v>52,97</c:v>
                  </c:pt>
                  <c:pt idx="6">
                    <c:v>78,70</c:v>
                  </c:pt>
                  <c:pt idx="8">
                    <c:v>66,39</c:v>
                  </c:pt>
                  <c:pt idx="9">
                    <c:v>93,62</c:v>
                  </c:pt>
                  <c:pt idx="10">
                    <c:v>65,94</c:v>
                  </c:pt>
                  <c:pt idx="11">
                    <c:v>65,00</c:v>
                  </c:pt>
                  <c:pt idx="12">
                    <c:v>74,89</c:v>
                  </c:pt>
                  <c:pt idx="13">
                    <c:v>74,79</c:v>
                  </c:pt>
                  <c:pt idx="14">
                    <c:v>76,22</c:v>
                  </c:pt>
                  <c:pt idx="16">
                    <c:v>85,89</c:v>
                  </c:pt>
                  <c:pt idx="17">
                    <c:v>78,49</c:v>
                  </c:pt>
                  <c:pt idx="18">
                    <c:v>83,99</c:v>
                  </c:pt>
                  <c:pt idx="19">
                    <c:v>50,91</c:v>
                  </c:pt>
                  <c:pt idx="20">
                    <c:v>58,61</c:v>
                  </c:pt>
                  <c:pt idx="21">
                    <c:v>54,78</c:v>
                  </c:pt>
                  <c:pt idx="22">
                    <c:v>66,80</c:v>
                  </c:pt>
                  <c:pt idx="24">
                    <c:v>87,48</c:v>
                  </c:pt>
                  <c:pt idx="25">
                    <c:v>80,38</c:v>
                  </c:pt>
                  <c:pt idx="26">
                    <c:v>72,12</c:v>
                  </c:pt>
                  <c:pt idx="27">
                    <c:v>61,93</c:v>
                  </c:pt>
                  <c:pt idx="28">
                    <c:v>55,95</c:v>
                  </c:pt>
                  <c:pt idx="29">
                    <c:v>84,29</c:v>
                  </c:pt>
                  <c:pt idx="30">
                    <c:v>96,81</c:v>
                  </c:pt>
                  <c:pt idx="31">
                    <c:v>67,32</c:v>
                  </c:pt>
                  <c:pt idx="32">
                    <c:v>69,39</c:v>
                  </c:pt>
                  <c:pt idx="36">
                    <c:v>. HT 204 - 216, 230 Liter</c:v>
                  </c:pt>
                </c:lvl>
                <c:lvl>
                  <c:pt idx="0">
                    <c:v>97,21</c:v>
                  </c:pt>
                  <c:pt idx="1">
                    <c:v>92,37</c:v>
                  </c:pt>
                  <c:pt idx="2">
                    <c:v>61,16</c:v>
                  </c:pt>
                  <c:pt idx="3">
                    <c:v>68,80</c:v>
                  </c:pt>
                  <c:pt idx="4">
                    <c:v>53,87</c:v>
                  </c:pt>
                  <c:pt idx="5">
                    <c:v>65,60</c:v>
                  </c:pt>
                  <c:pt idx="6">
                    <c:v>59,99</c:v>
                  </c:pt>
                  <c:pt idx="8">
                    <c:v>70,85</c:v>
                  </c:pt>
                  <c:pt idx="9">
                    <c:v>73,91</c:v>
                  </c:pt>
                  <c:pt idx="10">
                    <c:v>77,92</c:v>
                  </c:pt>
                  <c:pt idx="11">
                    <c:v>62,11</c:v>
                  </c:pt>
                  <c:pt idx="12">
                    <c:v>63,19</c:v>
                  </c:pt>
                  <c:pt idx="13">
                    <c:v>60,43</c:v>
                  </c:pt>
                  <c:pt idx="14">
                    <c:v>81,71</c:v>
                  </c:pt>
                  <c:pt idx="16">
                    <c:v>79,41</c:v>
                  </c:pt>
                  <c:pt idx="17">
                    <c:v>84,77</c:v>
                  </c:pt>
                  <c:pt idx="18">
                    <c:v>64,93</c:v>
                  </c:pt>
                  <c:pt idx="19">
                    <c:v>71,54</c:v>
                  </c:pt>
                  <c:pt idx="20">
                    <c:v>72,53</c:v>
                  </c:pt>
                  <c:pt idx="21">
                    <c:v>70,48</c:v>
                  </c:pt>
                  <c:pt idx="22">
                    <c:v>69,68</c:v>
                  </c:pt>
                  <c:pt idx="24">
                    <c:v>74,47</c:v>
                  </c:pt>
                  <c:pt idx="25">
                    <c:v>81,72</c:v>
                  </c:pt>
                  <c:pt idx="26">
                    <c:v>65,13</c:v>
                  </c:pt>
                  <c:pt idx="27">
                    <c:v>82,61</c:v>
                  </c:pt>
                  <c:pt idx="28">
                    <c:v>78,99</c:v>
                  </c:pt>
                  <c:pt idx="29">
                    <c:v>68,72</c:v>
                  </c:pt>
                  <c:pt idx="30">
                    <c:v>73,10</c:v>
                  </c:pt>
                  <c:pt idx="31">
                    <c:v>16,93</c:v>
                  </c:pt>
                  <c:pt idx="32">
                    <c:v>43,96</c:v>
                  </c:pt>
                </c:lvl>
                <c:lvl>
                  <c:pt idx="0">
                    <c:v>74,48</c:v>
                  </c:pt>
                  <c:pt idx="1">
                    <c:v>57,38</c:v>
                  </c:pt>
                  <c:pt idx="2">
                    <c:v>50,97</c:v>
                  </c:pt>
                  <c:pt idx="3">
                    <c:v>68,85</c:v>
                  </c:pt>
                  <c:pt idx="4">
                    <c:v>87,90</c:v>
                  </c:pt>
                  <c:pt idx="5">
                    <c:v>54,86</c:v>
                  </c:pt>
                  <c:pt idx="6">
                    <c:v>68,65</c:v>
                  </c:pt>
                  <c:pt idx="8">
                    <c:v>50,80</c:v>
                  </c:pt>
                  <c:pt idx="9">
                    <c:v>66,89</c:v>
                  </c:pt>
                  <c:pt idx="10">
                    <c:v>50,13</c:v>
                  </c:pt>
                  <c:pt idx="11">
                    <c:v>74,61</c:v>
                  </c:pt>
                  <c:pt idx="12">
                    <c:v>77,51</c:v>
                  </c:pt>
                  <c:pt idx="13">
                    <c:v>77,75</c:v>
                  </c:pt>
                  <c:pt idx="14">
                    <c:v>90,87</c:v>
                  </c:pt>
                  <c:pt idx="16">
                    <c:v>82,76</c:v>
                  </c:pt>
                  <c:pt idx="17">
                    <c:v>91,06</c:v>
                  </c:pt>
                  <c:pt idx="18">
                    <c:v>78,70</c:v>
                  </c:pt>
                  <c:pt idx="19">
                    <c:v>85,10</c:v>
                  </c:pt>
                  <c:pt idx="20">
                    <c:v>66,28</c:v>
                  </c:pt>
                  <c:pt idx="21">
                    <c:v>70,62</c:v>
                  </c:pt>
                  <c:pt idx="22">
                    <c:v>84,26</c:v>
                  </c:pt>
                  <c:pt idx="24">
                    <c:v>80,96</c:v>
                  </c:pt>
                  <c:pt idx="25">
                    <c:v>96,53</c:v>
                  </c:pt>
                  <c:pt idx="26">
                    <c:v>63,91</c:v>
                  </c:pt>
                  <c:pt idx="27">
                    <c:v>68,97</c:v>
                  </c:pt>
                  <c:pt idx="28">
                    <c:v>78,55</c:v>
                  </c:pt>
                  <c:pt idx="29">
                    <c:v>54,59</c:v>
                  </c:pt>
                  <c:pt idx="30">
                    <c:v>78,69</c:v>
                  </c:pt>
                  <c:pt idx="31">
                    <c:v>61,34</c:v>
                  </c:pt>
                  <c:pt idx="32">
                    <c:v>75,85</c:v>
                  </c:pt>
                </c:lvl>
                <c:lvl>
                  <c:pt idx="0">
                    <c:v>77,73</c:v>
                  </c:pt>
                  <c:pt idx="1">
                    <c:v>71,14</c:v>
                  </c:pt>
                  <c:pt idx="2">
                    <c:v>73,86</c:v>
                  </c:pt>
                  <c:pt idx="3">
                    <c:v>88,48</c:v>
                  </c:pt>
                  <c:pt idx="4">
                    <c:v>70,15</c:v>
                  </c:pt>
                  <c:pt idx="5">
                    <c:v>59,67</c:v>
                  </c:pt>
                  <c:pt idx="6">
                    <c:v>85,29</c:v>
                  </c:pt>
                  <c:pt idx="8">
                    <c:v>60,32</c:v>
                  </c:pt>
                  <c:pt idx="9">
                    <c:v>74,05</c:v>
                  </c:pt>
                  <c:pt idx="10">
                    <c:v>84,71</c:v>
                  </c:pt>
                  <c:pt idx="11">
                    <c:v>80,83</c:v>
                  </c:pt>
                  <c:pt idx="12">
                    <c:v>83,74</c:v>
                  </c:pt>
                  <c:pt idx="13">
                    <c:v>82,17</c:v>
                  </c:pt>
                  <c:pt idx="14">
                    <c:v>84,70</c:v>
                  </c:pt>
                  <c:pt idx="16">
                    <c:v>97,47</c:v>
                  </c:pt>
                  <c:pt idx="17">
                    <c:v>114,55</c:v>
                  </c:pt>
                  <c:pt idx="18">
                    <c:v>53,37</c:v>
                  </c:pt>
                  <c:pt idx="19">
                    <c:v>65,01</c:v>
                  </c:pt>
                  <c:pt idx="20">
                    <c:v>69,88</c:v>
                  </c:pt>
                  <c:pt idx="21">
                    <c:v>65,82</c:v>
                  </c:pt>
                  <c:pt idx="22">
                    <c:v>96,47</c:v>
                  </c:pt>
                  <c:pt idx="24">
                    <c:v>75,44</c:v>
                  </c:pt>
                  <c:pt idx="25">
                    <c:v>78,89</c:v>
                  </c:pt>
                  <c:pt idx="26">
                    <c:v>68,56</c:v>
                  </c:pt>
                  <c:pt idx="27">
                    <c:v>72,66</c:v>
                  </c:pt>
                  <c:pt idx="28">
                    <c:v>83,22</c:v>
                  </c:pt>
                  <c:pt idx="29">
                    <c:v>76,11</c:v>
                  </c:pt>
                  <c:pt idx="30">
                    <c:v>87,74</c:v>
                  </c:pt>
                  <c:pt idx="31">
                    <c:v>65,48</c:v>
                  </c:pt>
                  <c:pt idx="32">
                    <c:v>74,19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74,99</c:v>
                  </c:pt>
                  <c:pt idx="1">
                    <c:v>62,39</c:v>
                  </c:pt>
                  <c:pt idx="2">
                    <c:v>61,34</c:v>
                  </c:pt>
                  <c:pt idx="3">
                    <c:v>59,79</c:v>
                  </c:pt>
                  <c:pt idx="4">
                    <c:v>54,93</c:v>
                  </c:pt>
                  <c:pt idx="5">
                    <c:v>56,69</c:v>
                  </c:pt>
                  <c:pt idx="6">
                    <c:v>64,03</c:v>
                  </c:pt>
                  <c:pt idx="8">
                    <c:v>58,99</c:v>
                  </c:pt>
                  <c:pt idx="9">
                    <c:v>75,37</c:v>
                  </c:pt>
                  <c:pt idx="10">
                    <c:v>76,72</c:v>
                  </c:pt>
                  <c:pt idx="11">
                    <c:v>73,40</c:v>
                  </c:pt>
                  <c:pt idx="12">
                    <c:v>67,65</c:v>
                  </c:pt>
                  <c:pt idx="13">
                    <c:v>55,00</c:v>
                  </c:pt>
                  <c:pt idx="14">
                    <c:v>69,87</c:v>
                  </c:pt>
                  <c:pt idx="16">
                    <c:v>84,42</c:v>
                  </c:pt>
                  <c:pt idx="17">
                    <c:v>58,19</c:v>
                  </c:pt>
                  <c:pt idx="18">
                    <c:v>70,23</c:v>
                  </c:pt>
                  <c:pt idx="19">
                    <c:v>55,11</c:v>
                  </c:pt>
                  <c:pt idx="20">
                    <c:v>75,18</c:v>
                  </c:pt>
                  <c:pt idx="21">
                    <c:v>65,18</c:v>
                  </c:pt>
                  <c:pt idx="22">
                    <c:v>70,81</c:v>
                  </c:pt>
                  <c:pt idx="24">
                    <c:v>71,20</c:v>
                  </c:pt>
                  <c:pt idx="25">
                    <c:v>74,04</c:v>
                  </c:pt>
                  <c:pt idx="26">
                    <c:v>61,91</c:v>
                  </c:pt>
                  <c:pt idx="27">
                    <c:v>78,69</c:v>
                  </c:pt>
                  <c:pt idx="28">
                    <c:v>66,47</c:v>
                  </c:pt>
                  <c:pt idx="29">
                    <c:v>75,08</c:v>
                  </c:pt>
                  <c:pt idx="30">
                    <c:v>71,44</c:v>
                  </c:pt>
                  <c:pt idx="31">
                    <c:v>73,81</c:v>
                  </c:pt>
                  <c:pt idx="32">
                    <c:v>78,07</c:v>
                  </c:pt>
                </c:lvl>
                <c:lvl>
                  <c:pt idx="0">
                    <c:v>108,56</c:v>
                  </c:pt>
                  <c:pt idx="1">
                    <c:v>104,74</c:v>
                  </c:pt>
                  <c:pt idx="2">
                    <c:v>96,37</c:v>
                  </c:pt>
                  <c:pt idx="3">
                    <c:v>86,22</c:v>
                  </c:pt>
                  <c:pt idx="4">
                    <c:v>82,19</c:v>
                  </c:pt>
                  <c:pt idx="5">
                    <c:v>83,37</c:v>
                  </c:pt>
                  <c:pt idx="6">
                    <c:v>81,25</c:v>
                  </c:pt>
                  <c:pt idx="8">
                    <c:v>102,31</c:v>
                  </c:pt>
                  <c:pt idx="9">
                    <c:v>99,87</c:v>
                  </c:pt>
                  <c:pt idx="10">
                    <c:v>92,46</c:v>
                  </c:pt>
                  <c:pt idx="11">
                    <c:v>102,75</c:v>
                  </c:pt>
                  <c:pt idx="12">
                    <c:v>76,33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69,83</c:v>
                  </c:pt>
                  <c:pt idx="1">
                    <c:v>74,23</c:v>
                  </c:pt>
                  <c:pt idx="2">
                    <c:v>73,72</c:v>
                  </c:pt>
                  <c:pt idx="3">
                    <c:v>65,74</c:v>
                  </c:pt>
                  <c:pt idx="4">
                    <c:v>59,91</c:v>
                  </c:pt>
                  <c:pt idx="5">
                    <c:v>74,53</c:v>
                  </c:pt>
                  <c:pt idx="6">
                    <c:v>67,65</c:v>
                  </c:pt>
                  <c:pt idx="8">
                    <c:v>49,85</c:v>
                  </c:pt>
                  <c:pt idx="9">
                    <c:v>72,69</c:v>
                  </c:pt>
                  <c:pt idx="10">
                    <c:v>65,45</c:v>
                  </c:pt>
                  <c:pt idx="11">
                    <c:v>75,78</c:v>
                  </c:pt>
                  <c:pt idx="12">
                    <c:v>70,73</c:v>
                  </c:pt>
                  <c:pt idx="13">
                    <c:v>76,04</c:v>
                  </c:pt>
                  <c:pt idx="14">
                    <c:v>65,83</c:v>
                  </c:pt>
                  <c:pt idx="16">
                    <c:v>86,63</c:v>
                  </c:pt>
                  <c:pt idx="17">
                    <c:v>80,43</c:v>
                  </c:pt>
                  <c:pt idx="18">
                    <c:v>70,40</c:v>
                  </c:pt>
                  <c:pt idx="20">
                    <c:v>66,48</c:v>
                  </c:pt>
                  <c:pt idx="21">
                    <c:v>68,75</c:v>
                  </c:pt>
                  <c:pt idx="22">
                    <c:v>75,21</c:v>
                  </c:pt>
                  <c:pt idx="24">
                    <c:v>99,14</c:v>
                  </c:pt>
                  <c:pt idx="25">
                    <c:v>76,46</c:v>
                  </c:pt>
                  <c:pt idx="26">
                    <c:v>66,65</c:v>
                  </c:pt>
                  <c:pt idx="27">
                    <c:v>43,46</c:v>
                  </c:pt>
                  <c:pt idx="28">
                    <c:v>80,36</c:v>
                  </c:pt>
                  <c:pt idx="29">
                    <c:v>66,98</c:v>
                  </c:pt>
                  <c:pt idx="30">
                    <c:v>87,00</c:v>
                  </c:pt>
                  <c:pt idx="31">
                    <c:v>73,52</c:v>
                  </c:pt>
                  <c:pt idx="32">
                    <c:v>82,27</c:v>
                  </c:pt>
                </c:lvl>
                <c:lvl>
                  <c:pt idx="0">
                    <c:v>87,02</c:v>
                  </c:pt>
                  <c:pt idx="1">
                    <c:v>69,61</c:v>
                  </c:pt>
                  <c:pt idx="2">
                    <c:v>95,97</c:v>
                  </c:pt>
                  <c:pt idx="3">
                    <c:v>88,96</c:v>
                  </c:pt>
                  <c:pt idx="4">
                    <c:v>66,97</c:v>
                  </c:pt>
                  <c:pt idx="5">
                    <c:v>81,11</c:v>
                  </c:pt>
                  <c:pt idx="6">
                    <c:v>79,28</c:v>
                  </c:pt>
                  <c:pt idx="8">
                    <c:v>70,37</c:v>
                  </c:pt>
                  <c:pt idx="9">
                    <c:v>90,54</c:v>
                  </c:pt>
                  <c:pt idx="10">
                    <c:v>73,13</c:v>
                  </c:pt>
                  <c:pt idx="12">
                    <c:v>129,99</c:v>
                  </c:pt>
                  <c:pt idx="13">
                    <c:v>78,30</c:v>
                  </c:pt>
                  <c:pt idx="14">
                    <c:v>90,69</c:v>
                  </c:pt>
                  <c:pt idx="16">
                    <c:v>107,10</c:v>
                  </c:pt>
                  <c:pt idx="17">
                    <c:v>94,25</c:v>
                  </c:pt>
                  <c:pt idx="18">
                    <c:v>89,24</c:v>
                  </c:pt>
                  <c:pt idx="19">
                    <c:v>80,86</c:v>
                  </c:pt>
                  <c:pt idx="20">
                    <c:v>76,66</c:v>
                  </c:pt>
                  <c:pt idx="21">
                    <c:v>102,29</c:v>
                  </c:pt>
                  <c:pt idx="22">
                    <c:v>90,62</c:v>
                  </c:pt>
                  <c:pt idx="24">
                    <c:v>97,63</c:v>
                  </c:pt>
                  <c:pt idx="25">
                    <c:v>100,68</c:v>
                  </c:pt>
                  <c:pt idx="26">
                    <c:v>77,06</c:v>
                  </c:pt>
                  <c:pt idx="27">
                    <c:v>74,12</c:v>
                  </c:pt>
                  <c:pt idx="28">
                    <c:v>100,53</c:v>
                  </c:pt>
                  <c:pt idx="29">
                    <c:v>88,32</c:v>
                  </c:pt>
                  <c:pt idx="30">
                    <c:v>25,14</c:v>
                  </c:pt>
                  <c:pt idx="31">
                    <c:v>55,86</c:v>
                  </c:pt>
                  <c:pt idx="32">
                    <c:v>87,61</c:v>
                  </c:pt>
                </c:lvl>
                <c:lvl>
                  <c:pt idx="0">
                    <c:v>75,35</c:v>
                  </c:pt>
                  <c:pt idx="1">
                    <c:v>70,68</c:v>
                  </c:pt>
                  <c:pt idx="2">
                    <c:v>81,70</c:v>
                  </c:pt>
                  <c:pt idx="3">
                    <c:v>98,85</c:v>
                  </c:pt>
                  <c:pt idx="4">
                    <c:v>48,46</c:v>
                  </c:pt>
                  <c:pt idx="5">
                    <c:v>3,87</c:v>
                  </c:pt>
                  <c:pt idx="6">
                    <c:v>69,30</c:v>
                  </c:pt>
                  <c:pt idx="8">
                    <c:v>57,61</c:v>
                  </c:pt>
                  <c:pt idx="9">
                    <c:v>81,47</c:v>
                  </c:pt>
                  <c:pt idx="10">
                    <c:v>85,20</c:v>
                  </c:pt>
                  <c:pt idx="11">
                    <c:v>87,57</c:v>
                  </c:pt>
                  <c:pt idx="12">
                    <c:v>66,61</c:v>
                  </c:pt>
                  <c:pt idx="13">
                    <c:v>77,86</c:v>
                  </c:pt>
                  <c:pt idx="14">
                    <c:v>81,37</c:v>
                  </c:pt>
                  <c:pt idx="16">
                    <c:v>87,75</c:v>
                  </c:pt>
                  <c:pt idx="17">
                    <c:v>92,59</c:v>
                  </c:pt>
                  <c:pt idx="18">
                    <c:v>73,39</c:v>
                  </c:pt>
                  <c:pt idx="19">
                    <c:v>79,19</c:v>
                  </c:pt>
                  <c:pt idx="20">
                    <c:v>85,19</c:v>
                  </c:pt>
                  <c:pt idx="21">
                    <c:v>77,15</c:v>
                  </c:pt>
                  <c:pt idx="22">
                    <c:v>88,22</c:v>
                  </c:pt>
                  <c:pt idx="24">
                    <c:v>89,01</c:v>
                  </c:pt>
                  <c:pt idx="25">
                    <c:v>72,14</c:v>
                  </c:pt>
                  <c:pt idx="26">
                    <c:v>87,79</c:v>
                  </c:pt>
                  <c:pt idx="27">
                    <c:v>119,59</c:v>
                  </c:pt>
                  <c:pt idx="28">
                    <c:v>93,15</c:v>
                  </c:pt>
                  <c:pt idx="29">
                    <c:v>69,65</c:v>
                  </c:pt>
                  <c:pt idx="30">
                    <c:v>108,13</c:v>
                  </c:pt>
                  <c:pt idx="31">
                    <c:v>57,78</c:v>
                  </c:pt>
                  <c:pt idx="32">
                    <c:v>86,51</c:v>
                  </c:pt>
                </c:lvl>
                <c:lvl>
                  <c:pt idx="0">
                    <c:v>76,22</c:v>
                  </c:pt>
                  <c:pt idx="1">
                    <c:v>83,13</c:v>
                  </c:pt>
                  <c:pt idx="2">
                    <c:v>71,11</c:v>
                  </c:pt>
                  <c:pt idx="3">
                    <c:v>75,42</c:v>
                  </c:pt>
                  <c:pt idx="4">
                    <c:v>68,93</c:v>
                  </c:pt>
                  <c:pt idx="5">
                    <c:v>70,64</c:v>
                  </c:pt>
                  <c:pt idx="6">
                    <c:v>83,44</c:v>
                  </c:pt>
                  <c:pt idx="8">
                    <c:v>70,48</c:v>
                  </c:pt>
                  <c:pt idx="9">
                    <c:v>85,35</c:v>
                  </c:pt>
                  <c:pt idx="10">
                    <c:v>94,85</c:v>
                  </c:pt>
                  <c:pt idx="11">
                    <c:v>81,38</c:v>
                  </c:pt>
                  <c:pt idx="12">
                    <c:v>79,76</c:v>
                  </c:pt>
                  <c:pt idx="13">
                    <c:v>76,84</c:v>
                  </c:pt>
                  <c:pt idx="14">
                    <c:v>68,37</c:v>
                  </c:pt>
                  <c:pt idx="16">
                    <c:v>97,82</c:v>
                  </c:pt>
                  <c:pt idx="17">
                    <c:v>76,49</c:v>
                  </c:pt>
                  <c:pt idx="18">
                    <c:v>71,75</c:v>
                  </c:pt>
                  <c:pt idx="19">
                    <c:v>97,51</c:v>
                  </c:pt>
                  <c:pt idx="20">
                    <c:v>82,36</c:v>
                  </c:pt>
                  <c:pt idx="21">
                    <c:v>76,44</c:v>
                  </c:pt>
                  <c:pt idx="22">
                    <c:v>82,17</c:v>
                  </c:pt>
                  <c:pt idx="24">
                    <c:v>93,95</c:v>
                  </c:pt>
                  <c:pt idx="25">
                    <c:v>85,99</c:v>
                  </c:pt>
                  <c:pt idx="26">
                    <c:v>66,34</c:v>
                  </c:pt>
                  <c:pt idx="27">
                    <c:v>65,13</c:v>
                  </c:pt>
                  <c:pt idx="28">
                    <c:v>92,59</c:v>
                  </c:pt>
                  <c:pt idx="29">
                    <c:v>71,62</c:v>
                  </c:pt>
                  <c:pt idx="30">
                    <c:v>94,73</c:v>
                  </c:pt>
                  <c:pt idx="31">
                    <c:v>62,48</c:v>
                  </c:pt>
                  <c:pt idx="32">
                    <c:v>84,82</c:v>
                  </c:pt>
                </c:lvl>
                <c:lvl>
                  <c:pt idx="0">
                    <c:v>75,98</c:v>
                  </c:pt>
                  <c:pt idx="1">
                    <c:v>86,42</c:v>
                  </c:pt>
                  <c:pt idx="2">
                    <c:v>70,74</c:v>
                  </c:pt>
                  <c:pt idx="3">
                    <c:v>66,66</c:v>
                  </c:pt>
                  <c:pt idx="4">
                    <c:v>76,39</c:v>
                  </c:pt>
                  <c:pt idx="5">
                    <c:v>66,95</c:v>
                  </c:pt>
                  <c:pt idx="6">
                    <c:v>76,41</c:v>
                  </c:pt>
                  <c:pt idx="8">
                    <c:v>68,83</c:v>
                  </c:pt>
                  <c:pt idx="9">
                    <c:v>80,94</c:v>
                  </c:pt>
                  <c:pt idx="10">
                    <c:v>66,48</c:v>
                  </c:pt>
                  <c:pt idx="11">
                    <c:v>78,66</c:v>
                  </c:pt>
                  <c:pt idx="12">
                    <c:v>71,02</c:v>
                  </c:pt>
                  <c:pt idx="13">
                    <c:v>64,75</c:v>
                  </c:pt>
                  <c:pt idx="14">
                    <c:v>81,53</c:v>
                  </c:pt>
                  <c:pt idx="16">
                    <c:v>91,39</c:v>
                  </c:pt>
                  <c:pt idx="17">
                    <c:v>89,37</c:v>
                  </c:pt>
                  <c:pt idx="18">
                    <c:v>91,17</c:v>
                  </c:pt>
                  <c:pt idx="19">
                    <c:v>77,60</c:v>
                  </c:pt>
                  <c:pt idx="20">
                    <c:v>75,55</c:v>
                  </c:pt>
                  <c:pt idx="21">
                    <c:v>75,30</c:v>
                  </c:pt>
                  <c:pt idx="22">
                    <c:v>84,20</c:v>
                  </c:pt>
                  <c:pt idx="24">
                    <c:v>88,45</c:v>
                  </c:pt>
                  <c:pt idx="25">
                    <c:v>80,17</c:v>
                  </c:pt>
                  <c:pt idx="26">
                    <c:v>80,12</c:v>
                  </c:pt>
                  <c:pt idx="27">
                    <c:v>57,31</c:v>
                  </c:pt>
                  <c:pt idx="28">
                    <c:v>58,31</c:v>
                  </c:pt>
                </c:lvl>
                <c:lvl>
                  <c:pt idx="0">
                    <c:v>76,23</c:v>
                  </c:pt>
                  <c:pt idx="1">
                    <c:v>78,95</c:v>
                  </c:pt>
                  <c:pt idx="2">
                    <c:v>43,03</c:v>
                  </c:pt>
                  <c:pt idx="3">
                    <c:v>89,27</c:v>
                  </c:pt>
                  <c:pt idx="4">
                    <c:v>61,53</c:v>
                  </c:pt>
                  <c:pt idx="5">
                    <c:v>41,99</c:v>
                  </c:pt>
                  <c:pt idx="6">
                    <c:v>82,37</c:v>
                  </c:pt>
                  <c:pt idx="8">
                    <c:v>60,84</c:v>
                  </c:pt>
                  <c:pt idx="9">
                    <c:v>71,25</c:v>
                  </c:pt>
                  <c:pt idx="10">
                    <c:v>90,58</c:v>
                  </c:pt>
                  <c:pt idx="11">
                    <c:v>78,95</c:v>
                  </c:pt>
                  <c:pt idx="12">
                    <c:v>77,94</c:v>
                  </c:pt>
                  <c:pt idx="13">
                    <c:v>80,88</c:v>
                  </c:pt>
                  <c:pt idx="14">
                    <c:v>76,39</c:v>
                  </c:pt>
                  <c:pt idx="16">
                    <c:v>85,08</c:v>
                  </c:pt>
                  <c:pt idx="17">
                    <c:v>101,07</c:v>
                  </c:pt>
                  <c:pt idx="18">
                    <c:v>64,61</c:v>
                  </c:pt>
                  <c:pt idx="19">
                    <c:v>70,57</c:v>
                  </c:pt>
                  <c:pt idx="20">
                    <c:v>66,33</c:v>
                  </c:pt>
                  <c:pt idx="22">
                    <c:v>116,51</c:v>
                  </c:pt>
                  <c:pt idx="24">
                    <c:v>72,60</c:v>
                  </c:pt>
                  <c:pt idx="25">
                    <c:v>88,93</c:v>
                  </c:pt>
                  <c:pt idx="27">
                    <c:v>48,35</c:v>
                  </c:pt>
                  <c:pt idx="28">
                    <c:v>75,30</c:v>
                  </c:pt>
                  <c:pt idx="29">
                    <c:v>72,34</c:v>
                  </c:pt>
                  <c:pt idx="30">
                    <c:v>87,71</c:v>
                  </c:pt>
                  <c:pt idx="31">
                    <c:v>66,90</c:v>
                  </c:pt>
                  <c:pt idx="32">
                    <c:v>87,51</c:v>
                  </c:pt>
                </c:lvl>
                <c:lvl>
                  <c:pt idx="0">
                    <c:v>92,58</c:v>
                  </c:pt>
                  <c:pt idx="1">
                    <c:v>78,93</c:v>
                  </c:pt>
                  <c:pt idx="2">
                    <c:v>64,34</c:v>
                  </c:pt>
                  <c:pt idx="3">
                    <c:v>70,15</c:v>
                  </c:pt>
                  <c:pt idx="4">
                    <c:v>84,40</c:v>
                  </c:pt>
                  <c:pt idx="5">
                    <c:v>66,36</c:v>
                  </c:pt>
                  <c:pt idx="6">
                    <c:v>74,53</c:v>
                  </c:pt>
                  <c:pt idx="8">
                    <c:v>54,36</c:v>
                  </c:pt>
                  <c:pt idx="9">
                    <c:v>86,41</c:v>
                  </c:pt>
                  <c:pt idx="10">
                    <c:v>87,61</c:v>
                  </c:pt>
                  <c:pt idx="11">
                    <c:v>65,03</c:v>
                  </c:pt>
                  <c:pt idx="12">
                    <c:v>73,94</c:v>
                  </c:pt>
                  <c:pt idx="13">
                    <c:v>78,62</c:v>
                  </c:pt>
                  <c:pt idx="14">
                    <c:v>70,96</c:v>
                  </c:pt>
                  <c:pt idx="16">
                    <c:v>92,35</c:v>
                  </c:pt>
                  <c:pt idx="17">
                    <c:v>93,40</c:v>
                  </c:pt>
                  <c:pt idx="18">
                    <c:v>84,86</c:v>
                  </c:pt>
                  <c:pt idx="19">
                    <c:v>72,84</c:v>
                  </c:pt>
                  <c:pt idx="20">
                    <c:v>54,86</c:v>
                  </c:pt>
                  <c:pt idx="21">
                    <c:v>81,55</c:v>
                  </c:pt>
                  <c:pt idx="22">
                    <c:v>77,26</c:v>
                  </c:pt>
                  <c:pt idx="24">
                    <c:v>82,90</c:v>
                  </c:pt>
                  <c:pt idx="25">
                    <c:v>71,74</c:v>
                  </c:pt>
                  <c:pt idx="26">
                    <c:v>85,01</c:v>
                  </c:pt>
                  <c:pt idx="27">
                    <c:v>86,37</c:v>
                  </c:pt>
                  <c:pt idx="28">
                    <c:v>92,56</c:v>
                  </c:pt>
                  <c:pt idx="29">
                    <c:v>66,32</c:v>
                  </c:pt>
                  <c:pt idx="30">
                    <c:v>72,22</c:v>
                  </c:pt>
                </c:lvl>
                <c:lvl>
                  <c:pt idx="0">
                    <c:v>69,56</c:v>
                  </c:pt>
                  <c:pt idx="1">
                    <c:v>39,42</c:v>
                  </c:pt>
                  <c:pt idx="2">
                    <c:v>81,50</c:v>
                  </c:pt>
                  <c:pt idx="3">
                    <c:v>86,14</c:v>
                  </c:pt>
                  <c:pt idx="4">
                    <c:v>58,31</c:v>
                  </c:pt>
                  <c:pt idx="5">
                    <c:v>73,76</c:v>
                  </c:pt>
                  <c:pt idx="8">
                    <c:v>87,56</c:v>
                  </c:pt>
                  <c:pt idx="9">
                    <c:v>82,90</c:v>
                  </c:pt>
                  <c:pt idx="10">
                    <c:v>78,18</c:v>
                  </c:pt>
                  <c:pt idx="11">
                    <c:v>61,05</c:v>
                  </c:pt>
                  <c:pt idx="12">
                    <c:v>66,59</c:v>
                  </c:pt>
                  <c:pt idx="14">
                    <c:v>30,08</c:v>
                  </c:pt>
                  <c:pt idx="18">
                    <c:v>41,00</c:v>
                  </c:pt>
                  <c:pt idx="19">
                    <c:v>15,07</c:v>
                  </c:pt>
                  <c:pt idx="20">
                    <c:v>73,08</c:v>
                  </c:pt>
                  <c:pt idx="21">
                    <c:v>66,52</c:v>
                  </c:pt>
                  <c:pt idx="22">
                    <c:v>69,91</c:v>
                  </c:pt>
                  <c:pt idx="24">
                    <c:v>111,07</c:v>
                  </c:pt>
                  <c:pt idx="25">
                    <c:v>60,83</c:v>
                  </c:pt>
                  <c:pt idx="27">
                    <c:v>95,72</c:v>
                  </c:pt>
                  <c:pt idx="29">
                    <c:v>62,53</c:v>
                  </c:pt>
                  <c:pt idx="30">
                    <c:v>82,15</c:v>
                  </c:pt>
                  <c:pt idx="31">
                    <c:v>86,28</c:v>
                  </c:pt>
                </c:lvl>
                <c:lvl>
                  <c:pt idx="0">
                    <c:v>97,27</c:v>
                  </c:pt>
                  <c:pt idx="1">
                    <c:v>80,43</c:v>
                  </c:pt>
                  <c:pt idx="2">
                    <c:v>62,21</c:v>
                  </c:pt>
                  <c:pt idx="3">
                    <c:v>90,58</c:v>
                  </c:pt>
                  <c:pt idx="4">
                    <c:v>49,73</c:v>
                  </c:pt>
                  <c:pt idx="5">
                    <c:v>67,11</c:v>
                  </c:pt>
                  <c:pt idx="6">
                    <c:v>96,93</c:v>
                  </c:pt>
                  <c:pt idx="8">
                    <c:v>60,80</c:v>
                  </c:pt>
                  <c:pt idx="9">
                    <c:v>90,43</c:v>
                  </c:pt>
                  <c:pt idx="10">
                    <c:v>67,70</c:v>
                  </c:pt>
                  <c:pt idx="11">
                    <c:v>67,19</c:v>
                  </c:pt>
                  <c:pt idx="12">
                    <c:v>89,45</c:v>
                  </c:pt>
                  <c:pt idx="13">
                    <c:v>63,89</c:v>
                  </c:pt>
                  <c:pt idx="14">
                    <c:v>65,89</c:v>
                  </c:pt>
                  <c:pt idx="16">
                    <c:v>91,85</c:v>
                  </c:pt>
                  <c:pt idx="17">
                    <c:v>94,45</c:v>
                  </c:pt>
                  <c:pt idx="18">
                    <c:v>87,57</c:v>
                  </c:pt>
                  <c:pt idx="19">
                    <c:v>76,77</c:v>
                  </c:pt>
                  <c:pt idx="20">
                    <c:v>68,11</c:v>
                  </c:pt>
                  <c:pt idx="21">
                    <c:v>81,09</c:v>
                  </c:pt>
                  <c:pt idx="22">
                    <c:v>74,07</c:v>
                  </c:pt>
                  <c:pt idx="24">
                    <c:v>74,93</c:v>
                  </c:pt>
                  <c:pt idx="26">
                    <c:v>138,97</c:v>
                  </c:pt>
                  <c:pt idx="27">
                    <c:v>43,38</c:v>
                  </c:pt>
                  <c:pt idx="29">
                    <c:v>100,66</c:v>
                  </c:pt>
                  <c:pt idx="30">
                    <c:v>84,43</c:v>
                  </c:pt>
                  <c:pt idx="31">
                    <c:v>71,78</c:v>
                  </c:pt>
                </c:lvl>
                <c:lvl>
                  <c:pt idx="0">
                    <c:v>76,46</c:v>
                  </c:pt>
                  <c:pt idx="1">
                    <c:v>42,89</c:v>
                  </c:pt>
                  <c:pt idx="2">
                    <c:v>78,79</c:v>
                  </c:pt>
                  <c:pt idx="3">
                    <c:v>72,21</c:v>
                  </c:pt>
                  <c:pt idx="4">
                    <c:v>47,30</c:v>
                  </c:pt>
                  <c:pt idx="5">
                    <c:v>49,50</c:v>
                  </c:pt>
                  <c:pt idx="8">
                    <c:v>13,06</c:v>
                  </c:pt>
                  <c:pt idx="9">
                    <c:v>67,91</c:v>
                  </c:pt>
                  <c:pt idx="10">
                    <c:v>70,45</c:v>
                  </c:pt>
                  <c:pt idx="11">
                    <c:v>109,44</c:v>
                  </c:pt>
                  <c:pt idx="12">
                    <c:v>52,89</c:v>
                  </c:pt>
                  <c:pt idx="13">
                    <c:v>71,24</c:v>
                  </c:pt>
                  <c:pt idx="14">
                    <c:v>95,92</c:v>
                  </c:pt>
                  <c:pt idx="16">
                    <c:v>111,92</c:v>
                  </c:pt>
                  <c:pt idx="17">
                    <c:v>62,30</c:v>
                  </c:pt>
                  <c:pt idx="18">
                    <c:v>81,23</c:v>
                  </c:pt>
                  <c:pt idx="19">
                    <c:v>87,58</c:v>
                  </c:pt>
                  <c:pt idx="20">
                    <c:v>84,78</c:v>
                  </c:pt>
                  <c:pt idx="21">
                    <c:v>77,57</c:v>
                  </c:pt>
                  <c:pt idx="24">
                    <c:v>91,17</c:v>
                  </c:pt>
                  <c:pt idx="25">
                    <c:v>86,40</c:v>
                  </c:pt>
                  <c:pt idx="26">
                    <c:v>78,22</c:v>
                  </c:pt>
                  <c:pt idx="27">
                    <c:v>73,24</c:v>
                  </c:pt>
                  <c:pt idx="28">
                    <c:v>63,96</c:v>
                  </c:pt>
                  <c:pt idx="29">
                    <c:v>61,70</c:v>
                  </c:pt>
                  <c:pt idx="31">
                    <c:v>35,57</c:v>
                  </c:pt>
                  <c:pt idx="32">
                    <c:v>87,32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94,35</c:v>
                  </c:pt>
                  <c:pt idx="1">
                    <c:v>59,74</c:v>
                  </c:pt>
                  <c:pt idx="2">
                    <c:v>81,91</c:v>
                  </c:pt>
                  <c:pt idx="3">
                    <c:v>71,16</c:v>
                  </c:pt>
                  <c:pt idx="4">
                    <c:v>40,01</c:v>
                  </c:pt>
                  <c:pt idx="5">
                    <c:v>66,38</c:v>
                  </c:pt>
                  <c:pt idx="6">
                    <c:v>87,00</c:v>
                  </c:pt>
                  <c:pt idx="8">
                    <c:v>62,03</c:v>
                  </c:pt>
                  <c:pt idx="9">
                    <c:v>81,03</c:v>
                  </c:pt>
                  <c:pt idx="10">
                    <c:v>76,29</c:v>
                  </c:pt>
                  <c:pt idx="11">
                    <c:v>82,95</c:v>
                  </c:pt>
                  <c:pt idx="12">
                    <c:v>80,21</c:v>
                  </c:pt>
                  <c:pt idx="13">
                    <c:v>71,35</c:v>
                  </c:pt>
                  <c:pt idx="14">
                    <c:v>67,35</c:v>
                  </c:pt>
                  <c:pt idx="16">
                    <c:v>76,59</c:v>
                  </c:pt>
                  <c:pt idx="17">
                    <c:v>65,78</c:v>
                  </c:pt>
                  <c:pt idx="18">
                    <c:v>56,07</c:v>
                  </c:pt>
                  <c:pt idx="19">
                    <c:v>71,92</c:v>
                  </c:pt>
                  <c:pt idx="20">
                    <c:v>75,96</c:v>
                  </c:pt>
                  <c:pt idx="21">
                    <c:v>58,95</c:v>
                  </c:pt>
                  <c:pt idx="22">
                    <c:v>66,21</c:v>
                  </c:pt>
                  <c:pt idx="24">
                    <c:v>135,00</c:v>
                  </c:pt>
                  <c:pt idx="25">
                    <c:v>76,09</c:v>
                  </c:pt>
                  <c:pt idx="26">
                    <c:v>77,09</c:v>
                  </c:pt>
                </c:lvl>
                <c:lvl>
                  <c:pt idx="0">
                    <c:v>71,96</c:v>
                  </c:pt>
                  <c:pt idx="1">
                    <c:v>79,02</c:v>
                  </c:pt>
                  <c:pt idx="2">
                    <c:v>64,51</c:v>
                  </c:pt>
                  <c:pt idx="3">
                    <c:v>84,47</c:v>
                  </c:pt>
                  <c:pt idx="4">
                    <c:v>75,25</c:v>
                  </c:pt>
                  <c:pt idx="5">
                    <c:v>49,48</c:v>
                  </c:pt>
                  <c:pt idx="6">
                    <c:v>70,06</c:v>
                  </c:pt>
                  <c:pt idx="8">
                    <c:v>69,40</c:v>
                  </c:pt>
                  <c:pt idx="9">
                    <c:v>70,39</c:v>
                  </c:pt>
                  <c:pt idx="10">
                    <c:v>76,19</c:v>
                  </c:pt>
                  <c:pt idx="11">
                    <c:v>79,70</c:v>
                  </c:pt>
                  <c:pt idx="12">
                    <c:v>74,77</c:v>
                  </c:pt>
                  <c:pt idx="13">
                    <c:v>82,78</c:v>
                  </c:pt>
                  <c:pt idx="14">
                    <c:v>71,92</c:v>
                  </c:pt>
                  <c:pt idx="16">
                    <c:v>91,44</c:v>
                  </c:pt>
                  <c:pt idx="17">
                    <c:v>69,09</c:v>
                  </c:pt>
                  <c:pt idx="18">
                    <c:v>65,01</c:v>
                  </c:pt>
                  <c:pt idx="19">
                    <c:v>40,17</c:v>
                  </c:pt>
                  <c:pt idx="20">
                    <c:v>48,83</c:v>
                  </c:pt>
                  <c:pt idx="21">
                    <c:v>82,77</c:v>
                  </c:pt>
                  <c:pt idx="22">
                    <c:v>60,30</c:v>
                  </c:pt>
                  <c:pt idx="24">
                    <c:v>84,35</c:v>
                  </c:pt>
                  <c:pt idx="25">
                    <c:v>53,55</c:v>
                  </c:pt>
                  <c:pt idx="26">
                    <c:v>72,03</c:v>
                  </c:pt>
                  <c:pt idx="27">
                    <c:v>67,84</c:v>
                  </c:pt>
                  <c:pt idx="28">
                    <c:v>91,10</c:v>
                  </c:pt>
                  <c:pt idx="29">
                    <c:v>85,24</c:v>
                  </c:pt>
                  <c:pt idx="30">
                    <c:v>76,72</c:v>
                  </c:pt>
                  <c:pt idx="31">
                    <c:v>69,23</c:v>
                  </c:pt>
                  <c:pt idx="32">
                    <c:v>93,23</c:v>
                  </c:pt>
                </c:lvl>
                <c:lvl>
                  <c:pt idx="0">
                    <c:v>90,94</c:v>
                  </c:pt>
                  <c:pt idx="1">
                    <c:v>58,43</c:v>
                  </c:pt>
                  <c:pt idx="2">
                    <c:v>82,52</c:v>
                  </c:pt>
                  <c:pt idx="3">
                    <c:v>63,62</c:v>
                  </c:pt>
                  <c:pt idx="4">
                    <c:v>50,96</c:v>
                  </c:pt>
                  <c:pt idx="5">
                    <c:v>56,79</c:v>
                  </c:pt>
                  <c:pt idx="6">
                    <c:v>75,28</c:v>
                  </c:pt>
                  <c:pt idx="8">
                    <c:v>38,73</c:v>
                  </c:pt>
                  <c:pt idx="9">
                    <c:v>95,13</c:v>
                  </c:pt>
                  <c:pt idx="10">
                    <c:v>56,33</c:v>
                  </c:pt>
                  <c:pt idx="11">
                    <c:v>66,09</c:v>
                  </c:pt>
                  <c:pt idx="12">
                    <c:v>111,84</c:v>
                  </c:pt>
                  <c:pt idx="13">
                    <c:v>83,90</c:v>
                  </c:pt>
                  <c:pt idx="14">
                    <c:v>66,44</c:v>
                  </c:pt>
                  <c:pt idx="16">
                    <c:v>54,80</c:v>
                  </c:pt>
                  <c:pt idx="17">
                    <c:v>106,78</c:v>
                  </c:pt>
                  <c:pt idx="18">
                    <c:v>93,12</c:v>
                  </c:pt>
                  <c:pt idx="19">
                    <c:v>84,61</c:v>
                  </c:pt>
                  <c:pt idx="20">
                    <c:v>149,34</c:v>
                  </c:pt>
                  <c:pt idx="21">
                    <c:v>80,88</c:v>
                  </c:pt>
                  <c:pt idx="22">
                    <c:v>71,18</c:v>
                  </c:pt>
                  <c:pt idx="24">
                    <c:v>96,43</c:v>
                  </c:pt>
                  <c:pt idx="25">
                    <c:v>56,67</c:v>
                  </c:pt>
                  <c:pt idx="26">
                    <c:v>51,03</c:v>
                  </c:pt>
                  <c:pt idx="27">
                    <c:v>63,52</c:v>
                  </c:pt>
                  <c:pt idx="28">
                    <c:v>60,06</c:v>
                  </c:pt>
                  <c:pt idx="29">
                    <c:v>90,06</c:v>
                  </c:pt>
                  <c:pt idx="31">
                    <c:v>47,61</c:v>
                  </c:pt>
                  <c:pt idx="32">
                    <c:v>74,98</c:v>
                  </c:pt>
                </c:lvl>
                <c:lvl>
                  <c:pt idx="0">
                    <c:v>183,85</c:v>
                  </c:pt>
                  <c:pt idx="1">
                    <c:v>87,54</c:v>
                  </c:pt>
                  <c:pt idx="2">
                    <c:v>55,67</c:v>
                  </c:pt>
                  <c:pt idx="3">
                    <c:v>89,17</c:v>
                  </c:pt>
                  <c:pt idx="4">
                    <c:v>77,56</c:v>
                  </c:pt>
                  <c:pt idx="5">
                    <c:v>78,02</c:v>
                  </c:pt>
                  <c:pt idx="6">
                    <c:v>82,07</c:v>
                  </c:pt>
                  <c:pt idx="8">
                    <c:v>76,95</c:v>
                  </c:pt>
                  <c:pt idx="9">
                    <c:v>82,23</c:v>
                  </c:pt>
                  <c:pt idx="10">
                    <c:v>78,44</c:v>
                  </c:pt>
                  <c:pt idx="11">
                    <c:v>78,65</c:v>
                  </c:pt>
                  <c:pt idx="12">
                    <c:v>83,91</c:v>
                  </c:pt>
                  <c:pt idx="13">
                    <c:v>86,75</c:v>
                  </c:pt>
                  <c:pt idx="14">
                    <c:v>75,19</c:v>
                  </c:pt>
                  <c:pt idx="23">
                    <c:v>PM</c:v>
                  </c:pt>
                  <c:pt idx="24">
                    <c:v>69,24</c:v>
                  </c:pt>
                  <c:pt idx="25">
                    <c:v>85,39</c:v>
                  </c:pt>
                  <c:pt idx="26">
                    <c:v>91,09</c:v>
                  </c:pt>
                  <c:pt idx="27">
                    <c:v>101,77</c:v>
                  </c:pt>
                  <c:pt idx="28">
                    <c:v>58,79</c:v>
                  </c:pt>
                  <c:pt idx="29">
                    <c:v>75,51</c:v>
                  </c:pt>
                  <c:pt idx="30">
                    <c:v>69,12</c:v>
                  </c:pt>
                  <c:pt idx="31">
                    <c:v>84,09</c:v>
                  </c:pt>
                  <c:pt idx="32">
                    <c:v>78,71</c:v>
                  </c:pt>
                </c:lvl>
                <c:lvl>
                  <c:pt idx="0">
                    <c:v>87,73</c:v>
                  </c:pt>
                  <c:pt idx="1">
                    <c:v>78,89</c:v>
                  </c:pt>
                  <c:pt idx="2">
                    <c:v>47,73</c:v>
                  </c:pt>
                  <c:pt idx="3">
                    <c:v>77,33</c:v>
                  </c:pt>
                  <c:pt idx="4">
                    <c:v>46,27</c:v>
                  </c:pt>
                  <c:pt idx="5">
                    <c:v>77,53</c:v>
                  </c:pt>
                  <c:pt idx="6">
                    <c:v>72,95</c:v>
                  </c:pt>
                  <c:pt idx="8">
                    <c:v>54,93</c:v>
                  </c:pt>
                  <c:pt idx="9">
                    <c:v>80,61</c:v>
                  </c:pt>
                  <c:pt idx="10">
                    <c:v>60,08</c:v>
                  </c:pt>
                  <c:pt idx="11">
                    <c:v>68,84</c:v>
                  </c:pt>
                  <c:pt idx="12">
                    <c:v>73,26</c:v>
                  </c:pt>
                  <c:pt idx="13">
                    <c:v>83,14</c:v>
                  </c:pt>
                  <c:pt idx="14">
                    <c:v>71,26</c:v>
                  </c:pt>
                  <c:pt idx="16">
                    <c:v>91,08</c:v>
                  </c:pt>
                  <c:pt idx="17">
                    <c:v>85,07</c:v>
                  </c:pt>
                  <c:pt idx="18">
                    <c:v>90,18</c:v>
                  </c:pt>
                  <c:pt idx="19">
                    <c:v>84,95</c:v>
                  </c:pt>
                  <c:pt idx="20">
                    <c:v>71,98</c:v>
                  </c:pt>
                  <c:pt idx="21">
                    <c:v>84,20</c:v>
                  </c:pt>
                  <c:pt idx="22">
                    <c:v>97,00</c:v>
                  </c:pt>
                  <c:pt idx="25">
                    <c:v>117,39</c:v>
                  </c:pt>
                  <c:pt idx="26">
                    <c:v>79,07</c:v>
                  </c:pt>
                  <c:pt idx="27">
                    <c:v>82,65</c:v>
                  </c:pt>
                  <c:pt idx="28">
                    <c:v>78,82</c:v>
                  </c:pt>
                  <c:pt idx="29">
                    <c:v>81,23</c:v>
                  </c:pt>
                  <c:pt idx="30">
                    <c:v>76,75</c:v>
                  </c:pt>
                  <c:pt idx="31">
                    <c:v>62,69</c:v>
                  </c:pt>
                  <c:pt idx="32">
                    <c:v>75,41</c:v>
                  </c:pt>
                </c:lvl>
                <c:lvl>
                  <c:pt idx="0">
                    <c:v>146,97</c:v>
                  </c:pt>
                  <c:pt idx="1">
                    <c:v>102,95</c:v>
                  </c:pt>
                  <c:pt idx="3">
                    <c:v>39,43</c:v>
                  </c:pt>
                  <c:pt idx="4">
                    <c:v>39,21</c:v>
                  </c:pt>
                  <c:pt idx="5">
                    <c:v>114,60</c:v>
                  </c:pt>
                  <c:pt idx="6">
                    <c:v>90,08</c:v>
                  </c:pt>
                  <c:pt idx="8">
                    <c:v>77,79</c:v>
                  </c:pt>
                  <c:pt idx="9">
                    <c:v>90,04</c:v>
                  </c:pt>
                  <c:pt idx="10">
                    <c:v>88,25</c:v>
                  </c:pt>
                  <c:pt idx="11">
                    <c:v>86,79</c:v>
                  </c:pt>
                  <c:pt idx="13">
                    <c:v>58,84</c:v>
                  </c:pt>
                  <c:pt idx="14">
                    <c:v>87,18</c:v>
                  </c:pt>
                  <c:pt idx="16">
                    <c:v>52,12</c:v>
                  </c:pt>
                  <c:pt idx="17">
                    <c:v>75,91</c:v>
                  </c:pt>
                  <c:pt idx="18">
                    <c:v>21,04</c:v>
                  </c:pt>
                  <c:pt idx="19">
                    <c:v>77,97</c:v>
                  </c:pt>
                  <c:pt idx="20">
                    <c:v>51,61</c:v>
                  </c:pt>
                  <c:pt idx="21">
                    <c:v>90,73</c:v>
                  </c:pt>
                  <c:pt idx="22">
                    <c:v>115,72</c:v>
                  </c:pt>
                  <c:pt idx="24">
                    <c:v>70,52</c:v>
                  </c:pt>
                  <c:pt idx="25">
                    <c:v>48,80</c:v>
                  </c:pt>
                  <c:pt idx="26">
                    <c:v>52,41</c:v>
                  </c:pt>
                  <c:pt idx="27">
                    <c:v>77,42</c:v>
                  </c:pt>
                  <c:pt idx="28">
                    <c:v>65,54</c:v>
                  </c:pt>
                  <c:pt idx="29">
                    <c:v>64,56</c:v>
                  </c:pt>
                  <c:pt idx="30">
                    <c:v>57,80</c:v>
                  </c:pt>
                  <c:pt idx="31">
                    <c:v>165,60</c:v>
                  </c:pt>
                  <c:pt idx="32">
                    <c:v>89,09</c:v>
                  </c:pt>
                </c:lvl>
                <c:lvl>
                  <c:pt idx="1">
                    <c:v>134,42</c:v>
                  </c:pt>
                  <c:pt idx="8">
                    <c:v>103,47</c:v>
                  </c:pt>
                  <c:pt idx="10">
                    <c:v>41,81</c:v>
                  </c:pt>
                  <c:pt idx="12">
                    <c:v>29,15</c:v>
                  </c:pt>
                  <c:pt idx="16">
                    <c:v>85,27</c:v>
                  </c:pt>
                  <c:pt idx="18">
                    <c:v>82,45</c:v>
                  </c:pt>
                  <c:pt idx="25">
                    <c:v>196,66</c:v>
                  </c:pt>
                  <c:pt idx="26">
                    <c:v>30,86</c:v>
                  </c:pt>
                </c:lvl>
                <c:lvl>
                  <c:pt idx="0">
                    <c:v>96,91</c:v>
                  </c:pt>
                  <c:pt idx="2">
                    <c:v>65,34</c:v>
                  </c:pt>
                  <c:pt idx="3">
                    <c:v>79,58</c:v>
                  </c:pt>
                  <c:pt idx="4">
                    <c:v>70,57</c:v>
                  </c:pt>
                  <c:pt idx="5">
                    <c:v>56,23</c:v>
                  </c:pt>
                  <c:pt idx="6">
                    <c:v>126,32</c:v>
                  </c:pt>
                  <c:pt idx="8">
                    <c:v>77,40</c:v>
                  </c:pt>
                  <c:pt idx="9">
                    <c:v>55,81</c:v>
                  </c:pt>
                  <c:pt idx="10">
                    <c:v>44,01</c:v>
                  </c:pt>
                  <c:pt idx="11">
                    <c:v>143,07</c:v>
                  </c:pt>
                  <c:pt idx="12">
                    <c:v>78,43</c:v>
                  </c:pt>
                  <c:pt idx="13">
                    <c:v>68,51</c:v>
                  </c:pt>
                  <c:pt idx="14">
                    <c:v>72,63</c:v>
                  </c:pt>
                  <c:pt idx="16">
                    <c:v>131,35</c:v>
                  </c:pt>
                  <c:pt idx="17">
                    <c:v>83,03</c:v>
                  </c:pt>
                  <c:pt idx="18">
                    <c:v>84,81</c:v>
                  </c:pt>
                  <c:pt idx="19">
                    <c:v>71,86</c:v>
                  </c:pt>
                  <c:pt idx="20">
                    <c:v>78,52</c:v>
                  </c:pt>
                  <c:pt idx="21">
                    <c:v>71,09</c:v>
                  </c:pt>
                  <c:pt idx="22">
                    <c:v>85,08</c:v>
                  </c:pt>
                  <c:pt idx="24">
                    <c:v>111,49</c:v>
                  </c:pt>
                  <c:pt idx="25">
                    <c:v>105,34</c:v>
                  </c:pt>
                  <c:pt idx="26">
                    <c:v>84,41</c:v>
                  </c:pt>
                  <c:pt idx="27">
                    <c:v>67,97</c:v>
                  </c:pt>
                  <c:pt idx="28">
                    <c:v>95,36</c:v>
                  </c:pt>
                  <c:pt idx="29">
                    <c:v>101,59</c:v>
                  </c:pt>
                  <c:pt idx="30">
                    <c:v>80,12</c:v>
                  </c:pt>
                  <c:pt idx="31">
                    <c:v>70,31</c:v>
                  </c:pt>
                  <c:pt idx="32">
                    <c:v>90,96</c:v>
                  </c:pt>
                </c:lvl>
                <c:lvl>
                  <c:pt idx="0">
                    <c:v>87,99</c:v>
                  </c:pt>
                  <c:pt idx="1">
                    <c:v>82,39</c:v>
                  </c:pt>
                  <c:pt idx="2">
                    <c:v>66,15</c:v>
                  </c:pt>
                  <c:pt idx="3">
                    <c:v>77,75</c:v>
                  </c:pt>
                  <c:pt idx="4">
                    <c:v>55,75</c:v>
                  </c:pt>
                  <c:pt idx="9">
                    <c:v>53,91</c:v>
                  </c:pt>
                  <c:pt idx="10">
                    <c:v>66,25</c:v>
                  </c:pt>
                  <c:pt idx="11">
                    <c:v>76,22</c:v>
                  </c:pt>
                  <c:pt idx="12">
                    <c:v>67,59</c:v>
                  </c:pt>
                  <c:pt idx="13">
                    <c:v>86,00</c:v>
                  </c:pt>
                  <c:pt idx="14">
                    <c:v>74,05</c:v>
                  </c:pt>
                  <c:pt idx="16">
                    <c:v>92,74</c:v>
                  </c:pt>
                  <c:pt idx="17">
                    <c:v>92,52</c:v>
                  </c:pt>
                  <c:pt idx="18">
                    <c:v>87,84</c:v>
                  </c:pt>
                  <c:pt idx="19">
                    <c:v>95,48</c:v>
                  </c:pt>
                  <c:pt idx="20">
                    <c:v>49,33</c:v>
                  </c:pt>
                  <c:pt idx="21">
                    <c:v>75,12</c:v>
                  </c:pt>
                  <c:pt idx="22">
                    <c:v>77,94</c:v>
                  </c:pt>
                  <c:pt idx="24">
                    <c:v>78,21</c:v>
                  </c:pt>
                  <c:pt idx="25">
                    <c:v>91,09</c:v>
                  </c:pt>
                  <c:pt idx="26">
                    <c:v>68,80</c:v>
                  </c:pt>
                  <c:pt idx="27">
                    <c:v>79,71</c:v>
                  </c:pt>
                  <c:pt idx="28">
                    <c:v>79,86</c:v>
                  </c:pt>
                  <c:pt idx="29">
                    <c:v>61,66</c:v>
                  </c:pt>
                  <c:pt idx="31">
                    <c:v>82,89</c:v>
                  </c:pt>
                  <c:pt idx="32">
                    <c:v>79,74</c:v>
                  </c:pt>
                </c:lvl>
                <c:lvl>
                  <c:pt idx="7">
                    <c:v>PM</c:v>
                  </c:pt>
                  <c:pt idx="13">
                    <c:v>65,17</c:v>
                  </c:pt>
                  <c:pt idx="19">
                    <c:v>41,34</c:v>
                  </c:pt>
                  <c:pt idx="20">
                    <c:v>53,35</c:v>
                  </c:pt>
                  <c:pt idx="21">
                    <c:v>73,62</c:v>
                  </c:pt>
                  <c:pt idx="22">
                    <c:v>82,82</c:v>
                  </c:pt>
                  <c:pt idx="24">
                    <c:v>77,32</c:v>
                  </c:pt>
                  <c:pt idx="25">
                    <c:v>82,36</c:v>
                  </c:pt>
                  <c:pt idx="26">
                    <c:v>71,73</c:v>
                  </c:pt>
                  <c:pt idx="28">
                    <c:v>109,50</c:v>
                  </c:pt>
                  <c:pt idx="29">
                    <c:v>60,18</c:v>
                  </c:pt>
                  <c:pt idx="30">
                    <c:v>83,47</c:v>
                  </c:pt>
                  <c:pt idx="31">
                    <c:v>72,47</c:v>
                  </c:pt>
                  <c:pt idx="32">
                    <c:v>77,93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67,25</c:v>
                  </c:pt>
                  <c:pt idx="1">
                    <c:v>68,73</c:v>
                  </c:pt>
                  <c:pt idx="2">
                    <c:v>62,01</c:v>
                  </c:pt>
                  <c:pt idx="3">
                    <c:v>71,54</c:v>
                  </c:pt>
                  <c:pt idx="4">
                    <c:v>68,27</c:v>
                  </c:pt>
                  <c:pt idx="5">
                    <c:v>56,06</c:v>
                  </c:pt>
                  <c:pt idx="6">
                    <c:v>75,96</c:v>
                  </c:pt>
                  <c:pt idx="8">
                    <c:v>62,35</c:v>
                  </c:pt>
                  <c:pt idx="9">
                    <c:v>64,59</c:v>
                  </c:pt>
                  <c:pt idx="10">
                    <c:v>68,66</c:v>
                  </c:pt>
                  <c:pt idx="11">
                    <c:v>78,85</c:v>
                  </c:pt>
                  <c:pt idx="12">
                    <c:v>57,30</c:v>
                  </c:pt>
                  <c:pt idx="13">
                    <c:v>58,83</c:v>
                  </c:pt>
                  <c:pt idx="14">
                    <c:v>69,06</c:v>
                  </c:pt>
                  <c:pt idx="16">
                    <c:v>76,45</c:v>
                  </c:pt>
                  <c:pt idx="17">
                    <c:v>66,94</c:v>
                  </c:pt>
                  <c:pt idx="18">
                    <c:v>68,59</c:v>
                  </c:pt>
                  <c:pt idx="19">
                    <c:v>73,38</c:v>
                  </c:pt>
                  <c:pt idx="20">
                    <c:v>78,57</c:v>
                  </c:pt>
                  <c:pt idx="21">
                    <c:v>73,02</c:v>
                  </c:pt>
                  <c:pt idx="22">
                    <c:v>58,93</c:v>
                  </c:pt>
                  <c:pt idx="24">
                    <c:v>74,06</c:v>
                  </c:pt>
                  <c:pt idx="25">
                    <c:v>81,15</c:v>
                  </c:pt>
                  <c:pt idx="26">
                    <c:v>75,97</c:v>
                  </c:pt>
                  <c:pt idx="27">
                    <c:v>62,05</c:v>
                  </c:pt>
                  <c:pt idx="28">
                    <c:v>60,69</c:v>
                  </c:pt>
                  <c:pt idx="29">
                    <c:v>71,56</c:v>
                  </c:pt>
                  <c:pt idx="30">
                    <c:v>72,26</c:v>
                  </c:pt>
                  <c:pt idx="31">
                    <c:v>42,54</c:v>
                  </c:pt>
                  <c:pt idx="32">
                    <c:v>78,58</c:v>
                  </c:pt>
                  <c:pt idx="36">
                    <c:v>   </c:v>
                  </c:pt>
                </c:lvl>
                <c:lvl>
                  <c:pt idx="0">
                    <c:v>89,29</c:v>
                  </c:pt>
                  <c:pt idx="1">
                    <c:v>62,06</c:v>
                  </c:pt>
                  <c:pt idx="2">
                    <c:v>51,83</c:v>
                  </c:pt>
                  <c:pt idx="3">
                    <c:v>73,70</c:v>
                  </c:pt>
                  <c:pt idx="4">
                    <c:v>44,71</c:v>
                  </c:pt>
                  <c:pt idx="5">
                    <c:v>55,01</c:v>
                  </c:pt>
                  <c:pt idx="6">
                    <c:v>80,66</c:v>
                  </c:pt>
                  <c:pt idx="8">
                    <c:v>50,19</c:v>
                  </c:pt>
                  <c:pt idx="11">
                    <c:v>74,22</c:v>
                  </c:pt>
                  <c:pt idx="12">
                    <c:v>74,47</c:v>
                  </c:pt>
                  <c:pt idx="13">
                    <c:v>78,45</c:v>
                  </c:pt>
                  <c:pt idx="14">
                    <c:v>75,70</c:v>
                  </c:pt>
                  <c:pt idx="16">
                    <c:v>84,20</c:v>
                  </c:pt>
                  <c:pt idx="17">
                    <c:v>75,22</c:v>
                  </c:pt>
                  <c:pt idx="18">
                    <c:v>84,26</c:v>
                  </c:pt>
                  <c:pt idx="19">
                    <c:v>73,79</c:v>
                  </c:pt>
                  <c:pt idx="20">
                    <c:v>75,88</c:v>
                  </c:pt>
                  <c:pt idx="21">
                    <c:v>73,64</c:v>
                  </c:pt>
                  <c:pt idx="22">
                    <c:v>60,29</c:v>
                  </c:pt>
                  <c:pt idx="24">
                    <c:v>69,34</c:v>
                  </c:pt>
                  <c:pt idx="25">
                    <c:v>77,70</c:v>
                  </c:pt>
                  <c:pt idx="26">
                    <c:v>78,35</c:v>
                  </c:pt>
                  <c:pt idx="27">
                    <c:v>74,35</c:v>
                  </c:pt>
                  <c:pt idx="28">
                    <c:v>66,24</c:v>
                  </c:pt>
                  <c:pt idx="29">
                    <c:v>70,78</c:v>
                  </c:pt>
                  <c:pt idx="31">
                    <c:v>113,02</c:v>
                  </c:pt>
                  <c:pt idx="32">
                    <c:v>57,48</c:v>
                  </c:pt>
                  <c:pt idx="36">
                    <c:v>. HT 174 - 203, 190 Liter</c:v>
                  </c:pt>
                </c:lvl>
                <c:lvl>
                  <c:pt idx="7">
                    <c:v>PM</c:v>
                  </c:pt>
                  <c:pt idx="11">
                    <c:v>90,52</c:v>
                  </c:pt>
                  <c:pt idx="16">
                    <c:v>85,50</c:v>
                  </c:pt>
                  <c:pt idx="25">
                    <c:v>72,16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6">
                    <c:v>253,32</c:v>
                  </c:pt>
                  <c:pt idx="17">
                    <c:v>17,70</c:v>
                  </c:pt>
                  <c:pt idx="34">
                    <c:v>PM</c:v>
                  </c:pt>
                </c:lvl>
                <c:lvl>
                  <c:pt idx="0">
                    <c:v>73,89</c:v>
                  </c:pt>
                  <c:pt idx="1">
                    <c:v>89,87</c:v>
                  </c:pt>
                  <c:pt idx="2">
                    <c:v>79,28</c:v>
                  </c:pt>
                  <c:pt idx="3">
                    <c:v>89,54</c:v>
                  </c:pt>
                  <c:pt idx="4">
                    <c:v>78,38</c:v>
                  </c:pt>
                  <c:pt idx="5">
                    <c:v>73,28</c:v>
                  </c:pt>
                  <c:pt idx="6">
                    <c:v>82,93</c:v>
                  </c:pt>
                  <c:pt idx="8">
                    <c:v>66,43</c:v>
                  </c:pt>
                  <c:pt idx="9">
                    <c:v>89,12</c:v>
                  </c:pt>
                  <c:pt idx="10">
                    <c:v>78,59</c:v>
                  </c:pt>
                  <c:pt idx="11">
                    <c:v>81,48</c:v>
                  </c:pt>
                  <c:pt idx="12">
                    <c:v>71,47</c:v>
                  </c:pt>
                  <c:pt idx="13">
                    <c:v>92,19</c:v>
                  </c:pt>
                  <c:pt idx="14">
                    <c:v>91,57</c:v>
                  </c:pt>
                  <c:pt idx="17">
                    <c:v>189,35</c:v>
                  </c:pt>
                  <c:pt idx="18">
                    <c:v>99,38</c:v>
                  </c:pt>
                  <c:pt idx="19">
                    <c:v>84,31</c:v>
                  </c:pt>
                  <c:pt idx="20">
                    <c:v>69,15</c:v>
                  </c:pt>
                  <c:pt idx="21">
                    <c:v>66,47</c:v>
                  </c:pt>
                  <c:pt idx="22">
                    <c:v>110,82</c:v>
                  </c:pt>
                  <c:pt idx="24">
                    <c:v>97,98</c:v>
                  </c:pt>
                  <c:pt idx="25">
                    <c:v>77,40</c:v>
                  </c:pt>
                  <c:pt idx="27">
                    <c:v>64,20</c:v>
                  </c:pt>
                  <c:pt idx="28">
                    <c:v>110,34</c:v>
                  </c:pt>
                  <c:pt idx="29">
                    <c:v>49,29</c:v>
                  </c:pt>
                  <c:pt idx="30">
                    <c:v>102,71</c:v>
                  </c:pt>
                  <c:pt idx="31">
                    <c:v>151,81</c:v>
                  </c:pt>
                </c:lvl>
                <c:lvl>
                  <c:pt idx="0">
                    <c:v>115,43</c:v>
                  </c:pt>
                  <c:pt idx="1">
                    <c:v>84,01</c:v>
                  </c:pt>
                  <c:pt idx="2">
                    <c:v>68,57</c:v>
                  </c:pt>
                  <c:pt idx="3">
                    <c:v>94,62</c:v>
                  </c:pt>
                  <c:pt idx="4">
                    <c:v>93,43</c:v>
                  </c:pt>
                  <c:pt idx="5">
                    <c:v>85,68</c:v>
                  </c:pt>
                  <c:pt idx="6">
                    <c:v>83,89</c:v>
                  </c:pt>
                  <c:pt idx="8">
                    <c:v>83,87</c:v>
                  </c:pt>
                  <c:pt idx="9">
                    <c:v>93,11</c:v>
                  </c:pt>
                  <c:pt idx="10">
                    <c:v>115,05</c:v>
                  </c:pt>
                  <c:pt idx="11">
                    <c:v>103,49</c:v>
                  </c:pt>
                  <c:pt idx="12">
                    <c:v>85,14</c:v>
                  </c:pt>
                  <c:pt idx="13">
                    <c:v>80,66</c:v>
                  </c:pt>
                  <c:pt idx="14">
                    <c:v>83,47</c:v>
                  </c:pt>
                  <c:pt idx="16">
                    <c:v>92,45</c:v>
                  </c:pt>
                  <c:pt idx="17">
                    <c:v>95,21</c:v>
                  </c:pt>
                  <c:pt idx="18">
                    <c:v>98,97</c:v>
                  </c:pt>
                  <c:pt idx="19">
                    <c:v>82,77</c:v>
                  </c:pt>
                  <c:pt idx="20">
                    <c:v>94,74</c:v>
                  </c:pt>
                  <c:pt idx="21">
                    <c:v>80,41</c:v>
                  </c:pt>
                  <c:pt idx="22">
                    <c:v>88,98</c:v>
                  </c:pt>
                  <c:pt idx="24">
                    <c:v>88,07</c:v>
                  </c:pt>
                  <c:pt idx="25">
                    <c:v>85,72</c:v>
                  </c:pt>
                  <c:pt idx="26">
                    <c:v>69,27</c:v>
                  </c:pt>
                  <c:pt idx="27">
                    <c:v>85,07</c:v>
                  </c:pt>
                  <c:pt idx="28">
                    <c:v>100,66</c:v>
                  </c:pt>
                  <c:pt idx="29">
                    <c:v>106,18</c:v>
                  </c:pt>
                  <c:pt idx="30">
                    <c:v>87,73</c:v>
                  </c:pt>
                  <c:pt idx="31">
                    <c:v>92,23</c:v>
                  </c:pt>
                  <c:pt idx="32">
                    <c:v>83,91</c:v>
                  </c:pt>
                </c:lvl>
                <c:lvl>
                  <c:pt idx="0">
                    <c:v>87,91</c:v>
                  </c:pt>
                  <c:pt idx="1">
                    <c:v>72,51</c:v>
                  </c:pt>
                  <c:pt idx="2">
                    <c:v>66,19</c:v>
                  </c:pt>
                  <c:pt idx="12">
                    <c:v>58,56</c:v>
                  </c:pt>
                  <c:pt idx="13">
                    <c:v>84,14</c:v>
                  </c:pt>
                  <c:pt idx="14">
                    <c:v>93,38</c:v>
                  </c:pt>
                  <c:pt idx="16">
                    <c:v>93,22</c:v>
                  </c:pt>
                  <c:pt idx="17">
                    <c:v>94,94</c:v>
                  </c:pt>
                  <c:pt idx="18">
                    <c:v>76,73</c:v>
                  </c:pt>
                  <c:pt idx="19">
                    <c:v>92,52</c:v>
                  </c:pt>
                  <c:pt idx="20">
                    <c:v>99,44</c:v>
                  </c:pt>
                  <c:pt idx="21">
                    <c:v>85,29</c:v>
                  </c:pt>
                  <c:pt idx="22">
                    <c:v>108,37</c:v>
                  </c:pt>
                  <c:pt idx="24">
                    <c:v>85,61</c:v>
                  </c:pt>
                  <c:pt idx="25">
                    <c:v>92,18</c:v>
                  </c:pt>
                  <c:pt idx="26">
                    <c:v>88,55</c:v>
                  </c:pt>
                  <c:pt idx="27">
                    <c:v>65,18</c:v>
                  </c:pt>
                  <c:pt idx="28">
                    <c:v>92,70</c:v>
                  </c:pt>
                  <c:pt idx="29">
                    <c:v>84,01</c:v>
                  </c:pt>
                  <c:pt idx="30">
                    <c:v>91,21</c:v>
                  </c:pt>
                  <c:pt idx="31">
                    <c:v>108,86</c:v>
                  </c:pt>
                  <c:pt idx="32">
                    <c:v>69,30</c:v>
                  </c:pt>
                </c:lvl>
                <c:lvl>
                  <c:pt idx="0">
                    <c:v>72,69</c:v>
                  </c:pt>
                  <c:pt idx="1">
                    <c:v>80,03</c:v>
                  </c:pt>
                  <c:pt idx="2">
                    <c:v>74,79</c:v>
                  </c:pt>
                  <c:pt idx="3">
                    <c:v>61,85</c:v>
                  </c:pt>
                  <c:pt idx="4">
                    <c:v>71,41</c:v>
                  </c:pt>
                  <c:pt idx="5">
                    <c:v>77,16</c:v>
                  </c:pt>
                  <c:pt idx="6">
                    <c:v>89,96</c:v>
                  </c:pt>
                  <c:pt idx="8">
                    <c:v>53,90</c:v>
                  </c:pt>
                  <c:pt idx="9">
                    <c:v>84,11</c:v>
                  </c:pt>
                  <c:pt idx="10">
                    <c:v>70,94</c:v>
                  </c:pt>
                  <c:pt idx="11">
                    <c:v>90,81</c:v>
                  </c:pt>
                  <c:pt idx="12">
                    <c:v>76,83</c:v>
                  </c:pt>
                  <c:pt idx="13">
                    <c:v>70,09</c:v>
                  </c:pt>
                  <c:pt idx="14">
                    <c:v>77,18</c:v>
                  </c:pt>
                  <c:pt idx="16">
                    <c:v>91,02</c:v>
                  </c:pt>
                  <c:pt idx="17">
                    <c:v>68,44</c:v>
                  </c:pt>
                  <c:pt idx="18">
                    <c:v>77,60</c:v>
                  </c:pt>
                  <c:pt idx="19">
                    <c:v>79,39</c:v>
                  </c:pt>
                  <c:pt idx="20">
                    <c:v>119,49</c:v>
                  </c:pt>
                  <c:pt idx="21">
                    <c:v>93,48</c:v>
                  </c:pt>
                  <c:pt idx="22">
                    <c:v>90,30</c:v>
                  </c:pt>
                  <c:pt idx="24">
                    <c:v>82,40</c:v>
                  </c:pt>
                  <c:pt idx="25">
                    <c:v>101,08</c:v>
                  </c:pt>
                  <c:pt idx="26">
                    <c:v>90,46</c:v>
                  </c:pt>
                  <c:pt idx="27">
                    <c:v>62,48</c:v>
                  </c:pt>
                  <c:pt idx="28">
                    <c:v>83,34</c:v>
                  </c:pt>
                  <c:pt idx="29">
                    <c:v>87,14</c:v>
                  </c:pt>
                  <c:pt idx="30">
                    <c:v>108,94</c:v>
                  </c:pt>
                  <c:pt idx="31">
                    <c:v>72,40</c:v>
                  </c:pt>
                  <c:pt idx="32">
                    <c:v>88,30</c:v>
                  </c:pt>
                </c:lvl>
                <c:lvl>
                  <c:pt idx="0">
                    <c:v>112,36</c:v>
                  </c:pt>
                  <c:pt idx="1">
                    <c:v>84,49</c:v>
                  </c:pt>
                  <c:pt idx="3">
                    <c:v>72,24</c:v>
                  </c:pt>
                  <c:pt idx="4">
                    <c:v>76,00</c:v>
                  </c:pt>
                  <c:pt idx="5">
                    <c:v>52,10</c:v>
                  </c:pt>
                  <c:pt idx="6">
                    <c:v>91,47</c:v>
                  </c:pt>
                  <c:pt idx="8">
                    <c:v>79,84</c:v>
                  </c:pt>
                  <c:pt idx="9">
                    <c:v>71,92</c:v>
                  </c:pt>
                  <c:pt idx="11">
                    <c:v>56,25</c:v>
                  </c:pt>
                  <c:pt idx="12">
                    <c:v>53,45</c:v>
                  </c:pt>
                  <c:pt idx="14">
                    <c:v>44,88</c:v>
                  </c:pt>
                  <c:pt idx="16">
                    <c:v>31,41</c:v>
                  </c:pt>
                  <c:pt idx="17">
                    <c:v>24,36</c:v>
                  </c:pt>
                  <c:pt idx="18">
                    <c:v>68,83</c:v>
                  </c:pt>
                  <c:pt idx="19">
                    <c:v>77,35</c:v>
                  </c:pt>
                  <c:pt idx="20">
                    <c:v>100,63</c:v>
                  </c:pt>
                  <c:pt idx="21">
                    <c:v>46,39</c:v>
                  </c:pt>
                  <c:pt idx="22">
                    <c:v>86,19</c:v>
                  </c:pt>
                  <c:pt idx="24">
                    <c:v>116,55</c:v>
                  </c:pt>
                  <c:pt idx="25">
                    <c:v>104,71</c:v>
                  </c:pt>
                  <c:pt idx="26">
                    <c:v>86,38</c:v>
                  </c:pt>
                  <c:pt idx="27">
                    <c:v>64,53</c:v>
                  </c:pt>
                  <c:pt idx="28">
                    <c:v>128,19</c:v>
                  </c:pt>
                  <c:pt idx="29">
                    <c:v>78,95</c:v>
                  </c:pt>
                  <c:pt idx="30">
                    <c:v>105,20</c:v>
                  </c:pt>
                  <c:pt idx="31">
                    <c:v>61,44</c:v>
                  </c:pt>
                </c:lvl>
                <c:lvl>
                  <c:pt idx="0">
                    <c:v>79,06</c:v>
                  </c:pt>
                  <c:pt idx="1">
                    <c:v>73,66</c:v>
                  </c:pt>
                  <c:pt idx="2">
                    <c:v>61,32</c:v>
                  </c:pt>
                  <c:pt idx="3">
                    <c:v>67,77</c:v>
                  </c:pt>
                  <c:pt idx="4">
                    <c:v>69,93</c:v>
                  </c:pt>
                  <c:pt idx="5">
                    <c:v>65,94</c:v>
                  </c:pt>
                  <c:pt idx="6">
                    <c:v>62,07</c:v>
                  </c:pt>
                  <c:pt idx="8">
                    <c:v>45,54</c:v>
                  </c:pt>
                  <c:pt idx="9">
                    <c:v>71,13</c:v>
                  </c:pt>
                  <c:pt idx="10">
                    <c:v>74,87</c:v>
                  </c:pt>
                  <c:pt idx="11">
                    <c:v>69,28</c:v>
                  </c:pt>
                  <c:pt idx="12">
                    <c:v>84,17</c:v>
                  </c:pt>
                  <c:pt idx="13">
                    <c:v>82,70</c:v>
                  </c:pt>
                  <c:pt idx="14">
                    <c:v>70,60</c:v>
                  </c:pt>
                  <c:pt idx="16">
                    <c:v>83,86</c:v>
                  </c:pt>
                  <c:pt idx="17">
                    <c:v>85,65</c:v>
                  </c:pt>
                  <c:pt idx="18">
                    <c:v>64,74</c:v>
                  </c:pt>
                  <c:pt idx="19">
                    <c:v>83,53</c:v>
                  </c:pt>
                  <c:pt idx="20">
                    <c:v>71,05</c:v>
                  </c:pt>
                  <c:pt idx="21">
                    <c:v>74,19</c:v>
                  </c:pt>
                  <c:pt idx="22">
                    <c:v>82,24</c:v>
                  </c:pt>
                  <c:pt idx="24">
                    <c:v>97,62</c:v>
                  </c:pt>
                  <c:pt idx="25">
                    <c:v>76,05</c:v>
                  </c:pt>
                  <c:pt idx="26">
                    <c:v>70,26</c:v>
                  </c:pt>
                  <c:pt idx="27">
                    <c:v>60,08</c:v>
                  </c:pt>
                  <c:pt idx="28">
                    <c:v>77,06</c:v>
                  </c:pt>
                  <c:pt idx="29">
                    <c:v>68,08</c:v>
                  </c:pt>
                  <c:pt idx="30">
                    <c:v>87,05</c:v>
                  </c:pt>
                  <c:pt idx="31">
                    <c:v>59,28</c:v>
                  </c:pt>
                  <c:pt idx="32">
                    <c:v>76,36</c:v>
                  </c:pt>
                </c:lvl>
                <c:lvl>
                  <c:pt idx="0">
                    <c:v>80,41</c:v>
                  </c:pt>
                  <c:pt idx="1">
                    <c:v>92,81</c:v>
                  </c:pt>
                  <c:pt idx="2">
                    <c:v>70,01</c:v>
                  </c:pt>
                  <c:pt idx="3">
                    <c:v>61,52</c:v>
                  </c:pt>
                  <c:pt idx="4">
                    <c:v>116,47</c:v>
                  </c:pt>
                  <c:pt idx="5">
                    <c:v>71,69</c:v>
                  </c:pt>
                  <c:pt idx="6">
                    <c:v>91,45</c:v>
                  </c:pt>
                  <c:pt idx="8">
                    <c:v>67,44</c:v>
                  </c:pt>
                  <c:pt idx="9">
                    <c:v>76,31</c:v>
                  </c:pt>
                  <c:pt idx="10">
                    <c:v>64,26</c:v>
                  </c:pt>
                  <c:pt idx="11">
                    <c:v>94,38</c:v>
                  </c:pt>
                  <c:pt idx="12">
                    <c:v>84,97</c:v>
                  </c:pt>
                  <c:pt idx="13">
                    <c:v>68,59</c:v>
                  </c:pt>
                  <c:pt idx="14">
                    <c:v>81,63</c:v>
                  </c:pt>
                  <c:pt idx="17">
                    <c:v>99,13</c:v>
                  </c:pt>
                  <c:pt idx="18">
                    <c:v>133,94</c:v>
                  </c:pt>
                  <c:pt idx="19">
                    <c:v>68,68</c:v>
                  </c:pt>
                  <c:pt idx="20">
                    <c:v>85,04</c:v>
                  </c:pt>
                  <c:pt idx="21">
                    <c:v>81,31</c:v>
                  </c:pt>
                  <c:pt idx="22">
                    <c:v>82,70</c:v>
                  </c:pt>
                  <c:pt idx="24">
                    <c:v>69,98</c:v>
                  </c:pt>
                  <c:pt idx="25">
                    <c:v>106,92</c:v>
                  </c:pt>
                  <c:pt idx="26">
                    <c:v>102,81</c:v>
                  </c:pt>
                  <c:pt idx="27">
                    <c:v>58,06</c:v>
                  </c:pt>
                  <c:pt idx="28">
                    <c:v>48,84</c:v>
                  </c:pt>
                  <c:pt idx="29">
                    <c:v>85,67</c:v>
                  </c:pt>
                  <c:pt idx="30">
                    <c:v>80,25</c:v>
                  </c:pt>
                  <c:pt idx="31">
                    <c:v>72,47</c:v>
                  </c:pt>
                  <c:pt idx="32">
                    <c:v>73,68</c:v>
                  </c:pt>
                </c:lvl>
                <c:lvl>
                  <c:pt idx="0">
                    <c:v>67,44</c:v>
                  </c:pt>
                  <c:pt idx="1">
                    <c:v>79,16</c:v>
                  </c:pt>
                  <c:pt idx="2">
                    <c:v>61,79</c:v>
                  </c:pt>
                  <c:pt idx="3">
                    <c:v>48,02</c:v>
                  </c:pt>
                  <c:pt idx="4">
                    <c:v>71,21</c:v>
                  </c:pt>
                  <c:pt idx="5">
                    <c:v>76,98</c:v>
                  </c:pt>
                  <c:pt idx="6">
                    <c:v>89,35</c:v>
                  </c:pt>
                  <c:pt idx="8">
                    <c:v>70,04</c:v>
                  </c:pt>
                  <c:pt idx="9">
                    <c:v>83,48</c:v>
                  </c:pt>
                  <c:pt idx="10">
                    <c:v>51,74</c:v>
                  </c:pt>
                  <c:pt idx="11">
                    <c:v>102,20</c:v>
                  </c:pt>
                  <c:pt idx="12">
                    <c:v>76,17</c:v>
                  </c:pt>
                  <c:pt idx="13">
                    <c:v>63,59</c:v>
                  </c:pt>
                  <c:pt idx="14">
                    <c:v>85,66</c:v>
                  </c:pt>
                  <c:pt idx="16">
                    <c:v>83,04</c:v>
                  </c:pt>
                  <c:pt idx="17">
                    <c:v>84,85</c:v>
                  </c:pt>
                  <c:pt idx="18">
                    <c:v>81,32</c:v>
                  </c:pt>
                  <c:pt idx="19">
                    <c:v>59,65</c:v>
                  </c:pt>
                  <c:pt idx="20">
                    <c:v>96,49</c:v>
                  </c:pt>
                  <c:pt idx="21">
                    <c:v>66,98</c:v>
                  </c:pt>
                  <c:pt idx="22">
                    <c:v>91,88</c:v>
                  </c:pt>
                  <c:pt idx="24">
                    <c:v>112,89</c:v>
                  </c:pt>
                  <c:pt idx="25">
                    <c:v>93,04</c:v>
                  </c:pt>
                  <c:pt idx="26">
                    <c:v>80,24</c:v>
                  </c:pt>
                  <c:pt idx="27">
                    <c:v>60,07</c:v>
                  </c:pt>
                  <c:pt idx="28">
                    <c:v>84,94</c:v>
                  </c:pt>
                  <c:pt idx="29">
                    <c:v>75,58</c:v>
                  </c:pt>
                  <c:pt idx="30">
                    <c:v>87,74</c:v>
                  </c:pt>
                  <c:pt idx="31">
                    <c:v>58,46</c:v>
                  </c:pt>
                  <c:pt idx="32">
                    <c:v>86,14</c:v>
                  </c:pt>
                </c:lvl>
                <c:lvl>
                  <c:pt idx="0">
                    <c:v>81,90</c:v>
                  </c:pt>
                  <c:pt idx="1">
                    <c:v>79,69</c:v>
                  </c:pt>
                  <c:pt idx="2">
                    <c:v>58,21</c:v>
                  </c:pt>
                  <c:pt idx="3">
                    <c:v>67,35</c:v>
                  </c:pt>
                  <c:pt idx="4">
                    <c:v>65,81</c:v>
                  </c:pt>
                  <c:pt idx="5">
                    <c:v>74,69</c:v>
                  </c:pt>
                  <c:pt idx="6">
                    <c:v>109,95</c:v>
                  </c:pt>
                  <c:pt idx="8">
                    <c:v>80,24</c:v>
                  </c:pt>
                  <c:pt idx="9">
                    <c:v>82,95</c:v>
                  </c:pt>
                  <c:pt idx="10">
                    <c:v>87,65</c:v>
                  </c:pt>
                  <c:pt idx="11">
                    <c:v>107,50</c:v>
                  </c:pt>
                  <c:pt idx="12">
                    <c:v>83,03</c:v>
                  </c:pt>
                  <c:pt idx="13">
                    <c:v>62,26</c:v>
                  </c:pt>
                  <c:pt idx="14">
                    <c:v>100,43</c:v>
                  </c:pt>
                  <c:pt idx="16">
                    <c:v>116,43</c:v>
                  </c:pt>
                  <c:pt idx="17">
                    <c:v>99,85</c:v>
                  </c:pt>
                  <c:pt idx="18">
                    <c:v>73,53</c:v>
                  </c:pt>
                  <c:pt idx="19">
                    <c:v>67,37</c:v>
                  </c:pt>
                  <c:pt idx="20">
                    <c:v>88,90</c:v>
                  </c:pt>
                  <c:pt idx="21">
                    <c:v>83,12</c:v>
                  </c:pt>
                  <c:pt idx="22">
                    <c:v>85,57</c:v>
                  </c:pt>
                  <c:pt idx="24">
                    <c:v>100,28</c:v>
                  </c:pt>
                  <c:pt idx="25">
                    <c:v>105,02</c:v>
                  </c:pt>
                  <c:pt idx="26">
                    <c:v>94,38</c:v>
                  </c:pt>
                  <c:pt idx="27">
                    <c:v>75,46</c:v>
                  </c:pt>
                  <c:pt idx="28">
                    <c:v>68,72</c:v>
                  </c:pt>
                  <c:pt idx="29">
                    <c:v>91,76</c:v>
                  </c:pt>
                  <c:pt idx="30">
                    <c:v>100,96</c:v>
                  </c:pt>
                  <c:pt idx="31">
                    <c:v>44,11</c:v>
                  </c:pt>
                  <c:pt idx="32">
                    <c:v>103,13</c:v>
                  </c:pt>
                </c:lvl>
                <c:lvl>
                  <c:pt idx="0">
                    <c:v>97,88</c:v>
                  </c:pt>
                  <c:pt idx="1">
                    <c:v>66,01</c:v>
                  </c:pt>
                  <c:pt idx="2">
                    <c:v>58,79</c:v>
                  </c:pt>
                  <c:pt idx="3">
                    <c:v>72,41</c:v>
                  </c:pt>
                  <c:pt idx="4">
                    <c:v>60,05</c:v>
                  </c:pt>
                  <c:pt idx="5">
                    <c:v>68,88</c:v>
                  </c:pt>
                  <c:pt idx="6">
                    <c:v>75,65</c:v>
                  </c:pt>
                  <c:pt idx="8">
                    <c:v>56,31</c:v>
                  </c:pt>
                  <c:pt idx="9">
                    <c:v>81,41</c:v>
                  </c:pt>
                  <c:pt idx="10">
                    <c:v>76,28</c:v>
                  </c:pt>
                  <c:pt idx="11">
                    <c:v>80,75</c:v>
                  </c:pt>
                  <c:pt idx="12">
                    <c:v>96,57</c:v>
                  </c:pt>
                  <c:pt idx="13">
                    <c:v>65,62</c:v>
                  </c:pt>
                  <c:pt idx="14">
                    <c:v>78,58</c:v>
                  </c:pt>
                  <c:pt idx="17">
                    <c:v>137,73</c:v>
                  </c:pt>
                  <c:pt idx="19">
                    <c:v>71,37</c:v>
                  </c:pt>
                  <c:pt idx="20">
                    <c:v>46,93</c:v>
                  </c:pt>
                  <c:pt idx="21">
                    <c:v>85,45</c:v>
                  </c:pt>
                  <c:pt idx="22">
                    <c:v>101,49</c:v>
                  </c:pt>
                  <c:pt idx="24">
                    <c:v>66,28</c:v>
                  </c:pt>
                  <c:pt idx="25">
                    <c:v>77,47</c:v>
                  </c:pt>
                  <c:pt idx="26">
                    <c:v>76,39</c:v>
                  </c:pt>
                  <c:pt idx="27">
                    <c:v>54,72</c:v>
                  </c:pt>
                  <c:pt idx="28">
                    <c:v>87,66</c:v>
                  </c:pt>
                  <c:pt idx="29">
                    <c:v>77,43</c:v>
                  </c:pt>
                  <c:pt idx="30">
                    <c:v>87,91</c:v>
                  </c:pt>
                  <c:pt idx="31">
                    <c:v>66,72</c:v>
                  </c:pt>
                  <c:pt idx="32">
                    <c:v>83,81</c:v>
                  </c:pt>
                </c:lvl>
                <c:lvl>
                  <c:pt idx="0">
                    <c:v>81,69</c:v>
                  </c:pt>
                  <c:pt idx="1">
                    <c:v>92,71</c:v>
                  </c:pt>
                  <c:pt idx="2">
                    <c:v>78,02</c:v>
                  </c:pt>
                  <c:pt idx="3">
                    <c:v>97,74</c:v>
                  </c:pt>
                  <c:pt idx="4">
                    <c:v>77,63</c:v>
                  </c:pt>
                  <c:pt idx="5">
                    <c:v>67,53</c:v>
                  </c:pt>
                  <c:pt idx="6">
                    <c:v>78,52</c:v>
                  </c:pt>
                  <c:pt idx="8">
                    <c:v>76,07</c:v>
                  </c:pt>
                  <c:pt idx="9">
                    <c:v>82,02</c:v>
                  </c:pt>
                  <c:pt idx="10">
                    <c:v>67,47</c:v>
                  </c:pt>
                  <c:pt idx="11">
                    <c:v>80,58</c:v>
                  </c:pt>
                  <c:pt idx="12">
                    <c:v>66,12</c:v>
                  </c:pt>
                  <c:pt idx="13">
                    <c:v>94,07</c:v>
                  </c:pt>
                  <c:pt idx="14">
                    <c:v>75,93</c:v>
                  </c:pt>
                  <c:pt idx="16">
                    <c:v>85,37</c:v>
                  </c:pt>
                  <c:pt idx="17">
                    <c:v>84,52</c:v>
                  </c:pt>
                  <c:pt idx="18">
                    <c:v>68,71</c:v>
                  </c:pt>
                  <c:pt idx="19">
                    <c:v>72,18</c:v>
                  </c:pt>
                  <c:pt idx="20">
                    <c:v>87,98</c:v>
                  </c:pt>
                  <c:pt idx="21">
                    <c:v>71,21</c:v>
                  </c:pt>
                  <c:pt idx="22">
                    <c:v>77,89</c:v>
                  </c:pt>
                  <c:pt idx="24">
                    <c:v>85,37</c:v>
                  </c:pt>
                  <c:pt idx="25">
                    <c:v>86,13</c:v>
                  </c:pt>
                  <c:pt idx="26">
                    <c:v>90,25</c:v>
                  </c:pt>
                  <c:pt idx="27">
                    <c:v>56,32</c:v>
                  </c:pt>
                  <c:pt idx="28">
                    <c:v>73,03</c:v>
                  </c:pt>
                  <c:pt idx="29">
                    <c:v>80,67</c:v>
                  </c:pt>
                  <c:pt idx="30">
                    <c:v>78,26</c:v>
                  </c:pt>
                  <c:pt idx="31">
                    <c:v>78,42</c:v>
                  </c:pt>
                  <c:pt idx="32">
                    <c:v>75,73</c:v>
                  </c:pt>
                </c:lvl>
                <c:lvl>
                  <c:pt idx="7">
                    <c:v>PM</c:v>
                  </c:pt>
                  <c:pt idx="8">
                    <c:v>51,13</c:v>
                  </c:pt>
                  <c:pt idx="9">
                    <c:v>82,45</c:v>
                  </c:pt>
                  <c:pt idx="10">
                    <c:v>71,75</c:v>
                  </c:pt>
                  <c:pt idx="11">
                    <c:v>108,61</c:v>
                  </c:pt>
                  <c:pt idx="12">
                    <c:v>86,22</c:v>
                  </c:pt>
                  <c:pt idx="14">
                    <c:v>120,31</c:v>
                  </c:pt>
                  <c:pt idx="17">
                    <c:v>156,25</c:v>
                  </c:pt>
                  <c:pt idx="18">
                    <c:v>87,37</c:v>
                  </c:pt>
                  <c:pt idx="19">
                    <c:v>67,57</c:v>
                  </c:pt>
                  <c:pt idx="20">
                    <c:v>101,95</c:v>
                  </c:pt>
                  <c:pt idx="21">
                    <c:v>65,26</c:v>
                  </c:pt>
                  <c:pt idx="22">
                    <c:v>113,99</c:v>
                  </c:pt>
                  <c:pt idx="24">
                    <c:v>109,04</c:v>
                  </c:pt>
                  <c:pt idx="25">
                    <c:v>90,99</c:v>
                  </c:pt>
                  <c:pt idx="26">
                    <c:v>96,05</c:v>
                  </c:pt>
                  <c:pt idx="27">
                    <c:v>81,89</c:v>
                  </c:pt>
                  <c:pt idx="28">
                    <c:v>86,33</c:v>
                  </c:pt>
                  <c:pt idx="29">
                    <c:v>88,10</c:v>
                  </c:pt>
                  <c:pt idx="30">
                    <c:v>101,41</c:v>
                  </c:pt>
                  <c:pt idx="31">
                    <c:v>67,89</c:v>
                  </c:pt>
                  <c:pt idx="32">
                    <c:v>79,13</c:v>
                  </c:pt>
                </c:lvl>
                <c:lvl>
                  <c:pt idx="0">
                    <c:v>88,92</c:v>
                  </c:pt>
                  <c:pt idx="1">
                    <c:v>79,76</c:v>
                  </c:pt>
                  <c:pt idx="2">
                    <c:v>76,65</c:v>
                  </c:pt>
                  <c:pt idx="3">
                    <c:v>97,87</c:v>
                  </c:pt>
                  <c:pt idx="4">
                    <c:v>88,24</c:v>
                  </c:pt>
                  <c:pt idx="5">
                    <c:v>85,75</c:v>
                  </c:pt>
                  <c:pt idx="6">
                    <c:v>99,41</c:v>
                  </c:pt>
                  <c:pt idx="8">
                    <c:v>47,50</c:v>
                  </c:pt>
                  <c:pt idx="9">
                    <c:v>97,66</c:v>
                  </c:pt>
                  <c:pt idx="10">
                    <c:v>80,07</c:v>
                  </c:pt>
                  <c:pt idx="11">
                    <c:v>91,39</c:v>
                  </c:pt>
                  <c:pt idx="12">
                    <c:v>90,68</c:v>
                  </c:pt>
                  <c:pt idx="13">
                    <c:v>88,57</c:v>
                  </c:pt>
                  <c:pt idx="14">
                    <c:v>99,59</c:v>
                  </c:pt>
                  <c:pt idx="16">
                    <c:v>107,12</c:v>
                  </c:pt>
                  <c:pt idx="17">
                    <c:v>62,56</c:v>
                  </c:pt>
                  <c:pt idx="18">
                    <c:v>78,89</c:v>
                  </c:pt>
                  <c:pt idx="19">
                    <c:v>68,98</c:v>
                  </c:pt>
                  <c:pt idx="20">
                    <c:v>69,28</c:v>
                  </c:pt>
                  <c:pt idx="21">
                    <c:v>79,54</c:v>
                  </c:pt>
                  <c:pt idx="22">
                    <c:v>96,14</c:v>
                  </c:pt>
                  <c:pt idx="24">
                    <c:v>100,37</c:v>
                  </c:pt>
                  <c:pt idx="25">
                    <c:v>96,86</c:v>
                  </c:pt>
                  <c:pt idx="26">
                    <c:v>98,30</c:v>
                  </c:pt>
                  <c:pt idx="27">
                    <c:v>80,20</c:v>
                  </c:pt>
                  <c:pt idx="28">
                    <c:v>106,73</c:v>
                  </c:pt>
                  <c:pt idx="29">
                    <c:v>94,37</c:v>
                  </c:pt>
                  <c:pt idx="30">
                    <c:v>82,63</c:v>
                  </c:pt>
                  <c:pt idx="31">
                    <c:v>86,75</c:v>
                  </c:pt>
                  <c:pt idx="32">
                    <c:v>76,19</c:v>
                  </c:pt>
                </c:lvl>
                <c:lvl>
                  <c:pt idx="0">
                    <c:v>83,19</c:v>
                  </c:pt>
                  <c:pt idx="1">
                    <c:v>55,01</c:v>
                  </c:pt>
                  <c:pt idx="2">
                    <c:v>63,41</c:v>
                  </c:pt>
                  <c:pt idx="3">
                    <c:v>93,18</c:v>
                  </c:pt>
                  <c:pt idx="4">
                    <c:v>75,53</c:v>
                  </c:pt>
                  <c:pt idx="5">
                    <c:v>70,08</c:v>
                  </c:pt>
                  <c:pt idx="6">
                    <c:v>94,05</c:v>
                  </c:pt>
                  <c:pt idx="8">
                    <c:v>64,73</c:v>
                  </c:pt>
                  <c:pt idx="9">
                    <c:v>81,62</c:v>
                  </c:pt>
                  <c:pt idx="10">
                    <c:v>81,51</c:v>
                  </c:pt>
                  <c:pt idx="11">
                    <c:v>97,44</c:v>
                  </c:pt>
                  <c:pt idx="12">
                    <c:v>74,91</c:v>
                  </c:pt>
                  <c:pt idx="13">
                    <c:v>63,04</c:v>
                  </c:pt>
                  <c:pt idx="14">
                    <c:v>90,26</c:v>
                  </c:pt>
                  <c:pt idx="16">
                    <c:v>21,07</c:v>
                  </c:pt>
                  <c:pt idx="17">
                    <c:v>66,52</c:v>
                  </c:pt>
                  <c:pt idx="18">
                    <c:v>75,62</c:v>
                  </c:pt>
                  <c:pt idx="19">
                    <c:v>68,23</c:v>
                  </c:pt>
                  <c:pt idx="20">
                    <c:v>75,27</c:v>
                  </c:pt>
                  <c:pt idx="21">
                    <c:v>100,55</c:v>
                  </c:pt>
                  <c:pt idx="22">
                    <c:v>70,85</c:v>
                  </c:pt>
                  <c:pt idx="24">
                    <c:v>79,98</c:v>
                  </c:pt>
                  <c:pt idx="25">
                    <c:v>85,64</c:v>
                  </c:pt>
                  <c:pt idx="26">
                    <c:v>98,91</c:v>
                  </c:pt>
                  <c:pt idx="27">
                    <c:v>57,18</c:v>
                  </c:pt>
                  <c:pt idx="28">
                    <c:v>82,86</c:v>
                  </c:pt>
                  <c:pt idx="29">
                    <c:v>83,05</c:v>
                  </c:pt>
                  <c:pt idx="30">
                    <c:v>98,19</c:v>
                  </c:pt>
                  <c:pt idx="31">
                    <c:v>46,18</c:v>
                  </c:pt>
                  <c:pt idx="32">
                    <c:v>85,49</c:v>
                  </c:pt>
                </c:lvl>
                <c:lvl>
                  <c:pt idx="0">
                    <c:v>93,28</c:v>
                  </c:pt>
                  <c:pt idx="1">
                    <c:v>88,74</c:v>
                  </c:pt>
                  <c:pt idx="2">
                    <c:v>80,08</c:v>
                  </c:pt>
                  <c:pt idx="3">
                    <c:v>87,88</c:v>
                  </c:pt>
                  <c:pt idx="4">
                    <c:v>83,14</c:v>
                  </c:pt>
                  <c:pt idx="5">
                    <c:v>52,57</c:v>
                  </c:pt>
                  <c:pt idx="6">
                    <c:v>88,00</c:v>
                  </c:pt>
                  <c:pt idx="8">
                    <c:v>84,58</c:v>
                  </c:pt>
                  <c:pt idx="9">
                    <c:v>99,15</c:v>
                  </c:pt>
                  <c:pt idx="10">
                    <c:v>85,68</c:v>
                  </c:pt>
                  <c:pt idx="11">
                    <c:v>77,26</c:v>
                  </c:pt>
                  <c:pt idx="12">
                    <c:v>95,62</c:v>
                  </c:pt>
                  <c:pt idx="13">
                    <c:v>84,47</c:v>
                  </c:pt>
                  <c:pt idx="14">
                    <c:v>59,95</c:v>
                  </c:pt>
                  <c:pt idx="16">
                    <c:v>107,44</c:v>
                  </c:pt>
                  <c:pt idx="17">
                    <c:v>90,16</c:v>
                  </c:pt>
                  <c:pt idx="18">
                    <c:v>95,01</c:v>
                  </c:pt>
                  <c:pt idx="19">
                    <c:v>61,58</c:v>
                  </c:pt>
                  <c:pt idx="20">
                    <c:v>80,43</c:v>
                  </c:pt>
                  <c:pt idx="21">
                    <c:v>89,09</c:v>
                  </c:pt>
                  <c:pt idx="24">
                    <c:v>101,39</c:v>
                  </c:pt>
                  <c:pt idx="25">
                    <c:v>70,98</c:v>
                  </c:pt>
                  <c:pt idx="26">
                    <c:v>89,57</c:v>
                  </c:pt>
                  <c:pt idx="27">
                    <c:v>90,50</c:v>
                  </c:pt>
                  <c:pt idx="28">
                    <c:v>82,24</c:v>
                  </c:pt>
                  <c:pt idx="29">
                    <c:v>71,47</c:v>
                  </c:pt>
                  <c:pt idx="30">
                    <c:v>95,07</c:v>
                  </c:pt>
                  <c:pt idx="31">
                    <c:v>63,95</c:v>
                  </c:pt>
                  <c:pt idx="32">
                    <c:v>86,95</c:v>
                  </c:pt>
                </c:lvl>
                <c:lvl>
                  <c:pt idx="0">
                    <c:v>98,38</c:v>
                  </c:pt>
                  <c:pt idx="1">
                    <c:v>88,48</c:v>
                  </c:pt>
                  <c:pt idx="2">
                    <c:v>105,55</c:v>
                  </c:pt>
                  <c:pt idx="3">
                    <c:v>91,01</c:v>
                  </c:pt>
                  <c:pt idx="4">
                    <c:v>87,86</c:v>
                  </c:pt>
                  <c:pt idx="5">
                    <c:v>76,81</c:v>
                  </c:pt>
                  <c:pt idx="6">
                    <c:v>92,60</c:v>
                  </c:pt>
                  <c:pt idx="15">
                    <c:v>PM</c:v>
                  </c:pt>
                  <c:pt idx="19">
                    <c:v>84,94</c:v>
                  </c:pt>
                  <c:pt idx="34">
                    <c:v>PM</c:v>
                  </c:pt>
                </c:lvl>
                <c:lvl>
                  <c:pt idx="0">
                    <c:v>65,41</c:v>
                  </c:pt>
                  <c:pt idx="1">
                    <c:v>71,25</c:v>
                  </c:pt>
                  <c:pt idx="2">
                    <c:v>78,41</c:v>
                  </c:pt>
                  <c:pt idx="3">
                    <c:v>57,37</c:v>
                  </c:pt>
                  <c:pt idx="4">
                    <c:v>77,24</c:v>
                  </c:pt>
                  <c:pt idx="5">
                    <c:v>70,40</c:v>
                  </c:pt>
                  <c:pt idx="6">
                    <c:v>73,43</c:v>
                  </c:pt>
                  <c:pt idx="8">
                    <c:v>43,20</c:v>
                  </c:pt>
                  <c:pt idx="9">
                    <c:v>75,78</c:v>
                  </c:pt>
                  <c:pt idx="10">
                    <c:v>51,72</c:v>
                  </c:pt>
                  <c:pt idx="11">
                    <c:v>89,51</c:v>
                  </c:pt>
                  <c:pt idx="12">
                    <c:v>80,31</c:v>
                  </c:pt>
                  <c:pt idx="13">
                    <c:v>83,04</c:v>
                  </c:pt>
                  <c:pt idx="14">
                    <c:v>79,31</c:v>
                  </c:pt>
                  <c:pt idx="16">
                    <c:v>95,94</c:v>
                  </c:pt>
                  <c:pt idx="17">
                    <c:v>95,65</c:v>
                  </c:pt>
                  <c:pt idx="18">
                    <c:v>67,36</c:v>
                  </c:pt>
                  <c:pt idx="20">
                    <c:v>80,21</c:v>
                  </c:pt>
                  <c:pt idx="21">
                    <c:v>84,14</c:v>
                  </c:pt>
                  <c:pt idx="22">
                    <c:v>84,32</c:v>
                  </c:pt>
                  <c:pt idx="24">
                    <c:v>96,15</c:v>
                  </c:pt>
                  <c:pt idx="25">
                    <c:v>86,23</c:v>
                  </c:pt>
                  <c:pt idx="26">
                    <c:v>79,73</c:v>
                  </c:pt>
                  <c:pt idx="27">
                    <c:v>72,26</c:v>
                  </c:pt>
                  <c:pt idx="28">
                    <c:v>85,67</c:v>
                  </c:pt>
                  <c:pt idx="29">
                    <c:v>97,10</c:v>
                  </c:pt>
                  <c:pt idx="30">
                    <c:v>86,95</c:v>
                  </c:pt>
                  <c:pt idx="31">
                    <c:v>62,13</c:v>
                  </c:pt>
                  <c:pt idx="32">
                    <c:v>74,15</c:v>
                  </c:pt>
                </c:lvl>
                <c:lvl>
                  <c:pt idx="0">
                    <c:v>96,87</c:v>
                  </c:pt>
                  <c:pt idx="1">
                    <c:v>80,99</c:v>
                  </c:pt>
                  <c:pt idx="2">
                    <c:v>82,57</c:v>
                  </c:pt>
                  <c:pt idx="3">
                    <c:v>65,64</c:v>
                  </c:pt>
                  <c:pt idx="4">
                    <c:v>51,43</c:v>
                  </c:pt>
                  <c:pt idx="5">
                    <c:v>56,40</c:v>
                  </c:pt>
                  <c:pt idx="6">
                    <c:v>81,85</c:v>
                  </c:pt>
                  <c:pt idx="8">
                    <c:v>58,57</c:v>
                  </c:pt>
                  <c:pt idx="9">
                    <c:v>69,01</c:v>
                  </c:pt>
                  <c:pt idx="10">
                    <c:v>64,42</c:v>
                  </c:pt>
                  <c:pt idx="11">
                    <c:v>107,46</c:v>
                  </c:pt>
                  <c:pt idx="12">
                    <c:v>90,81</c:v>
                  </c:pt>
                  <c:pt idx="13">
                    <c:v>70,14</c:v>
                  </c:pt>
                  <c:pt idx="14">
                    <c:v>70,46</c:v>
                  </c:pt>
                  <c:pt idx="16">
                    <c:v>83,14</c:v>
                  </c:pt>
                  <c:pt idx="17">
                    <c:v>94,84</c:v>
                  </c:pt>
                  <c:pt idx="18">
                    <c:v>55,34</c:v>
                  </c:pt>
                  <c:pt idx="19">
                    <c:v>75,03</c:v>
                  </c:pt>
                  <c:pt idx="20">
                    <c:v>83,71</c:v>
                  </c:pt>
                  <c:pt idx="21">
                    <c:v>78,81</c:v>
                  </c:pt>
                  <c:pt idx="22">
                    <c:v>63,13</c:v>
                  </c:pt>
                  <c:pt idx="24">
                    <c:v>82,15</c:v>
                  </c:pt>
                  <c:pt idx="25">
                    <c:v>95,85</c:v>
                  </c:pt>
                  <c:pt idx="26">
                    <c:v>71,07</c:v>
                  </c:pt>
                  <c:pt idx="27">
                    <c:v>72,56</c:v>
                  </c:pt>
                  <c:pt idx="28">
                    <c:v>90,28</c:v>
                  </c:pt>
                  <c:pt idx="29">
                    <c:v>100,99</c:v>
                  </c:pt>
                  <c:pt idx="30">
                    <c:v>68,52</c:v>
                  </c:pt>
                  <c:pt idx="31">
                    <c:v>71,39</c:v>
                  </c:pt>
                  <c:pt idx="32">
                    <c:v>76,90</c:v>
                  </c:pt>
                </c:lvl>
                <c:lvl>
                  <c:pt idx="0">
                    <c:v>64,82</c:v>
                  </c:pt>
                  <c:pt idx="1">
                    <c:v>91,72</c:v>
                  </c:pt>
                  <c:pt idx="2">
                    <c:v>74,92</c:v>
                  </c:pt>
                  <c:pt idx="3">
                    <c:v>86,05</c:v>
                  </c:pt>
                  <c:pt idx="4">
                    <c:v>68,64</c:v>
                  </c:pt>
                  <c:pt idx="5">
                    <c:v>66,38</c:v>
                  </c:pt>
                  <c:pt idx="6">
                    <c:v>91,48</c:v>
                  </c:pt>
                  <c:pt idx="8">
                    <c:v>86,70</c:v>
                  </c:pt>
                  <c:pt idx="9">
                    <c:v>85,41</c:v>
                  </c:pt>
                  <c:pt idx="10">
                    <c:v>73,91</c:v>
                  </c:pt>
                  <c:pt idx="11">
                    <c:v>55,03</c:v>
                  </c:pt>
                  <c:pt idx="12">
                    <c:v>102,40</c:v>
                  </c:pt>
                  <c:pt idx="13">
                    <c:v>80,63</c:v>
                  </c:pt>
                  <c:pt idx="14">
                    <c:v>101,05</c:v>
                  </c:pt>
                  <c:pt idx="16">
                    <c:v>102,53</c:v>
                  </c:pt>
                  <c:pt idx="17">
                    <c:v>71,94</c:v>
                  </c:pt>
                  <c:pt idx="18">
                    <c:v>92,71</c:v>
                  </c:pt>
                  <c:pt idx="19">
                    <c:v>73,72</c:v>
                  </c:pt>
                  <c:pt idx="20">
                    <c:v>92,64</c:v>
                  </c:pt>
                  <c:pt idx="21">
                    <c:v>83,17</c:v>
                  </c:pt>
                  <c:pt idx="22">
                    <c:v>85,26</c:v>
                  </c:pt>
                  <c:pt idx="24">
                    <c:v>101,99</c:v>
                  </c:pt>
                  <c:pt idx="25">
                    <c:v>95,32</c:v>
                  </c:pt>
                  <c:pt idx="26">
                    <c:v>102,19</c:v>
                  </c:pt>
                  <c:pt idx="27">
                    <c:v>69,80</c:v>
                  </c:pt>
                  <c:pt idx="28">
                    <c:v>106,37</c:v>
                  </c:pt>
                  <c:pt idx="29">
                    <c:v>86,05</c:v>
                  </c:pt>
                  <c:pt idx="30">
                    <c:v>97,07</c:v>
                  </c:pt>
                  <c:pt idx="31">
                    <c:v>78,74</c:v>
                  </c:pt>
                  <c:pt idx="32">
                    <c:v>93,73</c:v>
                  </c:pt>
                </c:lvl>
                <c:lvl>
                  <c:pt idx="0">
                    <c:v>84,02</c:v>
                  </c:pt>
                  <c:pt idx="1">
                    <c:v>80,44</c:v>
                  </c:pt>
                  <c:pt idx="2">
                    <c:v>77,28</c:v>
                  </c:pt>
                  <c:pt idx="3">
                    <c:v>74,48</c:v>
                  </c:pt>
                  <c:pt idx="4">
                    <c:v>54,82</c:v>
                  </c:pt>
                  <c:pt idx="5">
                    <c:v>76,25</c:v>
                  </c:pt>
                  <c:pt idx="6">
                    <c:v>72,30</c:v>
                  </c:pt>
                  <c:pt idx="8">
                    <c:v>93,65</c:v>
                  </c:pt>
                  <c:pt idx="9">
                    <c:v>72,51</c:v>
                  </c:pt>
                  <c:pt idx="10">
                    <c:v>73,49</c:v>
                  </c:pt>
                  <c:pt idx="11">
                    <c:v>88,90</c:v>
                  </c:pt>
                  <c:pt idx="12">
                    <c:v>85,43</c:v>
                  </c:pt>
                  <c:pt idx="13">
                    <c:v>80,09</c:v>
                  </c:pt>
                  <c:pt idx="14">
                    <c:v>93,75</c:v>
                  </c:pt>
                  <c:pt idx="16">
                    <c:v>83,40</c:v>
                  </c:pt>
                  <c:pt idx="17">
                    <c:v>127,41</c:v>
                  </c:pt>
                  <c:pt idx="18">
                    <c:v>79,18</c:v>
                  </c:pt>
                  <c:pt idx="19">
                    <c:v>55,27</c:v>
                  </c:pt>
                  <c:pt idx="20">
                    <c:v>85,74</c:v>
                  </c:pt>
                  <c:pt idx="21">
                    <c:v>85,29</c:v>
                  </c:pt>
                  <c:pt idx="22">
                    <c:v>78,90</c:v>
                  </c:pt>
                  <c:pt idx="24">
                    <c:v>78,93</c:v>
                  </c:pt>
                  <c:pt idx="25">
                    <c:v>96,46</c:v>
                  </c:pt>
                  <c:pt idx="26">
                    <c:v>74,97</c:v>
                  </c:pt>
                  <c:pt idx="27">
                    <c:v>90,19</c:v>
                  </c:pt>
                  <c:pt idx="28">
                    <c:v>79,06</c:v>
                  </c:pt>
                  <c:pt idx="29">
                    <c:v>87,56</c:v>
                  </c:pt>
                  <c:pt idx="30">
                    <c:v>75,25</c:v>
                  </c:pt>
                  <c:pt idx="31">
                    <c:v>67,22</c:v>
                  </c:pt>
                  <c:pt idx="32">
                    <c:v>80,16</c:v>
                  </c:pt>
                </c:lvl>
                <c:lvl>
                  <c:pt idx="0">
                    <c:v>59,98</c:v>
                  </c:pt>
                  <c:pt idx="1">
                    <c:v>83,64</c:v>
                  </c:pt>
                  <c:pt idx="2">
                    <c:v>79,14</c:v>
                  </c:pt>
                  <c:pt idx="3">
                    <c:v>75,29</c:v>
                  </c:pt>
                  <c:pt idx="4">
                    <c:v>66,88</c:v>
                  </c:pt>
                  <c:pt idx="5">
                    <c:v>62,66</c:v>
                  </c:pt>
                  <c:pt idx="6">
                    <c:v>101,81</c:v>
                  </c:pt>
                  <c:pt idx="8">
                    <c:v>69,43</c:v>
                  </c:pt>
                  <c:pt idx="9">
                    <c:v>52,42</c:v>
                  </c:pt>
                  <c:pt idx="10">
                    <c:v>73,67</c:v>
                  </c:pt>
                  <c:pt idx="11">
                    <c:v>104,57</c:v>
                  </c:pt>
                  <c:pt idx="12">
                    <c:v>95,40</c:v>
                  </c:pt>
                  <c:pt idx="13">
                    <c:v>80,31</c:v>
                  </c:pt>
                  <c:pt idx="14">
                    <c:v>85,40</c:v>
                  </c:pt>
                  <c:pt idx="16">
                    <c:v>84,14</c:v>
                  </c:pt>
                  <c:pt idx="17">
                    <c:v>123,28</c:v>
                  </c:pt>
                  <c:pt idx="18">
                    <c:v>63,88</c:v>
                  </c:pt>
                  <c:pt idx="19">
                    <c:v>83,67</c:v>
                  </c:pt>
                  <c:pt idx="20">
                    <c:v>95,24</c:v>
                  </c:pt>
                  <c:pt idx="21">
                    <c:v>80,63</c:v>
                  </c:pt>
                  <c:pt idx="22">
                    <c:v>93,77</c:v>
                  </c:pt>
                  <c:pt idx="24">
                    <c:v>88,74</c:v>
                  </c:pt>
                  <c:pt idx="25">
                    <c:v>67,15</c:v>
                  </c:pt>
                  <c:pt idx="26">
                    <c:v>92,09</c:v>
                  </c:pt>
                  <c:pt idx="27">
                    <c:v>82,55</c:v>
                  </c:pt>
                  <c:pt idx="28">
                    <c:v>96,43</c:v>
                  </c:pt>
                  <c:pt idx="29">
                    <c:v>97,90</c:v>
                  </c:pt>
                  <c:pt idx="30">
                    <c:v>79,63</c:v>
                  </c:pt>
                  <c:pt idx="31">
                    <c:v>78,66</c:v>
                  </c:pt>
                  <c:pt idx="32">
                    <c:v>88,75</c:v>
                  </c:pt>
                </c:lvl>
                <c:lvl>
                  <c:pt idx="0">
                    <c:v>89,79</c:v>
                  </c:pt>
                  <c:pt idx="1">
                    <c:v>71,87</c:v>
                  </c:pt>
                  <c:pt idx="2">
                    <c:v>67,88</c:v>
                  </c:pt>
                  <c:pt idx="3">
                    <c:v>87,49</c:v>
                  </c:pt>
                  <c:pt idx="4">
                    <c:v>80,51</c:v>
                  </c:pt>
                  <c:pt idx="5">
                    <c:v>67,94</c:v>
                  </c:pt>
                  <c:pt idx="6">
                    <c:v>85,45</c:v>
                  </c:pt>
                  <c:pt idx="8">
                    <c:v>49,71</c:v>
                  </c:pt>
                  <c:pt idx="9">
                    <c:v>86,55</c:v>
                  </c:pt>
                  <c:pt idx="10">
                    <c:v>80,24</c:v>
                  </c:pt>
                  <c:pt idx="11">
                    <c:v>93,32</c:v>
                  </c:pt>
                  <c:pt idx="12">
                    <c:v>65,19</c:v>
                  </c:pt>
                  <c:pt idx="13">
                    <c:v>77,26</c:v>
                  </c:pt>
                  <c:pt idx="14">
                    <c:v>106,68</c:v>
                  </c:pt>
                  <c:pt idx="17">
                    <c:v>119,31</c:v>
                  </c:pt>
                  <c:pt idx="18">
                    <c:v>100,30</c:v>
                  </c:pt>
                  <c:pt idx="19">
                    <c:v>78,54</c:v>
                  </c:pt>
                  <c:pt idx="20">
                    <c:v>75,04</c:v>
                  </c:pt>
                  <c:pt idx="21">
                    <c:v>87,06</c:v>
                  </c:pt>
                  <c:pt idx="22">
                    <c:v>66,52</c:v>
                  </c:pt>
                  <c:pt idx="24">
                    <c:v>78,53</c:v>
                  </c:pt>
                  <c:pt idx="25">
                    <c:v>118,42</c:v>
                  </c:pt>
                  <c:pt idx="26">
                    <c:v>67,16</c:v>
                  </c:pt>
                  <c:pt idx="28">
                    <c:v>84,27</c:v>
                  </c:pt>
                  <c:pt idx="29">
                    <c:v>73,10</c:v>
                  </c:pt>
                  <c:pt idx="30">
                    <c:v>91,28</c:v>
                  </c:pt>
                  <c:pt idx="31">
                    <c:v>68,97</c:v>
                  </c:pt>
                  <c:pt idx="32">
                    <c:v>77,88</c:v>
                  </c:pt>
                </c:lvl>
                <c:lvl>
                  <c:pt idx="0">
                    <c:v>60,45</c:v>
                  </c:pt>
                  <c:pt idx="1">
                    <c:v>93,51</c:v>
                  </c:pt>
                  <c:pt idx="2">
                    <c:v>61,97</c:v>
                  </c:pt>
                  <c:pt idx="3">
                    <c:v>83,16</c:v>
                  </c:pt>
                  <c:pt idx="4">
                    <c:v>66,74</c:v>
                  </c:pt>
                  <c:pt idx="5">
                    <c:v>72,58</c:v>
                  </c:pt>
                  <c:pt idx="6">
                    <c:v>83,46</c:v>
                  </c:pt>
                  <c:pt idx="8">
                    <c:v>47,22</c:v>
                  </c:pt>
                  <c:pt idx="9">
                    <c:v>70,81</c:v>
                  </c:pt>
                  <c:pt idx="10">
                    <c:v>66,16</c:v>
                  </c:pt>
                  <c:pt idx="11">
                    <c:v>81,52</c:v>
                  </c:pt>
                  <c:pt idx="12">
                    <c:v>80,55</c:v>
                  </c:pt>
                  <c:pt idx="13">
                    <c:v>63,90</c:v>
                  </c:pt>
                  <c:pt idx="14">
                    <c:v>83,92</c:v>
                  </c:pt>
                  <c:pt idx="16">
                    <c:v>101,68</c:v>
                  </c:pt>
                  <c:pt idx="17">
                    <c:v>91,98</c:v>
                  </c:pt>
                  <c:pt idx="18">
                    <c:v>52,53</c:v>
                  </c:pt>
                  <c:pt idx="19">
                    <c:v>89,14</c:v>
                  </c:pt>
                  <c:pt idx="20">
                    <c:v>92,64</c:v>
                  </c:pt>
                  <c:pt idx="21">
                    <c:v>49,41</c:v>
                  </c:pt>
                  <c:pt idx="34">
                    <c:v>PM</c:v>
                  </c:pt>
                </c:lvl>
                <c:lvl>
                  <c:pt idx="0">
                    <c:v>104,65</c:v>
                  </c:pt>
                  <c:pt idx="1">
                    <c:v>97,57</c:v>
                  </c:pt>
                  <c:pt idx="2">
                    <c:v>89,55</c:v>
                  </c:pt>
                  <c:pt idx="3">
                    <c:v>103,32</c:v>
                  </c:pt>
                  <c:pt idx="4">
                    <c:v>77,33</c:v>
                  </c:pt>
                  <c:pt idx="5">
                    <c:v>89,49</c:v>
                  </c:pt>
                  <c:pt idx="6">
                    <c:v>105,43</c:v>
                  </c:pt>
                  <c:pt idx="8">
                    <c:v>88,21</c:v>
                  </c:pt>
                  <c:pt idx="9">
                    <c:v>114,38</c:v>
                  </c:pt>
                  <c:pt idx="10">
                    <c:v>55,68</c:v>
                  </c:pt>
                  <c:pt idx="11">
                    <c:v>124,85</c:v>
                  </c:pt>
                  <c:pt idx="14">
                    <c:v>111,90</c:v>
                  </c:pt>
                  <c:pt idx="16">
                    <c:v>90,41</c:v>
                  </c:pt>
                  <c:pt idx="17">
                    <c:v>32,11</c:v>
                  </c:pt>
                  <c:pt idx="18">
                    <c:v>72,49</c:v>
                  </c:pt>
                  <c:pt idx="20">
                    <c:v>179,98</c:v>
                  </c:pt>
                  <c:pt idx="21">
                    <c:v>99,97</c:v>
                  </c:pt>
                  <c:pt idx="22">
                    <c:v>84,79</c:v>
                  </c:pt>
                  <c:pt idx="24">
                    <c:v>64,33</c:v>
                  </c:pt>
                  <c:pt idx="25">
                    <c:v>91,99</c:v>
                  </c:pt>
                  <c:pt idx="26">
                    <c:v>107,22</c:v>
                  </c:pt>
                  <c:pt idx="27">
                    <c:v>27,60</c:v>
                  </c:pt>
                  <c:pt idx="28">
                    <c:v>91,75</c:v>
                  </c:pt>
                  <c:pt idx="29">
                    <c:v>87,55</c:v>
                  </c:pt>
                  <c:pt idx="30">
                    <c:v>117,90</c:v>
                  </c:pt>
                  <c:pt idx="31">
                    <c:v>42,91</c:v>
                  </c:pt>
                  <c:pt idx="32">
                    <c:v>113,92</c:v>
                  </c:pt>
                </c:lvl>
                <c:lvl>
                  <c:pt idx="0">
                    <c:v>65,38</c:v>
                  </c:pt>
                  <c:pt idx="1">
                    <c:v>106,02</c:v>
                  </c:pt>
                  <c:pt idx="2">
                    <c:v>78,31</c:v>
                  </c:pt>
                  <c:pt idx="3">
                    <c:v>60,92</c:v>
                  </c:pt>
                  <c:pt idx="4">
                    <c:v>75,80</c:v>
                  </c:pt>
                  <c:pt idx="5">
                    <c:v>57,63</c:v>
                  </c:pt>
                  <c:pt idx="6">
                    <c:v>133,01</c:v>
                  </c:pt>
                  <c:pt idx="8">
                    <c:v>61,28</c:v>
                  </c:pt>
                  <c:pt idx="9">
                    <c:v>58,57</c:v>
                  </c:pt>
                  <c:pt idx="10">
                    <c:v>76,40</c:v>
                  </c:pt>
                  <c:pt idx="11">
                    <c:v>100,88</c:v>
                  </c:pt>
                  <c:pt idx="12">
                    <c:v>63,33</c:v>
                  </c:pt>
                  <c:pt idx="13">
                    <c:v>95,33</c:v>
                  </c:pt>
                  <c:pt idx="14">
                    <c:v>88,49</c:v>
                  </c:pt>
                  <c:pt idx="16">
                    <c:v>80,07</c:v>
                  </c:pt>
                  <c:pt idx="18">
                    <c:v>132,15</c:v>
                  </c:pt>
                  <c:pt idx="19">
                    <c:v>78,85</c:v>
                  </c:pt>
                  <c:pt idx="20">
                    <c:v>100,83</c:v>
                  </c:pt>
                  <c:pt idx="21">
                    <c:v>80,37</c:v>
                  </c:pt>
                  <c:pt idx="22">
                    <c:v>98,10</c:v>
                  </c:pt>
                  <c:pt idx="24">
                    <c:v>103,88</c:v>
                  </c:pt>
                  <c:pt idx="25">
                    <c:v>120,42</c:v>
                  </c:pt>
                  <c:pt idx="26">
                    <c:v>80,33</c:v>
                  </c:pt>
                  <c:pt idx="27">
                    <c:v>90,18</c:v>
                  </c:pt>
                  <c:pt idx="28">
                    <c:v>90,45</c:v>
                  </c:pt>
                  <c:pt idx="29">
                    <c:v>99,45</c:v>
                  </c:pt>
                  <c:pt idx="30">
                    <c:v>85,79</c:v>
                  </c:pt>
                  <c:pt idx="31">
                    <c:v>62,55</c:v>
                  </c:pt>
                  <c:pt idx="32">
                    <c:v>88,16</c:v>
                  </c:pt>
                </c:lvl>
                <c:lvl>
                  <c:pt idx="0">
                    <c:v>74,59</c:v>
                  </c:pt>
                  <c:pt idx="1">
                    <c:v>76,94</c:v>
                  </c:pt>
                  <c:pt idx="2">
                    <c:v>74,04</c:v>
                  </c:pt>
                  <c:pt idx="4">
                    <c:v>54,52</c:v>
                  </c:pt>
                  <c:pt idx="5">
                    <c:v>53,48</c:v>
                  </c:pt>
                  <c:pt idx="6">
                    <c:v>82,91</c:v>
                  </c:pt>
                  <c:pt idx="9">
                    <c:v>120,44</c:v>
                  </c:pt>
                  <c:pt idx="10">
                    <c:v>76,61</c:v>
                  </c:pt>
                  <c:pt idx="11">
                    <c:v>84,83</c:v>
                  </c:pt>
                  <c:pt idx="12">
                    <c:v>76,93</c:v>
                  </c:pt>
                  <c:pt idx="13">
                    <c:v>73,82</c:v>
                  </c:pt>
                  <c:pt idx="14">
                    <c:v>75,78</c:v>
                  </c:pt>
                  <c:pt idx="16">
                    <c:v>100,56</c:v>
                  </c:pt>
                  <c:pt idx="17">
                    <c:v>70,56</c:v>
                  </c:pt>
                  <c:pt idx="18">
                    <c:v>78,24</c:v>
                  </c:pt>
                  <c:pt idx="19">
                    <c:v>77,61</c:v>
                  </c:pt>
                  <c:pt idx="20">
                    <c:v>88,67</c:v>
                  </c:pt>
                  <c:pt idx="21">
                    <c:v>91,02</c:v>
                  </c:pt>
                  <c:pt idx="22">
                    <c:v>106,43</c:v>
                  </c:pt>
                  <c:pt idx="24">
                    <c:v>80,19</c:v>
                  </c:pt>
                  <c:pt idx="25">
                    <c:v>84,61</c:v>
                  </c:pt>
                  <c:pt idx="26">
                    <c:v>83,22</c:v>
                  </c:pt>
                  <c:pt idx="27">
                    <c:v>81,53</c:v>
                  </c:pt>
                  <c:pt idx="28">
                    <c:v>75,89</c:v>
                  </c:pt>
                  <c:pt idx="29">
                    <c:v>77,98</c:v>
                  </c:pt>
                  <c:pt idx="30">
                    <c:v>72,39</c:v>
                  </c:pt>
                  <c:pt idx="31">
                    <c:v>57,88</c:v>
                  </c:pt>
                  <c:pt idx="32">
                    <c:v>80,70</c:v>
                  </c:pt>
                </c:lvl>
                <c:lvl>
                  <c:pt idx="0">
                    <c:v>88,44</c:v>
                  </c:pt>
                  <c:pt idx="1">
                    <c:v>91,28</c:v>
                  </c:pt>
                  <c:pt idx="2">
                    <c:v>91,94</c:v>
                  </c:pt>
                  <c:pt idx="3">
                    <c:v>93,60</c:v>
                  </c:pt>
                  <c:pt idx="4">
                    <c:v>61,64</c:v>
                  </c:pt>
                  <c:pt idx="6">
                    <c:v>94,64</c:v>
                  </c:pt>
                  <c:pt idx="8">
                    <c:v>67,23</c:v>
                  </c:pt>
                  <c:pt idx="9">
                    <c:v>94,09</c:v>
                  </c:pt>
                  <c:pt idx="10">
                    <c:v>77,74</c:v>
                  </c:pt>
                  <c:pt idx="11">
                    <c:v>91,29</c:v>
                  </c:pt>
                  <c:pt idx="12">
                    <c:v>102,72</c:v>
                  </c:pt>
                  <c:pt idx="14">
                    <c:v>87,74</c:v>
                  </c:pt>
                  <c:pt idx="16">
                    <c:v>108,17</c:v>
                  </c:pt>
                  <c:pt idx="18">
                    <c:v>127,84</c:v>
                  </c:pt>
                  <c:pt idx="19">
                    <c:v>91,63</c:v>
                  </c:pt>
                  <c:pt idx="20">
                    <c:v>82,33</c:v>
                  </c:pt>
                  <c:pt idx="21">
                    <c:v>99,79</c:v>
                  </c:pt>
                  <c:pt idx="22">
                    <c:v>85,30</c:v>
                  </c:pt>
                  <c:pt idx="24">
                    <c:v>100,82</c:v>
                  </c:pt>
                  <c:pt idx="25">
                    <c:v>79,58</c:v>
                  </c:pt>
                  <c:pt idx="26">
                    <c:v>78,67</c:v>
                  </c:pt>
                  <c:pt idx="27">
                    <c:v>91,10</c:v>
                  </c:pt>
                  <c:pt idx="28">
                    <c:v>95,97</c:v>
                  </c:pt>
                  <c:pt idx="29">
                    <c:v>95,97</c:v>
                  </c:pt>
                  <c:pt idx="30">
                    <c:v>101,31</c:v>
                  </c:pt>
                  <c:pt idx="31">
                    <c:v>67,10</c:v>
                  </c:pt>
                  <c:pt idx="32">
                    <c:v>73,94</c:v>
                  </c:pt>
                  <c:pt idx="36">
                    <c:v> 92 Unit</c:v>
                  </c:pt>
                </c:lvl>
                <c:lvl>
                  <c:pt idx="0">
                    <c:v>57,60</c:v>
                  </c:pt>
                  <c:pt idx="1">
                    <c:v>81,11</c:v>
                  </c:pt>
                  <c:pt idx="2">
                    <c:v>62,92</c:v>
                  </c:pt>
                  <c:pt idx="3">
                    <c:v>81,36</c:v>
                  </c:pt>
                  <c:pt idx="4">
                    <c:v>82,47</c:v>
                  </c:pt>
                  <c:pt idx="5">
                    <c:v>75,78</c:v>
                  </c:pt>
                  <c:pt idx="6">
                    <c:v>100,60</c:v>
                  </c:pt>
                  <c:pt idx="8">
                    <c:v>88,15</c:v>
                  </c:pt>
                  <c:pt idx="9">
                    <c:v>67,51</c:v>
                  </c:pt>
                  <c:pt idx="10">
                    <c:v>81,38</c:v>
                  </c:pt>
                  <c:pt idx="11">
                    <c:v>123,11</c:v>
                  </c:pt>
                  <c:pt idx="12">
                    <c:v>93,16</c:v>
                  </c:pt>
                  <c:pt idx="13">
                    <c:v>83,44</c:v>
                  </c:pt>
                  <c:pt idx="14">
                    <c:v>66,41</c:v>
                  </c:pt>
                  <c:pt idx="16">
                    <c:v>86,28</c:v>
                  </c:pt>
                  <c:pt idx="17">
                    <c:v>102,25</c:v>
                  </c:pt>
                  <c:pt idx="18">
                    <c:v>71,34</c:v>
                  </c:pt>
                  <c:pt idx="19">
                    <c:v>70,59</c:v>
                  </c:pt>
                  <c:pt idx="20">
                    <c:v>89,22</c:v>
                  </c:pt>
                  <c:pt idx="21">
                    <c:v>66,20</c:v>
                  </c:pt>
                  <c:pt idx="22">
                    <c:v>70,79</c:v>
                  </c:pt>
                  <c:pt idx="24">
                    <c:v>78,27</c:v>
                  </c:pt>
                  <c:pt idx="25">
                    <c:v>89,01</c:v>
                  </c:pt>
                  <c:pt idx="26">
                    <c:v>86,61</c:v>
                  </c:pt>
                  <c:pt idx="27">
                    <c:v>76,98</c:v>
                  </c:pt>
                  <c:pt idx="28">
                    <c:v>79,52</c:v>
                  </c:pt>
                  <c:pt idx="29">
                    <c:v>95,27</c:v>
                  </c:pt>
                  <c:pt idx="30">
                    <c:v>82,10</c:v>
                  </c:pt>
                  <c:pt idx="31">
                    <c:v>85,14</c:v>
                  </c:pt>
                  <c:pt idx="32">
                    <c:v>65,10</c:v>
                  </c:pt>
                  <c:pt idx="36">
                    <c:v>Total HT utk OPS</c:v>
                  </c:pt>
                </c:lvl>
                <c:lvl>
                  <c:pt idx="0">
                    <c:v>99,58</c:v>
                  </c:pt>
                  <c:pt idx="1">
                    <c:v>90,09</c:v>
                  </c:pt>
                  <c:pt idx="2">
                    <c:v>98,19</c:v>
                  </c:pt>
                  <c:pt idx="3">
                    <c:v>55,97</c:v>
                  </c:pt>
                  <c:pt idx="4">
                    <c:v>76,98</c:v>
                  </c:pt>
                  <c:pt idx="5">
                    <c:v>78,96</c:v>
                  </c:pt>
                  <c:pt idx="6">
                    <c:v>106,11</c:v>
                  </c:pt>
                  <c:pt idx="10">
                    <c:v>110,37</c:v>
                  </c:pt>
                  <c:pt idx="11">
                    <c:v>109,73</c:v>
                  </c:pt>
                  <c:pt idx="12">
                    <c:v>89,31</c:v>
                  </c:pt>
                  <c:pt idx="13">
                    <c:v>69,14</c:v>
                  </c:pt>
                  <c:pt idx="14">
                    <c:v>83,31</c:v>
                  </c:pt>
                  <c:pt idx="16">
                    <c:v>101,08</c:v>
                  </c:pt>
                  <c:pt idx="17">
                    <c:v>96,73</c:v>
                  </c:pt>
                  <c:pt idx="18">
                    <c:v>96,43</c:v>
                  </c:pt>
                  <c:pt idx="19">
                    <c:v>92,85</c:v>
                  </c:pt>
                  <c:pt idx="20">
                    <c:v>93,72</c:v>
                  </c:pt>
                  <c:pt idx="21">
                    <c:v>99,19</c:v>
                  </c:pt>
                  <c:pt idx="22">
                    <c:v>84,05</c:v>
                  </c:pt>
                  <c:pt idx="24">
                    <c:v>101,55</c:v>
                  </c:pt>
                  <c:pt idx="25">
                    <c:v>105,54</c:v>
                  </c:pt>
                  <c:pt idx="26">
                    <c:v>97,02</c:v>
                  </c:pt>
                  <c:pt idx="27">
                    <c:v>102,30</c:v>
                  </c:pt>
                  <c:pt idx="28">
                    <c:v>90,48</c:v>
                  </c:pt>
                  <c:pt idx="29">
                    <c:v>92,22</c:v>
                  </c:pt>
                  <c:pt idx="30">
                    <c:v>103,79</c:v>
                  </c:pt>
                  <c:pt idx="31">
                    <c:v>63,36</c:v>
                  </c:pt>
                  <c:pt idx="32">
                    <c:v>89,92</c:v>
                  </c:pt>
                </c:lvl>
                <c:lvl>
                  <c:pt idx="0">
                    <c:v>73,66</c:v>
                  </c:pt>
                  <c:pt idx="1">
                    <c:v>56,95</c:v>
                  </c:pt>
                  <c:pt idx="2">
                    <c:v>57,20</c:v>
                  </c:pt>
                  <c:pt idx="3">
                    <c:v>63,32</c:v>
                  </c:pt>
                  <c:pt idx="4">
                    <c:v>75,76</c:v>
                  </c:pt>
                  <c:pt idx="5">
                    <c:v>93,19</c:v>
                  </c:pt>
                  <c:pt idx="6">
                    <c:v>94,10</c:v>
                  </c:pt>
                  <c:pt idx="8">
                    <c:v>45,77</c:v>
                  </c:pt>
                  <c:pt idx="9">
                    <c:v>90,19</c:v>
                  </c:pt>
                  <c:pt idx="10">
                    <c:v>88,84</c:v>
                  </c:pt>
                  <c:pt idx="11">
                    <c:v>80,47</c:v>
                  </c:pt>
                  <c:pt idx="12">
                    <c:v>78,52</c:v>
                  </c:pt>
                  <c:pt idx="13">
                    <c:v>69,41</c:v>
                  </c:pt>
                  <c:pt idx="14">
                    <c:v>75,45</c:v>
                  </c:pt>
                  <c:pt idx="16">
                    <c:v>88,27</c:v>
                  </c:pt>
                  <c:pt idx="17">
                    <c:v>96,61</c:v>
                  </c:pt>
                  <c:pt idx="19">
                    <c:v>93,55</c:v>
                  </c:pt>
                  <c:pt idx="20">
                    <c:v>86,20</c:v>
                  </c:pt>
                  <c:pt idx="21">
                    <c:v>68,93</c:v>
                  </c:pt>
                  <c:pt idx="22">
                    <c:v>99,04</c:v>
                  </c:pt>
                  <c:pt idx="24">
                    <c:v>100,15</c:v>
                  </c:pt>
                  <c:pt idx="25">
                    <c:v>103,81</c:v>
                  </c:pt>
                  <c:pt idx="26">
                    <c:v>80,74</c:v>
                  </c:pt>
                  <c:pt idx="27">
                    <c:v>76,73</c:v>
                  </c:pt>
                  <c:pt idx="28">
                    <c:v>89,65</c:v>
                  </c:pt>
                  <c:pt idx="29">
                    <c:v>89,08</c:v>
                  </c:pt>
                  <c:pt idx="30">
                    <c:v>105,83</c:v>
                  </c:pt>
                  <c:pt idx="31">
                    <c:v>83,11</c:v>
                  </c:pt>
                  <c:pt idx="32">
                    <c:v>105,86</c:v>
                  </c:pt>
                  <c:pt idx="36">
                    <c:v> Total  24 Unit di Scrub</c:v>
                  </c:pt>
                </c:lvl>
                <c:lvl>
                  <c:pt idx="0">
                    <c:v>69,50</c:v>
                  </c:pt>
                  <c:pt idx="1">
                    <c:v>74,53</c:v>
                  </c:pt>
                  <c:pt idx="2">
                    <c:v>69,74</c:v>
                  </c:pt>
                  <c:pt idx="3">
                    <c:v>79,11</c:v>
                  </c:pt>
                  <c:pt idx="4">
                    <c:v>65,53</c:v>
                  </c:pt>
                  <c:pt idx="5">
                    <c:v>63,10</c:v>
                  </c:pt>
                  <c:pt idx="6">
                    <c:v>75,12</c:v>
                  </c:pt>
                  <c:pt idx="8">
                    <c:v>59,27</c:v>
                  </c:pt>
                  <c:pt idx="9">
                    <c:v>84,68</c:v>
                  </c:pt>
                  <c:pt idx="10">
                    <c:v>71,10</c:v>
                  </c:pt>
                  <c:pt idx="11">
                    <c:v>84,36</c:v>
                  </c:pt>
                  <c:pt idx="12">
                    <c:v>73,77</c:v>
                  </c:pt>
                  <c:pt idx="13">
                    <c:v>83,65</c:v>
                  </c:pt>
                  <c:pt idx="14">
                    <c:v>61,41</c:v>
                  </c:pt>
                  <c:pt idx="17">
                    <c:v>43,01</c:v>
                  </c:pt>
                  <c:pt idx="18">
                    <c:v>87,73</c:v>
                  </c:pt>
                  <c:pt idx="19">
                    <c:v>63,01</c:v>
                  </c:pt>
                  <c:pt idx="20">
                    <c:v>86,39</c:v>
                  </c:pt>
                  <c:pt idx="21">
                    <c:v>67,70</c:v>
                  </c:pt>
                  <c:pt idx="22">
                    <c:v>76,43</c:v>
                  </c:pt>
                  <c:pt idx="24">
                    <c:v>91,72</c:v>
                  </c:pt>
                  <c:pt idx="25">
                    <c:v>61,44</c:v>
                  </c:pt>
                  <c:pt idx="26">
                    <c:v>83,19</c:v>
                  </c:pt>
                  <c:pt idx="27">
                    <c:v>91,69</c:v>
                  </c:pt>
                  <c:pt idx="28">
                    <c:v>78,46</c:v>
                  </c:pt>
                  <c:pt idx="29">
                    <c:v>62,68</c:v>
                  </c:pt>
                  <c:pt idx="30">
                    <c:v>102,45</c:v>
                  </c:pt>
                  <c:pt idx="31">
                    <c:v>65,29</c:v>
                  </c:pt>
                  <c:pt idx="32">
                    <c:v>74,51</c:v>
                  </c:pt>
                </c:lvl>
                <c:lvl>
                  <c:pt idx="0">
                    <c:v>82,40</c:v>
                  </c:pt>
                  <c:pt idx="1">
                    <c:v>77,93</c:v>
                  </c:pt>
                  <c:pt idx="2">
                    <c:v>80,82</c:v>
                  </c:pt>
                  <c:pt idx="3">
                    <c:v>74,10</c:v>
                  </c:pt>
                  <c:pt idx="4">
                    <c:v>74,30</c:v>
                  </c:pt>
                  <c:pt idx="5">
                    <c:v>73,75</c:v>
                  </c:pt>
                  <c:pt idx="6">
                    <c:v>78,94</c:v>
                  </c:pt>
                  <c:pt idx="8">
                    <c:v>73,85</c:v>
                  </c:pt>
                  <c:pt idx="9">
                    <c:v>85,28</c:v>
                  </c:pt>
                  <c:pt idx="10">
                    <c:v>80,53</c:v>
                  </c:pt>
                  <c:pt idx="11">
                    <c:v>89,55</c:v>
                  </c:pt>
                  <c:pt idx="12">
                    <c:v>80,53</c:v>
                  </c:pt>
                  <c:pt idx="13">
                    <c:v>86,75</c:v>
                  </c:pt>
                  <c:pt idx="14">
                    <c:v>65,85</c:v>
                  </c:pt>
                  <c:pt idx="17">
                    <c:v>112,99</c:v>
                  </c:pt>
                  <c:pt idx="18">
                    <c:v>75,57</c:v>
                  </c:pt>
                  <c:pt idx="19">
                    <c:v>67,32</c:v>
                  </c:pt>
                  <c:pt idx="20">
                    <c:v>93,74</c:v>
                  </c:pt>
                  <c:pt idx="21">
                    <c:v>67,26</c:v>
                  </c:pt>
                  <c:pt idx="22">
                    <c:v>86,53</c:v>
                  </c:pt>
                  <c:pt idx="24">
                    <c:v>72,84</c:v>
                  </c:pt>
                  <c:pt idx="25">
                    <c:v>81,37</c:v>
                  </c:pt>
                  <c:pt idx="26">
                    <c:v>91,93</c:v>
                  </c:pt>
                  <c:pt idx="27">
                    <c:v>49,00</c:v>
                  </c:pt>
                  <c:pt idx="28">
                    <c:v>70,63</c:v>
                  </c:pt>
                  <c:pt idx="29">
                    <c:v>95,76</c:v>
                  </c:pt>
                  <c:pt idx="30">
                    <c:v>94,38</c:v>
                  </c:pt>
                  <c:pt idx="31">
                    <c:v>72,48</c:v>
                  </c:pt>
                  <c:pt idx="32">
                    <c:v>87,11</c:v>
                  </c:pt>
                  <c:pt idx="36">
                    <c:v>  106,107 . Lelang srcub</c:v>
                  </c:pt>
                </c:lvl>
                <c:lvl>
                  <c:pt idx="0">
                    <c:v>84,28</c:v>
                  </c:pt>
                  <c:pt idx="1">
                    <c:v>90,50</c:v>
                  </c:pt>
                  <c:pt idx="3">
                    <c:v>91,55</c:v>
                  </c:pt>
                  <c:pt idx="4">
                    <c:v>87,61</c:v>
                  </c:pt>
                  <c:pt idx="5">
                    <c:v>61,45</c:v>
                  </c:pt>
                  <c:pt idx="6">
                    <c:v>92,95</c:v>
                  </c:pt>
                  <c:pt idx="8">
                    <c:v>65,26</c:v>
                  </c:pt>
                  <c:pt idx="9">
                    <c:v>107,61</c:v>
                  </c:pt>
                  <c:pt idx="10">
                    <c:v>106,40</c:v>
                  </c:pt>
                  <c:pt idx="11">
                    <c:v>74,57</c:v>
                  </c:pt>
                  <c:pt idx="12">
                    <c:v>87,76</c:v>
                  </c:pt>
                  <c:pt idx="13">
                    <c:v>89,21</c:v>
                  </c:pt>
                  <c:pt idx="14">
                    <c:v>85,08</c:v>
                  </c:pt>
                  <c:pt idx="16">
                    <c:v>81,20</c:v>
                  </c:pt>
                  <c:pt idx="17">
                    <c:v>96,58</c:v>
                  </c:pt>
                  <c:pt idx="18">
                    <c:v>97,36</c:v>
                  </c:pt>
                  <c:pt idx="19">
                    <c:v>106,18</c:v>
                  </c:pt>
                  <c:pt idx="20">
                    <c:v>71,93</c:v>
                  </c:pt>
                  <c:pt idx="21">
                    <c:v>90,31</c:v>
                  </c:pt>
                  <c:pt idx="25">
                    <c:v>150,41</c:v>
                  </c:pt>
                  <c:pt idx="26">
                    <c:v>78,82</c:v>
                  </c:pt>
                  <c:pt idx="27">
                    <c:v>89,92</c:v>
                  </c:pt>
                  <c:pt idx="28">
                    <c:v>114,13</c:v>
                  </c:pt>
                  <c:pt idx="29">
                    <c:v>58,00</c:v>
                  </c:pt>
                  <c:pt idx="30">
                    <c:v>87,75</c:v>
                  </c:pt>
                  <c:pt idx="31">
                    <c:v>86,64</c:v>
                  </c:pt>
                  <c:pt idx="32">
                    <c:v>101,31</c:v>
                  </c:pt>
                  <c:pt idx="36">
                    <c:v>   99, 101. 102, 103, 105,</c:v>
                  </c:pt>
                </c:lvl>
                <c:lvl>
                  <c:pt idx="0">
                    <c:v>83,69</c:v>
                  </c:pt>
                  <c:pt idx="1">
                    <c:v>77,52</c:v>
                  </c:pt>
                  <c:pt idx="2">
                    <c:v>72,94</c:v>
                  </c:pt>
                  <c:pt idx="3">
                    <c:v>81,88</c:v>
                  </c:pt>
                  <c:pt idx="4">
                    <c:v>92,15</c:v>
                  </c:pt>
                  <c:pt idx="5">
                    <c:v>75,05</c:v>
                  </c:pt>
                  <c:pt idx="6">
                    <c:v>79,70</c:v>
                  </c:pt>
                  <c:pt idx="8">
                    <c:v>75,18</c:v>
                  </c:pt>
                  <c:pt idx="9">
                    <c:v>81,91</c:v>
                  </c:pt>
                  <c:pt idx="10">
                    <c:v>76,57</c:v>
                  </c:pt>
                  <c:pt idx="11">
                    <c:v>74,98</c:v>
                  </c:pt>
                  <c:pt idx="12">
                    <c:v>52,46</c:v>
                  </c:pt>
                  <c:pt idx="13">
                    <c:v>80,17</c:v>
                  </c:pt>
                  <c:pt idx="14">
                    <c:v>64,75</c:v>
                  </c:pt>
                  <c:pt idx="16">
                    <c:v>91,34</c:v>
                  </c:pt>
                  <c:pt idx="17">
                    <c:v>81,11</c:v>
                  </c:pt>
                  <c:pt idx="18">
                    <c:v>83,38</c:v>
                  </c:pt>
                  <c:pt idx="19">
                    <c:v>75,04</c:v>
                  </c:pt>
                  <c:pt idx="20">
                    <c:v>85,26</c:v>
                  </c:pt>
                  <c:pt idx="21">
                    <c:v>72,78</c:v>
                  </c:pt>
                  <c:pt idx="22">
                    <c:v>77,69</c:v>
                  </c:pt>
                  <c:pt idx="24">
                    <c:v>83,09</c:v>
                  </c:pt>
                  <c:pt idx="25">
                    <c:v>83,97</c:v>
                  </c:pt>
                  <c:pt idx="26">
                    <c:v>68,51</c:v>
                  </c:pt>
                  <c:pt idx="27">
                    <c:v>80,24</c:v>
                  </c:pt>
                  <c:pt idx="28">
                    <c:v>87,23</c:v>
                  </c:pt>
                  <c:pt idx="29">
                    <c:v>70,46</c:v>
                  </c:pt>
                  <c:pt idx="30">
                    <c:v>85,58</c:v>
                  </c:pt>
                  <c:pt idx="31">
                    <c:v>73,97</c:v>
                  </c:pt>
                  <c:pt idx="32">
                    <c:v>78,67</c:v>
                  </c:pt>
                  <c:pt idx="36">
                    <c:v>   89, 91, 92, 94, 96, 97,</c:v>
                  </c:pt>
                </c:lvl>
                <c:lvl>
                  <c:pt idx="0">
                    <c:v>97,85</c:v>
                  </c:pt>
                  <c:pt idx="1">
                    <c:v>96,28</c:v>
                  </c:pt>
                  <c:pt idx="2">
                    <c:v>85,24</c:v>
                  </c:pt>
                  <c:pt idx="3">
                    <c:v>84,06</c:v>
                  </c:pt>
                  <c:pt idx="4">
                    <c:v>46,22</c:v>
                  </c:pt>
                  <c:pt idx="5">
                    <c:v>54,70</c:v>
                  </c:pt>
                  <c:pt idx="6">
                    <c:v>88,00</c:v>
                  </c:pt>
                  <c:pt idx="8">
                    <c:v>73,47</c:v>
                  </c:pt>
                  <c:pt idx="9">
                    <c:v>95,05</c:v>
                  </c:pt>
                  <c:pt idx="10">
                    <c:v>86,32</c:v>
                  </c:pt>
                  <c:pt idx="11">
                    <c:v>94,94</c:v>
                  </c:pt>
                  <c:pt idx="12">
                    <c:v>84,38</c:v>
                  </c:pt>
                  <c:pt idx="13">
                    <c:v>78,04</c:v>
                  </c:pt>
                  <c:pt idx="14">
                    <c:v>77,99</c:v>
                  </c:pt>
                  <c:pt idx="16">
                    <c:v>74,51</c:v>
                  </c:pt>
                  <c:pt idx="17">
                    <c:v>90,88</c:v>
                  </c:pt>
                  <c:pt idx="18">
                    <c:v>86,13</c:v>
                  </c:pt>
                  <c:pt idx="19">
                    <c:v>87,62</c:v>
                  </c:pt>
                  <c:pt idx="20">
                    <c:v>104,7</c:v>
                  </c:pt>
                  <c:pt idx="21">
                    <c:v>75,89</c:v>
                  </c:pt>
                  <c:pt idx="22">
                    <c:v>81,94</c:v>
                  </c:pt>
                  <c:pt idx="24">
                    <c:v>87,49</c:v>
                  </c:pt>
                  <c:pt idx="25">
                    <c:v>112,00</c:v>
                  </c:pt>
                  <c:pt idx="26">
                    <c:v>87,68</c:v>
                  </c:pt>
                  <c:pt idx="27">
                    <c:v>93,70</c:v>
                  </c:pt>
                  <c:pt idx="28">
                    <c:v>73,55</c:v>
                  </c:pt>
                  <c:pt idx="29">
                    <c:v>57,28</c:v>
                  </c:pt>
                  <c:pt idx="30">
                    <c:v>103,70</c:v>
                  </c:pt>
                  <c:pt idx="31">
                    <c:v>89,39</c:v>
                  </c:pt>
                  <c:pt idx="32">
                    <c:v>83,15</c:v>
                  </c:pt>
                  <c:pt idx="36">
                    <c:v>   82, 84, 85, 86, 87, 88, </c:v>
                  </c:pt>
                </c:lvl>
                <c:lvl>
                  <c:pt idx="0">
                    <c:v>110,23</c:v>
                  </c:pt>
                  <c:pt idx="1">
                    <c:v>94,25</c:v>
                  </c:pt>
                  <c:pt idx="2">
                    <c:v>23,23</c:v>
                  </c:pt>
                  <c:pt idx="3">
                    <c:v>78,50</c:v>
                  </c:pt>
                  <c:pt idx="4">
                    <c:v>100,68</c:v>
                  </c:pt>
                  <c:pt idx="5">
                    <c:v>62,78</c:v>
                  </c:pt>
                  <c:pt idx="6">
                    <c:v>89,48</c:v>
                  </c:pt>
                  <c:pt idx="8">
                    <c:v>77,35</c:v>
                  </c:pt>
                  <c:pt idx="9">
                    <c:v>88,52</c:v>
                  </c:pt>
                  <c:pt idx="10">
                    <c:v>95,13</c:v>
                  </c:pt>
                  <c:pt idx="11">
                    <c:v>102,15</c:v>
                  </c:pt>
                  <c:pt idx="12">
                    <c:v>100,10</c:v>
                  </c:pt>
                  <c:pt idx="13">
                    <c:v>76,09</c:v>
                  </c:pt>
                  <c:pt idx="14">
                    <c:v>99,20</c:v>
                  </c:pt>
                  <c:pt idx="16">
                    <c:v>112,17</c:v>
                  </c:pt>
                  <c:pt idx="17">
                    <c:v>90,67</c:v>
                  </c:pt>
                  <c:pt idx="18">
                    <c:v>82,95</c:v>
                  </c:pt>
                  <c:pt idx="19">
                    <c:v>105,57</c:v>
                  </c:pt>
                  <c:pt idx="20">
                    <c:v>85,01</c:v>
                  </c:pt>
                  <c:pt idx="21">
                    <c:v>86,31</c:v>
                  </c:pt>
                  <c:pt idx="22">
                    <c:v>101,83</c:v>
                  </c:pt>
                  <c:pt idx="24">
                    <c:v>86,67</c:v>
                  </c:pt>
                  <c:pt idx="25">
                    <c:v>73,16</c:v>
                  </c:pt>
                  <c:pt idx="28">
                    <c:v>78,47</c:v>
                  </c:pt>
                  <c:pt idx="29">
                    <c:v>78,61</c:v>
                  </c:pt>
                  <c:pt idx="30">
                    <c:v>68,95</c:v>
                  </c:pt>
                  <c:pt idx="31">
                    <c:v>81,53</c:v>
                  </c:pt>
                  <c:pt idx="32">
                    <c:v>93,07</c:v>
                  </c:pt>
                  <c:pt idx="36">
                    <c:v>. HT 129, 130, 146, 160, </c:v>
                  </c:pt>
                </c:lvl>
                <c:lvl>
                  <c:pt idx="0">
                    <c:v>78,99</c:v>
                  </c:pt>
                  <c:pt idx="1">
                    <c:v>78,99</c:v>
                  </c:pt>
                  <c:pt idx="2">
                    <c:v>64,39</c:v>
                  </c:pt>
                  <c:pt idx="3">
                    <c:v>105,05</c:v>
                  </c:pt>
                  <c:pt idx="4">
                    <c:v>86,22</c:v>
                  </c:pt>
                  <c:pt idx="5">
                    <c:v>83,68</c:v>
                  </c:pt>
                  <c:pt idx="6">
                    <c:v>107,81</c:v>
                  </c:pt>
                  <c:pt idx="8">
                    <c:v>58,66</c:v>
                  </c:pt>
                  <c:pt idx="9">
                    <c:v>82,64</c:v>
                  </c:pt>
                  <c:pt idx="10">
                    <c:v>70,99</c:v>
                  </c:pt>
                  <c:pt idx="11">
                    <c:v>73,94</c:v>
                  </c:pt>
                  <c:pt idx="12">
                    <c:v>100,04</c:v>
                  </c:pt>
                  <c:pt idx="13">
                    <c:v>69,40</c:v>
                  </c:pt>
                  <c:pt idx="14">
                    <c:v>76,05</c:v>
                  </c:pt>
                  <c:pt idx="16">
                    <c:v>101,61</c:v>
                  </c:pt>
                  <c:pt idx="17">
                    <c:v>71,20</c:v>
                  </c:pt>
                  <c:pt idx="18">
                    <c:v>110,72</c:v>
                  </c:pt>
                  <c:pt idx="19">
                    <c:v>80,20</c:v>
                  </c:pt>
                  <c:pt idx="20">
                    <c:v>73,49</c:v>
                  </c:pt>
                  <c:pt idx="21">
                    <c:v>99,71</c:v>
                  </c:pt>
                  <c:pt idx="22">
                    <c:v>80,69</c:v>
                  </c:pt>
                  <c:pt idx="24">
                    <c:v>119,94</c:v>
                  </c:pt>
                  <c:pt idx="25">
                    <c:v>77,09</c:v>
                  </c:pt>
                  <c:pt idx="27">
                    <c:v>77,87</c:v>
                  </c:pt>
                  <c:pt idx="28">
                    <c:v>96,62</c:v>
                  </c:pt>
                  <c:pt idx="29">
                    <c:v>114,82</c:v>
                  </c:pt>
                  <c:pt idx="30">
                    <c:v>117,07</c:v>
                  </c:pt>
                  <c:pt idx="31">
                    <c:v>60,91</c:v>
                  </c:pt>
                  <c:pt idx="32">
                    <c:v>102,82</c:v>
                  </c:pt>
                  <c:pt idx="36">
                    <c:v>  Hasil dilapangan</c:v>
                  </c:pt>
                </c:lvl>
                <c:lvl>
                  <c:pt idx="0">
                    <c:v>89,25</c:v>
                  </c:pt>
                  <c:pt idx="2">
                    <c:v>147,51</c:v>
                  </c:pt>
                  <c:pt idx="3">
                    <c:v>70,92</c:v>
                  </c:pt>
                  <c:pt idx="4">
                    <c:v>83,18</c:v>
                  </c:pt>
                  <c:pt idx="5">
                    <c:v>63,87</c:v>
                  </c:pt>
                  <c:pt idx="6">
                    <c:v>93,92</c:v>
                  </c:pt>
                  <c:pt idx="8">
                    <c:v>62,43</c:v>
                  </c:pt>
                  <c:pt idx="9">
                    <c:v>75,35</c:v>
                  </c:pt>
                  <c:pt idx="10">
                    <c:v>60,60</c:v>
                  </c:pt>
                  <c:pt idx="11">
                    <c:v>86,53</c:v>
                  </c:pt>
                  <c:pt idx="12">
                    <c:v>72,29</c:v>
                  </c:pt>
                  <c:pt idx="13">
                    <c:v>98,38</c:v>
                  </c:pt>
                  <c:pt idx="14">
                    <c:v>76,53</c:v>
                  </c:pt>
                  <c:pt idx="16">
                    <c:v>95,59</c:v>
                  </c:pt>
                  <c:pt idx="17">
                    <c:v>89,32</c:v>
                  </c:pt>
                  <c:pt idx="18">
                    <c:v>63,84</c:v>
                  </c:pt>
                  <c:pt idx="19">
                    <c:v>72,22</c:v>
                  </c:pt>
                  <c:pt idx="20">
                    <c:v>70,61</c:v>
                  </c:pt>
                  <c:pt idx="21">
                    <c:v>68,91</c:v>
                  </c:pt>
                  <c:pt idx="22">
                    <c:v>79,68</c:v>
                  </c:pt>
                  <c:pt idx="24">
                    <c:v>88,22</c:v>
                  </c:pt>
                  <c:pt idx="25">
                    <c:v>85,66</c:v>
                  </c:pt>
                  <c:pt idx="26">
                    <c:v>73,84</c:v>
                  </c:pt>
                  <c:pt idx="27">
                    <c:v>80,03</c:v>
                  </c:pt>
                  <c:pt idx="29">
                    <c:v>84,78</c:v>
                  </c:pt>
                  <c:pt idx="30">
                    <c:v>92,75</c:v>
                  </c:pt>
                  <c:pt idx="31">
                    <c:v>60,81</c:v>
                  </c:pt>
                  <c:pt idx="32">
                    <c:v>81,08</c:v>
                  </c:pt>
                </c:lvl>
                <c:lvl>
                  <c:pt idx="0">
                    <c:v>65,89</c:v>
                  </c:pt>
                  <c:pt idx="1">
                    <c:v>69,72</c:v>
                  </c:pt>
                  <c:pt idx="2">
                    <c:v>66,68</c:v>
                  </c:pt>
                  <c:pt idx="3">
                    <c:v>72,75</c:v>
                  </c:pt>
                  <c:pt idx="4">
                    <c:v>62,51</c:v>
                  </c:pt>
                  <c:pt idx="5">
                    <c:v>70,32</c:v>
                  </c:pt>
                  <c:pt idx="6">
                    <c:v>83,78</c:v>
                  </c:pt>
                  <c:pt idx="8">
                    <c:v>77,62</c:v>
                  </c:pt>
                  <c:pt idx="9">
                    <c:v>56,13</c:v>
                  </c:pt>
                  <c:pt idx="10">
                    <c:v>66,98</c:v>
                  </c:pt>
                  <c:pt idx="11">
                    <c:v>88,02</c:v>
                  </c:pt>
                  <c:pt idx="12">
                    <c:v>66,37</c:v>
                  </c:pt>
                  <c:pt idx="13">
                    <c:v>77,99</c:v>
                  </c:pt>
                  <c:pt idx="14">
                    <c:v>75,30</c:v>
                  </c:pt>
                  <c:pt idx="16">
                    <c:v>79,73</c:v>
                  </c:pt>
                  <c:pt idx="17">
                    <c:v>85,07</c:v>
                  </c:pt>
                  <c:pt idx="18">
                    <c:v>66,10</c:v>
                  </c:pt>
                  <c:pt idx="19">
                    <c:v>81,97</c:v>
                  </c:pt>
                  <c:pt idx="20">
                    <c:v>63,24</c:v>
                  </c:pt>
                  <c:pt idx="21">
                    <c:v>82,97</c:v>
                  </c:pt>
                  <c:pt idx="22">
                    <c:v>77,09</c:v>
                  </c:pt>
                  <c:pt idx="24">
                    <c:v>91,75</c:v>
                  </c:pt>
                  <c:pt idx="25">
                    <c:v>79,79</c:v>
                  </c:pt>
                  <c:pt idx="26">
                    <c:v>92,49</c:v>
                  </c:pt>
                  <c:pt idx="27">
                    <c:v>73,46</c:v>
                  </c:pt>
                  <c:pt idx="28">
                    <c:v>108,49</c:v>
                  </c:pt>
                  <c:pt idx="29">
                    <c:v>103,14</c:v>
                  </c:pt>
                  <c:pt idx="30">
                    <c:v>92,46</c:v>
                  </c:pt>
                  <c:pt idx="31">
                    <c:v>48,62</c:v>
                  </c:pt>
                  <c:pt idx="32">
                    <c:v>88,27</c:v>
                  </c:pt>
                  <c:pt idx="36">
                    <c:v>. HT 118 Utk Behandle</c:v>
                  </c:pt>
                </c:lvl>
                <c:lvl>
                  <c:pt idx="0">
                    <c:v>79,17</c:v>
                  </c:pt>
                  <c:pt idx="1">
                    <c:v>78,64</c:v>
                  </c:pt>
                  <c:pt idx="2">
                    <c:v>84,42</c:v>
                  </c:pt>
                  <c:pt idx="3">
                    <c:v>83,47</c:v>
                  </c:pt>
                  <c:pt idx="4">
                    <c:v>74,39</c:v>
                  </c:pt>
                  <c:pt idx="5">
                    <c:v>80,96</c:v>
                  </c:pt>
                  <c:pt idx="6">
                    <c:v>97,68</c:v>
                  </c:pt>
                  <c:pt idx="8">
                    <c:v>64,03</c:v>
                  </c:pt>
                  <c:pt idx="9">
                    <c:v>75,57</c:v>
                  </c:pt>
                  <c:pt idx="10">
                    <c:v>82,89</c:v>
                  </c:pt>
                  <c:pt idx="11">
                    <c:v>92,25</c:v>
                  </c:pt>
                  <c:pt idx="12">
                    <c:v>78,67</c:v>
                  </c:pt>
                  <c:pt idx="13">
                    <c:v>79,34</c:v>
                  </c:pt>
                  <c:pt idx="14">
                    <c:v>94,82</c:v>
                  </c:pt>
                  <c:pt idx="16">
                    <c:v>89,03</c:v>
                  </c:pt>
                  <c:pt idx="17">
                    <c:v>101,35</c:v>
                  </c:pt>
                  <c:pt idx="18">
                    <c:v>104,65</c:v>
                  </c:pt>
                  <c:pt idx="19">
                    <c:v>80,21</c:v>
                  </c:pt>
                  <c:pt idx="20">
                    <c:v>88,76</c:v>
                  </c:pt>
                  <c:pt idx="25">
                    <c:v>71,13</c:v>
                  </c:pt>
                  <c:pt idx="26">
                    <c:v>89,84</c:v>
                  </c:pt>
                  <c:pt idx="27">
                    <c:v>73,14</c:v>
                  </c:pt>
                  <c:pt idx="28">
                    <c:v>90,30</c:v>
                  </c:pt>
                  <c:pt idx="29">
                    <c:v>72,16</c:v>
                  </c:pt>
                  <c:pt idx="30">
                    <c:v>88,83</c:v>
                  </c:pt>
                  <c:pt idx="31">
                    <c:v>80,41</c:v>
                  </c:pt>
                  <c:pt idx="32">
                    <c:v>92,42</c:v>
                  </c:pt>
                  <c:pt idx="36">
                    <c:v>. HT 23 Utk Alban BM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18">
                    <c:v>137,32</c:v>
                  </c:pt>
                  <c:pt idx="34">
                    <c:v>PM</c:v>
                  </c:pt>
                  <c:pt idx="36">
                    <c:v>Khusus HT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Full tanki BBM Solar</c:v>
                  </c:pt>
                </c:lvl>
                <c:lvl>
                  <c:pt idx="0">
                    <c:v>109,42</c:v>
                  </c:pt>
                  <c:pt idx="1">
                    <c:v>91,66</c:v>
                  </c:pt>
                  <c:pt idx="2">
                    <c:v>70,13</c:v>
                  </c:pt>
                  <c:pt idx="3">
                    <c:v>103,25</c:v>
                  </c:pt>
                  <c:pt idx="4">
                    <c:v>71,80</c:v>
                  </c:pt>
                  <c:pt idx="5">
                    <c:v>109,43</c:v>
                  </c:pt>
                  <c:pt idx="6">
                    <c:v>107,39</c:v>
                  </c:pt>
                  <c:pt idx="10">
                    <c:v>68,32</c:v>
                  </c:pt>
                  <c:pt idx="11">
                    <c:v>106,23</c:v>
                  </c:pt>
                  <c:pt idx="12">
                    <c:v>25,76</c:v>
                  </c:pt>
                  <c:pt idx="13">
                    <c:v>84,46</c:v>
                  </c:pt>
                  <c:pt idx="14">
                    <c:v>88,00</c:v>
                  </c:pt>
                  <c:pt idx="16">
                    <c:v>136,40</c:v>
                  </c:pt>
                  <c:pt idx="17">
                    <c:v>98,86</c:v>
                  </c:pt>
                  <c:pt idx="18">
                    <c:v>103,51</c:v>
                  </c:pt>
                  <c:pt idx="19">
                    <c:v>103,58</c:v>
                  </c:pt>
                  <c:pt idx="20">
                    <c:v>100,03</c:v>
                  </c:pt>
                  <c:pt idx="21">
                    <c:v>98,34</c:v>
                  </c:pt>
                  <c:pt idx="22">
                    <c:v>50,88</c:v>
                  </c:pt>
                  <c:pt idx="24">
                    <c:v>93,57</c:v>
                  </c:pt>
                  <c:pt idx="25">
                    <c:v>72,39</c:v>
                  </c:pt>
                  <c:pt idx="26">
                    <c:v>89,62</c:v>
                  </c:pt>
                  <c:pt idx="27">
                    <c:v>109,66</c:v>
                  </c:pt>
                  <c:pt idx="28">
                    <c:v>99,85</c:v>
                  </c:pt>
                  <c:pt idx="30">
                    <c:v>88,28</c:v>
                  </c:pt>
                  <c:pt idx="31">
                    <c:v>77,64</c:v>
                  </c:pt>
                  <c:pt idx="32">
                    <c:v>134,47</c:v>
                  </c:pt>
                  <c:pt idx="36">
                    <c:v>semua Uni HT diisi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Tgl 14 Desember '25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83 - 104, 230 Liter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  <c:pt idx="36">
                    <c:v>. HT 23, 230 Liter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  <c:lvl>
                  <c:pt idx="0">
                    <c:v>39.18.11</c:v>
                  </c:pt>
                  <c:pt idx="1">
                    <c:v>36.16.11</c:v>
                  </c:pt>
                  <c:pt idx="2">
                    <c:v>39.13.11</c:v>
                  </c:pt>
                  <c:pt idx="3">
                    <c:v>41.11.11</c:v>
                  </c:pt>
                  <c:pt idx="4">
                    <c:v>36.16.11</c:v>
                  </c:pt>
                  <c:pt idx="5">
                    <c:v>38.14.11</c:v>
                  </c:pt>
                  <c:pt idx="6">
                    <c:v>37.15.11</c:v>
                  </c:pt>
                  <c:pt idx="8">
                    <c:v>36.16.11</c:v>
                  </c:pt>
                  <c:pt idx="9">
                    <c:v>36.16.11</c:v>
                  </c:pt>
                  <c:pt idx="10">
                    <c:v>38.14.11</c:v>
                  </c:pt>
                  <c:pt idx="11">
                    <c:v>38.14.11</c:v>
                  </c:pt>
                  <c:pt idx="12">
                    <c:v>38.14.11</c:v>
                  </c:pt>
                  <c:pt idx="13">
                    <c:v>36.16.11</c:v>
                  </c:pt>
                  <c:pt idx="14">
                    <c:v>38.14.11</c:v>
                  </c:pt>
                  <c:pt idx="16">
                    <c:v>39.13.11</c:v>
                  </c:pt>
                  <c:pt idx="17">
                    <c:v>35.17.11</c:v>
                  </c:pt>
                  <c:pt idx="18">
                    <c:v>37.15.11</c:v>
                  </c:pt>
                  <c:pt idx="19">
                    <c:v>37.15.11</c:v>
                  </c:pt>
                  <c:pt idx="20">
                    <c:v>38.14.11</c:v>
                  </c:pt>
                  <c:pt idx="21">
                    <c:v>36.16.11</c:v>
                  </c:pt>
                  <c:pt idx="22">
                    <c:v>39.13.11</c:v>
                  </c:pt>
                  <c:pt idx="24">
                    <c:v>38.14.11</c:v>
                  </c:pt>
                  <c:pt idx="25">
                    <c:v>36.16.11</c:v>
                  </c:pt>
                  <c:pt idx="26">
                    <c:v>37.15.11</c:v>
                  </c:pt>
                  <c:pt idx="27">
                    <c:v>38.14.11</c:v>
                  </c:pt>
                  <c:pt idx="28">
                    <c:v>39.13.11</c:v>
                  </c:pt>
                  <c:pt idx="29">
                    <c:v>39.13.11</c:v>
                  </c:pt>
                  <c:pt idx="30">
                    <c:v>39.13.11</c:v>
                  </c:pt>
                  <c:pt idx="31">
                    <c:v>36.16.11</c:v>
                  </c:pt>
                  <c:pt idx="32">
                    <c:v>39.13.11</c:v>
                  </c:pt>
                </c:lvl>
                <c:lvl>
                  <c:pt idx="0">
                    <c:v>9895,89</c:v>
                  </c:pt>
                  <c:pt idx="1">
                    <c:v>9964,69</c:v>
                  </c:pt>
                  <c:pt idx="2">
                    <c:v>12307,57</c:v>
                  </c:pt>
                  <c:pt idx="3">
                    <c:v>12254,61</c:v>
                  </c:pt>
                  <c:pt idx="4">
                    <c:v>11498,34</c:v>
                  </c:pt>
                  <c:pt idx="5">
                    <c:v>13113,87</c:v>
                  </c:pt>
                  <c:pt idx="6">
                    <c:v>11218,15</c:v>
                  </c:pt>
                  <c:pt idx="7">
                    <c:v>80253,12</c:v>
                  </c:pt>
                  <c:pt idx="8">
                    <c:v>9399,98</c:v>
                  </c:pt>
                  <c:pt idx="9">
                    <c:v>9968,22</c:v>
                  </c:pt>
                  <c:pt idx="10">
                    <c:v>12174,80</c:v>
                  </c:pt>
                  <c:pt idx="11">
                    <c:v>11162,21</c:v>
                  </c:pt>
                  <c:pt idx="12">
                    <c:v>10601,86</c:v>
                  </c:pt>
                  <c:pt idx="13">
                    <c:v>10912,59</c:v>
                  </c:pt>
                  <c:pt idx="14">
                    <c:v>12360,61</c:v>
                  </c:pt>
                  <c:pt idx="15">
                    <c:v>76580,27</c:v>
                  </c:pt>
                  <c:pt idx="16">
                    <c:v>10272,45</c:v>
                  </c:pt>
                  <c:pt idx="17">
                    <c:v>9894,73</c:v>
                  </c:pt>
                  <c:pt idx="18">
                    <c:v>11561,29</c:v>
                  </c:pt>
                  <c:pt idx="19">
                    <c:v>10410,12</c:v>
                  </c:pt>
                  <c:pt idx="20">
                    <c:v>12458,33</c:v>
                  </c:pt>
                  <c:pt idx="21">
                    <c:v>11463,59</c:v>
                  </c:pt>
                  <c:pt idx="22">
                    <c:v>13208,32</c:v>
                  </c:pt>
                  <c:pt idx="23">
                    <c:v>79268,83</c:v>
                  </c:pt>
                  <c:pt idx="24">
                    <c:v>12417,02</c:v>
                  </c:pt>
                  <c:pt idx="25">
                    <c:v>11331,55</c:v>
                  </c:pt>
                  <c:pt idx="26">
                    <c:v>11398,18</c:v>
                  </c:pt>
                  <c:pt idx="27">
                    <c:v>11498,11</c:v>
                  </c:pt>
                  <c:pt idx="28">
                    <c:v>13013,03</c:v>
                  </c:pt>
                  <c:pt idx="29">
                    <c:v>11538,36</c:v>
                  </c:pt>
                  <c:pt idx="30">
                    <c:v>11894,62</c:v>
                  </c:pt>
                  <c:pt idx="31">
                    <c:v>10027,87</c:v>
                  </c:pt>
                  <c:pt idx="32">
                    <c:v>12099,92</c:v>
                  </c:pt>
                  <c:pt idx="34">
                    <c:v>105218,66</c:v>
                  </c:pt>
                  <c:pt idx="35">
                    <c:v>341320,88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202,24</c:v>
                  </c:pt>
                  <c:pt idx="1">
                    <c:v>199,91</c:v>
                  </c:pt>
                  <c:pt idx="2">
                    <c:v>250,86</c:v>
                  </c:pt>
                  <c:pt idx="3">
                    <c:v>250,30</c:v>
                  </c:pt>
                  <c:pt idx="4">
                    <c:v>251,22</c:v>
                  </c:pt>
                  <c:pt idx="5">
                    <c:v>300,21</c:v>
                  </c:pt>
                  <c:pt idx="6">
                    <c:v>200,48</c:v>
                  </c:pt>
                  <c:pt idx="8">
                    <c:v>200,31</c:v>
                  </c:pt>
                  <c:pt idx="9">
                    <c:v>200,20</c:v>
                  </c:pt>
                  <c:pt idx="10">
                    <c:v>300,21</c:v>
                  </c:pt>
                  <c:pt idx="11">
                    <c:v>200,18</c:v>
                  </c:pt>
                  <c:pt idx="12">
                    <c:v>250,14</c:v>
                  </c:pt>
                  <c:pt idx="13">
                    <c:v>137,68</c:v>
                  </c:pt>
                  <c:pt idx="14">
                    <c:v>300,36</c:v>
                  </c:pt>
                  <c:pt idx="16">
                    <c:v>200,58</c:v>
                  </c:pt>
                  <c:pt idx="17">
                    <c:v>250,31</c:v>
                  </c:pt>
                  <c:pt idx="18">
                    <c:v>199,75</c:v>
                  </c:pt>
                  <c:pt idx="19">
                    <c:v>200,53</c:v>
                  </c:pt>
                  <c:pt idx="20">
                    <c:v>250,48</c:v>
                  </c:pt>
                  <c:pt idx="21">
                    <c:v>299,85</c:v>
                  </c:pt>
                  <c:pt idx="22">
                    <c:v>451,65</c:v>
                  </c:pt>
                  <c:pt idx="24">
                    <c:v>300,19</c:v>
                  </c:pt>
                  <c:pt idx="25">
                    <c:v>200,76</c:v>
                  </c:pt>
                  <c:pt idx="26">
                    <c:v>250,72</c:v>
                  </c:pt>
                  <c:pt idx="27">
                    <c:v>200,51</c:v>
                  </c:pt>
                  <c:pt idx="28">
                    <c:v>250,43</c:v>
                  </c:pt>
                  <c:pt idx="29">
                    <c:v>200,42</c:v>
                  </c:pt>
                  <c:pt idx="30">
                    <c:v>200,33</c:v>
                  </c:pt>
                  <c:pt idx="31">
                    <c:v>200,13</c:v>
                  </c:pt>
                  <c:pt idx="32">
                    <c:v>200,25</c:v>
                  </c:pt>
                  <c:pt idx="35">
                    <c:v>105218,66</c:v>
                  </c:pt>
                </c:lvl>
                <c:lvl>
                  <c:pt idx="0">
                    <c:v>250,12</c:v>
                  </c:pt>
                  <c:pt idx="1">
                    <c:v>200,09</c:v>
                  </c:pt>
                  <c:pt idx="2">
                    <c:v>200,03</c:v>
                  </c:pt>
                  <c:pt idx="3">
                    <c:v>199,84</c:v>
                  </c:pt>
                  <c:pt idx="4">
                    <c:v>247,99</c:v>
                  </c:pt>
                  <c:pt idx="5">
                    <c:v>199,95</c:v>
                  </c:pt>
                  <c:pt idx="6">
                    <c:v>200,62</c:v>
                  </c:pt>
                  <c:pt idx="8">
                    <c:v>250,28</c:v>
                  </c:pt>
                  <c:pt idx="9">
                    <c:v>300,23</c:v>
                  </c:pt>
                  <c:pt idx="10">
                    <c:v>250,55</c:v>
                  </c:pt>
                  <c:pt idx="11">
                    <c:v>254,25</c:v>
                  </c:pt>
                  <c:pt idx="12">
                    <c:v>200,19</c:v>
                  </c:pt>
                  <c:pt idx="13">
                    <c:v>250,45</c:v>
                  </c:pt>
                  <c:pt idx="14">
                    <c:v>300,00</c:v>
                  </c:pt>
                  <c:pt idx="16">
                    <c:v>249,97</c:v>
                  </c:pt>
                  <c:pt idx="17">
                    <c:v>200,17</c:v>
                  </c:pt>
                  <c:pt idx="18">
                    <c:v>300,24</c:v>
                  </c:pt>
                  <c:pt idx="19">
                    <c:v>200,16</c:v>
                  </c:pt>
                  <c:pt idx="20">
                    <c:v>300,77</c:v>
                  </c:pt>
                  <c:pt idx="21">
                    <c:v>250,56</c:v>
                  </c:pt>
                  <c:pt idx="22">
                    <c:v>250,95</c:v>
                  </c:pt>
                  <c:pt idx="24">
                    <c:v>200,57</c:v>
                  </c:pt>
                  <c:pt idx="25">
                    <c:v>200,48</c:v>
                  </c:pt>
                  <c:pt idx="26">
                    <c:v>199,99</c:v>
                  </c:pt>
                  <c:pt idx="27">
                    <c:v>200,18</c:v>
                  </c:pt>
                  <c:pt idx="28">
                    <c:v>250,38</c:v>
                  </c:pt>
                  <c:pt idx="29">
                    <c:v>300,01</c:v>
                  </c:pt>
                  <c:pt idx="30">
                    <c:v>200,35</c:v>
                  </c:pt>
                  <c:pt idx="31">
                    <c:v>200,21</c:v>
                  </c:pt>
                  <c:pt idx="32">
                    <c:v>251,63</c:v>
                  </c:pt>
                  <c:pt idx="35">
                    <c:v>79268,83</c:v>
                  </c:pt>
                </c:lvl>
                <c:lvl>
                  <c:pt idx="0">
                    <c:v>321,22</c:v>
                  </c:pt>
                  <c:pt idx="1">
                    <c:v>150,02</c:v>
                  </c:pt>
                  <c:pt idx="2">
                    <c:v>201,08</c:v>
                  </c:pt>
                  <c:pt idx="3">
                    <c:v>250,28</c:v>
                  </c:pt>
                  <c:pt idx="4">
                    <c:v>250,85</c:v>
                  </c:pt>
                  <c:pt idx="5">
                    <c:v>300,04</c:v>
                  </c:pt>
                  <c:pt idx="6">
                    <c:v>200,64</c:v>
                  </c:pt>
                  <c:pt idx="8">
                    <c:v>200,65</c:v>
                  </c:pt>
                  <c:pt idx="9">
                    <c:v>250,15</c:v>
                  </c:pt>
                  <c:pt idx="10">
                    <c:v>300,36</c:v>
                  </c:pt>
                  <c:pt idx="11">
                    <c:v>200,26</c:v>
                  </c:pt>
                  <c:pt idx="12">
                    <c:v>250,35</c:v>
                  </c:pt>
                  <c:pt idx="13">
                    <c:v>200,41</c:v>
                  </c:pt>
                  <c:pt idx="14">
                    <c:v>350,57</c:v>
                  </c:pt>
                  <c:pt idx="16">
                    <c:v>200,28</c:v>
                  </c:pt>
                  <c:pt idx="17">
                    <c:v>250,27</c:v>
                  </c:pt>
                  <c:pt idx="18">
                    <c:v>250,01</c:v>
                  </c:pt>
                  <c:pt idx="19">
                    <c:v>250,31</c:v>
                  </c:pt>
                  <c:pt idx="20">
                    <c:v>250,28</c:v>
                  </c:pt>
                  <c:pt idx="21">
                    <c:v>200,65</c:v>
                  </c:pt>
                  <c:pt idx="22">
                    <c:v>200,14</c:v>
                  </c:pt>
                  <c:pt idx="24">
                    <c:v>300,34</c:v>
                  </c:pt>
                  <c:pt idx="25">
                    <c:v>203,09</c:v>
                  </c:pt>
                  <c:pt idx="26">
                    <c:v>299,90</c:v>
                  </c:pt>
                  <c:pt idx="27">
                    <c:v>250,34</c:v>
                  </c:pt>
                  <c:pt idx="28">
                    <c:v>250,47</c:v>
                  </c:pt>
                  <c:pt idx="29">
                    <c:v>250,94</c:v>
                  </c:pt>
                  <c:pt idx="30">
                    <c:v>350,33</c:v>
                  </c:pt>
                  <c:pt idx="31">
                    <c:v>300,30</c:v>
                  </c:pt>
                  <c:pt idx="32">
                    <c:v>250,16</c:v>
                  </c:pt>
                  <c:pt idx="35">
                    <c:v>76580,27</c:v>
                  </c:pt>
                </c:lvl>
                <c:lvl>
                  <c:pt idx="0">
                    <c:v>250,23</c:v>
                  </c:pt>
                  <c:pt idx="1">
                    <c:v>200,98</c:v>
                  </c:pt>
                  <c:pt idx="2">
                    <c:v>250,49</c:v>
                  </c:pt>
                  <c:pt idx="3">
                    <c:v>200,90</c:v>
                  </c:pt>
                  <c:pt idx="4">
                    <c:v>147,13</c:v>
                  </c:pt>
                  <c:pt idx="5">
                    <c:v>299,70</c:v>
                  </c:pt>
                  <c:pt idx="6">
                    <c:v>200,40</c:v>
                  </c:pt>
                  <c:pt idx="8">
                    <c:v>200,24</c:v>
                  </c:pt>
                  <c:pt idx="9">
                    <c:v>250,18</c:v>
                  </c:pt>
                  <c:pt idx="10">
                    <c:v>249,98</c:v>
                  </c:pt>
                  <c:pt idx="11">
                    <c:v>200,30</c:v>
                  </c:pt>
                  <c:pt idx="12">
                    <c:v>200,27</c:v>
                  </c:pt>
                  <c:pt idx="13">
                    <c:v>199,60</c:v>
                  </c:pt>
                  <c:pt idx="14">
                    <c:v>250,89</c:v>
                  </c:pt>
                  <c:pt idx="16">
                    <c:v>250,24</c:v>
                  </c:pt>
                  <c:pt idx="17">
                    <c:v>250,15</c:v>
                  </c:pt>
                  <c:pt idx="18">
                    <c:v>201,15</c:v>
                  </c:pt>
                  <c:pt idx="19">
                    <c:v>200,39</c:v>
                  </c:pt>
                  <c:pt idx="20">
                    <c:v>200,49</c:v>
                  </c:pt>
                  <c:pt idx="21">
                    <c:v>250,22</c:v>
                  </c:pt>
                  <c:pt idx="22">
                    <c:v>200,05</c:v>
                  </c:pt>
                  <c:pt idx="24">
                    <c:v>250,44</c:v>
                  </c:pt>
                  <c:pt idx="25">
                    <c:v>249,88</c:v>
                  </c:pt>
                  <c:pt idx="26">
                    <c:v>235,46</c:v>
                  </c:pt>
                  <c:pt idx="27">
                    <c:v>200,59</c:v>
                  </c:pt>
                  <c:pt idx="28">
                    <c:v>250,55</c:v>
                  </c:pt>
                  <c:pt idx="29">
                    <c:v>250,50</c:v>
                  </c:pt>
                  <c:pt idx="30">
                    <c:v>300,13</c:v>
                  </c:pt>
                  <c:pt idx="31">
                    <c:v>199,73</c:v>
                  </c:pt>
                  <c:pt idx="32">
                    <c:v>250,52</c:v>
                  </c:pt>
                  <c:pt idx="35">
                    <c:v>80253,12</c:v>
                  </c:pt>
                </c:lvl>
                <c:lvl>
                  <c:pt idx="0">
                    <c:v>150,16</c:v>
                  </c:pt>
                  <c:pt idx="1">
                    <c:v>99,82</c:v>
                  </c:pt>
                  <c:pt idx="2">
                    <c:v>146,00</c:v>
                  </c:pt>
                  <c:pt idx="3">
                    <c:v>100,63</c:v>
                  </c:pt>
                  <c:pt idx="4">
                    <c:v>FULL</c:v>
                  </c:pt>
                  <c:pt idx="5">
                    <c:v>199,68</c:v>
                  </c:pt>
                  <c:pt idx="6">
                    <c:v>200,35</c:v>
                  </c:pt>
                  <c:pt idx="8">
                    <c:v>250,31</c:v>
                  </c:pt>
                  <c:pt idx="9">
                    <c:v>200,22</c:v>
                  </c:pt>
                  <c:pt idx="10">
                    <c:v>200,19</c:v>
                  </c:pt>
                  <c:pt idx="11">
                    <c:v>250,56</c:v>
                  </c:pt>
                  <c:pt idx="12">
                    <c:v>200,27</c:v>
                  </c:pt>
                  <c:pt idx="13">
                    <c:v>201,22</c:v>
                  </c:pt>
                  <c:pt idx="14">
                    <c:v>250,70</c:v>
                  </c:pt>
                  <c:pt idx="16">
                    <c:v>200,39</c:v>
                  </c:pt>
                  <c:pt idx="17">
                    <c:v>200,48</c:v>
                  </c:pt>
                  <c:pt idx="18">
                    <c:v>249,98</c:v>
                  </c:pt>
                  <c:pt idx="19">
                    <c:v>200,20</c:v>
                  </c:pt>
                  <c:pt idx="20">
                    <c:v>250,12</c:v>
                  </c:pt>
                  <c:pt idx="21">
                    <c:v>250,24</c:v>
                  </c:pt>
                  <c:pt idx="22">
                    <c:v>250,95</c:v>
                  </c:pt>
                  <c:pt idx="24">
                    <c:v>250,37</c:v>
                  </c:pt>
                  <c:pt idx="25">
                    <c:v>199,71</c:v>
                  </c:pt>
                  <c:pt idx="26">
                    <c:v>200,43</c:v>
                  </c:pt>
                  <c:pt idx="27">
                    <c:v>201,39</c:v>
                  </c:pt>
                  <c:pt idx="28">
                    <c:v>250,03</c:v>
                  </c:pt>
                  <c:pt idx="29">
                    <c:v>250,80</c:v>
                  </c:pt>
                  <c:pt idx="30">
                    <c:v>200,15</c:v>
                  </c:pt>
                  <c:pt idx="31">
                    <c:v>250,14</c:v>
                  </c:pt>
                  <c:pt idx="32">
                    <c:v>301,03</c:v>
                  </c:pt>
                </c:lvl>
                <c:lvl>
                  <c:pt idx="0">
                    <c:v>254,05</c:v>
                  </c:pt>
                  <c:pt idx="1">
                    <c:v>250,44</c:v>
                  </c:pt>
                  <c:pt idx="2">
                    <c:v>299,86</c:v>
                  </c:pt>
                  <c:pt idx="3">
                    <c:v>250,79</c:v>
                  </c:pt>
                  <c:pt idx="4">
                    <c:v>296,47</c:v>
                  </c:pt>
                  <c:pt idx="5">
                    <c:v>300,12</c:v>
                  </c:pt>
                  <c:pt idx="6">
                    <c:v>200,30</c:v>
                  </c:pt>
                  <c:pt idx="8">
                    <c:v>211,77</c:v>
                  </c:pt>
                  <c:pt idx="9">
                    <c:v>300,05</c:v>
                  </c:pt>
                  <c:pt idx="10">
                    <c:v>200,33</c:v>
                  </c:pt>
                  <c:pt idx="11">
                    <c:v>250,25</c:v>
                  </c:pt>
                  <c:pt idx="12">
                    <c:v>250,40</c:v>
                  </c:pt>
                  <c:pt idx="13">
                    <c:v>201,70</c:v>
                  </c:pt>
                  <c:pt idx="14">
                    <c:v>350,80</c:v>
                  </c:pt>
                  <c:pt idx="16">
                    <c:v>200,44</c:v>
                  </c:pt>
                  <c:pt idx="17">
                    <c:v>200,28</c:v>
                  </c:pt>
                  <c:pt idx="18">
                    <c:v>248,76</c:v>
                  </c:pt>
                  <c:pt idx="19">
                    <c:v>200,21</c:v>
                  </c:pt>
                  <c:pt idx="20">
                    <c:v>251,36</c:v>
                  </c:pt>
                  <c:pt idx="21">
                    <c:v>300,12</c:v>
                  </c:pt>
                  <c:pt idx="22">
                    <c:v>251,00</c:v>
                  </c:pt>
                  <c:pt idx="24">
                    <c:v>200,18</c:v>
                  </c:pt>
                  <c:pt idx="25">
                    <c:v>199,79</c:v>
                  </c:pt>
                  <c:pt idx="26">
                    <c:v>299,76</c:v>
                  </c:pt>
                  <c:pt idx="27">
                    <c:v>200,39</c:v>
                  </c:pt>
                  <c:pt idx="28">
                    <c:v>300,13</c:v>
                  </c:pt>
                  <c:pt idx="29">
                    <c:v>250,21</c:v>
                  </c:pt>
                  <c:pt idx="30">
                    <c:v>250,51</c:v>
                  </c:pt>
                  <c:pt idx="31">
                    <c:v>200,26</c:v>
                  </c:pt>
                  <c:pt idx="32">
                    <c:v>250,35</c:v>
                  </c:pt>
                </c:lvl>
                <c:lvl>
                  <c:pt idx="0">
                    <c:v>250,53</c:v>
                  </c:pt>
                  <c:pt idx="1">
                    <c:v>150,08</c:v>
                  </c:pt>
                  <c:pt idx="2">
                    <c:v>250,09</c:v>
                  </c:pt>
                  <c:pt idx="3">
                    <c:v>250,30</c:v>
                  </c:pt>
                  <c:pt idx="4">
                    <c:v>300,45</c:v>
                  </c:pt>
                  <c:pt idx="5">
                    <c:v>250,49</c:v>
                  </c:pt>
                  <c:pt idx="6">
                    <c:v>200,45</c:v>
                  </c:pt>
                  <c:pt idx="8">
                    <c:v>251,09</c:v>
                  </c:pt>
                  <c:pt idx="9">
                    <c:v>250,76</c:v>
                  </c:pt>
                  <c:pt idx="10">
                    <c:v>200,29</c:v>
                  </c:pt>
                  <c:pt idx="11">
                    <c:v>200,12</c:v>
                  </c:pt>
                  <c:pt idx="12">
                    <c:v>200,13</c:v>
                  </c:pt>
                  <c:pt idx="13">
                    <c:v>200,59</c:v>
                  </c:pt>
                  <c:pt idx="14">
                    <c:v>249,99</c:v>
                  </c:pt>
                  <c:pt idx="16">
                    <c:v>203,48</c:v>
                  </c:pt>
                  <c:pt idx="17">
                    <c:v>300,12</c:v>
                  </c:pt>
                  <c:pt idx="18">
                    <c:v>200,00</c:v>
                  </c:pt>
                  <c:pt idx="19">
                    <c:v>250,67</c:v>
                  </c:pt>
                  <c:pt idx="20">
                    <c:v>250,40</c:v>
                  </c:pt>
                  <c:pt idx="21">
                    <c:v>350,26</c:v>
                  </c:pt>
                  <c:pt idx="22">
                    <c:v>200,24</c:v>
                  </c:pt>
                  <c:pt idx="24">
                    <c:v>250,33</c:v>
                  </c:pt>
                  <c:pt idx="25">
                    <c:v>199,50</c:v>
                  </c:pt>
                  <c:pt idx="26">
                    <c:v>250,71</c:v>
                  </c:pt>
                  <c:pt idx="27">
                    <c:v>200,25</c:v>
                  </c:pt>
                  <c:pt idx="28">
                    <c:v>250,50</c:v>
                  </c:pt>
                  <c:pt idx="29">
                    <c:v>200,51</c:v>
                  </c:pt>
                  <c:pt idx="30">
                    <c:v>150,41</c:v>
                  </c:pt>
                  <c:pt idx="31">
                    <c:v>FULL</c:v>
                  </c:pt>
                  <c:pt idx="32">
                    <c:v>250,90</c:v>
                  </c:pt>
                </c:lvl>
                <c:lvl>
                  <c:pt idx="0">
                    <c:v>160,45</c:v>
                  </c:pt>
                  <c:pt idx="1">
                    <c:v>101,31</c:v>
                  </c:pt>
                  <c:pt idx="2">
                    <c:v>250,39</c:v>
                  </c:pt>
                  <c:pt idx="3">
                    <c:v>200,29</c:v>
                  </c:pt>
                  <c:pt idx="4">
                    <c:v>248,85</c:v>
                  </c:pt>
                  <c:pt idx="5">
                    <c:v>250,32</c:v>
                  </c:pt>
                  <c:pt idx="6">
                    <c:v>350,14</c:v>
                  </c:pt>
                  <c:pt idx="8">
                    <c:v>100,09</c:v>
                  </c:pt>
                  <c:pt idx="9">
                    <c:v>200,49</c:v>
                  </c:pt>
                  <c:pt idx="10">
                    <c:v>200,64</c:v>
                  </c:pt>
                  <c:pt idx="11">
                    <c:v>200,49</c:v>
                  </c:pt>
                  <c:pt idx="12">
                    <c:v>250,38</c:v>
                  </c:pt>
                  <c:pt idx="13">
                    <c:v>200,60</c:v>
                  </c:pt>
                  <c:pt idx="14">
                    <c:v>300,58</c:v>
                  </c:pt>
                  <c:pt idx="16">
                    <c:v>200,41</c:v>
                  </c:pt>
                  <c:pt idx="17">
                    <c:v>300,01</c:v>
                  </c:pt>
                  <c:pt idx="18">
                    <c:v>235,89</c:v>
                  </c:pt>
                  <c:pt idx="19">
                    <c:v>150,72</c:v>
                  </c:pt>
                  <c:pt idx="20">
                    <c:v>FULL</c:v>
                  </c:pt>
                  <c:pt idx="21">
                    <c:v>200,41</c:v>
                  </c:pt>
                  <c:pt idx="22">
                    <c:v>200,43</c:v>
                  </c:pt>
                  <c:pt idx="24">
                    <c:v>250,14</c:v>
                  </c:pt>
                  <c:pt idx="25">
                    <c:v>251,10</c:v>
                  </c:pt>
                  <c:pt idx="26">
                    <c:v>251,38</c:v>
                  </c:pt>
                  <c:pt idx="27">
                    <c:v>250,41</c:v>
                  </c:pt>
                  <c:pt idx="28">
                    <c:v>200,20</c:v>
                  </c:pt>
                  <c:pt idx="29">
                    <c:v>251,27</c:v>
                  </c:pt>
                  <c:pt idx="30">
                    <c:v>250,44</c:v>
                  </c:pt>
                  <c:pt idx="31">
                    <c:v>130,35</c:v>
                  </c:pt>
                  <c:pt idx="32">
                    <c:v>250,50</c:v>
                  </c:pt>
                </c:lvl>
                <c:lvl>
                  <c:pt idx="0">
                    <c:v>200,46</c:v>
                  </c:pt>
                  <c:pt idx="1">
                    <c:v>149,95</c:v>
                  </c:pt>
                  <c:pt idx="2">
                    <c:v>200,14</c:v>
                  </c:pt>
                  <c:pt idx="3">
                    <c:v>250,99</c:v>
                  </c:pt>
                  <c:pt idx="4">
                    <c:v>251,25</c:v>
                  </c:pt>
                  <c:pt idx="5">
                    <c:v>200,20</c:v>
                  </c:pt>
                  <c:pt idx="6">
                    <c:v>200,30</c:v>
                  </c:pt>
                  <c:pt idx="8">
                    <c:v>250,86</c:v>
                  </c:pt>
                  <c:pt idx="9">
                    <c:v>200,32</c:v>
                  </c:pt>
                  <c:pt idx="10">
                    <c:v>300,37</c:v>
                  </c:pt>
                  <c:pt idx="11">
                    <c:v>250,19</c:v>
                  </c:pt>
                  <c:pt idx="12">
                    <c:v>100,38</c:v>
                  </c:pt>
                  <c:pt idx="13">
                    <c:v>245,49</c:v>
                  </c:pt>
                  <c:pt idx="14">
                    <c:v>200,80</c:v>
                  </c:pt>
                  <c:pt idx="16">
                    <c:v>200,18</c:v>
                  </c:pt>
                  <c:pt idx="17">
                    <c:v>211,39</c:v>
                  </c:pt>
                  <c:pt idx="18">
                    <c:v>299,54</c:v>
                  </c:pt>
                  <c:pt idx="19">
                    <c:v>200,18</c:v>
                  </c:pt>
                  <c:pt idx="20">
                    <c:v>201,06</c:v>
                  </c:pt>
                  <c:pt idx="21">
                    <c:v>300,26</c:v>
                  </c:pt>
                  <c:pt idx="22">
                    <c:v>200,05</c:v>
                  </c:pt>
                  <c:pt idx="24">
                    <c:v>250,26</c:v>
                  </c:pt>
                  <c:pt idx="25">
                    <c:v>200,26</c:v>
                  </c:pt>
                  <c:pt idx="26">
                    <c:v>250,27</c:v>
                  </c:pt>
                  <c:pt idx="27">
                    <c:v>200,22</c:v>
                  </c:pt>
                  <c:pt idx="28">
                    <c:v>250,26</c:v>
                  </c:pt>
                  <c:pt idx="29">
                    <c:v>250,44</c:v>
                  </c:pt>
                  <c:pt idx="30">
                    <c:v>247,65</c:v>
                  </c:pt>
                  <c:pt idx="31">
                    <c:v>200,73</c:v>
                  </c:pt>
                  <c:pt idx="32">
                    <c:v>200,35</c:v>
                  </c:pt>
                </c:lvl>
                <c:lvl>
                  <c:pt idx="0">
                    <c:v>189,48</c:v>
                  </c:pt>
                  <c:pt idx="1">
                    <c:v>250,20</c:v>
                  </c:pt>
                  <c:pt idx="2">
                    <c:v>300,21</c:v>
                  </c:pt>
                  <c:pt idx="3">
                    <c:v>250,28</c:v>
                  </c:pt>
                  <c:pt idx="4">
                    <c:v>242,01</c:v>
                  </c:pt>
                  <c:pt idx="5">
                    <c:v>201,12</c:v>
                  </c:pt>
                  <c:pt idx="6">
                    <c:v>200,21</c:v>
                  </c:pt>
                  <c:pt idx="8">
                    <c:v>150,63</c:v>
                  </c:pt>
                  <c:pt idx="9">
                    <c:v>200,16</c:v>
                  </c:pt>
                  <c:pt idx="10">
                    <c:v>250,50</c:v>
                  </c:pt>
                  <c:pt idx="11">
                    <c:v>200,42</c:v>
                  </c:pt>
                  <c:pt idx="12">
                    <c:v>150,47</c:v>
                  </c:pt>
                  <c:pt idx="13">
                    <c:v>200,39</c:v>
                  </c:pt>
                  <c:pt idx="14">
                    <c:v>200,19</c:v>
                  </c:pt>
                  <c:pt idx="16">
                    <c:v>199,58</c:v>
                  </c:pt>
                  <c:pt idx="17">
                    <c:v>250,47</c:v>
                  </c:pt>
                  <c:pt idx="18">
                    <c:v>200,46</c:v>
                  </c:pt>
                  <c:pt idx="19">
                    <c:v>200,22</c:v>
                  </c:pt>
                  <c:pt idx="20">
                    <c:v>200,48</c:v>
                  </c:pt>
                  <c:pt idx="21">
                    <c:v>250,29</c:v>
                  </c:pt>
                  <c:pt idx="22">
                    <c:v>320,17</c:v>
                  </c:pt>
                  <c:pt idx="24">
                    <c:v>250,36</c:v>
                  </c:pt>
                  <c:pt idx="25">
                    <c:v>250,91</c:v>
                  </c:pt>
                  <c:pt idx="26">
                    <c:v>250,68</c:v>
                  </c:pt>
                  <c:pt idx="27">
                    <c:v>200,46</c:v>
                  </c:pt>
                  <c:pt idx="28">
                    <c:v>250,40</c:v>
                  </c:pt>
                  <c:pt idx="29">
                    <c:v>300,66</c:v>
                  </c:pt>
                  <c:pt idx="30">
                    <c:v>200,53</c:v>
                  </c:pt>
                  <c:pt idx="31">
                    <c:v>FULL</c:v>
                  </c:pt>
                  <c:pt idx="32">
                    <c:v>250,31</c:v>
                  </c:pt>
                </c:lvl>
                <c:lvl>
                  <c:pt idx="0">
                    <c:v>200,34</c:v>
                  </c:pt>
                  <c:pt idx="1">
                    <c:v>350,00</c:v>
                  </c:pt>
                  <c:pt idx="2">
                    <c:v>200,46</c:v>
                  </c:pt>
                  <c:pt idx="3">
                    <c:v>200,90</c:v>
                  </c:pt>
                  <c:pt idx="4">
                    <c:v>200,17</c:v>
                  </c:pt>
                  <c:pt idx="5">
                    <c:v>300,03</c:v>
                  </c:pt>
                  <c:pt idx="6">
                    <c:v>200,52</c:v>
                  </c:pt>
                  <c:pt idx="8">
                    <c:v>200,53</c:v>
                  </c:pt>
                  <c:pt idx="9">
                    <c:v>250,42</c:v>
                  </c:pt>
                  <c:pt idx="10">
                    <c:v>200,34</c:v>
                  </c:pt>
                  <c:pt idx="11">
                    <c:v>200,49</c:v>
                  </c:pt>
                  <c:pt idx="12">
                    <c:v>200,52</c:v>
                  </c:pt>
                  <c:pt idx="13">
                    <c:v>200,26</c:v>
                  </c:pt>
                  <c:pt idx="14">
                    <c:v>151,08</c:v>
                  </c:pt>
                  <c:pt idx="16">
                    <c:v>200,66</c:v>
                  </c:pt>
                  <c:pt idx="17">
                    <c:v>FULL</c:v>
                  </c:pt>
                  <c:pt idx="18">
                    <c:v>207,88</c:v>
                  </c:pt>
                  <c:pt idx="19">
                    <c:v>200,96</c:v>
                  </c:pt>
                  <c:pt idx="20">
                    <c:v>200,32</c:v>
                  </c:pt>
                  <c:pt idx="21">
                    <c:v>200,88</c:v>
                  </c:pt>
                  <c:pt idx="22">
                    <c:v>265,65</c:v>
                  </c:pt>
                  <c:pt idx="24">
                    <c:v>208,85</c:v>
                  </c:pt>
                  <c:pt idx="25">
                    <c:v>200,30</c:v>
                  </c:pt>
                  <c:pt idx="26">
                    <c:v>200,22</c:v>
                  </c:pt>
                  <c:pt idx="27">
                    <c:v>199,99</c:v>
                  </c:pt>
                  <c:pt idx="28">
                    <c:v>200,35</c:v>
                  </c:pt>
                  <c:pt idx="29">
                    <c:v>200,36</c:v>
                  </c:pt>
                  <c:pt idx="30">
                    <c:v>149,93</c:v>
                  </c:pt>
                  <c:pt idx="31">
                    <c:v>200,27</c:v>
                  </c:pt>
                  <c:pt idx="32">
                    <c:v>238,26</c:v>
                  </c:pt>
                </c:lvl>
                <c:lvl>
                  <c:pt idx="0">
                    <c:v>300,25</c:v>
                  </c:pt>
                  <c:pt idx="1">
                    <c:v>250,14</c:v>
                  </c:pt>
                  <c:pt idx="2">
                    <c:v>450,23</c:v>
                  </c:pt>
                  <c:pt idx="3">
                    <c:v>300,44</c:v>
                  </c:pt>
                  <c:pt idx="4">
                    <c:v>298,90</c:v>
                  </c:pt>
                  <c:pt idx="5">
                    <c:v>300,21</c:v>
                  </c:pt>
                  <c:pt idx="6">
                    <c:v>300,28</c:v>
                  </c:pt>
                  <c:pt idx="8">
                    <c:v>300,21</c:v>
                  </c:pt>
                  <c:pt idx="9">
                    <c:v>150,94</c:v>
                  </c:pt>
                  <c:pt idx="10">
                    <c:v>400,57</c:v>
                  </c:pt>
                  <c:pt idx="11">
                    <c:v>300,44</c:v>
                  </c:pt>
                  <c:pt idx="12">
                    <c:v>201,26</c:v>
                  </c:pt>
                  <c:pt idx="13">
                    <c:v>300,62</c:v>
                  </c:pt>
                  <c:pt idx="14">
                    <c:v>300,44</c:v>
                  </c:pt>
                  <c:pt idx="16">
                    <c:v>250,18</c:v>
                  </c:pt>
                  <c:pt idx="17">
                    <c:v>300,26</c:v>
                  </c:pt>
                  <c:pt idx="18">
                    <c:v>352,34</c:v>
                  </c:pt>
                  <c:pt idx="19">
                    <c:v>300,52</c:v>
                  </c:pt>
                  <c:pt idx="20">
                    <c:v>286,78</c:v>
                  </c:pt>
                  <c:pt idx="21">
                    <c:v>300,24</c:v>
                  </c:pt>
                  <c:pt idx="22">
                    <c:v>312,18</c:v>
                  </c:pt>
                  <c:pt idx="24">
                    <c:v>400,00</c:v>
                  </c:pt>
                  <c:pt idx="25">
                    <c:v>302,09</c:v>
                  </c:pt>
                  <c:pt idx="26">
                    <c:v>399,93</c:v>
                  </c:pt>
                  <c:pt idx="27">
                    <c:v>300,55</c:v>
                  </c:pt>
                  <c:pt idx="28">
                    <c:v>299,78</c:v>
                  </c:pt>
                  <c:pt idx="29">
                    <c:v>400,03</c:v>
                  </c:pt>
                  <c:pt idx="30">
                    <c:v>350,33</c:v>
                  </c:pt>
                  <c:pt idx="31">
                    <c:v>300,15</c:v>
                  </c:pt>
                  <c:pt idx="32">
                    <c:v>300,23</c:v>
                  </c:pt>
                </c:lvl>
                <c:lvl>
                  <c:pt idx="0">
                    <c:v>289,32</c:v>
                  </c:pt>
                  <c:pt idx="1">
                    <c:v>301,93</c:v>
                  </c:pt>
                  <c:pt idx="2">
                    <c:v>299,50</c:v>
                  </c:pt>
                  <c:pt idx="3">
                    <c:v>299,90</c:v>
                  </c:pt>
                  <c:pt idx="4">
                    <c:v>300,29</c:v>
                  </c:pt>
                  <c:pt idx="5">
                    <c:v>400,89</c:v>
                  </c:pt>
                  <c:pt idx="6">
                    <c:v>300,00</c:v>
                  </c:pt>
                  <c:pt idx="8">
                    <c:v>300,01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356,96</c:v>
                  </c:pt>
                  <c:pt idx="31">
                    <c:v>132,87</c:v>
                  </c:pt>
                  <c:pt idx="32">
                    <c:v>282,61</c:v>
                  </c:pt>
                </c:lvl>
                <c:lvl>
                  <c:pt idx="0">
                    <c:v>15,24</c:v>
                  </c:pt>
                  <c:pt idx="1">
                    <c:v>170,95</c:v>
                  </c:pt>
                  <c:pt idx="2">
                    <c:v>300,06</c:v>
                  </c:pt>
                  <c:pt idx="3">
                    <c:v>299,90</c:v>
                  </c:pt>
                  <c:pt idx="4">
                    <c:v>271,39</c:v>
                  </c:pt>
                  <c:pt idx="5">
                    <c:v>200,33</c:v>
                  </c:pt>
                  <c:pt idx="6">
                    <c:v>300,39</c:v>
                  </c:pt>
                  <c:pt idx="8">
                    <c:v>275,77</c:v>
                  </c:pt>
                  <c:pt idx="9">
                    <c:v>350,84</c:v>
                  </c:pt>
                  <c:pt idx="10">
                    <c:v>316,31</c:v>
                  </c:pt>
                  <c:pt idx="11">
                    <c:v>250,32</c:v>
                  </c:pt>
                  <c:pt idx="12">
                    <c:v>300,76</c:v>
                  </c:pt>
                  <c:pt idx="13">
                    <c:v>317,46</c:v>
                  </c:pt>
                  <c:pt idx="14">
                    <c:v>296,90</c:v>
                  </c:pt>
                  <c:pt idx="16">
                    <c:v>279,43</c:v>
                  </c:pt>
                  <c:pt idx="17">
                    <c:v>262,75</c:v>
                  </c:pt>
                  <c:pt idx="18">
                    <c:v>303,69</c:v>
                  </c:pt>
                  <c:pt idx="19">
                    <c:v>299,91</c:v>
                  </c:pt>
                  <c:pt idx="20">
                    <c:v>320,74</c:v>
                  </c:pt>
                  <c:pt idx="21">
                    <c:v>300,12</c:v>
                  </c:pt>
                  <c:pt idx="22">
                    <c:v>300,24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499,41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263,45</c:v>
                  </c:pt>
                  <c:pt idx="4">
                    <c:v>293,16</c:v>
                  </c:pt>
                  <c:pt idx="5">
                    <c:v>350,37</c:v>
                  </c:pt>
                  <c:pt idx="6">
                    <c:v>300,75</c:v>
                  </c:pt>
                  <c:pt idx="8">
                    <c:v>300,02</c:v>
                  </c:pt>
                  <c:pt idx="9">
                    <c:v>300,65</c:v>
                  </c:pt>
                  <c:pt idx="10">
                    <c:v>381,17</c:v>
                  </c:pt>
                  <c:pt idx="11">
                    <c:v>274,23</c:v>
                  </c:pt>
                  <c:pt idx="12">
                    <c:v>300,95</c:v>
                  </c:pt>
                  <c:pt idx="13">
                    <c:v>310,59</c:v>
                  </c:pt>
                  <c:pt idx="14">
                    <c:v>239,48</c:v>
                  </c:pt>
                  <c:pt idx="16">
                    <c:v>318,34</c:v>
                  </c:pt>
                  <c:pt idx="17">
                    <c:v>300,27</c:v>
                  </c:pt>
                  <c:pt idx="18">
                    <c:v>287,59</c:v>
                  </c:pt>
                  <c:pt idx="19">
                    <c:v>235,38</c:v>
                  </c:pt>
                  <c:pt idx="20">
                    <c:v>299,88</c:v>
                  </c:pt>
                  <c:pt idx="21">
                    <c:v>313,83</c:v>
                  </c:pt>
                  <c:pt idx="22">
                    <c:v>301,01</c:v>
                  </c:pt>
                  <c:pt idx="24">
                    <c:v>295,99</c:v>
                  </c:pt>
                  <c:pt idx="25">
                    <c:v>283,18</c:v>
                  </c:pt>
                  <c:pt idx="26">
                    <c:v>250,45</c:v>
                  </c:pt>
                  <c:pt idx="27">
                    <c:v>391,60</c:v>
                  </c:pt>
                  <c:pt idx="28">
                    <c:v>269,42</c:v>
                  </c:pt>
                  <c:pt idx="29">
                    <c:v>297,84</c:v>
                  </c:pt>
                  <c:pt idx="30">
                    <c:v>246,25</c:v>
                  </c:pt>
                  <c:pt idx="31">
                    <c:v>236,30</c:v>
                  </c:pt>
                  <c:pt idx="32">
                    <c:v>282,40</c:v>
                  </c:pt>
                </c:lvl>
                <c:lvl>
                  <c:pt idx="0">
                    <c:v>329,28</c:v>
                  </c:pt>
                  <c:pt idx="1">
                    <c:v>299,99</c:v>
                  </c:pt>
                  <c:pt idx="2">
                    <c:v>267,65</c:v>
                  </c:pt>
                  <c:pt idx="3">
                    <c:v>300,54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471,60</c:v>
                  </c:pt>
                  <c:pt idx="21">
                    <c:v>202,95</c:v>
                  </c:pt>
                  <c:pt idx="22">
                    <c:v>268,66</c:v>
                  </c:pt>
                  <c:pt idx="24">
                    <c:v>400,50</c:v>
                  </c:pt>
                  <c:pt idx="25">
                    <c:v>327,97</c:v>
                  </c:pt>
                  <c:pt idx="26">
                    <c:v>218,34</c:v>
                  </c:pt>
                  <c:pt idx="27">
                    <c:v>280,29</c:v>
                  </c:pt>
                  <c:pt idx="28">
                    <c:v>250,07</c:v>
                  </c:pt>
                  <c:pt idx="29">
                    <c:v>250,22</c:v>
                  </c:pt>
                  <c:pt idx="30">
                    <c:v>399,98</c:v>
                  </c:pt>
                  <c:pt idx="31">
                    <c:v>242,84</c:v>
                  </c:pt>
                  <c:pt idx="32">
                    <c:v>309,72</c:v>
                  </c:pt>
                </c:lvl>
                <c:lvl>
                  <c:pt idx="0">
                    <c:v>269,19</c:v>
                  </c:pt>
                  <c:pt idx="1">
                    <c:v>261,76</c:v>
                  </c:pt>
                  <c:pt idx="2">
                    <c:v>190,88</c:v>
                  </c:pt>
                  <c:pt idx="3">
                    <c:v>273,66</c:v>
                  </c:pt>
                  <c:pt idx="4">
                    <c:v>281,89</c:v>
                  </c:pt>
                  <c:pt idx="5">
                    <c:v>255,39</c:v>
                  </c:pt>
                  <c:pt idx="6">
                    <c:v>272,28</c:v>
                  </c:pt>
                  <c:pt idx="8">
                    <c:v>247,13</c:v>
                  </c:pt>
                  <c:pt idx="9">
                    <c:v>256,05</c:v>
                  </c:pt>
                  <c:pt idx="10">
                    <c:v>260,53</c:v>
                  </c:pt>
                  <c:pt idx="11">
                    <c:v>255,44</c:v>
                  </c:pt>
                  <c:pt idx="12">
                    <c:v>244,99</c:v>
                  </c:pt>
                  <c:pt idx="13">
                    <c:v>283,96</c:v>
                  </c:pt>
                  <c:pt idx="14">
                    <c:v>243,27</c:v>
                  </c:pt>
                  <c:pt idx="16">
                    <c:v>243,42</c:v>
                  </c:pt>
                  <c:pt idx="17">
                    <c:v>272,97</c:v>
                  </c:pt>
                  <c:pt idx="18">
                    <c:v>273,68</c:v>
                  </c:pt>
                  <c:pt idx="19">
                    <c:v>251,90</c:v>
                  </c:pt>
                  <c:pt idx="20">
                    <c:v>269,94</c:v>
                  </c:pt>
                  <c:pt idx="21">
                    <c:v>257,13</c:v>
                  </c:pt>
                  <c:pt idx="22">
                    <c:v>241,13</c:v>
                  </c:pt>
                  <c:pt idx="24">
                    <c:v>400,37</c:v>
                  </c:pt>
                  <c:pt idx="25">
                    <c:v>269,33</c:v>
                  </c:pt>
                  <c:pt idx="26">
                    <c:v>250,07</c:v>
                  </c:pt>
                  <c:pt idx="27">
                    <c:v>285,47</c:v>
                  </c:pt>
                  <c:pt idx="28">
                    <c:v>271,12</c:v>
                  </c:pt>
                  <c:pt idx="29">
                    <c:v>248,97</c:v>
                  </c:pt>
                  <c:pt idx="30">
                    <c:v>249,99</c:v>
                  </c:pt>
                  <c:pt idx="31">
                    <c:v>266,40</c:v>
                  </c:pt>
                  <c:pt idx="32">
                    <c:v>280,49</c:v>
                  </c:pt>
                </c:lvl>
                <c:lvl>
                  <c:pt idx="0">
                    <c:v>323,06</c:v>
                  </c:pt>
                  <c:pt idx="1">
                    <c:v>227,24</c:v>
                  </c:pt>
                  <c:pt idx="2">
                    <c:v>321,28</c:v>
                  </c:pt>
                  <c:pt idx="3">
                    <c:v>300,49</c:v>
                  </c:pt>
                  <c:pt idx="4">
                    <c:v>417,27</c:v>
                  </c:pt>
                  <c:pt idx="5">
                    <c:v>252,97</c:v>
                  </c:pt>
                  <c:pt idx="6">
                    <c:v>217,63</c:v>
                  </c:pt>
                  <c:pt idx="8">
                    <c:v>227,02</c:v>
                  </c:pt>
                  <c:pt idx="9">
                    <c:v>300,31</c:v>
                  </c:pt>
                  <c:pt idx="10">
                    <c:v>328,04</c:v>
                  </c:pt>
                  <c:pt idx="11">
                    <c:v>334,07</c:v>
                  </c:pt>
                  <c:pt idx="12">
                    <c:v>337,05</c:v>
                  </c:pt>
                  <c:pt idx="13">
                    <c:v>306,72</c:v>
                  </c:pt>
                  <c:pt idx="14">
                    <c:v>377,90</c:v>
                  </c:pt>
                  <c:pt idx="16">
                    <c:v>374,38</c:v>
                  </c:pt>
                  <c:pt idx="17">
                    <c:v>258,53</c:v>
                  </c:pt>
                  <c:pt idx="18">
                    <c:v>308,15</c:v>
                  </c:pt>
                  <c:pt idx="19">
                    <c:v>339,92</c:v>
                  </c:pt>
                  <c:pt idx="20">
                    <c:v>350,48</c:v>
                  </c:pt>
                  <c:pt idx="21">
                    <c:v>322,15</c:v>
                  </c:pt>
                  <c:pt idx="22">
                    <c:v>345,03</c:v>
                  </c:pt>
                  <c:pt idx="24">
                    <c:v>300,22</c:v>
                  </c:pt>
                  <c:pt idx="25">
                    <c:v>316,54</c:v>
                  </c:pt>
                  <c:pt idx="26">
                    <c:v>54,58</c:v>
                  </c:pt>
                  <c:pt idx="27">
                    <c:v>284,87</c:v>
                  </c:pt>
                  <c:pt idx="28">
                    <c:v>352,01</c:v>
                  </c:pt>
                  <c:pt idx="29">
                    <c:v>300,02</c:v>
                  </c:pt>
                  <c:pt idx="30">
                    <c:v>350,27</c:v>
                  </c:pt>
                  <c:pt idx="31">
                    <c:v>249,30</c:v>
                  </c:pt>
                  <c:pt idx="32">
                    <c:v>88,29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400,20</c:v>
                  </c:pt>
                  <c:pt idx="1">
                    <c:v>379,81</c:v>
                  </c:pt>
                  <c:pt idx="2">
                    <c:v>420,92</c:v>
                  </c:pt>
                  <c:pt idx="3">
                    <c:v>351,52</c:v>
                  </c:pt>
                  <c:pt idx="4">
                    <c:v>352,22</c:v>
                  </c:pt>
                  <c:pt idx="5">
                    <c:v>400,01</c:v>
                  </c:pt>
                  <c:pt idx="6">
                    <c:v>400,05</c:v>
                  </c:pt>
                  <c:pt idx="8">
                    <c:v>250,02</c:v>
                  </c:pt>
                  <c:pt idx="9">
                    <c:v>FULL</c:v>
                  </c:pt>
                  <c:pt idx="10">
                    <c:v>150,26</c:v>
                  </c:pt>
                  <c:pt idx="11">
                    <c:v>FULL</c:v>
                  </c:pt>
                  <c:pt idx="12">
                    <c:v>349,92</c:v>
                  </c:pt>
                  <c:pt idx="13">
                    <c:v>FULL</c:v>
                  </c:pt>
                  <c:pt idx="14">
                    <c:v>250,26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97,07</c:v>
                  </c:pt>
                  <c:pt idx="19">
                    <c:v>130,06</c:v>
                  </c:pt>
                  <c:pt idx="20">
                    <c:v>500,18</c:v>
                  </c:pt>
                  <c:pt idx="21">
                    <c:v>500,02</c:v>
                  </c:pt>
                  <c:pt idx="22">
                    <c:v>400,39</c:v>
                  </c:pt>
                  <c:pt idx="24">
                    <c:v>400,48</c:v>
                  </c:pt>
                  <c:pt idx="25">
                    <c:v>500,53</c:v>
                  </c:pt>
                  <c:pt idx="26">
                    <c:v>500,25</c:v>
                  </c:pt>
                  <c:pt idx="27">
                    <c:v>399,51</c:v>
                  </c:pt>
                  <c:pt idx="28">
                    <c:v>500,23</c:v>
                  </c:pt>
                  <c:pt idx="29">
                    <c:v>500,47</c:v>
                  </c:pt>
                  <c:pt idx="30">
                    <c:v>365,65</c:v>
                  </c:pt>
                  <c:pt idx="31">
                    <c:v>334,00</c:v>
                  </c:pt>
                  <c:pt idx="32">
                    <c:v>500,65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400,79</c:v>
                  </c:pt>
                  <c:pt idx="1">
                    <c:v>131,06</c:v>
                  </c:pt>
                  <c:pt idx="2">
                    <c:v>320,69</c:v>
                  </c:pt>
                  <c:pt idx="3">
                    <c:v>456,08</c:v>
                  </c:pt>
                  <c:pt idx="4">
                    <c:v>FULL</c:v>
                  </c:pt>
                  <c:pt idx="5">
                    <c:v>400,14</c:v>
                  </c:pt>
                  <c:pt idx="6">
                    <c:v>350,22</c:v>
                  </c:pt>
                  <c:pt idx="8">
                    <c:v>450,36</c:v>
                  </c:pt>
                  <c:pt idx="9">
                    <c:v>400,60</c:v>
                  </c:pt>
                  <c:pt idx="10">
                    <c:v>500,23</c:v>
                  </c:pt>
                  <c:pt idx="11">
                    <c:v>400,54</c:v>
                  </c:pt>
                  <c:pt idx="12">
                    <c:v>350,67</c:v>
                  </c:pt>
                  <c:pt idx="13">
                    <c:v>300,71</c:v>
                  </c:pt>
                  <c:pt idx="14">
                    <c:v>503,25</c:v>
                  </c:pt>
                  <c:pt idx="16">
                    <c:v>300,24</c:v>
                  </c:pt>
                  <c:pt idx="17">
                    <c:v>300,19</c:v>
                  </c:pt>
                  <c:pt idx="18">
                    <c:v>273,45</c:v>
                  </c:pt>
                  <c:pt idx="19">
                    <c:v>300,07</c:v>
                  </c:pt>
                  <c:pt idx="20">
                    <c:v>350,33</c:v>
                  </c:pt>
                  <c:pt idx="21">
                    <c:v>350,34</c:v>
                  </c:pt>
                  <c:pt idx="22">
                    <c:v>300,13</c:v>
                  </c:pt>
                  <c:pt idx="24">
                    <c:v>200,21</c:v>
                  </c:pt>
                  <c:pt idx="25">
                    <c:v>351,07</c:v>
                  </c:pt>
                  <c:pt idx="26">
                    <c:v>350,46</c:v>
                  </c:pt>
                  <c:pt idx="27">
                    <c:v>400,06</c:v>
                  </c:pt>
                  <c:pt idx="28">
                    <c:v>400,10</c:v>
                  </c:pt>
                  <c:pt idx="29">
                    <c:v>350,22</c:v>
                  </c:pt>
                  <c:pt idx="30">
                    <c:v>350,20</c:v>
                  </c:pt>
                  <c:pt idx="31">
                    <c:v>300,37</c:v>
                  </c:pt>
                  <c:pt idx="32">
                    <c:v>300,25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299,94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250,88</c:v>
                  </c:pt>
                  <c:pt idx="10">
                    <c:v>400,21</c:v>
                  </c:pt>
                  <c:pt idx="11">
                    <c:v>300,58</c:v>
                  </c:pt>
                  <c:pt idx="12">
                    <c:v>268,81</c:v>
                  </c:pt>
                  <c:pt idx="13">
                    <c:v>310,58</c:v>
                  </c:pt>
                  <c:pt idx="14">
                    <c:v>380,46</c:v>
                  </c:pt>
                  <c:pt idx="16">
                    <c:v>199,95</c:v>
                  </c:pt>
                  <c:pt idx="17">
                    <c:v>300,86</c:v>
                  </c:pt>
                  <c:pt idx="18">
                    <c:v>168,72</c:v>
                  </c:pt>
                  <c:pt idx="19">
                    <c:v>FULL</c:v>
                  </c:pt>
                  <c:pt idx="20">
                    <c:v>250,01</c:v>
                  </c:pt>
                  <c:pt idx="21">
                    <c:v>FULL</c:v>
                  </c:pt>
                  <c:pt idx="22">
                    <c:v>352,67</c:v>
                  </c:pt>
                  <c:pt idx="24">
                    <c:v>150,62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300,10</c:v>
                  </c:pt>
                  <c:pt idx="29">
                    <c:v>100,01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400,46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300,34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350,81</c:v>
                  </c:pt>
                  <c:pt idx="10">
                    <c:v>350,48</c:v>
                  </c:pt>
                  <c:pt idx="11">
                    <c:v>269,22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299,88</c:v>
                  </c:pt>
                  <c:pt idx="1">
                    <c:v>230,78</c:v>
                  </c:pt>
                  <c:pt idx="2">
                    <c:v>333,84</c:v>
                  </c:pt>
                  <c:pt idx="3">
                    <c:v>278,99</c:v>
                  </c:pt>
                  <c:pt idx="4">
                    <c:v>89,87</c:v>
                  </c:pt>
                  <c:pt idx="5">
                    <c:v>401,11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10,83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299,97</c:v>
                  </c:pt>
                  <c:pt idx="26">
                    <c:v>301,29</c:v>
                  </c:pt>
                  <c:pt idx="27">
                    <c:v>258,15</c:v>
                  </c:pt>
                  <c:pt idx="28">
                    <c:v>400,22</c:v>
                  </c:pt>
                  <c:pt idx="29">
                    <c:v>117,26</c:v>
                  </c:pt>
                  <c:pt idx="30">
                    <c:v>300,13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323,06</c:v>
                  </c:pt>
                  <c:pt idx="1">
                    <c:v>299,98</c:v>
                  </c:pt>
                  <c:pt idx="2">
                    <c:v>200,74</c:v>
                  </c:pt>
                  <c:pt idx="3">
                    <c:v>192,08</c:v>
                  </c:pt>
                  <c:pt idx="4">
                    <c:v>226,39</c:v>
                  </c:pt>
                  <c:pt idx="5">
                    <c:v>399,85</c:v>
                  </c:pt>
                  <c:pt idx="6">
                    <c:v>350,18</c:v>
                  </c:pt>
                  <c:pt idx="8">
                    <c:v>200,39</c:v>
                  </c:pt>
                  <c:pt idx="9">
                    <c:v>251,86</c:v>
                  </c:pt>
                  <c:pt idx="10">
                    <c:v>250,32</c:v>
                  </c:pt>
                  <c:pt idx="11">
                    <c:v>249,98</c:v>
                  </c:pt>
                  <c:pt idx="12">
                    <c:v>200,22</c:v>
                  </c:pt>
                  <c:pt idx="13">
                    <c:v>200,91</c:v>
                  </c:pt>
                  <c:pt idx="14">
                    <c:v>251,15</c:v>
                  </c:pt>
                  <c:pt idx="16">
                    <c:v>250,31</c:v>
                  </c:pt>
                  <c:pt idx="17">
                    <c:v>250,23</c:v>
                  </c:pt>
                  <c:pt idx="18">
                    <c:v>250,46</c:v>
                  </c:pt>
                  <c:pt idx="19">
                    <c:v>200,29</c:v>
                  </c:pt>
                  <c:pt idx="20">
                    <c:v>300,44</c:v>
                  </c:pt>
                  <c:pt idx="21">
                    <c:v>150,65</c:v>
                  </c:pt>
                  <c:pt idx="22">
                    <c:v>249,94</c:v>
                  </c:pt>
                  <c:pt idx="24">
                    <c:v>250,37</c:v>
                  </c:pt>
                  <c:pt idx="25">
                    <c:v>200,14</c:v>
                  </c:pt>
                  <c:pt idx="26">
                    <c:v>150,69</c:v>
                  </c:pt>
                  <c:pt idx="27">
                    <c:v>250,55</c:v>
                  </c:pt>
                  <c:pt idx="28">
                    <c:v>250,14</c:v>
                  </c:pt>
                  <c:pt idx="29">
                    <c:v>250,46</c:v>
                  </c:pt>
                  <c:pt idx="30">
                    <c:v>200,51</c:v>
                  </c:pt>
                  <c:pt idx="31">
                    <c:v>199,78</c:v>
                  </c:pt>
                  <c:pt idx="32">
                    <c:v>300,39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500,51</c:v>
                  </c:pt>
                  <c:pt idx="4">
                    <c:v>338,26</c:v>
                  </c:pt>
                  <c:pt idx="5">
                    <c:v>400,01</c:v>
                  </c:pt>
                  <c:pt idx="6">
                    <c:v>400,09</c:v>
                  </c:pt>
                  <c:pt idx="8">
                    <c:v>200,59</c:v>
                  </c:pt>
                  <c:pt idx="9">
                    <c:v>269,98</c:v>
                  </c:pt>
                  <c:pt idx="10">
                    <c:v>239,05</c:v>
                  </c:pt>
                  <c:pt idx="11">
                    <c:v>240,66</c:v>
                  </c:pt>
                  <c:pt idx="12">
                    <c:v>100,47</c:v>
                  </c:pt>
                  <c:pt idx="13">
                    <c:v>150,27</c:v>
                  </c:pt>
                  <c:pt idx="14">
                    <c:v>249,33</c:v>
                  </c:pt>
                  <c:pt idx="16">
                    <c:v>264,13</c:v>
                  </c:pt>
                  <c:pt idx="17">
                    <c:v>161,54</c:v>
                  </c:pt>
                  <c:pt idx="18">
                    <c:v>329,41</c:v>
                  </c:pt>
                  <c:pt idx="19">
                    <c:v>150,26</c:v>
                  </c:pt>
                  <c:pt idx="20">
                    <c:v>250,55</c:v>
                  </c:pt>
                  <c:pt idx="21">
                    <c:v>FULL</c:v>
                  </c:pt>
                  <c:pt idx="22">
                    <c:v>359,62</c:v>
                  </c:pt>
                  <c:pt idx="24">
                    <c:v>250,50</c:v>
                  </c:pt>
                  <c:pt idx="25">
                    <c:v>402,85</c:v>
                  </c:pt>
                  <c:pt idx="26">
                    <c:v>300,33</c:v>
                  </c:pt>
                  <c:pt idx="27">
                    <c:v>277,28</c:v>
                  </c:pt>
                  <c:pt idx="28">
                    <c:v>400,24</c:v>
                  </c:pt>
                  <c:pt idx="29">
                    <c:v>237,32</c:v>
                  </c:pt>
                  <c:pt idx="30">
                    <c:v>400,65</c:v>
                  </c:pt>
                  <c:pt idx="31">
                    <c:v>385,22</c:v>
                  </c:pt>
                  <c:pt idx="32">
                    <c:v>156,17</c:v>
                  </c:pt>
                </c:lvl>
                <c:lvl>
                  <c:pt idx="0">
                    <c:v>199,93</c:v>
                  </c:pt>
                  <c:pt idx="1">
                    <c:v>300,06</c:v>
                  </c:pt>
                  <c:pt idx="2">
                    <c:v>300,13</c:v>
                  </c:pt>
                  <c:pt idx="3">
                    <c:v>250,74</c:v>
                  </c:pt>
                  <c:pt idx="4">
                    <c:v>209,70</c:v>
                  </c:pt>
                  <c:pt idx="5">
                    <c:v>FULL</c:v>
                  </c:pt>
                  <c:pt idx="6">
                    <c:v>400,05</c:v>
                  </c:pt>
                  <c:pt idx="8">
                    <c:v>150,38</c:v>
                  </c:pt>
                  <c:pt idx="9">
                    <c:v>299,91</c:v>
                  </c:pt>
                  <c:pt idx="10">
                    <c:v>500,35</c:v>
                  </c:pt>
                  <c:pt idx="11">
                    <c:v>400,54</c:v>
                  </c:pt>
                  <c:pt idx="12">
                    <c:v>150,28</c:v>
                  </c:pt>
                  <c:pt idx="13">
                    <c:v>350,97</c:v>
                  </c:pt>
                  <c:pt idx="14">
                    <c:v>250,73</c:v>
                  </c:pt>
                  <c:pt idx="16">
                    <c:v>FULL</c:v>
                  </c:pt>
                  <c:pt idx="17">
                    <c:v>300,16</c:v>
                  </c:pt>
                  <c:pt idx="18">
                    <c:v>351,43</c:v>
                  </c:pt>
                  <c:pt idx="19">
                    <c:v>250,39</c:v>
                  </c:pt>
                  <c:pt idx="20">
                    <c:v>350,34</c:v>
                  </c:pt>
                  <c:pt idx="21">
                    <c:v>250,14</c:v>
                  </c:pt>
                  <c:pt idx="22">
                    <c:v>248,77</c:v>
                  </c:pt>
                  <c:pt idx="24">
                    <c:v>400,83</c:v>
                  </c:pt>
                  <c:pt idx="25">
                    <c:v>214,45</c:v>
                  </c:pt>
                  <c:pt idx="26">
                    <c:v>200,19</c:v>
                  </c:pt>
                  <c:pt idx="27">
                    <c:v>299,79</c:v>
                  </c:pt>
                  <c:pt idx="28">
                    <c:v>250,34</c:v>
                  </c:pt>
                  <c:pt idx="29">
                    <c:v>250,55</c:v>
                  </c:pt>
                  <c:pt idx="30">
                    <c:v>250,42</c:v>
                  </c:pt>
                  <c:pt idx="31">
                    <c:v>249,51</c:v>
                  </c:pt>
                  <c:pt idx="32">
                    <c:v>251,06</c:v>
                  </c:pt>
                </c:lvl>
                <c:lvl>
                  <c:pt idx="0">
                    <c:v>299,87</c:v>
                  </c:pt>
                  <c:pt idx="1">
                    <c:v>300,08</c:v>
                  </c:pt>
                  <c:pt idx="2">
                    <c:v>299,94</c:v>
                  </c:pt>
                  <c:pt idx="3">
                    <c:v>200,94</c:v>
                  </c:pt>
                  <c:pt idx="4">
                    <c:v>278,18</c:v>
                  </c:pt>
                  <c:pt idx="5">
                    <c:v>399,99</c:v>
                  </c:pt>
                  <c:pt idx="6">
                    <c:v>349,98</c:v>
                  </c:pt>
                  <c:pt idx="8">
                    <c:v>300,01</c:v>
                  </c:pt>
                  <c:pt idx="9">
                    <c:v>299,93</c:v>
                  </c:pt>
                  <c:pt idx="10">
                    <c:v>300,19</c:v>
                  </c:pt>
                  <c:pt idx="11">
                    <c:v>300,17</c:v>
                  </c:pt>
                  <c:pt idx="12">
                    <c:v>300,08</c:v>
                  </c:pt>
                  <c:pt idx="13">
                    <c:v>300,15</c:v>
                  </c:pt>
                  <c:pt idx="14">
                    <c:v>250,24</c:v>
                  </c:pt>
                  <c:pt idx="16">
                    <c:v>187,27</c:v>
                  </c:pt>
                  <c:pt idx="17">
                    <c:v>112,21</c:v>
                  </c:pt>
                  <c:pt idx="18">
                    <c:v>79,38</c:v>
                  </c:pt>
                  <c:pt idx="19">
                    <c:v>300,33</c:v>
                  </c:pt>
                  <c:pt idx="20">
                    <c:v>319,98</c:v>
                  </c:pt>
                  <c:pt idx="21">
                    <c:v>250,05</c:v>
                  </c:pt>
                  <c:pt idx="22">
                    <c:v>357,35</c:v>
                  </c:pt>
                  <c:pt idx="24">
                    <c:v>250,13</c:v>
                  </c:pt>
                  <c:pt idx="25">
                    <c:v>402,92</c:v>
                  </c:pt>
                  <c:pt idx="26">
                    <c:v>200,36</c:v>
                  </c:pt>
                  <c:pt idx="27">
                    <c:v>93,11</c:v>
                  </c:pt>
                  <c:pt idx="28">
                    <c:v>400,10</c:v>
                  </c:pt>
                  <c:pt idx="29">
                    <c:v>106,41</c:v>
                  </c:pt>
                  <c:pt idx="30">
                    <c:v>FULL</c:v>
                  </c:pt>
                  <c:pt idx="31">
                    <c:v>199,52</c:v>
                  </c:pt>
                  <c:pt idx="32">
                    <c:v>333,21</c:v>
                  </c:pt>
                </c:lvl>
                <c:lvl>
                  <c:pt idx="0">
                    <c:v>300,48</c:v>
                  </c:pt>
                  <c:pt idx="1">
                    <c:v>300,05</c:v>
                  </c:pt>
                  <c:pt idx="2">
                    <c:v>250,28</c:v>
                  </c:pt>
                  <c:pt idx="3">
                    <c:v>266,16</c:v>
                  </c:pt>
                  <c:pt idx="4">
                    <c:v>306,31</c:v>
                  </c:pt>
                  <c:pt idx="5">
                    <c:v>350,10</c:v>
                  </c:pt>
                  <c:pt idx="6">
                    <c:v>250,35</c:v>
                  </c:pt>
                  <c:pt idx="8">
                    <c:v>250,35</c:v>
                  </c:pt>
                  <c:pt idx="9">
                    <c:v>150,76</c:v>
                  </c:pt>
                  <c:pt idx="10">
                    <c:v>250,16</c:v>
                  </c:pt>
                  <c:pt idx="11">
                    <c:v>350,34</c:v>
                  </c:pt>
                  <c:pt idx="12">
                    <c:v>200,83</c:v>
                  </c:pt>
                  <c:pt idx="13">
                    <c:v>300,81</c:v>
                  </c:pt>
                  <c:pt idx="14">
                    <c:v>350,33</c:v>
                  </c:pt>
                  <c:pt idx="16">
                    <c:v>292,91</c:v>
                  </c:pt>
                  <c:pt idx="17">
                    <c:v>200,11</c:v>
                  </c:pt>
                  <c:pt idx="18">
                    <c:v>351,09</c:v>
                  </c:pt>
                  <c:pt idx="19">
                    <c:v>200,68</c:v>
                  </c:pt>
                  <c:pt idx="20">
                    <c:v>400,18</c:v>
                  </c:pt>
                  <c:pt idx="21">
                    <c:v>250,27</c:v>
                  </c:pt>
                  <c:pt idx="22">
                    <c:v>320,17</c:v>
                  </c:pt>
                  <c:pt idx="24">
                    <c:v>300,00</c:v>
                  </c:pt>
                  <c:pt idx="25">
                    <c:v>299,96</c:v>
                  </c:pt>
                  <c:pt idx="26">
                    <c:v>352,12</c:v>
                  </c:pt>
                  <c:pt idx="27">
                    <c:v>349,98</c:v>
                  </c:pt>
                  <c:pt idx="28">
                    <c:v>400,14</c:v>
                  </c:pt>
                  <c:pt idx="29">
                    <c:v>200,44</c:v>
                  </c:pt>
                  <c:pt idx="30">
                    <c:v>250,64</c:v>
                  </c:pt>
                  <c:pt idx="31">
                    <c:v>299,74</c:v>
                  </c:pt>
                  <c:pt idx="32">
                    <c:v>300,59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FULL</c:v>
                  </c:pt>
                  <c:pt idx="1">
                    <c:v>299,55</c:v>
                  </c:pt>
                  <c:pt idx="2">
                    <c:v>299,87</c:v>
                  </c:pt>
                  <c:pt idx="3">
                    <c:v>200,89</c:v>
                  </c:pt>
                  <c:pt idx="4">
                    <c:v>386,22</c:v>
                  </c:pt>
                  <c:pt idx="5">
                    <c:v>350,10</c:v>
                  </c:pt>
                  <c:pt idx="6">
                    <c:v>350,18</c:v>
                  </c:pt>
                  <c:pt idx="8">
                    <c:v>120,23</c:v>
                  </c:pt>
                  <c:pt idx="9">
                    <c:v>250,17</c:v>
                  </c:pt>
                  <c:pt idx="10">
                    <c:v>250,30</c:v>
                  </c:pt>
                  <c:pt idx="11">
                    <c:v>300,12</c:v>
                  </c:pt>
                  <c:pt idx="12">
                    <c:v>200,35</c:v>
                  </c:pt>
                  <c:pt idx="13">
                    <c:v>300,78</c:v>
                  </c:pt>
                  <c:pt idx="14">
                    <c:v>300,40</c:v>
                  </c:pt>
                  <c:pt idx="16">
                    <c:v>199,94</c:v>
                  </c:pt>
                  <c:pt idx="17">
                    <c:v>200,21</c:v>
                  </c:pt>
                  <c:pt idx="18">
                    <c:v>351,86</c:v>
                  </c:pt>
                  <c:pt idx="19">
                    <c:v>200,18</c:v>
                  </c:pt>
                  <c:pt idx="20">
                    <c:v>250,57</c:v>
                  </c:pt>
                  <c:pt idx="21">
                    <c:v>FULL</c:v>
                  </c:pt>
                  <c:pt idx="22">
                    <c:v>451,09</c:v>
                  </c:pt>
                  <c:pt idx="24">
                    <c:v>400,43</c:v>
                  </c:pt>
                  <c:pt idx="25">
                    <c:v>300,21</c:v>
                  </c:pt>
                  <c:pt idx="26">
                    <c:v>250,98</c:v>
                  </c:pt>
                  <c:pt idx="27">
                    <c:v>165,78</c:v>
                  </c:pt>
                  <c:pt idx="28">
                    <c:v>200,43</c:v>
                  </c:pt>
                  <c:pt idx="29">
                    <c:v>250,06</c:v>
                  </c:pt>
                  <c:pt idx="30">
                    <c:v>350,33</c:v>
                  </c:pt>
                  <c:pt idx="31">
                    <c:v>199,76</c:v>
                  </c:pt>
                  <c:pt idx="32">
                    <c:v>200,35</c:v>
                  </c:pt>
                </c:lvl>
                <c:lvl>
                  <c:pt idx="0">
                    <c:v>400,20</c:v>
                  </c:pt>
                  <c:pt idx="1">
                    <c:v>349,90</c:v>
                  </c:pt>
                  <c:pt idx="2">
                    <c:v>350,19</c:v>
                  </c:pt>
                  <c:pt idx="3">
                    <c:v>250,85</c:v>
                  </c:pt>
                  <c:pt idx="4">
                    <c:v>208,67</c:v>
                  </c:pt>
                  <c:pt idx="5">
                    <c:v>400,18</c:v>
                  </c:pt>
                  <c:pt idx="6">
                    <c:v>300,18</c:v>
                  </c:pt>
                  <c:pt idx="8">
                    <c:v>200,26</c:v>
                  </c:pt>
                  <c:pt idx="9">
                    <c:v>FULL</c:v>
                  </c:pt>
                  <c:pt idx="10">
                    <c:v>400,24</c:v>
                  </c:pt>
                  <c:pt idx="11">
                    <c:v>250,51</c:v>
                  </c:pt>
                  <c:pt idx="12">
                    <c:v>200,37</c:v>
                  </c:pt>
                  <c:pt idx="13">
                    <c:v>300,61</c:v>
                  </c:pt>
                  <c:pt idx="14">
                    <c:v>303,09</c:v>
                  </c:pt>
                  <c:pt idx="16">
                    <c:v>200,63</c:v>
                  </c:pt>
                  <c:pt idx="17">
                    <c:v>207,86</c:v>
                  </c:pt>
                  <c:pt idx="18">
                    <c:v>270,84</c:v>
                  </c:pt>
                  <c:pt idx="19">
                    <c:v>200,49</c:v>
                  </c:pt>
                  <c:pt idx="20">
                    <c:v>250,35</c:v>
                  </c:pt>
                  <c:pt idx="21">
                    <c:v>250,56</c:v>
                  </c:pt>
                  <c:pt idx="22">
                    <c:v>357,35</c:v>
                  </c:pt>
                  <c:pt idx="24">
                    <c:v>300,05</c:v>
                  </c:pt>
                  <c:pt idx="25">
                    <c:v>200,82</c:v>
                  </c:pt>
                  <c:pt idx="26">
                    <c:v>249,94</c:v>
                  </c:pt>
                  <c:pt idx="27">
                    <c:v>250,78</c:v>
                  </c:pt>
                  <c:pt idx="28">
                    <c:v>250,78</c:v>
                  </c:pt>
                  <c:pt idx="29">
                    <c:v>250,52</c:v>
                  </c:pt>
                  <c:pt idx="30">
                    <c:v>250,13</c:v>
                  </c:pt>
                  <c:pt idx="31">
                    <c:v>305,44</c:v>
                  </c:pt>
                  <c:pt idx="32">
                    <c:v>251,46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7">
                    <c:v>SCRUB</c:v>
                  </c:pt>
                  <c:pt idx="15">
                    <c:v>SCRUB</c:v>
                  </c:pt>
                  <c:pt idx="23">
                    <c:v>SCRUB</c:v>
                  </c:pt>
                  <c:pt idx="34">
                    <c:v>SCRUB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270,61</c:v>
                  </c:pt>
                  <c:pt idx="3">
                    <c:v>269,87</c:v>
                  </c:pt>
                  <c:pt idx="4">
                    <c:v>FULL</c:v>
                  </c:pt>
                  <c:pt idx="5">
                    <c:v>500,18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121,42</c:v>
                  </c:pt>
                  <c:pt idx="10">
                    <c:v>FULL</c:v>
                  </c:pt>
                  <c:pt idx="11">
                    <c:v>370,62</c:v>
                  </c:pt>
                  <c:pt idx="12">
                    <c:v>350,25</c:v>
                  </c:pt>
                  <c:pt idx="13">
                    <c:v>400,69</c:v>
                  </c:pt>
                  <c:pt idx="14">
                    <c:v>500,12</c:v>
                  </c:pt>
                  <c:pt idx="16">
                    <c:v>200,62</c:v>
                  </c:pt>
                  <c:pt idx="17">
                    <c:v>FULL</c:v>
                  </c:pt>
                  <c:pt idx="18">
                    <c:v>452,92</c:v>
                  </c:pt>
                  <c:pt idx="19">
                    <c:v>399,94</c:v>
                  </c:pt>
                  <c:pt idx="20">
                    <c:v>400,00</c:v>
                  </c:pt>
                  <c:pt idx="21">
                    <c:v>499,94</c:v>
                  </c:pt>
                  <c:pt idx="22">
                    <c:v>415,63</c:v>
                  </c:pt>
                  <c:pt idx="24">
                    <c:v>500,27</c:v>
                  </c:pt>
                  <c:pt idx="25">
                    <c:v>251,18</c:v>
                  </c:pt>
                  <c:pt idx="26">
                    <c:v>FULL</c:v>
                  </c:pt>
                  <c:pt idx="27">
                    <c:v>400,30</c:v>
                  </c:pt>
                  <c:pt idx="28">
                    <c:v>400,09</c:v>
                  </c:pt>
                  <c:pt idx="29">
                    <c:v>400,13</c:v>
                  </c:pt>
                  <c:pt idx="30">
                    <c:v>400,14</c:v>
                  </c:pt>
                  <c:pt idx="31">
                    <c:v>499,62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</c:lvl>
                <c:lvl>
                  <c:pt idx="0">
                    <c:v>FULL</c:v>
                  </c:pt>
                  <c:pt idx="1">
                    <c:v>71,76</c:v>
                  </c:pt>
                  <c:pt idx="2">
                    <c:v>380,46</c:v>
                  </c:pt>
                  <c:pt idx="3">
                    <c:v>323,93</c:v>
                  </c:pt>
                  <c:pt idx="4">
                    <c:v>391,29</c:v>
                  </c:pt>
                  <c:pt idx="5">
                    <c:v>400,18</c:v>
                  </c:pt>
                  <c:pt idx="6">
                    <c:v>400,26</c:v>
                  </c:pt>
                  <c:pt idx="8">
                    <c:v>500,16</c:v>
                  </c:pt>
                  <c:pt idx="9">
                    <c:v>270,49</c:v>
                  </c:pt>
                  <c:pt idx="10">
                    <c:v>450,20</c:v>
                  </c:pt>
                  <c:pt idx="11">
                    <c:v>500,34</c:v>
                  </c:pt>
                  <c:pt idx="12">
                    <c:v>400,09</c:v>
                  </c:pt>
                  <c:pt idx="13">
                    <c:v>400,84</c:v>
                  </c:pt>
                  <c:pt idx="14">
                    <c:v>283,81</c:v>
                  </c:pt>
                  <c:pt idx="16">
                    <c:v>350,19</c:v>
                  </c:pt>
                  <c:pt idx="17">
                    <c:v>350,43</c:v>
                  </c:pt>
                  <c:pt idx="18">
                    <c:v>119,49</c:v>
                  </c:pt>
                  <c:pt idx="19">
                    <c:v>500,19</c:v>
                  </c:pt>
                  <c:pt idx="20">
                    <c:v>400,51</c:v>
                  </c:pt>
                  <c:pt idx="21">
                    <c:v>400,23</c:v>
                  </c:pt>
                  <c:pt idx="22">
                    <c:v>419,57</c:v>
                  </c:pt>
                  <c:pt idx="24">
                    <c:v>300,50</c:v>
                  </c:pt>
                  <c:pt idx="25">
                    <c:v>312,27</c:v>
                  </c:pt>
                  <c:pt idx="26">
                    <c:v>450,83</c:v>
                  </c:pt>
                  <c:pt idx="27">
                    <c:v>369,96</c:v>
                  </c:pt>
                  <c:pt idx="28">
                    <c:v>400,19</c:v>
                  </c:pt>
                  <c:pt idx="29">
                    <c:v>399,92</c:v>
                  </c:pt>
                  <c:pt idx="30">
                    <c:v>400,22</c:v>
                  </c:pt>
                  <c:pt idx="31">
                    <c:v>299,92</c:v>
                  </c:pt>
                  <c:pt idx="32">
                    <c:v>450,55</c:v>
                  </c:pt>
                </c:lvl>
                <c:lvl>
                  <c:pt idx="7">
                    <c:v>GRAHA</c:v>
                  </c:pt>
                  <c:pt idx="15">
                    <c:v>GRAHA</c:v>
                  </c:pt>
                  <c:pt idx="23">
                    <c:v>GRAHA</c:v>
                  </c:pt>
                  <c:pt idx="34">
                    <c:v>GRAHA</c:v>
                  </c:pt>
                </c:lvl>
                <c:lvl>
                  <c:pt idx="0">
                    <c:v>57,69</c:v>
                  </c:pt>
                  <c:pt idx="1">
                    <c:v>67,25</c:v>
                  </c:pt>
                  <c:pt idx="2">
                    <c:v>418,37</c:v>
                  </c:pt>
                  <c:pt idx="3">
                    <c:v>293,43</c:v>
                  </c:pt>
                  <c:pt idx="4">
                    <c:v>490,71</c:v>
                  </c:pt>
                  <c:pt idx="5">
                    <c:v>399,99</c:v>
                  </c:pt>
                  <c:pt idx="6">
                    <c:v>352,83</c:v>
                  </c:pt>
                  <c:pt idx="8">
                    <c:v>200,39</c:v>
                  </c:pt>
                  <c:pt idx="9">
                    <c:v>232,41</c:v>
                  </c:pt>
                  <c:pt idx="10">
                    <c:v>35,71</c:v>
                  </c:pt>
                  <c:pt idx="11">
                    <c:v>50,04</c:v>
                  </c:pt>
                  <c:pt idx="12">
                    <c:v>89,06</c:v>
                  </c:pt>
                  <c:pt idx="13">
                    <c:v>412,37</c:v>
                  </c:pt>
                  <c:pt idx="14">
                    <c:v>334,29</c:v>
                  </c:pt>
                  <c:pt idx="16">
                    <c:v>502,21</c:v>
                  </c:pt>
                  <c:pt idx="17">
                    <c:v>400,31</c:v>
                  </c:pt>
                  <c:pt idx="18">
                    <c:v>434,69</c:v>
                  </c:pt>
                  <c:pt idx="19">
                    <c:v>355,10</c:v>
                  </c:pt>
                  <c:pt idx="20">
                    <c:v>267,25</c:v>
                  </c:pt>
                  <c:pt idx="21">
                    <c:v>209,37</c:v>
                  </c:pt>
                  <c:pt idx="22">
                    <c:v>500,42</c:v>
                  </c:pt>
                  <c:pt idx="24">
                    <c:v>268,41</c:v>
                  </c:pt>
                  <c:pt idx="25">
                    <c:v>FULL</c:v>
                  </c:pt>
                  <c:pt idx="26">
                    <c:v>173,75</c:v>
                  </c:pt>
                  <c:pt idx="27">
                    <c:v>486,51</c:v>
                  </c:pt>
                  <c:pt idx="28">
                    <c:v>400,40</c:v>
                  </c:pt>
                  <c:pt idx="29">
                    <c:v>68,68</c:v>
                  </c:pt>
                  <c:pt idx="30">
                    <c:v>400,04</c:v>
                  </c:pt>
                  <c:pt idx="31">
                    <c:v>65,22</c:v>
                  </c:pt>
                  <c:pt idx="32">
                    <c:v>16,90</c:v>
                  </c:pt>
                </c:lvl>
                <c:lvl>
                  <c:pt idx="0">
                    <c:v>450,81</c:v>
                  </c:pt>
                  <c:pt idx="1">
                    <c:v>403,52</c:v>
                  </c:pt>
                  <c:pt idx="2">
                    <c:v>450,90</c:v>
                  </c:pt>
                  <c:pt idx="3">
                    <c:v>355,16</c:v>
                  </c:pt>
                  <c:pt idx="4">
                    <c:v>483,87</c:v>
                  </c:pt>
                  <c:pt idx="5">
                    <c:v>500,17</c:v>
                  </c:pt>
                  <c:pt idx="6">
                    <c:v>350,48</c:v>
                  </c:pt>
                  <c:pt idx="8">
                    <c:v>350,32</c:v>
                  </c:pt>
                  <c:pt idx="9">
                    <c:v>353,28</c:v>
                  </c:pt>
                  <c:pt idx="10">
                    <c:v>300,46</c:v>
                  </c:pt>
                  <c:pt idx="11">
                    <c:v>205,25</c:v>
                  </c:pt>
                  <c:pt idx="12">
                    <c:v>500,08</c:v>
                  </c:pt>
                  <c:pt idx="13">
                    <c:v>463,80</c:v>
                  </c:pt>
                  <c:pt idx="14">
                    <c:v>480,25</c:v>
                  </c:pt>
                  <c:pt idx="16">
                    <c:v>400,36</c:v>
                  </c:pt>
                  <c:pt idx="17">
                    <c:v>400,75</c:v>
                  </c:pt>
                  <c:pt idx="18">
                    <c:v>450,36</c:v>
                  </c:pt>
                  <c:pt idx="19">
                    <c:v>399,85</c:v>
                  </c:pt>
                  <c:pt idx="20">
                    <c:v>400,47</c:v>
                  </c:pt>
                  <c:pt idx="21">
                    <c:v>500,19</c:v>
                  </c:pt>
                  <c:pt idx="22">
                    <c:v>499,97</c:v>
                  </c:pt>
                  <c:pt idx="24">
                    <c:v>500,15</c:v>
                  </c:pt>
                  <c:pt idx="25">
                    <c:v>500,06</c:v>
                  </c:pt>
                  <c:pt idx="26">
                    <c:v>500,33</c:v>
                  </c:pt>
                  <c:pt idx="27">
                    <c:v>499,61</c:v>
                  </c:pt>
                  <c:pt idx="28">
                    <c:v>500,60</c:v>
                  </c:pt>
                  <c:pt idx="29">
                    <c:v>500,34</c:v>
                  </c:pt>
                  <c:pt idx="30">
                    <c:v>500,18</c:v>
                  </c:pt>
                  <c:pt idx="31">
                    <c:v>477,14</c:v>
                  </c:pt>
                  <c:pt idx="32">
                    <c:v>500,13</c:v>
                  </c:pt>
                </c:lvl>
                <c:lvl>
                  <c:pt idx="0">
                    <c:v>399,71</c:v>
                  </c:pt>
                  <c:pt idx="1">
                    <c:v>501,49</c:v>
                  </c:pt>
                  <c:pt idx="2">
                    <c:v>500,28</c:v>
                  </c:pt>
                  <c:pt idx="3">
                    <c:v>500,45</c:v>
                  </c:pt>
                  <c:pt idx="4">
                    <c:v>415,33</c:v>
                  </c:pt>
                  <c:pt idx="5">
                    <c:v>399,85</c:v>
                  </c:pt>
                  <c:pt idx="6">
                    <c:v>400,40</c:v>
                  </c:pt>
                  <c:pt idx="8">
                    <c:v>457,89</c:v>
                  </c:pt>
                  <c:pt idx="9">
                    <c:v>372,57</c:v>
                  </c:pt>
                  <c:pt idx="10">
                    <c:v>454,62</c:v>
                  </c:pt>
                  <c:pt idx="11">
                    <c:v>400,39</c:v>
                  </c:pt>
                  <c:pt idx="12">
                    <c:v>500,25</c:v>
                  </c:pt>
                  <c:pt idx="13">
                    <c:v>497,85</c:v>
                  </c:pt>
                  <c:pt idx="14">
                    <c:v>462,09</c:v>
                  </c:pt>
                  <c:pt idx="16">
                    <c:v>457,14</c:v>
                  </c:pt>
                  <c:pt idx="17">
                    <c:v>400,12</c:v>
                  </c:pt>
                  <c:pt idx="18">
                    <c:v>499,69</c:v>
                  </c:pt>
                  <c:pt idx="19">
                    <c:v>400,11</c:v>
                  </c:pt>
                  <c:pt idx="20">
                    <c:v>500,49</c:v>
                  </c:pt>
                  <c:pt idx="21">
                    <c:v>499,98</c:v>
                  </c:pt>
                  <c:pt idx="22">
                    <c:v>498,80</c:v>
                  </c:pt>
                  <c:pt idx="24">
                    <c:v>432,69</c:v>
                  </c:pt>
                  <c:pt idx="25">
                    <c:v>465,73</c:v>
                  </c:pt>
                  <c:pt idx="26">
                    <c:v>451,69</c:v>
                  </c:pt>
                  <c:pt idx="27">
                    <c:v>499,91</c:v>
                  </c:pt>
                  <c:pt idx="28">
                    <c:v>494,90</c:v>
                  </c:pt>
                  <c:pt idx="29">
                    <c:v>400,16</c:v>
                  </c:pt>
                  <c:pt idx="30">
                    <c:v>FULL</c:v>
                  </c:pt>
                  <c:pt idx="31">
                    <c:v>500,56</c:v>
                  </c:pt>
                  <c:pt idx="32">
                    <c:v>498,26</c:v>
                  </c:pt>
                  <c:pt idx="36">
                    <c:v>05, 09,12,22,38, 43, 44.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 full BBM Solar -----------</c:v>
                  </c:pt>
                </c:lvl>
                <c:lvl>
                  <c:pt idx="0">
                    <c:v>400,23</c:v>
                  </c:pt>
                  <c:pt idx="1">
                    <c:v>499,41</c:v>
                  </c:pt>
                  <c:pt idx="2">
                    <c:v>400,19</c:v>
                  </c:pt>
                  <c:pt idx="3">
                    <c:v>500,51</c:v>
                  </c:pt>
                  <c:pt idx="4">
                    <c:v>500,52</c:v>
                  </c:pt>
                  <c:pt idx="5">
                    <c:v>400,01</c:v>
                  </c:pt>
                  <c:pt idx="6">
                    <c:v>265,71</c:v>
                  </c:pt>
                  <c:pt idx="8">
                    <c:v>FULL</c:v>
                  </c:pt>
                  <c:pt idx="9">
                    <c:v>331,44</c:v>
                  </c:pt>
                  <c:pt idx="10">
                    <c:v>500,19</c:v>
                  </c:pt>
                  <c:pt idx="11">
                    <c:v>500,15</c:v>
                  </c:pt>
                  <c:pt idx="12">
                    <c:v>500,08</c:v>
                  </c:pt>
                  <c:pt idx="13">
                    <c:v>500,31</c:v>
                  </c:pt>
                  <c:pt idx="14">
                    <c:v>470,21</c:v>
                  </c:pt>
                  <c:pt idx="16">
                    <c:v>400,34</c:v>
                  </c:pt>
                  <c:pt idx="17">
                    <c:v>400,09</c:v>
                  </c:pt>
                  <c:pt idx="18">
                    <c:v>500,96</c:v>
                  </c:pt>
                  <c:pt idx="19">
                    <c:v>500,19</c:v>
                  </c:pt>
                  <c:pt idx="20">
                    <c:v>500,09</c:v>
                  </c:pt>
                  <c:pt idx="21">
                    <c:v>450,06</c:v>
                  </c:pt>
                  <c:pt idx="22">
                    <c:v>500,03</c:v>
                  </c:pt>
                  <c:pt idx="24">
                    <c:v>500,73</c:v>
                  </c:pt>
                  <c:pt idx="25">
                    <c:v>499,84</c:v>
                  </c:pt>
                  <c:pt idx="26">
                    <c:v>500,81</c:v>
                  </c:pt>
                  <c:pt idx="27">
                    <c:v>500,05</c:v>
                  </c:pt>
                  <c:pt idx="28">
                    <c:v>500,41</c:v>
                  </c:pt>
                  <c:pt idx="29">
                    <c:v>500,27</c:v>
                  </c:pt>
                  <c:pt idx="30">
                    <c:v>500,57</c:v>
                  </c:pt>
                  <c:pt idx="31">
                    <c:v>499,95</c:v>
                  </c:pt>
                  <c:pt idx="32">
                    <c:v>500,41</c:v>
                  </c:pt>
                  <c:pt idx="36">
                    <c:v>. RTGC Standby status</c:v>
                  </c:pt>
                </c:lvl>
                <c:lvl>
                  <c:pt idx="0">
                    <c:v>500,07</c:v>
                  </c:pt>
                  <c:pt idx="1">
                    <c:v>450,04</c:v>
                  </c:pt>
                  <c:pt idx="2">
                    <c:v>400,17</c:v>
                  </c:pt>
                  <c:pt idx="3">
                    <c:v>500,17</c:v>
                  </c:pt>
                  <c:pt idx="4">
                    <c:v>500,72</c:v>
                  </c:pt>
                  <c:pt idx="5">
                    <c:v>499,88</c:v>
                  </c:pt>
                  <c:pt idx="6">
                    <c:v>400,09</c:v>
                  </c:pt>
                  <c:pt idx="8">
                    <c:v>450,21</c:v>
                  </c:pt>
                  <c:pt idx="9">
                    <c:v>400,82</c:v>
                  </c:pt>
                  <c:pt idx="10">
                    <c:v>500,12</c:v>
                  </c:pt>
                  <c:pt idx="11">
                    <c:v>500,36</c:v>
                  </c:pt>
                  <c:pt idx="12">
                    <c:v>500,13</c:v>
                  </c:pt>
                  <c:pt idx="13">
                    <c:v>500,51</c:v>
                  </c:pt>
                  <c:pt idx="14">
                    <c:v>450,23</c:v>
                  </c:pt>
                  <c:pt idx="16">
                    <c:v>450,21</c:v>
                  </c:pt>
                  <c:pt idx="17">
                    <c:v>400,33</c:v>
                  </c:pt>
                  <c:pt idx="18">
                    <c:v>500,02</c:v>
                  </c:pt>
                  <c:pt idx="19">
                    <c:v>400,08</c:v>
                  </c:pt>
                  <c:pt idx="20">
                    <c:v>500,61</c:v>
                  </c:pt>
                  <c:pt idx="21">
                    <c:v>500,68</c:v>
                  </c:pt>
                  <c:pt idx="22">
                    <c:v>500,80</c:v>
                  </c:pt>
                  <c:pt idx="24">
                    <c:v>400,10</c:v>
                  </c:pt>
                  <c:pt idx="25">
                    <c:v>500,16</c:v>
                  </c:pt>
                  <c:pt idx="26">
                    <c:v>500,22</c:v>
                  </c:pt>
                  <c:pt idx="27">
                    <c:v>400,20</c:v>
                  </c:pt>
                  <c:pt idx="28">
                    <c:v>502,68</c:v>
                  </c:pt>
                  <c:pt idx="29">
                    <c:v>500,23</c:v>
                  </c:pt>
                  <c:pt idx="30">
                    <c:v>500,10</c:v>
                  </c:pt>
                  <c:pt idx="31">
                    <c:v>300,61</c:v>
                  </c:pt>
                  <c:pt idx="32">
                    <c:v>400,50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21, 23, 24, 25.</c:v>
                  </c:pt>
                </c:lvl>
                <c:lvl>
                  <c:pt idx="0">
                    <c:v>400,56</c:v>
                  </c:pt>
                  <c:pt idx="1">
                    <c:v>344,71</c:v>
                  </c:pt>
                  <c:pt idx="2">
                    <c:v>449,99</c:v>
                  </c:pt>
                  <c:pt idx="3">
                    <c:v>361,62</c:v>
                  </c:pt>
                  <c:pt idx="4">
                    <c:v>432,63</c:v>
                  </c:pt>
                  <c:pt idx="5">
                    <c:v>350,37</c:v>
                  </c:pt>
                  <c:pt idx="6">
                    <c:v>400,55</c:v>
                  </c:pt>
                  <c:pt idx="8">
                    <c:v>201,31</c:v>
                  </c:pt>
                  <c:pt idx="9">
                    <c:v>FULL</c:v>
                  </c:pt>
                  <c:pt idx="10">
                    <c:v>300,53</c:v>
                  </c:pt>
                  <c:pt idx="11">
                    <c:v>400,47</c:v>
                  </c:pt>
                  <c:pt idx="12">
                    <c:v>450,27</c:v>
                  </c:pt>
                  <c:pt idx="13">
                    <c:v>400,55</c:v>
                  </c:pt>
                  <c:pt idx="14">
                    <c:v>354,76</c:v>
                  </c:pt>
                  <c:pt idx="16">
                    <c:v>386,71</c:v>
                  </c:pt>
                  <c:pt idx="17">
                    <c:v>399,97</c:v>
                  </c:pt>
                  <c:pt idx="18">
                    <c:v>307,37</c:v>
                  </c:pt>
                  <c:pt idx="19">
                    <c:v>400,32</c:v>
                  </c:pt>
                  <c:pt idx="20">
                    <c:v>260,40</c:v>
                  </c:pt>
                  <c:pt idx="21">
                    <c:v>399,63</c:v>
                  </c:pt>
                  <c:pt idx="22">
                    <c:v>420,22</c:v>
                  </c:pt>
                  <c:pt idx="24">
                    <c:v>450,52</c:v>
                  </c:pt>
                  <c:pt idx="25">
                    <c:v>350,01</c:v>
                  </c:pt>
                  <c:pt idx="26">
                    <c:v>500,55</c:v>
                  </c:pt>
                  <c:pt idx="27">
                    <c:v>349,87</c:v>
                  </c:pt>
                  <c:pt idx="28">
                    <c:v>412,66</c:v>
                  </c:pt>
                  <c:pt idx="29">
                    <c:v>400,38</c:v>
                  </c:pt>
                  <c:pt idx="30">
                    <c:v>418,29</c:v>
                  </c:pt>
                  <c:pt idx="31">
                    <c:v>398,94</c:v>
                  </c:pt>
                  <c:pt idx="32">
                    <c:v>400,33</c:v>
                  </c:pt>
                  <c:pt idx="36">
                    <c:v>. RTGC yg Dilelang Srucb</c:v>
                  </c:pt>
                </c:lvl>
                <c:lvl>
                  <c:pt idx="7">
                    <c:v>PM</c:v>
                  </c:pt>
                  <c:pt idx="15">
                    <c:v>PM</c:v>
                  </c:pt>
                  <c:pt idx="23">
                    <c:v>PM</c:v>
                  </c:pt>
                  <c:pt idx="34">
                    <c:v>PM</c:v>
                  </c:pt>
                </c:lvl>
                <c:lvl>
                  <c:pt idx="0">
                    <c:v>301,52</c:v>
                  </c:pt>
                  <c:pt idx="1">
                    <c:v>350,00</c:v>
                  </c:pt>
                  <c:pt idx="2">
                    <c:v>270,04</c:v>
                  </c:pt>
                  <c:pt idx="3">
                    <c:v>303,64</c:v>
                  </c:pt>
                  <c:pt idx="4">
                    <c:v>310,42</c:v>
                  </c:pt>
                  <c:pt idx="5">
                    <c:v>399,99</c:v>
                  </c:pt>
                  <c:pt idx="6">
                    <c:v>300,23</c:v>
                  </c:pt>
                  <c:pt idx="8">
                    <c:v>149,98</c:v>
                  </c:pt>
                  <c:pt idx="9">
                    <c:v>249,99</c:v>
                  </c:pt>
                  <c:pt idx="10">
                    <c:v>400,44</c:v>
                  </c:pt>
                  <c:pt idx="11">
                    <c:v>149,16</c:v>
                  </c:pt>
                  <c:pt idx="12">
                    <c:v>150,32</c:v>
                  </c:pt>
                  <c:pt idx="13">
                    <c:v>FULL</c:v>
                  </c:pt>
                  <c:pt idx="14">
                    <c:v>270,57</c:v>
                  </c:pt>
                  <c:pt idx="16">
                    <c:v>400,36</c:v>
                  </c:pt>
                  <c:pt idx="17">
                    <c:v>200,34</c:v>
                  </c:pt>
                  <c:pt idx="18">
                    <c:v>352,22</c:v>
                  </c:pt>
                  <c:pt idx="19">
                    <c:v>288,21</c:v>
                  </c:pt>
                  <c:pt idx="20">
                    <c:v>400,08</c:v>
                  </c:pt>
                  <c:pt idx="21">
                    <c:v>350,53</c:v>
                  </c:pt>
                  <c:pt idx="22">
                    <c:v>350,31</c:v>
                  </c:pt>
                  <c:pt idx="24">
                    <c:v>350,30</c:v>
                  </c:pt>
                  <c:pt idx="25">
                    <c:v>350,79</c:v>
                  </c:pt>
                  <c:pt idx="26">
                    <c:v>350,53</c:v>
                  </c:pt>
                  <c:pt idx="27">
                    <c:v>200,07</c:v>
                  </c:pt>
                  <c:pt idx="28">
                    <c:v>350,66</c:v>
                  </c:pt>
                  <c:pt idx="29">
                    <c:v>350,41</c:v>
                  </c:pt>
                  <c:pt idx="30">
                    <c:v>400,07</c:v>
                  </c:pt>
                  <c:pt idx="31">
                    <c:v>251,31</c:v>
                  </c:pt>
                  <c:pt idx="32">
                    <c:v>400,23</c:v>
                  </c:pt>
                  <c:pt idx="36">
                    <c:v>07, 26, 29, 35,36, 42, 63.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. RTGC PM ---------------</c:v>
                  </c:pt>
                </c:lvl>
                <c:lvl>
                  <c:pt idx="0">
                    <c:v>505,63</c:v>
                  </c:pt>
                  <c:pt idx="1">
                    <c:v>470,43</c:v>
                  </c:pt>
                  <c:pt idx="2">
                    <c:v>500,38</c:v>
                  </c:pt>
                  <c:pt idx="3">
                    <c:v>400,65</c:v>
                  </c:pt>
                  <c:pt idx="4">
                    <c:v>486,13</c:v>
                  </c:pt>
                  <c:pt idx="5">
                    <c:v>500,05</c:v>
                  </c:pt>
                  <c:pt idx="6">
                    <c:v>400,15</c:v>
                  </c:pt>
                  <c:pt idx="8">
                    <c:v>450,15</c:v>
                  </c:pt>
                  <c:pt idx="9">
                    <c:v>499,90</c:v>
                  </c:pt>
                  <c:pt idx="10">
                    <c:v>500,17</c:v>
                  </c:pt>
                  <c:pt idx="11">
                    <c:v>450,05</c:v>
                  </c:pt>
                  <c:pt idx="12">
                    <c:v>500,23</c:v>
                  </c:pt>
                  <c:pt idx="13">
                    <c:v>400,89</c:v>
                  </c:pt>
                  <c:pt idx="14">
                    <c:v>500,62</c:v>
                  </c:pt>
                  <c:pt idx="16">
                    <c:v>450,81</c:v>
                  </c:pt>
                  <c:pt idx="17">
                    <c:v>400,22</c:v>
                  </c:pt>
                  <c:pt idx="18">
                    <c:v>499,92</c:v>
                  </c:pt>
                  <c:pt idx="19">
                    <c:v>500,29</c:v>
                  </c:pt>
                  <c:pt idx="20">
                    <c:v>450,11</c:v>
                  </c:pt>
                  <c:pt idx="21">
                    <c:v>400,44</c:v>
                  </c:pt>
                  <c:pt idx="22">
                    <c:v>517,91</c:v>
                  </c:pt>
                  <c:pt idx="24">
                    <c:v>500,00</c:v>
                  </c:pt>
                  <c:pt idx="25">
                    <c:v>400,16</c:v>
                  </c:pt>
                  <c:pt idx="26">
                    <c:v>449,45</c:v>
                  </c:pt>
                  <c:pt idx="27">
                    <c:v>499,25</c:v>
                  </c:pt>
                  <c:pt idx="28">
                    <c:v>400,35</c:v>
                  </c:pt>
                  <c:pt idx="29">
                    <c:v>500,21</c:v>
                  </c:pt>
                  <c:pt idx="30">
                    <c:v>499,97</c:v>
                  </c:pt>
                  <c:pt idx="31">
                    <c:v>400,47</c:v>
                  </c:pt>
                  <c:pt idx="32">
                    <c:v>500,62</c:v>
                  </c:pt>
                </c:lvl>
                <c:lvl>
                  <c:pt idx="0">
                    <c:v>FULL</c:v>
                  </c:pt>
                  <c:pt idx="1">
                    <c:v>FULL</c:v>
                  </c:pt>
                  <c:pt idx="2">
                    <c:v>FULL</c:v>
                  </c:pt>
                  <c:pt idx="3">
                    <c:v>FULL</c:v>
                  </c:pt>
                  <c:pt idx="4">
                    <c:v>FULL</c:v>
                  </c:pt>
                  <c:pt idx="5">
                    <c:v>FULL</c:v>
                  </c:pt>
                  <c:pt idx="6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FULL</c:v>
                  </c:pt>
                  <c:pt idx="16">
                    <c:v>FULL</c:v>
                  </c:pt>
                  <c:pt idx="17">
                    <c:v>FULL</c:v>
                  </c:pt>
                  <c:pt idx="18">
                    <c:v>FULL</c:v>
                  </c:pt>
                  <c:pt idx="19">
                    <c:v>FULL</c:v>
                  </c:pt>
                  <c:pt idx="20">
                    <c:v>FULL</c:v>
                  </c:pt>
                  <c:pt idx="21">
                    <c:v>FULL</c:v>
                  </c:pt>
                  <c:pt idx="22">
                    <c:v>FULL</c:v>
                  </c:pt>
                  <c:pt idx="24">
                    <c:v>FULL</c:v>
                  </c:pt>
                  <c:pt idx="25">
                    <c:v>FULL</c:v>
                  </c:pt>
                  <c:pt idx="26">
                    <c:v>FULL</c:v>
                  </c:pt>
                  <c:pt idx="27">
                    <c:v>FULL</c:v>
                  </c:pt>
                  <c:pt idx="28">
                    <c:v>FULL</c:v>
                  </c:pt>
                  <c:pt idx="29">
                    <c:v>FULL</c:v>
                  </c:pt>
                  <c:pt idx="30">
                    <c:v>FULL</c:v>
                  </c:pt>
                  <c:pt idx="31">
                    <c:v>FULL</c:v>
                  </c:pt>
                  <c:pt idx="32">
                    <c:v>FULL</c:v>
                  </c:pt>
                  <c:pt idx="36">
                    <c:v>GraHa Segara</c:v>
                  </c:pt>
                </c:lvl>
                <c:lvl>
                  <c:pt idx="0">
                    <c:v>299,64</c:v>
                  </c:pt>
                  <c:pt idx="1">
                    <c:v>350,00</c:v>
                  </c:pt>
                  <c:pt idx="2">
                    <c:v>400,18</c:v>
                  </c:pt>
                  <c:pt idx="3">
                    <c:v>351,14</c:v>
                  </c:pt>
                  <c:pt idx="4">
                    <c:v>436,30</c:v>
                  </c:pt>
                  <c:pt idx="5">
                    <c:v>399,85</c:v>
                  </c:pt>
                  <c:pt idx="6">
                    <c:v>350,22</c:v>
                  </c:pt>
                  <c:pt idx="8">
                    <c:v>400,09</c:v>
                  </c:pt>
                  <c:pt idx="9">
                    <c:v>337,72</c:v>
                  </c:pt>
                  <c:pt idx="10">
                    <c:v>400,09</c:v>
                  </c:pt>
                  <c:pt idx="11">
                    <c:v>400,27</c:v>
                  </c:pt>
                  <c:pt idx="12">
                    <c:v>350,33</c:v>
                  </c:pt>
                  <c:pt idx="13">
                    <c:v>353,86</c:v>
                  </c:pt>
                  <c:pt idx="14">
                    <c:v>400,37</c:v>
                  </c:pt>
                  <c:pt idx="16">
                    <c:v>350,57</c:v>
                  </c:pt>
                  <c:pt idx="17">
                    <c:v>400,13</c:v>
                  </c:pt>
                  <c:pt idx="18">
                    <c:v>400,34</c:v>
                  </c:pt>
                  <c:pt idx="19">
                    <c:v>350,43</c:v>
                  </c:pt>
                  <c:pt idx="20">
                    <c:v>400,06</c:v>
                  </c:pt>
                  <c:pt idx="21">
                    <c:v>400,16</c:v>
                  </c:pt>
                  <c:pt idx="22">
                    <c:v>326,23</c:v>
                  </c:pt>
                  <c:pt idx="24">
                    <c:v>400,35</c:v>
                  </c:pt>
                  <c:pt idx="25">
                    <c:v>401,12</c:v>
                  </c:pt>
                  <c:pt idx="26">
                    <c:v>350,11</c:v>
                  </c:pt>
                  <c:pt idx="27">
                    <c:v>400,13</c:v>
                  </c:pt>
                  <c:pt idx="28">
                    <c:v>350,51</c:v>
                  </c:pt>
                  <c:pt idx="29">
                    <c:v>400,05</c:v>
                  </c:pt>
                  <c:pt idx="30">
                    <c:v>351,58</c:v>
                  </c:pt>
                  <c:pt idx="31">
                    <c:v>300,07</c:v>
                  </c:pt>
                  <c:pt idx="32">
                    <c:v>400,14</c:v>
                  </c:pt>
                  <c:pt idx="36">
                    <c:v>. RTGC 16 Disewakan ke</c:v>
                  </c:pt>
                </c:lvl>
                <c:lvl>
                  <c:pt idx="0">
                    <c:v>FULL</c:v>
                  </c:pt>
                  <c:pt idx="1">
                    <c:v>250,00</c:v>
                  </c:pt>
                  <c:pt idx="2">
                    <c:v>410,25</c:v>
                  </c:pt>
                  <c:pt idx="3">
                    <c:v>401,06</c:v>
                  </c:pt>
                  <c:pt idx="4">
                    <c:v>355,31</c:v>
                  </c:pt>
                  <c:pt idx="5">
                    <c:v>299,84</c:v>
                  </c:pt>
                  <c:pt idx="6">
                    <c:v>400,21</c:v>
                  </c:pt>
                  <c:pt idx="8">
                    <c:v>199,97</c:v>
                  </c:pt>
                  <c:pt idx="9">
                    <c:v>300,48</c:v>
                  </c:pt>
                  <c:pt idx="10">
                    <c:v>400,10</c:v>
                  </c:pt>
                  <c:pt idx="11">
                    <c:v>350,44</c:v>
                  </c:pt>
                  <c:pt idx="12">
                    <c:v>350,26</c:v>
                  </c:pt>
                  <c:pt idx="13">
                    <c:v>307,39</c:v>
                  </c:pt>
                  <c:pt idx="14">
                    <c:v>400,10</c:v>
                  </c:pt>
                  <c:pt idx="16">
                    <c:v>255,59</c:v>
                  </c:pt>
                  <c:pt idx="17">
                    <c:v>300,24</c:v>
                  </c:pt>
                  <c:pt idx="18">
                    <c:v>400,49</c:v>
                  </c:pt>
                  <c:pt idx="19">
                    <c:v>300,48</c:v>
                  </c:pt>
                  <c:pt idx="20">
                    <c:v>400,15</c:v>
                  </c:pt>
                  <c:pt idx="21">
                    <c:v>300,19</c:v>
                  </c:pt>
                  <c:pt idx="22">
                    <c:v>301,42</c:v>
                  </c:pt>
                  <c:pt idx="24">
                    <c:v>400,27</c:v>
                  </c:pt>
                  <c:pt idx="25">
                    <c:v>272,42</c:v>
                  </c:pt>
                  <c:pt idx="26">
                    <c:v>450,41</c:v>
                  </c:pt>
                  <c:pt idx="27">
                    <c:v>299,75</c:v>
                  </c:pt>
                  <c:pt idx="28">
                    <c:v>400,66</c:v>
                  </c:pt>
                  <c:pt idx="29">
                    <c:v>300,66</c:v>
                  </c:pt>
                  <c:pt idx="30">
                    <c:v>350,26</c:v>
                  </c:pt>
                  <c:pt idx="31">
                    <c:v>250,74</c:v>
                  </c:pt>
                  <c:pt idx="32">
                    <c:v>299,85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WEEKS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WEEKS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WEEKS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31</c:v>
                  </c:pt>
                  <c:pt idx="34">
                    <c:v>WEEKS</c:v>
                  </c:pt>
                  <c:pt idx="35">
                    <c:v>TOTALISATOR</c:v>
                  </c:pt>
                  <c:pt idx="36">
                    <c:v>Note</c:v>
                  </c:pt>
                </c:lvl>
              </c:multiLvlStrCache>
            </c:multiLvlStrRef>
          </c:cat>
          <c:val>
            <c:numRef>
              <c:f>'JUNI 2026'!$B$173:$AM$173</c:f>
              <c:numCache>
                <c:formatCode>0.00</c:formatCode>
                <c:ptCount val="37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535840"/>
        <c:axId val="922536384"/>
      </c:barChart>
      <c:catAx>
        <c:axId val="92253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536384"/>
        <c:crosses val="autoZero"/>
        <c:auto val="1"/>
        <c:lblAlgn val="ctr"/>
        <c:lblOffset val="100"/>
        <c:noMultiLvlLbl val="0"/>
      </c:catAx>
      <c:valAx>
        <c:axId val="92253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53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245" cy="62919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4"/>
  <sheetViews>
    <sheetView topLeftCell="A268" workbookViewId="0">
      <selection activeCell="AL282" sqref="AL282"/>
    </sheetView>
  </sheetViews>
  <sheetFormatPr defaultRowHeight="15" x14ac:dyDescent="0.25"/>
  <cols>
    <col min="1" max="1" width="18.85546875" customWidth="1"/>
    <col min="2" max="5" width="1" customWidth="1"/>
    <col min="6" max="6" width="1.140625" customWidth="1"/>
    <col min="7" max="8" width="1.42578125" customWidth="1"/>
    <col min="9" max="9" width="10.7109375" customWidth="1"/>
    <col min="10" max="10" width="1.140625" customWidth="1"/>
    <col min="11" max="11" width="1.5703125" customWidth="1"/>
    <col min="12" max="12" width="1.85546875" customWidth="1"/>
    <col min="13" max="13" width="1.5703125" customWidth="1"/>
    <col min="14" max="14" width="1.42578125" customWidth="1"/>
    <col min="15" max="15" width="1.28515625" customWidth="1"/>
    <col min="16" max="16" width="2" customWidth="1"/>
    <col min="17" max="17" width="10.7109375" customWidth="1"/>
    <col min="18" max="18" width="1.7109375" customWidth="1"/>
    <col min="19" max="19" width="1.5703125" customWidth="1"/>
    <col min="20" max="20" width="1.7109375" customWidth="1"/>
    <col min="21" max="23" width="1.42578125" customWidth="1"/>
    <col min="24" max="24" width="1.28515625" customWidth="1"/>
    <col min="25" max="25" width="10.7109375" customWidth="1"/>
    <col min="26" max="26" width="9.28515625" customWidth="1"/>
    <col min="27" max="27" width="9.42578125" customWidth="1"/>
    <col min="28" max="35" width="9.28515625" customWidth="1"/>
    <col min="36" max="36" width="10.5703125" customWidth="1"/>
    <col min="37" max="37" width="14.7109375" customWidth="1"/>
    <col min="38" max="38" width="22.85546875" customWidth="1"/>
  </cols>
  <sheetData>
    <row r="1" spans="1:38" ht="24" thickBot="1" x14ac:dyDescent="0.4">
      <c r="A1" s="256" t="s">
        <v>103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</row>
    <row r="2" spans="1:38" ht="15.75" x14ac:dyDescent="0.25">
      <c r="A2" s="470" t="s">
        <v>258</v>
      </c>
      <c r="B2" s="471">
        <v>1</v>
      </c>
      <c r="C2" s="471">
        <v>2</v>
      </c>
      <c r="D2" s="471">
        <v>3</v>
      </c>
      <c r="E2" s="471">
        <v>4</v>
      </c>
      <c r="F2" s="471">
        <v>5</v>
      </c>
      <c r="G2" s="471">
        <v>6</v>
      </c>
      <c r="H2" s="471">
        <v>7</v>
      </c>
      <c r="I2" s="458" t="s">
        <v>6</v>
      </c>
      <c r="J2" s="471">
        <v>8</v>
      </c>
      <c r="K2" s="471">
        <v>9</v>
      </c>
      <c r="L2" s="471">
        <v>10</v>
      </c>
      <c r="M2" s="471">
        <v>11</v>
      </c>
      <c r="N2" s="471">
        <v>12</v>
      </c>
      <c r="O2" s="471">
        <v>13</v>
      </c>
      <c r="P2" s="471">
        <v>14</v>
      </c>
      <c r="Q2" s="458" t="s">
        <v>6</v>
      </c>
      <c r="R2" s="471">
        <v>15</v>
      </c>
      <c r="S2" s="471">
        <v>16</v>
      </c>
      <c r="T2" s="471">
        <v>17</v>
      </c>
      <c r="U2" s="471">
        <v>18</v>
      </c>
      <c r="V2" s="471">
        <v>19</v>
      </c>
      <c r="W2" s="471">
        <v>20</v>
      </c>
      <c r="X2" s="471">
        <v>21</v>
      </c>
      <c r="Y2" s="458" t="s">
        <v>6</v>
      </c>
      <c r="Z2" s="471">
        <v>22</v>
      </c>
      <c r="AA2" s="471">
        <v>23</v>
      </c>
      <c r="AB2" s="471">
        <v>24</v>
      </c>
      <c r="AC2" s="471">
        <v>25</v>
      </c>
      <c r="AD2" s="471">
        <v>26</v>
      </c>
      <c r="AE2" s="471">
        <v>27</v>
      </c>
      <c r="AF2" s="471">
        <v>28</v>
      </c>
      <c r="AG2" s="471">
        <v>29</v>
      </c>
      <c r="AH2" s="471">
        <v>30</v>
      </c>
      <c r="AI2" s="471">
        <v>31</v>
      </c>
      <c r="AJ2" s="459" t="s">
        <v>6</v>
      </c>
      <c r="AK2" s="460" t="s">
        <v>0</v>
      </c>
      <c r="AL2" s="461" t="s">
        <v>42</v>
      </c>
    </row>
    <row r="3" spans="1:38" x14ac:dyDescent="0.25">
      <c r="A3" s="11">
        <v>1</v>
      </c>
      <c r="B3" s="106" t="s">
        <v>289</v>
      </c>
      <c r="C3" s="106" t="s">
        <v>289</v>
      </c>
      <c r="D3" s="106">
        <v>400</v>
      </c>
      <c r="E3" s="106">
        <v>350</v>
      </c>
      <c r="F3" s="106">
        <v>401</v>
      </c>
      <c r="G3" s="106">
        <v>381</v>
      </c>
      <c r="H3" s="106">
        <v>400</v>
      </c>
      <c r="I3" s="157"/>
      <c r="J3" s="106">
        <v>400</v>
      </c>
      <c r="K3" s="106">
        <v>385</v>
      </c>
      <c r="L3" s="106" t="s">
        <v>289</v>
      </c>
      <c r="M3" s="106" t="s">
        <v>289</v>
      </c>
      <c r="N3" s="106">
        <v>250</v>
      </c>
      <c r="O3" s="106">
        <v>201</v>
      </c>
      <c r="P3" s="106">
        <v>300</v>
      </c>
      <c r="Q3" s="35"/>
      <c r="R3" s="106">
        <v>300</v>
      </c>
      <c r="S3" s="106">
        <v>300</v>
      </c>
      <c r="T3" s="106">
        <v>300</v>
      </c>
      <c r="U3" s="106">
        <v>280</v>
      </c>
      <c r="V3" s="106">
        <v>200</v>
      </c>
      <c r="W3" s="106">
        <v>238</v>
      </c>
      <c r="X3" s="106">
        <v>100</v>
      </c>
      <c r="Y3" s="36"/>
      <c r="Z3" s="106" t="s">
        <v>289</v>
      </c>
      <c r="AA3" s="106">
        <v>300</v>
      </c>
      <c r="AB3" s="106">
        <v>350</v>
      </c>
      <c r="AC3" s="106">
        <v>350</v>
      </c>
      <c r="AD3" s="106" t="s">
        <v>289</v>
      </c>
      <c r="AE3" s="106" t="s">
        <v>289</v>
      </c>
      <c r="AF3" s="106">
        <v>251</v>
      </c>
      <c r="AG3" s="106">
        <v>294</v>
      </c>
      <c r="AH3" s="106">
        <v>300</v>
      </c>
      <c r="AI3" s="106">
        <v>350</v>
      </c>
      <c r="AJ3" s="36"/>
      <c r="AK3" s="14"/>
      <c r="AL3" s="172" t="s">
        <v>253</v>
      </c>
    </row>
    <row r="4" spans="1:38" x14ac:dyDescent="0.25">
      <c r="A4" s="11">
        <v>2</v>
      </c>
      <c r="B4" s="106">
        <v>200</v>
      </c>
      <c r="C4" s="106">
        <v>400</v>
      </c>
      <c r="D4" s="106">
        <v>350</v>
      </c>
      <c r="E4" s="106">
        <v>400</v>
      </c>
      <c r="F4" s="106">
        <v>400</v>
      </c>
      <c r="G4" s="106">
        <v>400</v>
      </c>
      <c r="H4" s="106">
        <v>400</v>
      </c>
      <c r="I4" s="37"/>
      <c r="J4" s="106">
        <v>373</v>
      </c>
      <c r="K4" s="106">
        <v>250</v>
      </c>
      <c r="L4" s="106">
        <v>250</v>
      </c>
      <c r="M4" s="106">
        <v>250</v>
      </c>
      <c r="N4" s="106">
        <v>250</v>
      </c>
      <c r="O4" s="106">
        <v>300</v>
      </c>
      <c r="P4" s="106">
        <v>150</v>
      </c>
      <c r="Q4" s="37"/>
      <c r="R4" s="106">
        <v>300</v>
      </c>
      <c r="S4" s="106">
        <v>300</v>
      </c>
      <c r="T4" s="106">
        <v>300</v>
      </c>
      <c r="U4" s="106">
        <v>300</v>
      </c>
      <c r="V4" s="106">
        <v>350</v>
      </c>
      <c r="W4" s="106">
        <v>350</v>
      </c>
      <c r="X4" s="106">
        <v>200</v>
      </c>
      <c r="Y4" s="37"/>
      <c r="Z4" s="106">
        <v>220</v>
      </c>
      <c r="AA4" s="106">
        <v>300</v>
      </c>
      <c r="AB4" s="106">
        <v>350</v>
      </c>
      <c r="AC4" s="106">
        <v>350</v>
      </c>
      <c r="AD4" s="106">
        <v>350</v>
      </c>
      <c r="AE4" s="106">
        <v>350</v>
      </c>
      <c r="AF4" s="106">
        <v>350</v>
      </c>
      <c r="AG4" s="106">
        <v>349</v>
      </c>
      <c r="AH4" s="106">
        <v>350</v>
      </c>
      <c r="AI4" s="106">
        <v>250</v>
      </c>
      <c r="AJ4" s="37"/>
      <c r="AK4" s="38"/>
      <c r="AL4" s="172" t="s">
        <v>254</v>
      </c>
    </row>
    <row r="5" spans="1:38" x14ac:dyDescent="0.25">
      <c r="A5" s="11">
        <v>3</v>
      </c>
      <c r="B5" s="106">
        <v>400</v>
      </c>
      <c r="C5" s="106">
        <v>300</v>
      </c>
      <c r="D5" s="106">
        <v>400</v>
      </c>
      <c r="E5" s="106">
        <v>400</v>
      </c>
      <c r="F5" s="106">
        <v>400</v>
      </c>
      <c r="G5" s="106">
        <v>400</v>
      </c>
      <c r="H5" s="106">
        <v>400</v>
      </c>
      <c r="I5" s="37"/>
      <c r="J5" s="106">
        <v>400</v>
      </c>
      <c r="K5" s="106">
        <v>250</v>
      </c>
      <c r="L5" s="106">
        <v>250</v>
      </c>
      <c r="M5" s="106">
        <v>250</v>
      </c>
      <c r="N5" s="106">
        <v>400</v>
      </c>
      <c r="O5" s="106">
        <v>300</v>
      </c>
      <c r="P5" s="106">
        <v>300</v>
      </c>
      <c r="Q5" s="37"/>
      <c r="R5" s="106">
        <v>300</v>
      </c>
      <c r="S5" s="106">
        <v>300</v>
      </c>
      <c r="T5" s="106">
        <v>400</v>
      </c>
      <c r="U5" s="106">
        <v>300</v>
      </c>
      <c r="V5" s="106">
        <v>350</v>
      </c>
      <c r="W5" s="106">
        <v>350</v>
      </c>
      <c r="X5" s="106">
        <v>299</v>
      </c>
      <c r="Y5" s="37"/>
      <c r="Z5" s="106">
        <v>350</v>
      </c>
      <c r="AA5" s="106">
        <v>350</v>
      </c>
      <c r="AB5" s="106">
        <v>350</v>
      </c>
      <c r="AC5" s="106">
        <v>350</v>
      </c>
      <c r="AD5" s="106">
        <v>345</v>
      </c>
      <c r="AE5" s="106">
        <v>350</v>
      </c>
      <c r="AF5" s="106">
        <v>350</v>
      </c>
      <c r="AG5" s="106">
        <v>350</v>
      </c>
      <c r="AH5" s="106">
        <v>350</v>
      </c>
      <c r="AI5" s="106">
        <v>350</v>
      </c>
      <c r="AJ5" s="37"/>
      <c r="AK5" s="38"/>
      <c r="AL5" s="172" t="s">
        <v>255</v>
      </c>
    </row>
    <row r="6" spans="1:38" x14ac:dyDescent="0.25">
      <c r="A6" s="11">
        <v>4</v>
      </c>
      <c r="B6" s="106">
        <v>400</v>
      </c>
      <c r="C6" s="106">
        <v>315</v>
      </c>
      <c r="D6" s="106">
        <v>350</v>
      </c>
      <c r="E6" s="106">
        <v>400</v>
      </c>
      <c r="F6" s="106">
        <v>400</v>
      </c>
      <c r="G6" s="106">
        <v>400</v>
      </c>
      <c r="H6" s="106">
        <v>400</v>
      </c>
      <c r="I6" s="37"/>
      <c r="J6" s="106">
        <v>400</v>
      </c>
      <c r="K6" s="106">
        <v>400</v>
      </c>
      <c r="L6" s="106">
        <v>250</v>
      </c>
      <c r="M6" s="106">
        <v>250</v>
      </c>
      <c r="N6" s="106">
        <v>250</v>
      </c>
      <c r="O6" s="106">
        <v>300</v>
      </c>
      <c r="P6" s="106">
        <v>300</v>
      </c>
      <c r="Q6" s="37"/>
      <c r="R6" s="106">
        <v>300</v>
      </c>
      <c r="S6" s="106">
        <v>300</v>
      </c>
      <c r="T6" s="106">
        <v>300</v>
      </c>
      <c r="U6" s="106">
        <v>300</v>
      </c>
      <c r="V6" s="106">
        <v>350</v>
      </c>
      <c r="W6" s="106">
        <v>350</v>
      </c>
      <c r="X6" s="106">
        <v>350</v>
      </c>
      <c r="Y6" s="37"/>
      <c r="Z6" s="106">
        <v>350</v>
      </c>
      <c r="AA6" s="106">
        <v>350</v>
      </c>
      <c r="AB6" s="106">
        <v>350</v>
      </c>
      <c r="AC6" s="106">
        <v>350</v>
      </c>
      <c r="AD6" s="106">
        <v>350</v>
      </c>
      <c r="AE6" s="106">
        <v>350</v>
      </c>
      <c r="AF6" s="106">
        <v>350</v>
      </c>
      <c r="AG6" s="106">
        <v>350</v>
      </c>
      <c r="AH6" s="106">
        <v>350</v>
      </c>
      <c r="AI6" s="106">
        <v>351</v>
      </c>
      <c r="AJ6" s="37"/>
      <c r="AK6" s="38"/>
      <c r="AL6" s="172" t="s">
        <v>256</v>
      </c>
    </row>
    <row r="7" spans="1:38" x14ac:dyDescent="0.25">
      <c r="A7" s="11">
        <v>5</v>
      </c>
      <c r="B7" s="106" t="s">
        <v>289</v>
      </c>
      <c r="C7" s="106" t="s">
        <v>289</v>
      </c>
      <c r="D7" s="106" t="s">
        <v>289</v>
      </c>
      <c r="E7" s="106" t="s">
        <v>289</v>
      </c>
      <c r="F7" s="106" t="s">
        <v>289</v>
      </c>
      <c r="G7" s="106" t="s">
        <v>289</v>
      </c>
      <c r="H7" s="106" t="s">
        <v>289</v>
      </c>
      <c r="I7" s="37"/>
      <c r="J7" s="106" t="s">
        <v>289</v>
      </c>
      <c r="K7" s="106" t="s">
        <v>289</v>
      </c>
      <c r="L7" s="106" t="s">
        <v>289</v>
      </c>
      <c r="M7" s="106" t="s">
        <v>289</v>
      </c>
      <c r="N7" s="106" t="s">
        <v>289</v>
      </c>
      <c r="O7" s="106" t="s">
        <v>289</v>
      </c>
      <c r="P7" s="106" t="s">
        <v>289</v>
      </c>
      <c r="Q7" s="37"/>
      <c r="R7" s="106" t="s">
        <v>289</v>
      </c>
      <c r="S7" s="106" t="s">
        <v>289</v>
      </c>
      <c r="T7" s="106" t="s">
        <v>289</v>
      </c>
      <c r="U7" s="106" t="s">
        <v>289</v>
      </c>
      <c r="V7" s="106" t="s">
        <v>289</v>
      </c>
      <c r="W7" s="106" t="s">
        <v>289</v>
      </c>
      <c r="X7" s="106" t="s">
        <v>289</v>
      </c>
      <c r="Y7" s="37"/>
      <c r="Z7" s="106" t="s">
        <v>289</v>
      </c>
      <c r="AA7" s="106" t="s">
        <v>289</v>
      </c>
      <c r="AB7" s="106" t="s">
        <v>289</v>
      </c>
      <c r="AC7" s="106" t="s">
        <v>289</v>
      </c>
      <c r="AD7" s="106" t="s">
        <v>289</v>
      </c>
      <c r="AE7" s="106" t="s">
        <v>289</v>
      </c>
      <c r="AF7" s="106" t="s">
        <v>289</v>
      </c>
      <c r="AG7" s="106" t="s">
        <v>289</v>
      </c>
      <c r="AH7" s="106" t="s">
        <v>289</v>
      </c>
      <c r="AI7" s="106" t="s">
        <v>289</v>
      </c>
      <c r="AJ7" s="37"/>
      <c r="AK7" s="38"/>
      <c r="AL7" s="172" t="s">
        <v>257</v>
      </c>
    </row>
    <row r="8" spans="1:38" x14ac:dyDescent="0.25">
      <c r="A8" s="11">
        <v>6</v>
      </c>
      <c r="B8" s="106">
        <v>300</v>
      </c>
      <c r="C8" s="106">
        <v>350</v>
      </c>
      <c r="D8" s="106">
        <v>350</v>
      </c>
      <c r="E8" s="106">
        <v>300</v>
      </c>
      <c r="F8" s="106">
        <v>400</v>
      </c>
      <c r="G8" s="106">
        <v>300</v>
      </c>
      <c r="H8" s="106">
        <v>400</v>
      </c>
      <c r="I8" s="37"/>
      <c r="J8" s="106">
        <v>350</v>
      </c>
      <c r="K8" s="106">
        <v>250</v>
      </c>
      <c r="L8" s="106">
        <v>250</v>
      </c>
      <c r="M8" s="106">
        <v>250</v>
      </c>
      <c r="N8" s="106">
        <v>250</v>
      </c>
      <c r="O8" s="106">
        <v>300</v>
      </c>
      <c r="P8" s="106">
        <v>300</v>
      </c>
      <c r="Q8" s="37"/>
      <c r="R8" s="106">
        <v>300</v>
      </c>
      <c r="S8" s="106">
        <v>300</v>
      </c>
      <c r="T8" s="106">
        <v>300</v>
      </c>
      <c r="U8" s="106">
        <v>300</v>
      </c>
      <c r="V8" s="106">
        <v>350</v>
      </c>
      <c r="W8" s="106">
        <v>350</v>
      </c>
      <c r="X8" s="106">
        <v>350</v>
      </c>
      <c r="Y8" s="37"/>
      <c r="Z8" s="106">
        <v>350</v>
      </c>
      <c r="AA8" s="106">
        <v>350</v>
      </c>
      <c r="AB8" s="106">
        <v>350</v>
      </c>
      <c r="AC8" s="106">
        <v>350</v>
      </c>
      <c r="AD8" s="106">
        <v>350</v>
      </c>
      <c r="AE8" s="106">
        <v>350</v>
      </c>
      <c r="AF8" s="106">
        <v>350</v>
      </c>
      <c r="AG8" s="106">
        <v>350</v>
      </c>
      <c r="AH8" s="106">
        <v>350</v>
      </c>
      <c r="AI8" s="106">
        <v>300</v>
      </c>
      <c r="AJ8" s="37"/>
      <c r="AK8" s="38"/>
      <c r="AL8" s="172"/>
    </row>
    <row r="9" spans="1:38" x14ac:dyDescent="0.25">
      <c r="A9" s="11">
        <v>7</v>
      </c>
      <c r="B9" s="546" t="s">
        <v>290</v>
      </c>
      <c r="C9" s="546" t="s">
        <v>290</v>
      </c>
      <c r="D9" s="546" t="s">
        <v>290</v>
      </c>
      <c r="E9" s="546" t="s">
        <v>290</v>
      </c>
      <c r="F9" s="546" t="s">
        <v>290</v>
      </c>
      <c r="G9" s="546" t="s">
        <v>290</v>
      </c>
      <c r="H9" s="546" t="s">
        <v>290</v>
      </c>
      <c r="I9" s="111"/>
      <c r="J9" s="546" t="s">
        <v>290</v>
      </c>
      <c r="K9" s="546" t="s">
        <v>290</v>
      </c>
      <c r="L9" s="546" t="s">
        <v>290</v>
      </c>
      <c r="M9" s="546" t="s">
        <v>290</v>
      </c>
      <c r="N9" s="546" t="s">
        <v>290</v>
      </c>
      <c r="O9" s="546" t="s">
        <v>290</v>
      </c>
      <c r="P9" s="546" t="s">
        <v>290</v>
      </c>
      <c r="Q9" s="111"/>
      <c r="R9" s="547" t="s">
        <v>290</v>
      </c>
      <c r="S9" s="547" t="s">
        <v>290</v>
      </c>
      <c r="T9" s="547" t="s">
        <v>290</v>
      </c>
      <c r="U9" s="547" t="s">
        <v>290</v>
      </c>
      <c r="V9" s="547" t="s">
        <v>290</v>
      </c>
      <c r="W9" s="547" t="s">
        <v>290</v>
      </c>
      <c r="X9" s="547" t="s">
        <v>290</v>
      </c>
      <c r="Y9" s="111"/>
      <c r="Z9" s="547" t="s">
        <v>290</v>
      </c>
      <c r="AA9" s="547" t="s">
        <v>290</v>
      </c>
      <c r="AB9" s="547" t="s">
        <v>290</v>
      </c>
      <c r="AC9" s="547" t="s">
        <v>290</v>
      </c>
      <c r="AD9" s="547" t="s">
        <v>290</v>
      </c>
      <c r="AE9" s="547" t="s">
        <v>290</v>
      </c>
      <c r="AF9" s="547" t="s">
        <v>290</v>
      </c>
      <c r="AG9" s="547" t="s">
        <v>290</v>
      </c>
      <c r="AH9" s="547" t="s">
        <v>290</v>
      </c>
      <c r="AI9" s="547" t="s">
        <v>290</v>
      </c>
      <c r="AJ9" s="111"/>
      <c r="AK9" s="38"/>
      <c r="AL9" s="172"/>
    </row>
    <row r="10" spans="1:38" x14ac:dyDescent="0.25">
      <c r="A10" s="11">
        <v>8</v>
      </c>
      <c r="B10" s="106">
        <v>230</v>
      </c>
      <c r="C10" s="106">
        <v>400</v>
      </c>
      <c r="D10" s="106">
        <v>350</v>
      </c>
      <c r="E10" s="106">
        <v>400</v>
      </c>
      <c r="F10" s="106">
        <v>400</v>
      </c>
      <c r="G10" s="106">
        <v>400</v>
      </c>
      <c r="H10" s="106">
        <v>400</v>
      </c>
      <c r="I10" s="37"/>
      <c r="J10" s="106">
        <v>400</v>
      </c>
      <c r="K10" s="106">
        <v>381</v>
      </c>
      <c r="L10" s="106">
        <v>101</v>
      </c>
      <c r="M10" s="106">
        <v>351</v>
      </c>
      <c r="N10" s="106">
        <v>250</v>
      </c>
      <c r="O10" s="106">
        <v>378</v>
      </c>
      <c r="P10" s="106">
        <v>351</v>
      </c>
      <c r="Q10" s="37"/>
      <c r="R10" s="106">
        <v>346</v>
      </c>
      <c r="S10" s="106">
        <v>385</v>
      </c>
      <c r="T10" s="106">
        <v>400</v>
      </c>
      <c r="U10" s="106">
        <v>312</v>
      </c>
      <c r="V10" s="106">
        <v>400</v>
      </c>
      <c r="W10" s="106">
        <v>400</v>
      </c>
      <c r="X10" s="106">
        <v>400</v>
      </c>
      <c r="Y10" s="37"/>
      <c r="Z10" s="106">
        <v>350</v>
      </c>
      <c r="AA10" s="106">
        <v>400</v>
      </c>
      <c r="AB10" s="106">
        <v>400</v>
      </c>
      <c r="AC10" s="106">
        <v>395</v>
      </c>
      <c r="AD10" s="106">
        <v>400</v>
      </c>
      <c r="AE10" s="106">
        <v>350</v>
      </c>
      <c r="AF10" s="106">
        <v>400</v>
      </c>
      <c r="AG10" s="106">
        <v>400</v>
      </c>
      <c r="AH10" s="106">
        <v>400</v>
      </c>
      <c r="AI10" s="106">
        <v>400</v>
      </c>
      <c r="AJ10" s="37"/>
      <c r="AK10" s="38"/>
      <c r="AL10" s="172"/>
    </row>
    <row r="11" spans="1:38" x14ac:dyDescent="0.25">
      <c r="A11" s="11">
        <v>9</v>
      </c>
      <c r="B11" s="106" t="s">
        <v>289</v>
      </c>
      <c r="C11" s="106" t="s">
        <v>289</v>
      </c>
      <c r="D11" s="106" t="s">
        <v>289</v>
      </c>
      <c r="E11" s="106" t="s">
        <v>289</v>
      </c>
      <c r="F11" s="106" t="s">
        <v>289</v>
      </c>
      <c r="G11" s="106" t="s">
        <v>289</v>
      </c>
      <c r="H11" s="106" t="s">
        <v>289</v>
      </c>
      <c r="I11" s="37"/>
      <c r="J11" s="106" t="s">
        <v>289</v>
      </c>
      <c r="K11" s="106" t="s">
        <v>289</v>
      </c>
      <c r="L11" s="106" t="s">
        <v>289</v>
      </c>
      <c r="M11" s="106" t="s">
        <v>289</v>
      </c>
      <c r="N11" s="106" t="s">
        <v>289</v>
      </c>
      <c r="O11" s="106" t="s">
        <v>289</v>
      </c>
      <c r="P11" s="106" t="s">
        <v>289</v>
      </c>
      <c r="Q11" s="37"/>
      <c r="R11" s="106" t="s">
        <v>289</v>
      </c>
      <c r="S11" s="106" t="s">
        <v>289</v>
      </c>
      <c r="T11" s="106" t="s">
        <v>289</v>
      </c>
      <c r="U11" s="106" t="s">
        <v>289</v>
      </c>
      <c r="V11" s="106" t="s">
        <v>289</v>
      </c>
      <c r="W11" s="106" t="s">
        <v>289</v>
      </c>
      <c r="X11" s="106" t="s">
        <v>289</v>
      </c>
      <c r="Y11" s="37"/>
      <c r="Z11" s="106" t="s">
        <v>289</v>
      </c>
      <c r="AA11" s="106" t="s">
        <v>289</v>
      </c>
      <c r="AB11" s="106" t="s">
        <v>289</v>
      </c>
      <c r="AC11" s="106" t="s">
        <v>289</v>
      </c>
      <c r="AD11" s="106" t="s">
        <v>289</v>
      </c>
      <c r="AE11" s="106" t="s">
        <v>289</v>
      </c>
      <c r="AF11" s="106" t="s">
        <v>289</v>
      </c>
      <c r="AG11" s="106" t="s">
        <v>289</v>
      </c>
      <c r="AH11" s="106" t="s">
        <v>289</v>
      </c>
      <c r="AI11" s="106" t="s">
        <v>289</v>
      </c>
      <c r="AJ11" s="37"/>
      <c r="AK11" s="38"/>
      <c r="AL11" s="172"/>
    </row>
    <row r="12" spans="1:38" x14ac:dyDescent="0.25">
      <c r="A12" s="11">
        <v>10</v>
      </c>
      <c r="B12" s="106">
        <v>250</v>
      </c>
      <c r="C12" s="106">
        <v>400</v>
      </c>
      <c r="D12" s="106">
        <v>400</v>
      </c>
      <c r="E12" s="106">
        <v>200</v>
      </c>
      <c r="F12" s="106">
        <v>400</v>
      </c>
      <c r="G12" s="106">
        <v>333</v>
      </c>
      <c r="H12" s="106">
        <v>400</v>
      </c>
      <c r="I12" s="37"/>
      <c r="J12" s="106">
        <v>370</v>
      </c>
      <c r="K12" s="106" t="s">
        <v>289</v>
      </c>
      <c r="L12" s="106" t="s">
        <v>289</v>
      </c>
      <c r="M12" s="106" t="s">
        <v>289</v>
      </c>
      <c r="N12" s="106" t="s">
        <v>289</v>
      </c>
      <c r="O12" s="106">
        <v>200</v>
      </c>
      <c r="P12" s="106">
        <v>400</v>
      </c>
      <c r="Q12" s="37"/>
      <c r="R12" s="106">
        <v>400</v>
      </c>
      <c r="S12" s="106">
        <v>300</v>
      </c>
      <c r="T12" s="106">
        <v>400</v>
      </c>
      <c r="U12" s="106">
        <v>400</v>
      </c>
      <c r="V12" s="106">
        <v>400</v>
      </c>
      <c r="W12" s="106">
        <v>400</v>
      </c>
      <c r="X12" s="106">
        <v>400</v>
      </c>
      <c r="Y12" s="37"/>
      <c r="Z12" s="106">
        <v>402</v>
      </c>
      <c r="AA12" s="106">
        <v>400</v>
      </c>
      <c r="AB12" s="106">
        <v>400</v>
      </c>
      <c r="AC12" s="106">
        <v>400</v>
      </c>
      <c r="AD12" s="106">
        <v>400</v>
      </c>
      <c r="AE12" s="106">
        <v>400</v>
      </c>
      <c r="AF12" s="106">
        <v>400</v>
      </c>
      <c r="AG12" s="106">
        <v>400</v>
      </c>
      <c r="AH12" s="106">
        <v>400</v>
      </c>
      <c r="AI12" s="106">
        <v>400</v>
      </c>
      <c r="AJ12" s="37"/>
      <c r="AK12" s="38"/>
      <c r="AL12" s="172"/>
    </row>
    <row r="13" spans="1:38" x14ac:dyDescent="0.25">
      <c r="A13" s="11">
        <v>11</v>
      </c>
      <c r="B13" s="106">
        <v>400</v>
      </c>
      <c r="C13" s="106">
        <v>400</v>
      </c>
      <c r="D13" s="106">
        <v>400</v>
      </c>
      <c r="E13" s="106">
        <v>400</v>
      </c>
      <c r="F13" s="106">
        <v>350</v>
      </c>
      <c r="G13" s="106">
        <v>400</v>
      </c>
      <c r="H13" s="106">
        <v>400</v>
      </c>
      <c r="I13" s="37"/>
      <c r="J13" s="106">
        <v>400</v>
      </c>
      <c r="K13" s="116">
        <v>354</v>
      </c>
      <c r="L13" s="106">
        <v>400</v>
      </c>
      <c r="M13" s="116">
        <v>400</v>
      </c>
      <c r="N13" s="106">
        <v>400</v>
      </c>
      <c r="O13" s="106">
        <v>400</v>
      </c>
      <c r="P13" s="106">
        <v>400</v>
      </c>
      <c r="Q13" s="37"/>
      <c r="R13" s="106">
        <v>400</v>
      </c>
      <c r="S13" s="106">
        <v>400</v>
      </c>
      <c r="T13" s="106">
        <v>400</v>
      </c>
      <c r="U13" s="106">
        <v>400</v>
      </c>
      <c r="V13" s="106">
        <v>400</v>
      </c>
      <c r="W13" s="106">
        <v>200</v>
      </c>
      <c r="X13" s="106">
        <v>400</v>
      </c>
      <c r="Y13" s="37"/>
      <c r="Z13" s="106">
        <v>400</v>
      </c>
      <c r="AA13" s="106">
        <v>400</v>
      </c>
      <c r="AB13" s="106">
        <v>400</v>
      </c>
      <c r="AC13" s="106">
        <v>400</v>
      </c>
      <c r="AD13" s="106">
        <v>400</v>
      </c>
      <c r="AE13" s="106">
        <v>400</v>
      </c>
      <c r="AF13" s="106">
        <v>400</v>
      </c>
      <c r="AG13" s="106">
        <v>400</v>
      </c>
      <c r="AH13" s="106">
        <v>400</v>
      </c>
      <c r="AI13" s="106">
        <v>400</v>
      </c>
      <c r="AJ13" s="37"/>
      <c r="AK13" s="38"/>
      <c r="AL13" s="172"/>
    </row>
    <row r="14" spans="1:38" x14ac:dyDescent="0.25">
      <c r="A14" s="11">
        <v>12</v>
      </c>
      <c r="B14" s="106" t="s">
        <v>289</v>
      </c>
      <c r="C14" s="106" t="s">
        <v>289</v>
      </c>
      <c r="D14" s="106" t="s">
        <v>289</v>
      </c>
      <c r="E14" s="116" t="s">
        <v>289</v>
      </c>
      <c r="F14" s="106" t="s">
        <v>289</v>
      </c>
      <c r="G14" s="106" t="s">
        <v>289</v>
      </c>
      <c r="H14" s="106" t="s">
        <v>289</v>
      </c>
      <c r="I14" s="37"/>
      <c r="J14" s="106" t="s">
        <v>289</v>
      </c>
      <c r="K14" s="116" t="s">
        <v>289</v>
      </c>
      <c r="L14" s="106" t="s">
        <v>289</v>
      </c>
      <c r="M14" s="106" t="s">
        <v>289</v>
      </c>
      <c r="N14" s="106" t="s">
        <v>289</v>
      </c>
      <c r="O14" s="106" t="s">
        <v>289</v>
      </c>
      <c r="P14" s="106" t="s">
        <v>289</v>
      </c>
      <c r="Q14" s="37"/>
      <c r="R14" s="106" t="s">
        <v>289</v>
      </c>
      <c r="S14" s="106" t="s">
        <v>289</v>
      </c>
      <c r="T14" s="106" t="s">
        <v>289</v>
      </c>
      <c r="U14" s="106" t="s">
        <v>289</v>
      </c>
      <c r="V14" s="106" t="s">
        <v>289</v>
      </c>
      <c r="W14" s="106" t="s">
        <v>289</v>
      </c>
      <c r="X14" s="106" t="s">
        <v>289</v>
      </c>
      <c r="Y14" s="37"/>
      <c r="Z14" s="106" t="s">
        <v>289</v>
      </c>
      <c r="AA14" s="106" t="s">
        <v>289</v>
      </c>
      <c r="AB14" s="106" t="s">
        <v>289</v>
      </c>
      <c r="AC14" s="106" t="s">
        <v>289</v>
      </c>
      <c r="AD14" s="106" t="s">
        <v>289</v>
      </c>
      <c r="AE14" s="106" t="s">
        <v>289</v>
      </c>
      <c r="AF14" s="106" t="s">
        <v>289</v>
      </c>
      <c r="AG14" s="106" t="s">
        <v>289</v>
      </c>
      <c r="AH14" s="106" t="s">
        <v>289</v>
      </c>
      <c r="AI14" s="106" t="s">
        <v>289</v>
      </c>
      <c r="AJ14" s="37"/>
      <c r="AK14" s="38"/>
      <c r="AL14" s="172"/>
    </row>
    <row r="15" spans="1:38" x14ac:dyDescent="0.25">
      <c r="A15" s="11">
        <v>13</v>
      </c>
      <c r="B15" s="106">
        <v>224</v>
      </c>
      <c r="C15" s="106">
        <v>400</v>
      </c>
      <c r="D15" s="106">
        <v>400</v>
      </c>
      <c r="E15" s="106">
        <v>400</v>
      </c>
      <c r="F15" s="106">
        <v>400</v>
      </c>
      <c r="G15" s="106">
        <v>343</v>
      </c>
      <c r="H15" s="106">
        <v>400</v>
      </c>
      <c r="I15" s="37"/>
      <c r="J15" s="106">
        <v>400</v>
      </c>
      <c r="K15" s="106">
        <v>400</v>
      </c>
      <c r="L15" s="106">
        <v>400</v>
      </c>
      <c r="M15" s="106">
        <v>397</v>
      </c>
      <c r="N15" s="106">
        <v>299</v>
      </c>
      <c r="O15" s="106">
        <v>400</v>
      </c>
      <c r="P15" s="106">
        <v>400</v>
      </c>
      <c r="Q15" s="37"/>
      <c r="R15" s="106">
        <v>400</v>
      </c>
      <c r="S15" s="106">
        <v>400</v>
      </c>
      <c r="T15" s="106">
        <v>400</v>
      </c>
      <c r="U15" s="106">
        <v>400</v>
      </c>
      <c r="V15" s="106">
        <v>379</v>
      </c>
      <c r="W15" s="106">
        <v>400</v>
      </c>
      <c r="X15" s="106">
        <v>400</v>
      </c>
      <c r="Y15" s="37"/>
      <c r="Z15" s="106">
        <v>400</v>
      </c>
      <c r="AA15" s="106">
        <v>400</v>
      </c>
      <c r="AB15" s="106">
        <v>400</v>
      </c>
      <c r="AC15" s="106">
        <v>400</v>
      </c>
      <c r="AD15" s="106">
        <v>400</v>
      </c>
      <c r="AE15" s="106">
        <v>400</v>
      </c>
      <c r="AF15" s="106">
        <v>400</v>
      </c>
      <c r="AG15" s="106">
        <v>400</v>
      </c>
      <c r="AH15" s="106">
        <v>400</v>
      </c>
      <c r="AI15" s="106">
        <v>400</v>
      </c>
      <c r="AJ15" s="37"/>
      <c r="AK15" s="38"/>
      <c r="AL15" s="172"/>
    </row>
    <row r="16" spans="1:38" x14ac:dyDescent="0.25">
      <c r="A16" s="11">
        <v>14</v>
      </c>
      <c r="B16" s="106" t="s">
        <v>289</v>
      </c>
      <c r="C16" s="106">
        <v>250</v>
      </c>
      <c r="D16" s="106">
        <v>400</v>
      </c>
      <c r="E16" s="106">
        <v>330</v>
      </c>
      <c r="F16" s="106">
        <v>400</v>
      </c>
      <c r="G16" s="106">
        <v>400</v>
      </c>
      <c r="H16" s="106">
        <v>400</v>
      </c>
      <c r="I16" s="37"/>
      <c r="J16" s="106">
        <v>400</v>
      </c>
      <c r="K16" s="106">
        <v>400</v>
      </c>
      <c r="L16" s="106">
        <v>400</v>
      </c>
      <c r="M16" s="106">
        <v>400</v>
      </c>
      <c r="N16" s="106">
        <v>350</v>
      </c>
      <c r="O16" s="106" t="s">
        <v>289</v>
      </c>
      <c r="P16" s="106" t="s">
        <v>289</v>
      </c>
      <c r="Q16" s="37"/>
      <c r="R16" s="106" t="s">
        <v>289</v>
      </c>
      <c r="S16" s="106" t="s">
        <v>289</v>
      </c>
      <c r="T16" s="106">
        <v>300</v>
      </c>
      <c r="U16" s="106">
        <v>363</v>
      </c>
      <c r="V16" s="106">
        <v>400</v>
      </c>
      <c r="W16" s="106">
        <v>350</v>
      </c>
      <c r="X16" s="106">
        <v>400</v>
      </c>
      <c r="Y16" s="37"/>
      <c r="Z16" s="106">
        <v>300</v>
      </c>
      <c r="AA16" s="106">
        <v>350</v>
      </c>
      <c r="AB16" s="106">
        <v>400</v>
      </c>
      <c r="AC16" s="106">
        <v>300</v>
      </c>
      <c r="AD16" s="106">
        <v>400</v>
      </c>
      <c r="AE16" s="106">
        <v>400</v>
      </c>
      <c r="AF16" s="106">
        <v>400</v>
      </c>
      <c r="AG16" s="106">
        <v>400</v>
      </c>
      <c r="AH16" s="106" t="s">
        <v>289</v>
      </c>
      <c r="AI16" s="106">
        <v>300</v>
      </c>
      <c r="AJ16" s="37"/>
      <c r="AK16" s="38"/>
      <c r="AL16" s="172"/>
    </row>
    <row r="17" spans="1:38" x14ac:dyDescent="0.25">
      <c r="A17" s="11">
        <v>15</v>
      </c>
      <c r="B17" s="106">
        <v>400</v>
      </c>
      <c r="C17" s="106">
        <v>400</v>
      </c>
      <c r="D17" s="106">
        <v>400</v>
      </c>
      <c r="E17" s="106">
        <v>400</v>
      </c>
      <c r="F17" s="106">
        <v>400</v>
      </c>
      <c r="G17" s="106">
        <v>400</v>
      </c>
      <c r="H17" s="106">
        <v>400</v>
      </c>
      <c r="I17" s="37"/>
      <c r="J17" s="106">
        <v>399</v>
      </c>
      <c r="K17" s="106">
        <v>401</v>
      </c>
      <c r="L17" s="106">
        <v>400</v>
      </c>
      <c r="M17" s="106">
        <v>400</v>
      </c>
      <c r="N17" s="106">
        <v>400</v>
      </c>
      <c r="O17" s="106">
        <v>400</v>
      </c>
      <c r="P17" s="106">
        <v>400</v>
      </c>
      <c r="Q17" s="37"/>
      <c r="R17" s="106">
        <v>400</v>
      </c>
      <c r="S17" s="106">
        <v>400</v>
      </c>
      <c r="T17" s="106">
        <v>400</v>
      </c>
      <c r="U17" s="106">
        <v>400</v>
      </c>
      <c r="V17" s="106">
        <v>400</v>
      </c>
      <c r="W17" s="106">
        <v>400</v>
      </c>
      <c r="X17" s="106">
        <v>400</v>
      </c>
      <c r="Y17" s="37"/>
      <c r="Z17" s="106">
        <v>400</v>
      </c>
      <c r="AA17" s="106">
        <v>400</v>
      </c>
      <c r="AB17" s="106">
        <v>400</v>
      </c>
      <c r="AC17" s="106">
        <v>400</v>
      </c>
      <c r="AD17" s="106">
        <v>400</v>
      </c>
      <c r="AE17" s="106">
        <v>400</v>
      </c>
      <c r="AF17" s="106">
        <v>400</v>
      </c>
      <c r="AG17" s="106">
        <v>400</v>
      </c>
      <c r="AH17" s="106">
        <v>400</v>
      </c>
      <c r="AI17" s="106">
        <v>400</v>
      </c>
      <c r="AJ17" s="37"/>
      <c r="AK17" s="38"/>
      <c r="AL17" s="172"/>
    </row>
    <row r="18" spans="1:38" x14ac:dyDescent="0.25">
      <c r="A18" s="11">
        <v>16</v>
      </c>
      <c r="B18" s="545" t="s">
        <v>291</v>
      </c>
      <c r="C18" s="545" t="s">
        <v>291</v>
      </c>
      <c r="D18" s="545" t="s">
        <v>291</v>
      </c>
      <c r="E18" s="545" t="s">
        <v>291</v>
      </c>
      <c r="F18" s="545" t="s">
        <v>291</v>
      </c>
      <c r="G18" s="545" t="s">
        <v>291</v>
      </c>
      <c r="H18" s="545" t="s">
        <v>291</v>
      </c>
      <c r="I18" s="39"/>
      <c r="J18" s="545" t="s">
        <v>291</v>
      </c>
      <c r="K18" s="545" t="s">
        <v>291</v>
      </c>
      <c r="L18" s="545" t="s">
        <v>291</v>
      </c>
      <c r="M18" s="545" t="s">
        <v>291</v>
      </c>
      <c r="N18" s="545" t="s">
        <v>291</v>
      </c>
      <c r="O18" s="545" t="s">
        <v>291</v>
      </c>
      <c r="P18" s="545" t="s">
        <v>291</v>
      </c>
      <c r="Q18" s="39"/>
      <c r="R18" s="545" t="s">
        <v>291</v>
      </c>
      <c r="S18" s="545" t="s">
        <v>291</v>
      </c>
      <c r="T18" s="545" t="s">
        <v>291</v>
      </c>
      <c r="U18" s="545" t="s">
        <v>291</v>
      </c>
      <c r="V18" s="545" t="s">
        <v>291</v>
      </c>
      <c r="W18" s="545" t="s">
        <v>291</v>
      </c>
      <c r="X18" s="545" t="s">
        <v>291</v>
      </c>
      <c r="Y18" s="39"/>
      <c r="Z18" s="545" t="s">
        <v>291</v>
      </c>
      <c r="AA18" s="545" t="s">
        <v>291</v>
      </c>
      <c r="AB18" s="545" t="s">
        <v>291</v>
      </c>
      <c r="AC18" s="545" t="s">
        <v>291</v>
      </c>
      <c r="AD18" s="545" t="s">
        <v>291</v>
      </c>
      <c r="AE18" s="545" t="s">
        <v>291</v>
      </c>
      <c r="AF18" s="545" t="s">
        <v>291</v>
      </c>
      <c r="AG18" s="545" t="s">
        <v>291</v>
      </c>
      <c r="AH18" s="545" t="s">
        <v>291</v>
      </c>
      <c r="AI18" s="545" t="s">
        <v>291</v>
      </c>
      <c r="AJ18" s="39"/>
      <c r="AK18" s="41"/>
      <c r="AL18" s="172"/>
    </row>
    <row r="19" spans="1:38" x14ac:dyDescent="0.25">
      <c r="A19" s="11">
        <v>17</v>
      </c>
      <c r="B19" s="106">
        <v>400</v>
      </c>
      <c r="C19" s="106">
        <v>400</v>
      </c>
      <c r="D19" s="106">
        <v>350</v>
      </c>
      <c r="E19" s="106">
        <v>400</v>
      </c>
      <c r="F19" s="106">
        <v>400</v>
      </c>
      <c r="G19" s="106">
        <v>399</v>
      </c>
      <c r="H19" s="106">
        <v>400</v>
      </c>
      <c r="I19" s="37"/>
      <c r="J19" s="106">
        <v>400</v>
      </c>
      <c r="K19" s="106">
        <v>436</v>
      </c>
      <c r="L19" s="106">
        <v>400</v>
      </c>
      <c r="M19" s="106">
        <v>400</v>
      </c>
      <c r="N19" s="106">
        <v>300</v>
      </c>
      <c r="O19" s="106">
        <v>300</v>
      </c>
      <c r="P19" s="106">
        <v>350</v>
      </c>
      <c r="Q19" s="37"/>
      <c r="R19" s="106">
        <v>228</v>
      </c>
      <c r="S19" s="106" t="s">
        <v>289</v>
      </c>
      <c r="T19" s="106">
        <v>400</v>
      </c>
      <c r="U19" s="106" t="s">
        <v>289</v>
      </c>
      <c r="V19" s="106">
        <v>400</v>
      </c>
      <c r="W19" s="106">
        <v>400</v>
      </c>
      <c r="X19" s="106">
        <v>400</v>
      </c>
      <c r="Y19" s="37"/>
      <c r="Z19" s="106">
        <v>350</v>
      </c>
      <c r="AA19" s="106">
        <v>350</v>
      </c>
      <c r="AB19" s="106">
        <v>400</v>
      </c>
      <c r="AC19" s="106">
        <v>400</v>
      </c>
      <c r="AD19" s="106">
        <v>400</v>
      </c>
      <c r="AE19" s="106">
        <v>400</v>
      </c>
      <c r="AF19" s="106">
        <v>400</v>
      </c>
      <c r="AG19" s="106">
        <v>400</v>
      </c>
      <c r="AH19" s="106">
        <v>400</v>
      </c>
      <c r="AI19" s="106">
        <v>341</v>
      </c>
      <c r="AJ19" s="37"/>
      <c r="AK19" s="38"/>
      <c r="AL19" s="172"/>
    </row>
    <row r="20" spans="1:38" x14ac:dyDescent="0.25">
      <c r="A20" s="11">
        <v>18</v>
      </c>
      <c r="B20" s="106" t="s">
        <v>289</v>
      </c>
      <c r="C20" s="106" t="s">
        <v>289</v>
      </c>
      <c r="D20" s="106" t="s">
        <v>289</v>
      </c>
      <c r="E20" s="106" t="s">
        <v>289</v>
      </c>
      <c r="F20" s="106" t="s">
        <v>289</v>
      </c>
      <c r="G20" s="106" t="s">
        <v>289</v>
      </c>
      <c r="H20" s="106" t="s">
        <v>289</v>
      </c>
      <c r="I20" s="37"/>
      <c r="J20" s="106" t="s">
        <v>289</v>
      </c>
      <c r="K20" s="106" t="s">
        <v>289</v>
      </c>
      <c r="L20" s="106" t="s">
        <v>289</v>
      </c>
      <c r="M20" s="106" t="s">
        <v>289</v>
      </c>
      <c r="N20" s="106" t="s">
        <v>289</v>
      </c>
      <c r="O20" s="106" t="s">
        <v>289</v>
      </c>
      <c r="P20" s="106" t="s">
        <v>289</v>
      </c>
      <c r="Q20" s="37"/>
      <c r="R20" s="106" t="s">
        <v>289</v>
      </c>
      <c r="S20" s="106" t="s">
        <v>289</v>
      </c>
      <c r="T20" s="106" t="s">
        <v>289</v>
      </c>
      <c r="U20" s="106" t="s">
        <v>289</v>
      </c>
      <c r="V20" s="106" t="s">
        <v>289</v>
      </c>
      <c r="W20" s="106" t="s">
        <v>289</v>
      </c>
      <c r="X20" s="106" t="s">
        <v>289</v>
      </c>
      <c r="Y20" s="37"/>
      <c r="Z20" s="106" t="s">
        <v>289</v>
      </c>
      <c r="AA20" s="106" t="s">
        <v>289</v>
      </c>
      <c r="AB20" s="106" t="s">
        <v>289</v>
      </c>
      <c r="AC20" s="106" t="s">
        <v>289</v>
      </c>
      <c r="AD20" s="106" t="s">
        <v>289</v>
      </c>
      <c r="AE20" s="106" t="s">
        <v>289</v>
      </c>
      <c r="AF20" s="106" t="s">
        <v>289</v>
      </c>
      <c r="AG20" s="106" t="s">
        <v>289</v>
      </c>
      <c r="AH20" s="106" t="s">
        <v>289</v>
      </c>
      <c r="AI20" s="106" t="s">
        <v>289</v>
      </c>
      <c r="AJ20" s="37"/>
      <c r="AK20" s="38"/>
      <c r="AL20" s="172"/>
    </row>
    <row r="21" spans="1:38" x14ac:dyDescent="0.25">
      <c r="A21" s="11">
        <v>19</v>
      </c>
      <c r="B21" s="106" t="s">
        <v>289</v>
      </c>
      <c r="C21" s="106" t="s">
        <v>289</v>
      </c>
      <c r="D21" s="106" t="s">
        <v>289</v>
      </c>
      <c r="E21" s="106" t="s">
        <v>289</v>
      </c>
      <c r="F21" s="106" t="s">
        <v>289</v>
      </c>
      <c r="G21" s="106" t="s">
        <v>289</v>
      </c>
      <c r="H21" s="106" t="s">
        <v>289</v>
      </c>
      <c r="I21" s="37"/>
      <c r="J21" s="106" t="s">
        <v>289</v>
      </c>
      <c r="K21" s="106" t="s">
        <v>289</v>
      </c>
      <c r="L21" s="106" t="s">
        <v>289</v>
      </c>
      <c r="M21" s="106" t="s">
        <v>289</v>
      </c>
      <c r="N21" s="106" t="s">
        <v>289</v>
      </c>
      <c r="O21" s="106" t="s">
        <v>289</v>
      </c>
      <c r="P21" s="106" t="s">
        <v>289</v>
      </c>
      <c r="Q21" s="37"/>
      <c r="R21" s="106" t="s">
        <v>289</v>
      </c>
      <c r="S21" s="106" t="s">
        <v>289</v>
      </c>
      <c r="T21" s="106" t="s">
        <v>289</v>
      </c>
      <c r="U21" s="106" t="s">
        <v>289</v>
      </c>
      <c r="V21" s="106" t="s">
        <v>289</v>
      </c>
      <c r="W21" s="106" t="s">
        <v>289</v>
      </c>
      <c r="X21" s="106" t="s">
        <v>289</v>
      </c>
      <c r="Y21" s="37"/>
      <c r="Z21" s="106" t="s">
        <v>289</v>
      </c>
      <c r="AA21" s="106" t="s">
        <v>289</v>
      </c>
      <c r="AB21" s="106" t="s">
        <v>289</v>
      </c>
      <c r="AC21" s="106" t="s">
        <v>289</v>
      </c>
      <c r="AD21" s="106" t="s">
        <v>289</v>
      </c>
      <c r="AE21" s="106" t="s">
        <v>289</v>
      </c>
      <c r="AF21" s="106" t="s">
        <v>289</v>
      </c>
      <c r="AG21" s="106" t="s">
        <v>289</v>
      </c>
      <c r="AH21" s="106" t="s">
        <v>289</v>
      </c>
      <c r="AI21" s="106" t="s">
        <v>289</v>
      </c>
      <c r="AJ21" s="37"/>
      <c r="AK21" s="38"/>
      <c r="AL21" s="172"/>
    </row>
    <row r="22" spans="1:38" x14ac:dyDescent="0.25">
      <c r="A22" s="11">
        <v>20</v>
      </c>
      <c r="B22" s="106">
        <v>250</v>
      </c>
      <c r="C22" s="106" t="s">
        <v>289</v>
      </c>
      <c r="D22" s="106">
        <v>400</v>
      </c>
      <c r="E22" s="106" t="s">
        <v>289</v>
      </c>
      <c r="F22" s="106">
        <v>270</v>
      </c>
      <c r="G22" s="106" t="s">
        <v>289</v>
      </c>
      <c r="H22" s="106">
        <v>300</v>
      </c>
      <c r="I22" s="37"/>
      <c r="J22" s="106">
        <v>400</v>
      </c>
      <c r="K22" s="106">
        <v>399</v>
      </c>
      <c r="L22" s="106">
        <v>253</v>
      </c>
      <c r="M22" s="106">
        <v>396</v>
      </c>
      <c r="N22" s="106" t="s">
        <v>289</v>
      </c>
      <c r="O22" s="106">
        <v>350</v>
      </c>
      <c r="P22" s="106" t="s">
        <v>289</v>
      </c>
      <c r="Q22" s="37"/>
      <c r="R22" s="106">
        <v>400</v>
      </c>
      <c r="S22" s="106">
        <v>300</v>
      </c>
      <c r="T22" s="106">
        <v>400</v>
      </c>
      <c r="U22" s="106" t="s">
        <v>289</v>
      </c>
      <c r="V22" s="106" t="s">
        <v>289</v>
      </c>
      <c r="W22" s="106">
        <v>400</v>
      </c>
      <c r="X22" s="106">
        <v>301</v>
      </c>
      <c r="Y22" s="37"/>
      <c r="Z22" s="106">
        <v>230</v>
      </c>
      <c r="AA22" s="106">
        <v>351</v>
      </c>
      <c r="AB22" s="106">
        <v>352</v>
      </c>
      <c r="AC22" s="106">
        <v>400</v>
      </c>
      <c r="AD22" s="106">
        <v>400</v>
      </c>
      <c r="AE22" s="106">
        <v>400</v>
      </c>
      <c r="AF22" s="106">
        <v>400</v>
      </c>
      <c r="AG22" s="106">
        <v>400</v>
      </c>
      <c r="AH22" s="106">
        <v>350</v>
      </c>
      <c r="AI22" s="106">
        <v>300</v>
      </c>
      <c r="AJ22" s="37"/>
      <c r="AK22" s="38"/>
      <c r="AL22" s="172"/>
    </row>
    <row r="23" spans="1:38" x14ac:dyDescent="0.25">
      <c r="A23" s="11">
        <v>21</v>
      </c>
      <c r="B23" s="174" t="s">
        <v>290</v>
      </c>
      <c r="C23" s="174" t="s">
        <v>290</v>
      </c>
      <c r="D23" s="174" t="s">
        <v>290</v>
      </c>
      <c r="E23" s="174" t="s">
        <v>290</v>
      </c>
      <c r="F23" s="174" t="s">
        <v>290</v>
      </c>
      <c r="G23" s="174" t="s">
        <v>290</v>
      </c>
      <c r="H23" s="174" t="s">
        <v>290</v>
      </c>
      <c r="I23" s="111"/>
      <c r="J23" s="174" t="s">
        <v>290</v>
      </c>
      <c r="K23" s="174" t="s">
        <v>290</v>
      </c>
      <c r="L23" s="174" t="s">
        <v>290</v>
      </c>
      <c r="M23" s="174" t="s">
        <v>290</v>
      </c>
      <c r="N23" s="174" t="s">
        <v>290</v>
      </c>
      <c r="O23" s="174" t="s">
        <v>290</v>
      </c>
      <c r="P23" s="174" t="s">
        <v>290</v>
      </c>
      <c r="Q23" s="111"/>
      <c r="R23" s="174" t="s">
        <v>290</v>
      </c>
      <c r="S23" s="174" t="s">
        <v>290</v>
      </c>
      <c r="T23" s="174" t="s">
        <v>290</v>
      </c>
      <c r="U23" s="174" t="s">
        <v>290</v>
      </c>
      <c r="V23" s="174" t="s">
        <v>290</v>
      </c>
      <c r="W23" s="174" t="s">
        <v>290</v>
      </c>
      <c r="X23" s="174" t="s">
        <v>290</v>
      </c>
      <c r="Y23" s="111"/>
      <c r="Z23" s="174" t="s">
        <v>290</v>
      </c>
      <c r="AA23" s="174" t="s">
        <v>290</v>
      </c>
      <c r="AB23" s="174" t="s">
        <v>330</v>
      </c>
      <c r="AC23" s="174" t="s">
        <v>290</v>
      </c>
      <c r="AD23" s="174" t="s">
        <v>290</v>
      </c>
      <c r="AE23" s="174" t="s">
        <v>290</v>
      </c>
      <c r="AF23" s="174" t="s">
        <v>290</v>
      </c>
      <c r="AG23" s="174" t="s">
        <v>290</v>
      </c>
      <c r="AH23" s="174" t="s">
        <v>290</v>
      </c>
      <c r="AI23" s="174" t="s">
        <v>290</v>
      </c>
      <c r="AJ23" s="111"/>
      <c r="AK23" s="38"/>
      <c r="AL23" s="172"/>
    </row>
    <row r="24" spans="1:38" x14ac:dyDescent="0.25">
      <c r="A24" s="11">
        <v>22</v>
      </c>
      <c r="B24" s="106" t="s">
        <v>289</v>
      </c>
      <c r="C24" s="106" t="s">
        <v>289</v>
      </c>
      <c r="D24" s="106" t="s">
        <v>289</v>
      </c>
      <c r="E24" s="106" t="s">
        <v>289</v>
      </c>
      <c r="F24" s="106" t="s">
        <v>289</v>
      </c>
      <c r="G24" s="106" t="s">
        <v>289</v>
      </c>
      <c r="H24" s="106" t="s">
        <v>289</v>
      </c>
      <c r="I24" s="37"/>
      <c r="J24" s="106" t="s">
        <v>289</v>
      </c>
      <c r="K24" s="106" t="s">
        <v>289</v>
      </c>
      <c r="L24" s="106" t="s">
        <v>289</v>
      </c>
      <c r="M24" s="106" t="s">
        <v>289</v>
      </c>
      <c r="N24" s="106" t="s">
        <v>289</v>
      </c>
      <c r="O24" s="106" t="s">
        <v>289</v>
      </c>
      <c r="P24" s="106" t="s">
        <v>289</v>
      </c>
      <c r="Q24" s="37"/>
      <c r="R24" s="106" t="s">
        <v>289</v>
      </c>
      <c r="S24" s="106" t="s">
        <v>289</v>
      </c>
      <c r="T24" s="106" t="s">
        <v>289</v>
      </c>
      <c r="U24" s="106" t="s">
        <v>289</v>
      </c>
      <c r="V24" s="106" t="s">
        <v>289</v>
      </c>
      <c r="W24" s="106" t="s">
        <v>289</v>
      </c>
      <c r="X24" s="106" t="s">
        <v>289</v>
      </c>
      <c r="Y24" s="37"/>
      <c r="Z24" s="106" t="s">
        <v>289</v>
      </c>
      <c r="AA24" s="106" t="s">
        <v>289</v>
      </c>
      <c r="AB24" s="106" t="s">
        <v>289</v>
      </c>
      <c r="AC24" s="106" t="s">
        <v>289</v>
      </c>
      <c r="AD24" s="106" t="s">
        <v>289</v>
      </c>
      <c r="AE24" s="106" t="s">
        <v>289</v>
      </c>
      <c r="AF24" s="106" t="s">
        <v>289</v>
      </c>
      <c r="AG24" s="106" t="s">
        <v>289</v>
      </c>
      <c r="AH24" s="106" t="s">
        <v>289</v>
      </c>
      <c r="AI24" s="106" t="s">
        <v>289</v>
      </c>
      <c r="AJ24" s="37"/>
      <c r="AK24" s="38"/>
      <c r="AL24" s="172"/>
    </row>
    <row r="25" spans="1:38" x14ac:dyDescent="0.25">
      <c r="A25" s="11">
        <v>23</v>
      </c>
      <c r="B25" s="174" t="s">
        <v>290</v>
      </c>
      <c r="C25" s="174" t="s">
        <v>290</v>
      </c>
      <c r="D25" s="174" t="s">
        <v>290</v>
      </c>
      <c r="E25" s="174" t="s">
        <v>290</v>
      </c>
      <c r="F25" s="174" t="s">
        <v>290</v>
      </c>
      <c r="G25" s="174" t="s">
        <v>290</v>
      </c>
      <c r="H25" s="174" t="s">
        <v>290</v>
      </c>
      <c r="I25" s="111"/>
      <c r="J25" s="174" t="s">
        <v>290</v>
      </c>
      <c r="K25" s="174" t="s">
        <v>290</v>
      </c>
      <c r="L25" s="174" t="s">
        <v>290</v>
      </c>
      <c r="M25" s="174" t="s">
        <v>290</v>
      </c>
      <c r="N25" s="174" t="s">
        <v>290</v>
      </c>
      <c r="O25" s="174" t="s">
        <v>290</v>
      </c>
      <c r="P25" s="174" t="s">
        <v>290</v>
      </c>
      <c r="Q25" s="111"/>
      <c r="R25" s="174" t="s">
        <v>290</v>
      </c>
      <c r="S25" s="174" t="s">
        <v>290</v>
      </c>
      <c r="T25" s="174" t="s">
        <v>290</v>
      </c>
      <c r="U25" s="174" t="s">
        <v>290</v>
      </c>
      <c r="V25" s="174" t="s">
        <v>290</v>
      </c>
      <c r="W25" s="174" t="s">
        <v>290</v>
      </c>
      <c r="X25" s="174" t="s">
        <v>290</v>
      </c>
      <c r="Y25" s="111"/>
      <c r="Z25" s="174" t="s">
        <v>290</v>
      </c>
      <c r="AA25" s="174" t="s">
        <v>290</v>
      </c>
      <c r="AB25" s="174" t="s">
        <v>290</v>
      </c>
      <c r="AC25" s="174" t="s">
        <v>290</v>
      </c>
      <c r="AD25" s="174" t="s">
        <v>290</v>
      </c>
      <c r="AE25" s="174" t="s">
        <v>290</v>
      </c>
      <c r="AF25" s="174" t="s">
        <v>290</v>
      </c>
      <c r="AG25" s="174" t="s">
        <v>290</v>
      </c>
      <c r="AH25" s="174" t="s">
        <v>290</v>
      </c>
      <c r="AI25" s="174" t="s">
        <v>290</v>
      </c>
      <c r="AJ25" s="111"/>
      <c r="AK25" s="38"/>
      <c r="AL25" s="172"/>
    </row>
    <row r="26" spans="1:38" x14ac:dyDescent="0.25">
      <c r="A26" s="11">
        <v>24</v>
      </c>
      <c r="B26" s="174" t="s">
        <v>290</v>
      </c>
      <c r="C26" s="174" t="s">
        <v>290</v>
      </c>
      <c r="D26" s="174" t="s">
        <v>290</v>
      </c>
      <c r="E26" s="174" t="s">
        <v>290</v>
      </c>
      <c r="F26" s="174" t="s">
        <v>290</v>
      </c>
      <c r="G26" s="174" t="s">
        <v>290</v>
      </c>
      <c r="H26" s="174" t="s">
        <v>290</v>
      </c>
      <c r="I26" s="111"/>
      <c r="J26" s="174" t="s">
        <v>290</v>
      </c>
      <c r="K26" s="174" t="s">
        <v>290</v>
      </c>
      <c r="L26" s="174" t="s">
        <v>290</v>
      </c>
      <c r="M26" s="174" t="s">
        <v>290</v>
      </c>
      <c r="N26" s="174" t="s">
        <v>290</v>
      </c>
      <c r="O26" s="174" t="s">
        <v>290</v>
      </c>
      <c r="P26" s="174" t="s">
        <v>290</v>
      </c>
      <c r="Q26" s="111"/>
      <c r="R26" s="174" t="s">
        <v>290</v>
      </c>
      <c r="S26" s="174" t="s">
        <v>290</v>
      </c>
      <c r="T26" s="174" t="s">
        <v>290</v>
      </c>
      <c r="U26" s="174" t="s">
        <v>290</v>
      </c>
      <c r="V26" s="174" t="s">
        <v>290</v>
      </c>
      <c r="W26" s="174" t="s">
        <v>290</v>
      </c>
      <c r="X26" s="174" t="s">
        <v>290</v>
      </c>
      <c r="Y26" s="111"/>
      <c r="Z26" s="174" t="s">
        <v>290</v>
      </c>
      <c r="AA26" s="174" t="s">
        <v>290</v>
      </c>
      <c r="AB26" s="174" t="s">
        <v>290</v>
      </c>
      <c r="AC26" s="174" t="s">
        <v>290</v>
      </c>
      <c r="AD26" s="174" t="s">
        <v>290</v>
      </c>
      <c r="AE26" s="174" t="s">
        <v>290</v>
      </c>
      <c r="AF26" s="174" t="s">
        <v>290</v>
      </c>
      <c r="AG26" s="174" t="s">
        <v>290</v>
      </c>
      <c r="AH26" s="174" t="s">
        <v>290</v>
      </c>
      <c r="AI26" s="174" t="s">
        <v>290</v>
      </c>
      <c r="AJ26" s="111"/>
      <c r="AK26" s="38"/>
      <c r="AL26" s="172"/>
    </row>
    <row r="27" spans="1:38" x14ac:dyDescent="0.25">
      <c r="A27" s="11">
        <v>25</v>
      </c>
      <c r="B27" s="174" t="s">
        <v>290</v>
      </c>
      <c r="C27" s="174" t="s">
        <v>290</v>
      </c>
      <c r="D27" s="174" t="s">
        <v>290</v>
      </c>
      <c r="E27" s="174" t="s">
        <v>290</v>
      </c>
      <c r="F27" s="174" t="s">
        <v>290</v>
      </c>
      <c r="G27" s="174" t="s">
        <v>290</v>
      </c>
      <c r="H27" s="174" t="s">
        <v>290</v>
      </c>
      <c r="I27" s="111"/>
      <c r="J27" s="174" t="s">
        <v>290</v>
      </c>
      <c r="K27" s="174" t="s">
        <v>290</v>
      </c>
      <c r="L27" s="174" t="s">
        <v>290</v>
      </c>
      <c r="M27" s="174" t="s">
        <v>290</v>
      </c>
      <c r="N27" s="174" t="s">
        <v>290</v>
      </c>
      <c r="O27" s="174" t="s">
        <v>290</v>
      </c>
      <c r="P27" s="174" t="s">
        <v>290</v>
      </c>
      <c r="Q27" s="111"/>
      <c r="R27" s="174" t="s">
        <v>290</v>
      </c>
      <c r="S27" s="174" t="s">
        <v>290</v>
      </c>
      <c r="T27" s="174" t="s">
        <v>290</v>
      </c>
      <c r="U27" s="174" t="s">
        <v>290</v>
      </c>
      <c r="V27" s="174" t="s">
        <v>290</v>
      </c>
      <c r="W27" s="174" t="s">
        <v>290</v>
      </c>
      <c r="X27" s="174" t="s">
        <v>290</v>
      </c>
      <c r="Y27" s="111"/>
      <c r="Z27" s="174" t="s">
        <v>290</v>
      </c>
      <c r="AA27" s="174" t="s">
        <v>290</v>
      </c>
      <c r="AB27" s="174" t="s">
        <v>290</v>
      </c>
      <c r="AC27" s="174" t="s">
        <v>290</v>
      </c>
      <c r="AD27" s="174" t="s">
        <v>290</v>
      </c>
      <c r="AE27" s="174" t="s">
        <v>290</v>
      </c>
      <c r="AF27" s="174" t="s">
        <v>290</v>
      </c>
      <c r="AG27" s="174" t="s">
        <v>290</v>
      </c>
      <c r="AH27" s="174" t="s">
        <v>290</v>
      </c>
      <c r="AI27" s="174" t="s">
        <v>290</v>
      </c>
      <c r="AJ27" s="111"/>
      <c r="AK27" s="38"/>
      <c r="AL27" s="172"/>
    </row>
    <row r="28" spans="1:38" x14ac:dyDescent="0.25">
      <c r="A28" s="11">
        <v>26</v>
      </c>
      <c r="B28" s="546" t="s">
        <v>290</v>
      </c>
      <c r="C28" s="546" t="s">
        <v>290</v>
      </c>
      <c r="D28" s="546" t="s">
        <v>290</v>
      </c>
      <c r="E28" s="546" t="s">
        <v>290</v>
      </c>
      <c r="F28" s="546" t="s">
        <v>290</v>
      </c>
      <c r="G28" s="546" t="s">
        <v>290</v>
      </c>
      <c r="H28" s="546" t="s">
        <v>290</v>
      </c>
      <c r="I28" s="111"/>
      <c r="J28" s="546" t="s">
        <v>290</v>
      </c>
      <c r="K28" s="546" t="s">
        <v>290</v>
      </c>
      <c r="L28" s="546" t="s">
        <v>290</v>
      </c>
      <c r="M28" s="546" t="s">
        <v>290</v>
      </c>
      <c r="N28" s="546" t="s">
        <v>290</v>
      </c>
      <c r="O28" s="546" t="s">
        <v>290</v>
      </c>
      <c r="P28" s="546" t="s">
        <v>290</v>
      </c>
      <c r="Q28" s="111"/>
      <c r="R28" s="547" t="s">
        <v>290</v>
      </c>
      <c r="S28" s="547" t="s">
        <v>290</v>
      </c>
      <c r="T28" s="547" t="s">
        <v>290</v>
      </c>
      <c r="U28" s="547" t="s">
        <v>290</v>
      </c>
      <c r="V28" s="547" t="s">
        <v>290</v>
      </c>
      <c r="W28" s="547" t="s">
        <v>290</v>
      </c>
      <c r="X28" s="547" t="s">
        <v>290</v>
      </c>
      <c r="Y28" s="111"/>
      <c r="Z28" s="547" t="s">
        <v>290</v>
      </c>
      <c r="AA28" s="547" t="s">
        <v>290</v>
      </c>
      <c r="AB28" s="547" t="s">
        <v>290</v>
      </c>
      <c r="AC28" s="547" t="s">
        <v>290</v>
      </c>
      <c r="AD28" s="547" t="s">
        <v>290</v>
      </c>
      <c r="AE28" s="547" t="s">
        <v>290</v>
      </c>
      <c r="AF28" s="547" t="s">
        <v>290</v>
      </c>
      <c r="AG28" s="547" t="s">
        <v>290</v>
      </c>
      <c r="AH28" s="547" t="s">
        <v>290</v>
      </c>
      <c r="AI28" s="547" t="s">
        <v>290</v>
      </c>
      <c r="AJ28" s="111"/>
      <c r="AK28" s="38"/>
      <c r="AL28" s="172"/>
    </row>
    <row r="29" spans="1:38" x14ac:dyDescent="0.25">
      <c r="A29" s="11">
        <v>27</v>
      </c>
      <c r="B29" s="106">
        <v>299</v>
      </c>
      <c r="C29" s="106">
        <v>357</v>
      </c>
      <c r="D29" s="106">
        <v>400</v>
      </c>
      <c r="E29" s="106">
        <v>200</v>
      </c>
      <c r="F29" s="106">
        <v>321</v>
      </c>
      <c r="G29" s="106">
        <v>400</v>
      </c>
      <c r="H29" s="106">
        <v>300</v>
      </c>
      <c r="I29" s="37"/>
      <c r="J29" s="106">
        <v>310</v>
      </c>
      <c r="K29" s="106">
        <v>400</v>
      </c>
      <c r="L29" s="106">
        <v>250</v>
      </c>
      <c r="M29" s="106">
        <v>250</v>
      </c>
      <c r="N29" s="106">
        <v>250</v>
      </c>
      <c r="O29" s="106">
        <v>200</v>
      </c>
      <c r="P29" s="106">
        <v>200</v>
      </c>
      <c r="Q29" s="37"/>
      <c r="R29" s="106">
        <v>300</v>
      </c>
      <c r="S29" s="106">
        <v>250</v>
      </c>
      <c r="T29" s="106">
        <v>230</v>
      </c>
      <c r="U29" s="106">
        <v>300</v>
      </c>
      <c r="V29" s="106">
        <v>350</v>
      </c>
      <c r="W29" s="106">
        <v>250</v>
      </c>
      <c r="X29" s="106">
        <v>150</v>
      </c>
      <c r="Y29" s="37"/>
      <c r="Z29" s="106">
        <v>300</v>
      </c>
      <c r="AA29" s="106">
        <v>350</v>
      </c>
      <c r="AB29" s="106">
        <v>300</v>
      </c>
      <c r="AC29" s="106">
        <v>300</v>
      </c>
      <c r="AD29" s="106">
        <v>350</v>
      </c>
      <c r="AE29" s="106" t="s">
        <v>289</v>
      </c>
      <c r="AF29" s="106">
        <v>350</v>
      </c>
      <c r="AG29" s="106">
        <v>350</v>
      </c>
      <c r="AH29" s="106">
        <v>350</v>
      </c>
      <c r="AI29" s="106">
        <v>350</v>
      </c>
      <c r="AJ29" s="37"/>
      <c r="AK29" s="38"/>
      <c r="AL29" s="172"/>
    </row>
    <row r="30" spans="1:38" x14ac:dyDescent="0.25">
      <c r="A30" s="11">
        <v>28</v>
      </c>
      <c r="B30" s="106" t="s">
        <v>289</v>
      </c>
      <c r="C30" s="106">
        <v>300</v>
      </c>
      <c r="D30" s="106">
        <v>400</v>
      </c>
      <c r="E30" s="106">
        <v>281</v>
      </c>
      <c r="F30" s="106">
        <v>350</v>
      </c>
      <c r="G30" s="106">
        <v>300</v>
      </c>
      <c r="H30" s="106">
        <v>300</v>
      </c>
      <c r="I30" s="37"/>
      <c r="J30" s="106">
        <v>351</v>
      </c>
      <c r="K30" s="106">
        <v>401</v>
      </c>
      <c r="L30" s="106">
        <v>250</v>
      </c>
      <c r="M30" s="106">
        <v>202</v>
      </c>
      <c r="N30" s="106">
        <v>250</v>
      </c>
      <c r="O30" s="106">
        <v>150</v>
      </c>
      <c r="P30" s="106">
        <v>250</v>
      </c>
      <c r="Q30" s="37"/>
      <c r="R30" s="106">
        <v>281</v>
      </c>
      <c r="S30" s="106">
        <v>250</v>
      </c>
      <c r="T30" s="106">
        <v>252</v>
      </c>
      <c r="U30" s="106">
        <v>300</v>
      </c>
      <c r="V30" s="106">
        <v>300</v>
      </c>
      <c r="W30" s="106">
        <v>349</v>
      </c>
      <c r="X30" s="106">
        <v>154</v>
      </c>
      <c r="Y30" s="37"/>
      <c r="Z30" s="106">
        <v>300</v>
      </c>
      <c r="AA30" s="106">
        <v>300</v>
      </c>
      <c r="AB30" s="106">
        <v>300</v>
      </c>
      <c r="AC30" s="106">
        <v>300</v>
      </c>
      <c r="AD30" s="106">
        <v>350</v>
      </c>
      <c r="AE30" s="106" t="s">
        <v>289</v>
      </c>
      <c r="AF30" s="106">
        <v>350</v>
      </c>
      <c r="AG30" s="106">
        <v>349</v>
      </c>
      <c r="AH30" s="106">
        <v>200</v>
      </c>
      <c r="AI30" s="106">
        <v>311</v>
      </c>
      <c r="AJ30" s="37"/>
      <c r="AK30" s="38"/>
      <c r="AL30" s="172"/>
    </row>
    <row r="31" spans="1:38" x14ac:dyDescent="0.25">
      <c r="A31" s="11">
        <v>29</v>
      </c>
      <c r="B31" s="546" t="s">
        <v>290</v>
      </c>
      <c r="C31" s="546" t="s">
        <v>290</v>
      </c>
      <c r="D31" s="546" t="s">
        <v>290</v>
      </c>
      <c r="E31" s="546" t="s">
        <v>290</v>
      </c>
      <c r="F31" s="546" t="s">
        <v>290</v>
      </c>
      <c r="G31" s="546" t="s">
        <v>290</v>
      </c>
      <c r="H31" s="546" t="s">
        <v>290</v>
      </c>
      <c r="I31" s="111"/>
      <c r="J31" s="546" t="s">
        <v>290</v>
      </c>
      <c r="K31" s="546" t="s">
        <v>290</v>
      </c>
      <c r="L31" s="546" t="s">
        <v>290</v>
      </c>
      <c r="M31" s="546" t="s">
        <v>290</v>
      </c>
      <c r="N31" s="546" t="s">
        <v>290</v>
      </c>
      <c r="O31" s="546" t="s">
        <v>290</v>
      </c>
      <c r="P31" s="546" t="s">
        <v>290</v>
      </c>
      <c r="Q31" s="111"/>
      <c r="R31" s="547" t="s">
        <v>290</v>
      </c>
      <c r="S31" s="547" t="s">
        <v>290</v>
      </c>
      <c r="T31" s="547" t="s">
        <v>290</v>
      </c>
      <c r="U31" s="547" t="s">
        <v>290</v>
      </c>
      <c r="V31" s="547" t="s">
        <v>290</v>
      </c>
      <c r="W31" s="547" t="s">
        <v>290</v>
      </c>
      <c r="X31" s="547" t="s">
        <v>290</v>
      </c>
      <c r="Y31" s="111"/>
      <c r="Z31" s="547" t="s">
        <v>290</v>
      </c>
      <c r="AA31" s="547" t="s">
        <v>290</v>
      </c>
      <c r="AB31" s="547" t="s">
        <v>290</v>
      </c>
      <c r="AC31" s="547" t="s">
        <v>290</v>
      </c>
      <c r="AD31" s="547" t="s">
        <v>290</v>
      </c>
      <c r="AE31" s="547" t="s">
        <v>290</v>
      </c>
      <c r="AF31" s="547" t="s">
        <v>290</v>
      </c>
      <c r="AG31" s="547" t="s">
        <v>290</v>
      </c>
      <c r="AH31" s="547" t="s">
        <v>290</v>
      </c>
      <c r="AI31" s="547" t="s">
        <v>290</v>
      </c>
      <c r="AJ31" s="111"/>
      <c r="AK31" s="38"/>
      <c r="AL31" s="172"/>
    </row>
    <row r="32" spans="1:38" x14ac:dyDescent="0.25">
      <c r="A32" s="11">
        <v>30</v>
      </c>
      <c r="B32" s="106">
        <v>250</v>
      </c>
      <c r="C32" s="106">
        <v>250</v>
      </c>
      <c r="D32" s="106">
        <v>400</v>
      </c>
      <c r="E32" s="106">
        <v>300</v>
      </c>
      <c r="F32" s="106">
        <v>400</v>
      </c>
      <c r="G32" s="106">
        <v>384</v>
      </c>
      <c r="H32" s="106">
        <v>300</v>
      </c>
      <c r="I32" s="37"/>
      <c r="J32" s="106">
        <v>400</v>
      </c>
      <c r="K32" s="106">
        <v>300</v>
      </c>
      <c r="L32" s="106">
        <v>250</v>
      </c>
      <c r="M32" s="106">
        <v>250</v>
      </c>
      <c r="N32" s="106">
        <v>250</v>
      </c>
      <c r="O32" s="106">
        <v>300</v>
      </c>
      <c r="P32" s="106">
        <v>250</v>
      </c>
      <c r="Q32" s="37"/>
      <c r="R32" s="106">
        <v>300</v>
      </c>
      <c r="S32" s="106">
        <v>211</v>
      </c>
      <c r="T32" s="106">
        <v>300</v>
      </c>
      <c r="U32" s="106">
        <v>300</v>
      </c>
      <c r="V32" s="106">
        <v>207</v>
      </c>
      <c r="W32" s="106">
        <v>350</v>
      </c>
      <c r="X32" s="106">
        <v>201</v>
      </c>
      <c r="Y32" s="37"/>
      <c r="Z32" s="106">
        <v>300</v>
      </c>
      <c r="AA32" s="106">
        <v>300</v>
      </c>
      <c r="AB32" s="106">
        <v>350</v>
      </c>
      <c r="AC32" s="106">
        <v>350</v>
      </c>
      <c r="AD32" s="106">
        <v>350</v>
      </c>
      <c r="AE32" s="106">
        <v>350</v>
      </c>
      <c r="AF32" s="106">
        <v>350</v>
      </c>
      <c r="AG32" s="106">
        <v>350</v>
      </c>
      <c r="AH32" s="106">
        <v>350</v>
      </c>
      <c r="AI32" s="106">
        <v>300</v>
      </c>
      <c r="AJ32" s="37"/>
      <c r="AK32" s="38"/>
      <c r="AL32" s="172"/>
    </row>
    <row r="33" spans="1:38" x14ac:dyDescent="0.25">
      <c r="A33" s="11">
        <v>31</v>
      </c>
      <c r="B33" s="106">
        <v>300</v>
      </c>
      <c r="C33" s="106">
        <v>299</v>
      </c>
      <c r="D33" s="106">
        <v>400</v>
      </c>
      <c r="E33" s="106">
        <v>250</v>
      </c>
      <c r="F33" s="106">
        <v>300</v>
      </c>
      <c r="G33" s="106">
        <v>250</v>
      </c>
      <c r="H33" s="106">
        <v>300</v>
      </c>
      <c r="I33" s="37"/>
      <c r="J33" s="106">
        <v>351</v>
      </c>
      <c r="K33" s="106">
        <v>248</v>
      </c>
      <c r="L33" s="106">
        <v>250</v>
      </c>
      <c r="M33" s="106">
        <v>250</v>
      </c>
      <c r="N33" s="106">
        <v>250</v>
      </c>
      <c r="O33" s="106">
        <v>300</v>
      </c>
      <c r="P33" s="106">
        <v>300</v>
      </c>
      <c r="Q33" s="37"/>
      <c r="R33" s="106">
        <v>300</v>
      </c>
      <c r="S33" s="106">
        <v>300</v>
      </c>
      <c r="T33" s="106">
        <v>300</v>
      </c>
      <c r="U33" s="106">
        <v>304</v>
      </c>
      <c r="V33" s="106">
        <v>350</v>
      </c>
      <c r="W33" s="106">
        <v>350</v>
      </c>
      <c r="X33" s="106">
        <v>250</v>
      </c>
      <c r="Y33" s="37"/>
      <c r="Z33" s="106">
        <v>300</v>
      </c>
      <c r="AA33" s="106">
        <v>300</v>
      </c>
      <c r="AB33" s="106">
        <v>272</v>
      </c>
      <c r="AC33" s="106">
        <v>350</v>
      </c>
      <c r="AD33" s="106">
        <v>350</v>
      </c>
      <c r="AE33" s="106">
        <v>350</v>
      </c>
      <c r="AF33" s="106">
        <v>352</v>
      </c>
      <c r="AG33" s="106">
        <v>350</v>
      </c>
      <c r="AH33" s="106">
        <v>321</v>
      </c>
      <c r="AI33" s="106">
        <v>350</v>
      </c>
      <c r="AJ33" s="37"/>
      <c r="AK33" s="38"/>
      <c r="AL33" s="172"/>
    </row>
    <row r="34" spans="1:38" x14ac:dyDescent="0.25">
      <c r="A34" s="11">
        <v>32</v>
      </c>
      <c r="B34" s="106">
        <v>200</v>
      </c>
      <c r="C34" s="106">
        <v>326</v>
      </c>
      <c r="D34" s="106">
        <v>400</v>
      </c>
      <c r="E34" s="106" t="s">
        <v>289</v>
      </c>
      <c r="F34" s="106">
        <v>356</v>
      </c>
      <c r="G34" s="106">
        <v>300</v>
      </c>
      <c r="H34" s="106">
        <v>400</v>
      </c>
      <c r="I34" s="37"/>
      <c r="J34" s="106">
        <v>350</v>
      </c>
      <c r="K34" s="106">
        <v>300</v>
      </c>
      <c r="L34" s="106">
        <v>250</v>
      </c>
      <c r="M34" s="106">
        <v>250</v>
      </c>
      <c r="N34" s="106">
        <v>250</v>
      </c>
      <c r="O34" s="106">
        <v>300</v>
      </c>
      <c r="P34" s="106">
        <v>300</v>
      </c>
      <c r="Q34" s="37"/>
      <c r="R34" s="106">
        <v>300</v>
      </c>
      <c r="S34" s="106">
        <v>300</v>
      </c>
      <c r="T34" s="106">
        <v>300</v>
      </c>
      <c r="U34" s="106">
        <v>300</v>
      </c>
      <c r="V34" s="106">
        <v>250</v>
      </c>
      <c r="W34" s="106">
        <v>350</v>
      </c>
      <c r="X34" s="106" t="s">
        <v>289</v>
      </c>
      <c r="Y34" s="37"/>
      <c r="Z34" s="106">
        <v>175</v>
      </c>
      <c r="AA34" s="106">
        <v>350</v>
      </c>
      <c r="AB34" s="106">
        <v>350</v>
      </c>
      <c r="AC34" s="106">
        <v>350</v>
      </c>
      <c r="AD34" s="106">
        <v>207</v>
      </c>
      <c r="AE34" s="106" t="s">
        <v>289</v>
      </c>
      <c r="AF34" s="106">
        <v>350</v>
      </c>
      <c r="AG34" s="106">
        <v>304</v>
      </c>
      <c r="AH34" s="106">
        <v>350</v>
      </c>
      <c r="AI34" s="106">
        <v>250</v>
      </c>
      <c r="AJ34" s="37"/>
      <c r="AK34" s="38"/>
      <c r="AL34" s="172"/>
    </row>
    <row r="35" spans="1:38" x14ac:dyDescent="0.25">
      <c r="A35" s="11">
        <v>33</v>
      </c>
      <c r="B35" s="106">
        <v>300</v>
      </c>
      <c r="C35" s="106">
        <v>300</v>
      </c>
      <c r="D35" s="106">
        <v>300</v>
      </c>
      <c r="E35" s="106">
        <v>400</v>
      </c>
      <c r="F35" s="106">
        <v>350</v>
      </c>
      <c r="G35" s="106">
        <v>300</v>
      </c>
      <c r="H35" s="106">
        <v>350</v>
      </c>
      <c r="I35" s="37"/>
      <c r="J35" s="106">
        <v>300</v>
      </c>
      <c r="K35" s="106">
        <v>239</v>
      </c>
      <c r="L35" s="106">
        <v>250</v>
      </c>
      <c r="M35" s="106">
        <v>250</v>
      </c>
      <c r="N35" s="106">
        <v>250</v>
      </c>
      <c r="O35" s="106">
        <v>300</v>
      </c>
      <c r="P35" s="106">
        <v>300</v>
      </c>
      <c r="Q35" s="37"/>
      <c r="R35" s="106">
        <v>300</v>
      </c>
      <c r="S35" s="106">
        <v>300</v>
      </c>
      <c r="T35" s="106">
        <v>300</v>
      </c>
      <c r="U35" s="106">
        <v>300</v>
      </c>
      <c r="V35" s="106">
        <v>350</v>
      </c>
      <c r="W35" s="106">
        <v>300</v>
      </c>
      <c r="X35" s="106">
        <v>156</v>
      </c>
      <c r="Y35" s="37"/>
      <c r="Z35" s="106">
        <v>300</v>
      </c>
      <c r="AA35" s="106">
        <v>350</v>
      </c>
      <c r="AB35" s="106">
        <v>350</v>
      </c>
      <c r="AC35" s="106">
        <v>300</v>
      </c>
      <c r="AD35" s="106">
        <v>347</v>
      </c>
      <c r="AE35" s="106" t="s">
        <v>289</v>
      </c>
      <c r="AF35" s="106">
        <v>350</v>
      </c>
      <c r="AG35" s="106">
        <v>349</v>
      </c>
      <c r="AH35" s="106" t="s">
        <v>289</v>
      </c>
      <c r="AI35" s="106">
        <v>350</v>
      </c>
      <c r="AJ35" s="37"/>
      <c r="AK35" s="38"/>
      <c r="AL35" s="172"/>
    </row>
    <row r="36" spans="1:38" x14ac:dyDescent="0.25">
      <c r="A36" s="11">
        <v>34</v>
      </c>
      <c r="B36" s="106">
        <v>300</v>
      </c>
      <c r="C36" s="106">
        <v>200</v>
      </c>
      <c r="D36" s="106">
        <v>400</v>
      </c>
      <c r="E36" s="106">
        <v>400</v>
      </c>
      <c r="F36" s="106">
        <v>336</v>
      </c>
      <c r="G36" s="106">
        <v>250</v>
      </c>
      <c r="H36" s="106">
        <v>366</v>
      </c>
      <c r="I36" s="37"/>
      <c r="J36" s="106">
        <v>251</v>
      </c>
      <c r="K36" s="106">
        <v>251</v>
      </c>
      <c r="L36" s="106">
        <v>250</v>
      </c>
      <c r="M36" s="106">
        <v>250</v>
      </c>
      <c r="N36" s="106">
        <v>250</v>
      </c>
      <c r="O36" s="106">
        <v>250</v>
      </c>
      <c r="P36" s="106">
        <v>200</v>
      </c>
      <c r="Q36" s="37"/>
      <c r="R36" s="106">
        <v>300</v>
      </c>
      <c r="S36" s="106">
        <v>251</v>
      </c>
      <c r="T36" s="106">
        <v>232</v>
      </c>
      <c r="U36" s="106">
        <v>200</v>
      </c>
      <c r="V36" s="106">
        <v>350</v>
      </c>
      <c r="W36" s="106">
        <v>200</v>
      </c>
      <c r="X36" s="106">
        <v>150</v>
      </c>
      <c r="Y36" s="37"/>
      <c r="Z36" s="106">
        <v>300</v>
      </c>
      <c r="AA36" s="106">
        <v>300</v>
      </c>
      <c r="AB36" s="106">
        <v>350</v>
      </c>
      <c r="AC36" s="106">
        <v>350</v>
      </c>
      <c r="AD36" s="106">
        <v>250</v>
      </c>
      <c r="AE36" s="106" t="s">
        <v>289</v>
      </c>
      <c r="AF36" s="106">
        <v>350</v>
      </c>
      <c r="AG36" s="106">
        <v>350</v>
      </c>
      <c r="AH36" s="106">
        <v>300</v>
      </c>
      <c r="AI36" s="106">
        <v>200</v>
      </c>
      <c r="AJ36" s="37"/>
      <c r="AK36" s="38"/>
      <c r="AL36" s="172"/>
    </row>
    <row r="37" spans="1:38" x14ac:dyDescent="0.25">
      <c r="A37" s="11">
        <v>35</v>
      </c>
      <c r="B37" s="106" t="s">
        <v>289</v>
      </c>
      <c r="C37" s="106" t="s">
        <v>289</v>
      </c>
      <c r="D37" s="106" t="s">
        <v>289</v>
      </c>
      <c r="E37" s="106" t="s">
        <v>289</v>
      </c>
      <c r="F37" s="106" t="s">
        <v>289</v>
      </c>
      <c r="G37" s="106" t="s">
        <v>289</v>
      </c>
      <c r="H37" s="106" t="s">
        <v>289</v>
      </c>
      <c r="I37" s="37"/>
      <c r="J37" s="106" t="s">
        <v>289</v>
      </c>
      <c r="K37" s="106" t="s">
        <v>289</v>
      </c>
      <c r="L37" s="106" t="s">
        <v>289</v>
      </c>
      <c r="M37" s="106" t="s">
        <v>289</v>
      </c>
      <c r="N37" s="106" t="s">
        <v>289</v>
      </c>
      <c r="O37" s="106" t="s">
        <v>289</v>
      </c>
      <c r="P37" s="106" t="s">
        <v>289</v>
      </c>
      <c r="Q37" s="37"/>
      <c r="R37" s="106" t="s">
        <v>289</v>
      </c>
      <c r="S37" s="106" t="s">
        <v>289</v>
      </c>
      <c r="T37" s="106" t="s">
        <v>289</v>
      </c>
      <c r="U37" s="106" t="s">
        <v>289</v>
      </c>
      <c r="V37" s="106" t="s">
        <v>289</v>
      </c>
      <c r="W37" s="106" t="s">
        <v>289</v>
      </c>
      <c r="X37" s="106" t="s">
        <v>289</v>
      </c>
      <c r="Y37" s="37"/>
      <c r="Z37" s="106" t="s">
        <v>289</v>
      </c>
      <c r="AA37" s="106" t="s">
        <v>289</v>
      </c>
      <c r="AB37" s="106" t="s">
        <v>289</v>
      </c>
      <c r="AC37" s="106" t="s">
        <v>289</v>
      </c>
      <c r="AD37" s="106" t="s">
        <v>289</v>
      </c>
      <c r="AE37" s="106" t="s">
        <v>289</v>
      </c>
      <c r="AF37" s="106" t="s">
        <v>289</v>
      </c>
      <c r="AG37" s="106" t="s">
        <v>289</v>
      </c>
      <c r="AH37" s="106" t="s">
        <v>289</v>
      </c>
      <c r="AI37" s="106" t="s">
        <v>289</v>
      </c>
      <c r="AJ37" s="37"/>
      <c r="AK37" s="38"/>
      <c r="AL37" s="172"/>
    </row>
    <row r="38" spans="1:38" x14ac:dyDescent="0.25">
      <c r="A38" s="11">
        <v>36</v>
      </c>
      <c r="B38" s="546" t="s">
        <v>290</v>
      </c>
      <c r="C38" s="546" t="s">
        <v>290</v>
      </c>
      <c r="D38" s="546" t="s">
        <v>290</v>
      </c>
      <c r="E38" s="546" t="s">
        <v>290</v>
      </c>
      <c r="F38" s="546" t="s">
        <v>290</v>
      </c>
      <c r="G38" s="546" t="s">
        <v>290</v>
      </c>
      <c r="H38" s="546" t="s">
        <v>290</v>
      </c>
      <c r="I38" s="111"/>
      <c r="J38" s="546" t="s">
        <v>290</v>
      </c>
      <c r="K38" s="546" t="s">
        <v>290</v>
      </c>
      <c r="L38" s="546" t="s">
        <v>290</v>
      </c>
      <c r="M38" s="546" t="s">
        <v>290</v>
      </c>
      <c r="N38" s="546" t="s">
        <v>290</v>
      </c>
      <c r="O38" s="546" t="s">
        <v>290</v>
      </c>
      <c r="P38" s="546" t="s">
        <v>290</v>
      </c>
      <c r="Q38" s="111"/>
      <c r="R38" s="547" t="s">
        <v>290</v>
      </c>
      <c r="S38" s="547" t="s">
        <v>290</v>
      </c>
      <c r="T38" s="547" t="s">
        <v>290</v>
      </c>
      <c r="U38" s="547" t="s">
        <v>290</v>
      </c>
      <c r="V38" s="547" t="s">
        <v>290</v>
      </c>
      <c r="W38" s="547" t="s">
        <v>290</v>
      </c>
      <c r="X38" s="547" t="s">
        <v>290</v>
      </c>
      <c r="Y38" s="111"/>
      <c r="Z38" s="547" t="s">
        <v>290</v>
      </c>
      <c r="AA38" s="547" t="s">
        <v>290</v>
      </c>
      <c r="AB38" s="547" t="s">
        <v>290</v>
      </c>
      <c r="AC38" s="547" t="s">
        <v>290</v>
      </c>
      <c r="AD38" s="547" t="s">
        <v>290</v>
      </c>
      <c r="AE38" s="547" t="s">
        <v>290</v>
      </c>
      <c r="AF38" s="547" t="s">
        <v>290</v>
      </c>
      <c r="AG38" s="547" t="s">
        <v>290</v>
      </c>
      <c r="AH38" s="547" t="s">
        <v>290</v>
      </c>
      <c r="AI38" s="547" t="s">
        <v>290</v>
      </c>
      <c r="AJ38" s="111"/>
      <c r="AK38" s="38"/>
      <c r="AL38" s="172"/>
    </row>
    <row r="39" spans="1:38" x14ac:dyDescent="0.25">
      <c r="A39" s="11">
        <v>37</v>
      </c>
      <c r="B39" s="106" t="s">
        <v>289</v>
      </c>
      <c r="C39" s="106">
        <v>300</v>
      </c>
      <c r="D39" s="106">
        <v>200</v>
      </c>
      <c r="E39" s="106">
        <v>226</v>
      </c>
      <c r="F39" s="106">
        <v>400</v>
      </c>
      <c r="G39" s="106">
        <v>200</v>
      </c>
      <c r="H39" s="106">
        <v>400</v>
      </c>
      <c r="I39" s="37"/>
      <c r="J39" s="106">
        <v>400</v>
      </c>
      <c r="K39" s="106">
        <v>231</v>
      </c>
      <c r="L39" s="106">
        <v>250</v>
      </c>
      <c r="M39" s="106">
        <v>250</v>
      </c>
      <c r="N39" s="106">
        <v>258</v>
      </c>
      <c r="O39" s="106">
        <v>229</v>
      </c>
      <c r="P39" s="106">
        <v>300</v>
      </c>
      <c r="Q39" s="37"/>
      <c r="R39" s="106">
        <v>264</v>
      </c>
      <c r="S39" s="106">
        <v>206</v>
      </c>
      <c r="T39" s="106">
        <v>300</v>
      </c>
      <c r="U39" s="106" t="s">
        <v>289</v>
      </c>
      <c r="V39" s="106" t="s">
        <v>289</v>
      </c>
      <c r="W39" s="106">
        <v>300</v>
      </c>
      <c r="X39" s="106">
        <v>350</v>
      </c>
      <c r="Y39" s="37"/>
      <c r="Z39" s="106">
        <v>350</v>
      </c>
      <c r="AA39" s="106">
        <v>314</v>
      </c>
      <c r="AB39" s="106">
        <v>350</v>
      </c>
      <c r="AC39" s="106">
        <v>350</v>
      </c>
      <c r="AD39" s="106">
        <v>300</v>
      </c>
      <c r="AE39" s="106">
        <v>335</v>
      </c>
      <c r="AF39" s="106">
        <v>350</v>
      </c>
      <c r="AG39" s="106">
        <v>350</v>
      </c>
      <c r="AH39" s="106" t="s">
        <v>289</v>
      </c>
      <c r="AI39" s="106">
        <v>300</v>
      </c>
      <c r="AJ39" s="37"/>
      <c r="AK39" s="38"/>
      <c r="AL39" s="172"/>
    </row>
    <row r="40" spans="1:38" x14ac:dyDescent="0.25">
      <c r="A40" s="11">
        <v>38</v>
      </c>
      <c r="B40" s="106" t="s">
        <v>289</v>
      </c>
      <c r="C40" s="106" t="s">
        <v>289</v>
      </c>
      <c r="D40" s="106" t="s">
        <v>289</v>
      </c>
      <c r="E40" s="106" t="s">
        <v>289</v>
      </c>
      <c r="F40" s="106" t="s">
        <v>289</v>
      </c>
      <c r="G40" s="106" t="s">
        <v>289</v>
      </c>
      <c r="H40" s="106" t="s">
        <v>289</v>
      </c>
      <c r="I40" s="37"/>
      <c r="J40" s="106" t="s">
        <v>289</v>
      </c>
      <c r="K40" s="106" t="s">
        <v>289</v>
      </c>
      <c r="L40" s="106" t="s">
        <v>289</v>
      </c>
      <c r="M40" s="106" t="s">
        <v>289</v>
      </c>
      <c r="N40" s="106" t="s">
        <v>289</v>
      </c>
      <c r="O40" s="106" t="s">
        <v>289</v>
      </c>
      <c r="P40" s="106" t="s">
        <v>289</v>
      </c>
      <c r="Q40" s="37"/>
      <c r="R40" s="106" t="s">
        <v>289</v>
      </c>
      <c r="S40" s="106" t="s">
        <v>289</v>
      </c>
      <c r="T40" s="106" t="s">
        <v>289</v>
      </c>
      <c r="U40" s="106" t="s">
        <v>289</v>
      </c>
      <c r="V40" s="106" t="s">
        <v>289</v>
      </c>
      <c r="W40" s="106" t="s">
        <v>289</v>
      </c>
      <c r="X40" s="106" t="s">
        <v>289</v>
      </c>
      <c r="Y40" s="37"/>
      <c r="Z40" s="106" t="s">
        <v>289</v>
      </c>
      <c r="AA40" s="106" t="s">
        <v>289</v>
      </c>
      <c r="AB40" s="106" t="s">
        <v>289</v>
      </c>
      <c r="AC40" s="106" t="s">
        <v>289</v>
      </c>
      <c r="AD40" s="106" t="s">
        <v>289</v>
      </c>
      <c r="AE40" s="106" t="s">
        <v>289</v>
      </c>
      <c r="AF40" s="106" t="s">
        <v>289</v>
      </c>
      <c r="AG40" s="106" t="s">
        <v>289</v>
      </c>
      <c r="AH40" s="106" t="s">
        <v>289</v>
      </c>
      <c r="AI40" s="106" t="s">
        <v>289</v>
      </c>
      <c r="AJ40" s="37"/>
      <c r="AK40" s="38"/>
      <c r="AL40" s="172"/>
    </row>
    <row r="41" spans="1:38" x14ac:dyDescent="0.25">
      <c r="A41" s="11">
        <v>39</v>
      </c>
      <c r="B41" s="106" t="s">
        <v>289</v>
      </c>
      <c r="C41" s="106" t="s">
        <v>289</v>
      </c>
      <c r="D41" s="106" t="s">
        <v>289</v>
      </c>
      <c r="E41" s="106" t="s">
        <v>289</v>
      </c>
      <c r="F41" s="106">
        <v>302</v>
      </c>
      <c r="G41" s="106">
        <v>200</v>
      </c>
      <c r="H41" s="106">
        <v>400</v>
      </c>
      <c r="I41" s="37"/>
      <c r="J41" s="116" t="s">
        <v>289</v>
      </c>
      <c r="K41" s="116" t="s">
        <v>289</v>
      </c>
      <c r="L41" s="106" t="s">
        <v>289</v>
      </c>
      <c r="M41" s="106" t="s">
        <v>289</v>
      </c>
      <c r="N41" s="106" t="s">
        <v>289</v>
      </c>
      <c r="O41" s="106" t="s">
        <v>289</v>
      </c>
      <c r="P41" s="106" t="s">
        <v>289</v>
      </c>
      <c r="Q41" s="37"/>
      <c r="R41" s="106" t="s">
        <v>289</v>
      </c>
      <c r="S41" s="106" t="s">
        <v>289</v>
      </c>
      <c r="T41" s="106" t="s">
        <v>289</v>
      </c>
      <c r="U41" s="106" t="s">
        <v>289</v>
      </c>
      <c r="V41" s="106" t="s">
        <v>289</v>
      </c>
      <c r="W41" s="106" t="s">
        <v>289</v>
      </c>
      <c r="X41" s="106" t="s">
        <v>289</v>
      </c>
      <c r="Y41" s="37"/>
      <c r="Z41" s="106" t="s">
        <v>289</v>
      </c>
      <c r="AA41" s="106" t="s">
        <v>289</v>
      </c>
      <c r="AB41" s="106" t="s">
        <v>289</v>
      </c>
      <c r="AC41" s="106" t="s">
        <v>289</v>
      </c>
      <c r="AD41" s="106" t="s">
        <v>289</v>
      </c>
      <c r="AE41" s="106" t="s">
        <v>289</v>
      </c>
      <c r="AF41" s="106" t="s">
        <v>289</v>
      </c>
      <c r="AG41" s="106" t="s">
        <v>289</v>
      </c>
      <c r="AH41" s="106" t="s">
        <v>289</v>
      </c>
      <c r="AI41" s="106">
        <v>300</v>
      </c>
      <c r="AJ41" s="37"/>
      <c r="AK41" s="38"/>
      <c r="AL41" s="172"/>
    </row>
    <row r="42" spans="1:38" x14ac:dyDescent="0.25">
      <c r="A42" s="11">
        <v>40</v>
      </c>
      <c r="B42" s="106" t="s">
        <v>289</v>
      </c>
      <c r="C42" s="106">
        <v>300</v>
      </c>
      <c r="D42" s="106">
        <v>350</v>
      </c>
      <c r="E42" s="106" t="s">
        <v>289</v>
      </c>
      <c r="F42" s="106">
        <v>350</v>
      </c>
      <c r="G42" s="106" t="s">
        <v>289</v>
      </c>
      <c r="H42" s="106">
        <v>400</v>
      </c>
      <c r="I42" s="37"/>
      <c r="J42" s="106">
        <v>400</v>
      </c>
      <c r="K42" s="106" t="s">
        <v>289</v>
      </c>
      <c r="L42" s="106">
        <v>250</v>
      </c>
      <c r="M42" s="106" t="s">
        <v>289</v>
      </c>
      <c r="N42" s="106">
        <v>250</v>
      </c>
      <c r="O42" s="106" t="s">
        <v>289</v>
      </c>
      <c r="P42" s="106">
        <v>300</v>
      </c>
      <c r="Q42" s="37"/>
      <c r="R42" s="106">
        <v>300</v>
      </c>
      <c r="S42" s="106">
        <v>151</v>
      </c>
      <c r="T42" s="106">
        <v>300</v>
      </c>
      <c r="U42" s="106">
        <v>300</v>
      </c>
      <c r="V42" s="106">
        <v>350</v>
      </c>
      <c r="W42" s="106">
        <v>250</v>
      </c>
      <c r="X42" s="106">
        <v>200</v>
      </c>
      <c r="Y42" s="37"/>
      <c r="Z42" s="106" t="s">
        <v>289</v>
      </c>
      <c r="AA42" s="106">
        <v>350</v>
      </c>
      <c r="AB42" s="106">
        <v>350</v>
      </c>
      <c r="AC42" s="106">
        <v>300</v>
      </c>
      <c r="AD42" s="106">
        <v>350</v>
      </c>
      <c r="AE42" s="106">
        <v>350</v>
      </c>
      <c r="AF42" s="106">
        <v>320</v>
      </c>
      <c r="AG42" s="106">
        <v>350</v>
      </c>
      <c r="AH42" s="106" t="s">
        <v>289</v>
      </c>
      <c r="AI42" s="106">
        <v>350</v>
      </c>
      <c r="AJ42" s="37"/>
      <c r="AK42" s="38"/>
      <c r="AL42" s="172"/>
    </row>
    <row r="43" spans="1:38" x14ac:dyDescent="0.25">
      <c r="A43" s="11">
        <v>41</v>
      </c>
      <c r="B43" s="106">
        <v>400</v>
      </c>
      <c r="C43" s="106">
        <v>400</v>
      </c>
      <c r="D43" s="106">
        <v>350</v>
      </c>
      <c r="E43" s="106">
        <v>300</v>
      </c>
      <c r="F43" s="106">
        <v>400</v>
      </c>
      <c r="G43" s="106">
        <v>400</v>
      </c>
      <c r="H43" s="106">
        <v>400</v>
      </c>
      <c r="I43" s="37"/>
      <c r="J43" s="106">
        <v>400</v>
      </c>
      <c r="K43" s="106">
        <v>351</v>
      </c>
      <c r="L43" s="106">
        <v>250</v>
      </c>
      <c r="M43" s="106">
        <v>250</v>
      </c>
      <c r="N43" s="106">
        <v>250</v>
      </c>
      <c r="O43" s="106">
        <v>300</v>
      </c>
      <c r="P43" s="106">
        <v>300</v>
      </c>
      <c r="Q43" s="37"/>
      <c r="R43" s="106">
        <v>301</v>
      </c>
      <c r="S43" s="106">
        <v>200</v>
      </c>
      <c r="T43" s="106">
        <v>267</v>
      </c>
      <c r="U43" s="106">
        <v>299</v>
      </c>
      <c r="V43" s="106">
        <v>350</v>
      </c>
      <c r="W43" s="106">
        <v>350</v>
      </c>
      <c r="X43" s="106">
        <v>350</v>
      </c>
      <c r="Y43" s="37"/>
      <c r="Z43" s="106">
        <v>350</v>
      </c>
      <c r="AA43" s="106">
        <v>350</v>
      </c>
      <c r="AB43" s="106">
        <v>337</v>
      </c>
      <c r="AC43" s="106">
        <v>350</v>
      </c>
      <c r="AD43" s="106">
        <v>350</v>
      </c>
      <c r="AE43" s="106">
        <v>350</v>
      </c>
      <c r="AF43" s="106">
        <v>350</v>
      </c>
      <c r="AG43" s="106">
        <v>350</v>
      </c>
      <c r="AH43" s="106">
        <v>350</v>
      </c>
      <c r="AI43" s="106">
        <v>350</v>
      </c>
      <c r="AJ43" s="37"/>
      <c r="AK43" s="38"/>
      <c r="AL43" s="172"/>
    </row>
    <row r="44" spans="1:38" x14ac:dyDescent="0.25">
      <c r="A44" s="11">
        <v>42</v>
      </c>
      <c r="B44" s="546" t="s">
        <v>290</v>
      </c>
      <c r="C44" s="546" t="s">
        <v>290</v>
      </c>
      <c r="D44" s="546" t="s">
        <v>290</v>
      </c>
      <c r="E44" s="546" t="s">
        <v>290</v>
      </c>
      <c r="F44" s="546" t="s">
        <v>290</v>
      </c>
      <c r="G44" s="546" t="s">
        <v>290</v>
      </c>
      <c r="H44" s="546" t="s">
        <v>290</v>
      </c>
      <c r="I44" s="111"/>
      <c r="J44" s="546" t="s">
        <v>290</v>
      </c>
      <c r="K44" s="546" t="s">
        <v>290</v>
      </c>
      <c r="L44" s="546" t="s">
        <v>290</v>
      </c>
      <c r="M44" s="546" t="s">
        <v>290</v>
      </c>
      <c r="N44" s="546" t="s">
        <v>290</v>
      </c>
      <c r="O44" s="546" t="s">
        <v>290</v>
      </c>
      <c r="P44" s="546" t="s">
        <v>290</v>
      </c>
      <c r="Q44" s="111"/>
      <c r="R44" s="547" t="s">
        <v>290</v>
      </c>
      <c r="S44" s="547" t="s">
        <v>290</v>
      </c>
      <c r="T44" s="547" t="s">
        <v>290</v>
      </c>
      <c r="U44" s="547" t="s">
        <v>290</v>
      </c>
      <c r="V44" s="547" t="s">
        <v>290</v>
      </c>
      <c r="W44" s="547" t="s">
        <v>290</v>
      </c>
      <c r="X44" s="547" t="s">
        <v>290</v>
      </c>
      <c r="Y44" s="111"/>
      <c r="Z44" s="547" t="s">
        <v>290</v>
      </c>
      <c r="AA44" s="547" t="s">
        <v>290</v>
      </c>
      <c r="AB44" s="547" t="s">
        <v>290</v>
      </c>
      <c r="AC44" s="547" t="s">
        <v>290</v>
      </c>
      <c r="AD44" s="547" t="s">
        <v>290</v>
      </c>
      <c r="AE44" s="547" t="s">
        <v>290</v>
      </c>
      <c r="AF44" s="547" t="s">
        <v>290</v>
      </c>
      <c r="AG44" s="547" t="s">
        <v>290</v>
      </c>
      <c r="AH44" s="547" t="s">
        <v>290</v>
      </c>
      <c r="AI44" s="547" t="s">
        <v>290</v>
      </c>
      <c r="AJ44" s="111"/>
      <c r="AK44" s="38"/>
      <c r="AL44" s="172"/>
    </row>
    <row r="45" spans="1:38" x14ac:dyDescent="0.25">
      <c r="A45" s="11">
        <v>43</v>
      </c>
      <c r="B45" s="106" t="s">
        <v>289</v>
      </c>
      <c r="C45" s="106" t="s">
        <v>289</v>
      </c>
      <c r="D45" s="106" t="s">
        <v>289</v>
      </c>
      <c r="E45" s="106" t="s">
        <v>289</v>
      </c>
      <c r="F45" s="106" t="s">
        <v>289</v>
      </c>
      <c r="G45" s="106" t="s">
        <v>289</v>
      </c>
      <c r="H45" s="106" t="s">
        <v>289</v>
      </c>
      <c r="I45" s="37"/>
      <c r="J45" s="106" t="s">
        <v>289</v>
      </c>
      <c r="K45" s="106" t="s">
        <v>289</v>
      </c>
      <c r="L45" s="106" t="s">
        <v>289</v>
      </c>
      <c r="M45" s="106" t="s">
        <v>289</v>
      </c>
      <c r="N45" s="106" t="s">
        <v>289</v>
      </c>
      <c r="O45" s="106">
        <v>250</v>
      </c>
      <c r="P45" s="106" t="s">
        <v>289</v>
      </c>
      <c r="Q45" s="37"/>
      <c r="R45" s="106" t="s">
        <v>289</v>
      </c>
      <c r="S45" s="106" t="s">
        <v>289</v>
      </c>
      <c r="T45" s="106" t="s">
        <v>289</v>
      </c>
      <c r="U45" s="106" t="s">
        <v>289</v>
      </c>
      <c r="V45" s="106" t="s">
        <v>289</v>
      </c>
      <c r="W45" s="106" t="s">
        <v>289</v>
      </c>
      <c r="X45" s="106" t="s">
        <v>289</v>
      </c>
      <c r="Y45" s="37"/>
      <c r="Z45" s="106" t="s">
        <v>289</v>
      </c>
      <c r="AA45" s="106" t="s">
        <v>289</v>
      </c>
      <c r="AB45" s="106" t="s">
        <v>289</v>
      </c>
      <c r="AC45" s="106" t="s">
        <v>289</v>
      </c>
      <c r="AD45" s="106" t="s">
        <v>289</v>
      </c>
      <c r="AE45" s="106" t="s">
        <v>289</v>
      </c>
      <c r="AF45" s="106" t="s">
        <v>289</v>
      </c>
      <c r="AG45" s="106" t="s">
        <v>289</v>
      </c>
      <c r="AH45" s="106" t="s">
        <v>289</v>
      </c>
      <c r="AI45" s="106" t="s">
        <v>289</v>
      </c>
      <c r="AJ45" s="37"/>
      <c r="AK45" s="38"/>
      <c r="AL45" s="172"/>
    </row>
    <row r="46" spans="1:38" x14ac:dyDescent="0.25">
      <c r="A46" s="11">
        <v>44</v>
      </c>
      <c r="B46" s="106" t="s">
        <v>289</v>
      </c>
      <c r="C46" s="106" t="s">
        <v>289</v>
      </c>
      <c r="D46" s="106" t="s">
        <v>289</v>
      </c>
      <c r="E46" s="106" t="s">
        <v>289</v>
      </c>
      <c r="F46" s="106" t="s">
        <v>289</v>
      </c>
      <c r="G46" s="106" t="s">
        <v>289</v>
      </c>
      <c r="H46" s="106" t="s">
        <v>289</v>
      </c>
      <c r="I46" s="37"/>
      <c r="J46" s="106" t="s">
        <v>289</v>
      </c>
      <c r="K46" s="106" t="s">
        <v>289</v>
      </c>
      <c r="L46" s="106" t="s">
        <v>289</v>
      </c>
      <c r="M46" s="106" t="s">
        <v>289</v>
      </c>
      <c r="N46" s="106" t="s">
        <v>289</v>
      </c>
      <c r="O46" s="106" t="s">
        <v>289</v>
      </c>
      <c r="P46" s="106" t="s">
        <v>289</v>
      </c>
      <c r="Q46" s="37"/>
      <c r="R46" s="106" t="s">
        <v>289</v>
      </c>
      <c r="S46" s="106" t="s">
        <v>289</v>
      </c>
      <c r="T46" s="106" t="s">
        <v>289</v>
      </c>
      <c r="U46" s="106" t="s">
        <v>289</v>
      </c>
      <c r="V46" s="106" t="s">
        <v>289</v>
      </c>
      <c r="W46" s="106" t="s">
        <v>289</v>
      </c>
      <c r="X46" s="106" t="s">
        <v>289</v>
      </c>
      <c r="Y46" s="37"/>
      <c r="Z46" s="106" t="s">
        <v>289</v>
      </c>
      <c r="AA46" s="106" t="s">
        <v>289</v>
      </c>
      <c r="AB46" s="106" t="s">
        <v>289</v>
      </c>
      <c r="AC46" s="106" t="s">
        <v>289</v>
      </c>
      <c r="AD46" s="106" t="s">
        <v>289</v>
      </c>
      <c r="AE46" s="106" t="s">
        <v>289</v>
      </c>
      <c r="AF46" s="106" t="s">
        <v>289</v>
      </c>
      <c r="AG46" s="106" t="s">
        <v>289</v>
      </c>
      <c r="AH46" s="106" t="s">
        <v>289</v>
      </c>
      <c r="AI46" s="106" t="s">
        <v>289</v>
      </c>
      <c r="AJ46" s="37"/>
      <c r="AK46" s="38"/>
      <c r="AL46" s="172"/>
    </row>
    <row r="47" spans="1:38" x14ac:dyDescent="0.25">
      <c r="A47" s="11">
        <v>45</v>
      </c>
      <c r="B47" s="106">
        <v>233</v>
      </c>
      <c r="C47" s="106">
        <v>400</v>
      </c>
      <c r="D47" s="106">
        <v>270</v>
      </c>
      <c r="E47" s="106">
        <v>200</v>
      </c>
      <c r="F47" s="106">
        <v>400</v>
      </c>
      <c r="G47" s="106">
        <v>268</v>
      </c>
      <c r="H47" s="106">
        <v>300</v>
      </c>
      <c r="I47" s="37"/>
      <c r="J47" s="106">
        <v>353</v>
      </c>
      <c r="K47" s="106">
        <v>362</v>
      </c>
      <c r="L47" s="106">
        <v>250</v>
      </c>
      <c r="M47" s="106">
        <v>250</v>
      </c>
      <c r="N47" s="106">
        <v>250</v>
      </c>
      <c r="O47" s="106">
        <v>300</v>
      </c>
      <c r="P47" s="106">
        <v>300</v>
      </c>
      <c r="Q47" s="37"/>
      <c r="R47" s="106">
        <v>300</v>
      </c>
      <c r="S47" s="106">
        <v>300</v>
      </c>
      <c r="T47" s="106">
        <v>300</v>
      </c>
      <c r="U47" s="106">
        <v>300</v>
      </c>
      <c r="V47" s="106">
        <v>350</v>
      </c>
      <c r="W47" s="106">
        <v>290</v>
      </c>
      <c r="X47" s="106">
        <v>322</v>
      </c>
      <c r="Y47" s="37"/>
      <c r="Z47" s="106">
        <v>310</v>
      </c>
      <c r="AA47" s="106">
        <v>303</v>
      </c>
      <c r="AB47" s="106">
        <v>350</v>
      </c>
      <c r="AC47" s="106">
        <v>225</v>
      </c>
      <c r="AD47" s="106">
        <v>182</v>
      </c>
      <c r="AE47" s="106" t="s">
        <v>289</v>
      </c>
      <c r="AF47" s="106">
        <v>322</v>
      </c>
      <c r="AG47" s="106">
        <v>350</v>
      </c>
      <c r="AH47" s="106">
        <v>304</v>
      </c>
      <c r="AI47" s="106">
        <v>330</v>
      </c>
      <c r="AJ47" s="37"/>
      <c r="AK47" s="38"/>
      <c r="AL47" s="172"/>
    </row>
    <row r="48" spans="1:38" x14ac:dyDescent="0.25">
      <c r="A48" s="11">
        <v>46</v>
      </c>
      <c r="B48" s="106">
        <v>318</v>
      </c>
      <c r="C48" s="106">
        <v>354</v>
      </c>
      <c r="D48" s="106">
        <v>365</v>
      </c>
      <c r="E48" s="106">
        <v>250</v>
      </c>
      <c r="F48" s="106">
        <v>300</v>
      </c>
      <c r="G48" s="106">
        <v>242</v>
      </c>
      <c r="H48" s="106">
        <v>256</v>
      </c>
      <c r="I48" s="37"/>
      <c r="J48" s="106">
        <v>325</v>
      </c>
      <c r="K48" s="106">
        <v>376</v>
      </c>
      <c r="L48" s="106">
        <v>250</v>
      </c>
      <c r="M48" s="106">
        <v>250</v>
      </c>
      <c r="N48" s="106">
        <v>250</v>
      </c>
      <c r="O48" s="106">
        <v>300</v>
      </c>
      <c r="P48" s="106">
        <v>300</v>
      </c>
      <c r="Q48" s="37"/>
      <c r="R48" s="106">
        <v>300</v>
      </c>
      <c r="S48" s="106">
        <v>300</v>
      </c>
      <c r="T48" s="106">
        <v>300</v>
      </c>
      <c r="U48" s="106">
        <v>300</v>
      </c>
      <c r="V48" s="106">
        <v>350</v>
      </c>
      <c r="W48" s="106">
        <v>349</v>
      </c>
      <c r="X48" s="106">
        <v>350</v>
      </c>
      <c r="Y48" s="37"/>
      <c r="Z48" s="106">
        <v>350</v>
      </c>
      <c r="AA48" s="106">
        <v>350</v>
      </c>
      <c r="AB48" s="106">
        <v>350</v>
      </c>
      <c r="AC48" s="106">
        <v>300</v>
      </c>
      <c r="AD48" s="106">
        <v>350</v>
      </c>
      <c r="AE48" s="106">
        <v>350</v>
      </c>
      <c r="AF48" s="106">
        <v>350</v>
      </c>
      <c r="AG48" s="106">
        <v>350</v>
      </c>
      <c r="AH48" s="106">
        <v>350</v>
      </c>
      <c r="AI48" s="106">
        <v>350</v>
      </c>
      <c r="AJ48" s="37"/>
      <c r="AK48" s="38"/>
      <c r="AL48" s="172"/>
    </row>
    <row r="49" spans="1:38" x14ac:dyDescent="0.25">
      <c r="A49" s="11">
        <v>47</v>
      </c>
      <c r="B49" s="106">
        <v>264</v>
      </c>
      <c r="C49" s="106">
        <v>282</v>
      </c>
      <c r="D49" s="106">
        <v>338</v>
      </c>
      <c r="E49" s="106">
        <v>249</v>
      </c>
      <c r="F49" s="106">
        <v>400</v>
      </c>
      <c r="G49" s="106">
        <v>306</v>
      </c>
      <c r="H49" s="106">
        <v>291</v>
      </c>
      <c r="I49" s="37"/>
      <c r="J49" s="106">
        <v>329</v>
      </c>
      <c r="K49" s="106">
        <v>278</v>
      </c>
      <c r="L49" s="106">
        <v>250</v>
      </c>
      <c r="M49" s="106">
        <v>250</v>
      </c>
      <c r="N49" s="106">
        <v>250</v>
      </c>
      <c r="O49" s="106">
        <v>300</v>
      </c>
      <c r="P49" s="106">
        <v>300</v>
      </c>
      <c r="Q49" s="37"/>
      <c r="R49" s="106">
        <v>300</v>
      </c>
      <c r="S49" s="106">
        <v>300</v>
      </c>
      <c r="T49" s="106">
        <v>255</v>
      </c>
      <c r="U49" s="106">
        <v>300</v>
      </c>
      <c r="V49" s="106">
        <v>300</v>
      </c>
      <c r="W49" s="106">
        <v>350</v>
      </c>
      <c r="X49" s="106">
        <v>237</v>
      </c>
      <c r="Y49" s="37"/>
      <c r="Z49" s="106">
        <v>278</v>
      </c>
      <c r="AA49" s="106">
        <v>285</v>
      </c>
      <c r="AB49" s="106">
        <v>270</v>
      </c>
      <c r="AC49" s="106">
        <v>350</v>
      </c>
      <c r="AD49" s="106">
        <v>350</v>
      </c>
      <c r="AE49" s="106">
        <v>350</v>
      </c>
      <c r="AF49" s="106">
        <v>303</v>
      </c>
      <c r="AG49" s="106">
        <v>348</v>
      </c>
      <c r="AH49" s="106">
        <v>350</v>
      </c>
      <c r="AI49" s="106">
        <v>350</v>
      </c>
      <c r="AJ49" s="37"/>
      <c r="AK49" s="38"/>
      <c r="AL49" s="172"/>
    </row>
    <row r="50" spans="1:38" x14ac:dyDescent="0.25">
      <c r="A50" s="11">
        <v>48</v>
      </c>
      <c r="B50" s="106">
        <v>278</v>
      </c>
      <c r="C50" s="106">
        <v>247</v>
      </c>
      <c r="D50" s="106">
        <v>402</v>
      </c>
      <c r="E50" s="106">
        <v>313</v>
      </c>
      <c r="F50" s="106">
        <v>271</v>
      </c>
      <c r="G50" s="106">
        <v>300</v>
      </c>
      <c r="H50" s="106">
        <v>400</v>
      </c>
      <c r="I50" s="37"/>
      <c r="J50" s="106">
        <v>352</v>
      </c>
      <c r="K50" s="106">
        <v>250</v>
      </c>
      <c r="L50" s="106">
        <v>250</v>
      </c>
      <c r="M50" s="106">
        <v>250</v>
      </c>
      <c r="N50" s="106">
        <v>250</v>
      </c>
      <c r="O50" s="106">
        <v>249</v>
      </c>
      <c r="P50" s="106">
        <v>300</v>
      </c>
      <c r="Q50" s="37"/>
      <c r="R50" s="106">
        <v>300</v>
      </c>
      <c r="S50" s="106">
        <v>300</v>
      </c>
      <c r="T50" s="106">
        <v>300</v>
      </c>
      <c r="U50" s="106">
        <v>300</v>
      </c>
      <c r="V50" s="106">
        <v>350</v>
      </c>
      <c r="W50" s="106">
        <v>350</v>
      </c>
      <c r="X50" s="106">
        <v>120</v>
      </c>
      <c r="Y50" s="37"/>
      <c r="Z50" s="106">
        <v>350</v>
      </c>
      <c r="AA50" s="106">
        <v>350</v>
      </c>
      <c r="AB50" s="106">
        <v>250</v>
      </c>
      <c r="AC50" s="106">
        <v>350</v>
      </c>
      <c r="AD50" s="106">
        <v>350</v>
      </c>
      <c r="AE50" s="106">
        <v>350</v>
      </c>
      <c r="AF50" s="106">
        <v>350</v>
      </c>
      <c r="AG50" s="106">
        <v>350</v>
      </c>
      <c r="AH50" s="106">
        <v>350</v>
      </c>
      <c r="AI50" s="106">
        <v>303</v>
      </c>
      <c r="AJ50" s="37"/>
      <c r="AK50" s="38"/>
      <c r="AL50" s="172"/>
    </row>
    <row r="51" spans="1:38" x14ac:dyDescent="0.25">
      <c r="A51" s="11">
        <v>49</v>
      </c>
      <c r="B51" s="106">
        <v>232</v>
      </c>
      <c r="C51" s="106">
        <v>283</v>
      </c>
      <c r="D51" s="106">
        <v>300</v>
      </c>
      <c r="E51" s="106">
        <v>281</v>
      </c>
      <c r="F51" s="106">
        <v>281</v>
      </c>
      <c r="G51" s="106">
        <v>285</v>
      </c>
      <c r="H51" s="106">
        <v>250</v>
      </c>
      <c r="I51" s="37"/>
      <c r="J51" s="106">
        <v>343</v>
      </c>
      <c r="K51" s="106">
        <v>250</v>
      </c>
      <c r="L51" s="106">
        <v>250</v>
      </c>
      <c r="M51" s="106">
        <v>250</v>
      </c>
      <c r="N51" s="106">
        <v>248</v>
      </c>
      <c r="O51" s="106">
        <v>235</v>
      </c>
      <c r="P51" s="106">
        <v>244</v>
      </c>
      <c r="Q51" s="37"/>
      <c r="R51" s="106">
        <v>300</v>
      </c>
      <c r="S51" s="106">
        <v>286</v>
      </c>
      <c r="T51" s="106">
        <v>265</v>
      </c>
      <c r="U51" s="106">
        <v>202</v>
      </c>
      <c r="V51" s="106">
        <v>320</v>
      </c>
      <c r="W51" s="106">
        <v>275</v>
      </c>
      <c r="X51" s="106">
        <v>250</v>
      </c>
      <c r="Y51" s="37"/>
      <c r="Z51" s="106">
        <v>300</v>
      </c>
      <c r="AA51" s="106">
        <v>288</v>
      </c>
      <c r="AB51" s="106">
        <v>214</v>
      </c>
      <c r="AC51" s="106">
        <v>349</v>
      </c>
      <c r="AD51" s="106">
        <v>279</v>
      </c>
      <c r="AE51" s="106">
        <v>263</v>
      </c>
      <c r="AF51" s="106">
        <v>266</v>
      </c>
      <c r="AG51" s="106" t="s">
        <v>289</v>
      </c>
      <c r="AH51" s="106">
        <v>310</v>
      </c>
      <c r="AI51" s="106">
        <v>263</v>
      </c>
      <c r="AJ51" s="37"/>
      <c r="AK51" s="38"/>
      <c r="AL51" s="172"/>
    </row>
    <row r="52" spans="1:38" x14ac:dyDescent="0.25">
      <c r="A52" s="11">
        <v>50</v>
      </c>
      <c r="B52" s="106">
        <v>116</v>
      </c>
      <c r="C52" s="106">
        <v>190</v>
      </c>
      <c r="D52" s="106">
        <v>264</v>
      </c>
      <c r="E52" s="106">
        <v>133</v>
      </c>
      <c r="F52" s="106">
        <v>323</v>
      </c>
      <c r="G52" s="106">
        <v>300</v>
      </c>
      <c r="H52" s="106">
        <v>400</v>
      </c>
      <c r="I52" s="37"/>
      <c r="J52" s="106">
        <v>365</v>
      </c>
      <c r="K52" s="106">
        <v>279</v>
      </c>
      <c r="L52" s="106">
        <v>250</v>
      </c>
      <c r="M52" s="106">
        <v>250</v>
      </c>
      <c r="N52" s="106">
        <v>250</v>
      </c>
      <c r="O52" s="106">
        <v>200</v>
      </c>
      <c r="P52" s="106">
        <v>211</v>
      </c>
      <c r="Q52" s="37"/>
      <c r="R52" s="106">
        <v>270</v>
      </c>
      <c r="S52" s="106">
        <v>219</v>
      </c>
      <c r="T52" s="106">
        <v>247</v>
      </c>
      <c r="U52" s="106">
        <v>200</v>
      </c>
      <c r="V52" s="106">
        <v>274</v>
      </c>
      <c r="W52" s="106">
        <v>233</v>
      </c>
      <c r="X52" s="106">
        <v>200</v>
      </c>
      <c r="Y52" s="37"/>
      <c r="Z52" s="106">
        <v>296</v>
      </c>
      <c r="AA52" s="106">
        <v>350</v>
      </c>
      <c r="AB52" s="106">
        <v>350</v>
      </c>
      <c r="AC52" s="106">
        <v>250</v>
      </c>
      <c r="AD52" s="106">
        <v>266</v>
      </c>
      <c r="AE52" s="106">
        <v>350</v>
      </c>
      <c r="AF52" s="106">
        <v>347</v>
      </c>
      <c r="AG52" s="106">
        <v>225</v>
      </c>
      <c r="AH52" s="106">
        <v>300</v>
      </c>
      <c r="AI52" s="106">
        <v>286</v>
      </c>
      <c r="AJ52" s="37"/>
      <c r="AK52" s="38"/>
      <c r="AL52" s="172" t="s">
        <v>310</v>
      </c>
    </row>
    <row r="53" spans="1:38" x14ac:dyDescent="0.25">
      <c r="A53" s="11">
        <v>51</v>
      </c>
      <c r="B53" s="106">
        <v>300</v>
      </c>
      <c r="C53" s="106">
        <v>214</v>
      </c>
      <c r="D53" s="106">
        <v>351</v>
      </c>
      <c r="E53" s="106">
        <v>350</v>
      </c>
      <c r="F53" s="106">
        <v>400</v>
      </c>
      <c r="G53" s="106">
        <v>300</v>
      </c>
      <c r="H53" s="106">
        <v>250</v>
      </c>
      <c r="I53" s="37"/>
      <c r="J53" s="106">
        <v>400</v>
      </c>
      <c r="K53" s="106">
        <v>300</v>
      </c>
      <c r="L53" s="106">
        <v>250</v>
      </c>
      <c r="M53" s="106">
        <v>250</v>
      </c>
      <c r="N53" s="106">
        <v>250</v>
      </c>
      <c r="O53" s="106">
        <v>300</v>
      </c>
      <c r="P53" s="106">
        <v>298</v>
      </c>
      <c r="Q53" s="37"/>
      <c r="R53" s="106">
        <v>264</v>
      </c>
      <c r="S53" s="106">
        <v>201</v>
      </c>
      <c r="T53" s="106">
        <v>214</v>
      </c>
      <c r="U53" s="106">
        <v>201</v>
      </c>
      <c r="V53" s="106">
        <v>200</v>
      </c>
      <c r="W53" s="106">
        <v>151</v>
      </c>
      <c r="X53" s="106">
        <v>199</v>
      </c>
      <c r="Y53" s="37"/>
      <c r="Z53" s="106">
        <v>300</v>
      </c>
      <c r="AA53" s="106">
        <v>324</v>
      </c>
      <c r="AB53" s="106">
        <v>350</v>
      </c>
      <c r="AC53" s="106">
        <v>300</v>
      </c>
      <c r="AD53" s="106">
        <v>350</v>
      </c>
      <c r="AE53" s="106">
        <v>250</v>
      </c>
      <c r="AF53" s="106">
        <v>350</v>
      </c>
      <c r="AG53" s="106">
        <v>300</v>
      </c>
      <c r="AH53" s="106" t="s">
        <v>289</v>
      </c>
      <c r="AI53" s="106" t="s">
        <v>289</v>
      </c>
      <c r="AJ53" s="37"/>
      <c r="AK53" s="38"/>
      <c r="AL53" s="172" t="s">
        <v>301</v>
      </c>
    </row>
    <row r="54" spans="1:38" x14ac:dyDescent="0.25">
      <c r="A54" s="11">
        <v>52</v>
      </c>
      <c r="B54" s="106">
        <v>130</v>
      </c>
      <c r="C54" s="106">
        <v>102</v>
      </c>
      <c r="D54" s="106">
        <v>366</v>
      </c>
      <c r="E54" s="106">
        <v>201</v>
      </c>
      <c r="F54" s="116">
        <v>300</v>
      </c>
      <c r="G54" s="116">
        <v>194</v>
      </c>
      <c r="H54" s="116">
        <v>251</v>
      </c>
      <c r="I54" s="37"/>
      <c r="J54" s="116">
        <v>222</v>
      </c>
      <c r="K54" s="106">
        <v>247</v>
      </c>
      <c r="L54" s="106">
        <v>215</v>
      </c>
      <c r="M54" s="106">
        <v>171</v>
      </c>
      <c r="N54" s="106">
        <v>122</v>
      </c>
      <c r="O54" s="106">
        <v>180</v>
      </c>
      <c r="P54" s="106">
        <v>193</v>
      </c>
      <c r="Q54" s="37"/>
      <c r="R54" s="106">
        <v>227</v>
      </c>
      <c r="S54" s="106">
        <v>192</v>
      </c>
      <c r="T54" s="106">
        <v>300</v>
      </c>
      <c r="U54" s="106" t="s">
        <v>289</v>
      </c>
      <c r="V54" s="106">
        <v>284</v>
      </c>
      <c r="W54" s="106">
        <v>190</v>
      </c>
      <c r="X54" s="106">
        <v>201</v>
      </c>
      <c r="Y54" s="37"/>
      <c r="Z54" s="106">
        <v>238</v>
      </c>
      <c r="AA54" s="106">
        <v>320</v>
      </c>
      <c r="AB54" s="106">
        <v>298</v>
      </c>
      <c r="AC54" s="106">
        <v>250</v>
      </c>
      <c r="AD54" s="106">
        <v>182</v>
      </c>
      <c r="AE54" s="106">
        <v>350</v>
      </c>
      <c r="AF54" s="106">
        <v>250</v>
      </c>
      <c r="AG54" s="106">
        <v>350</v>
      </c>
      <c r="AH54" s="106">
        <v>342</v>
      </c>
      <c r="AI54" s="106">
        <v>232</v>
      </c>
      <c r="AJ54" s="37"/>
      <c r="AK54" s="38"/>
      <c r="AL54" s="172" t="s">
        <v>307</v>
      </c>
    </row>
    <row r="55" spans="1:38" x14ac:dyDescent="0.25">
      <c r="A55" s="11">
        <v>53</v>
      </c>
      <c r="B55" s="106">
        <v>161</v>
      </c>
      <c r="C55" s="106">
        <v>153</v>
      </c>
      <c r="D55" s="106">
        <v>273</v>
      </c>
      <c r="E55" s="106">
        <v>203</v>
      </c>
      <c r="F55" s="106">
        <v>340</v>
      </c>
      <c r="G55" s="106">
        <v>251</v>
      </c>
      <c r="H55" s="106">
        <v>352</v>
      </c>
      <c r="I55" s="37"/>
      <c r="J55" s="106">
        <v>250</v>
      </c>
      <c r="K55" s="106">
        <v>301</v>
      </c>
      <c r="L55" s="106">
        <v>250</v>
      </c>
      <c r="M55" s="106">
        <v>250</v>
      </c>
      <c r="N55" s="106">
        <v>118</v>
      </c>
      <c r="O55" s="106" t="s">
        <v>289</v>
      </c>
      <c r="P55" s="106" t="s">
        <v>289</v>
      </c>
      <c r="Q55" s="37"/>
      <c r="R55" s="106" t="s">
        <v>289</v>
      </c>
      <c r="S55" s="106" t="s">
        <v>289</v>
      </c>
      <c r="T55" s="106">
        <v>200</v>
      </c>
      <c r="U55" s="106">
        <v>300</v>
      </c>
      <c r="V55" s="106">
        <v>350</v>
      </c>
      <c r="W55" s="106">
        <v>350</v>
      </c>
      <c r="X55" s="106">
        <v>201</v>
      </c>
      <c r="Y55" s="37"/>
      <c r="Z55" s="106">
        <v>298</v>
      </c>
      <c r="AA55" s="106">
        <v>289</v>
      </c>
      <c r="AB55" s="106">
        <v>350</v>
      </c>
      <c r="AC55" s="106">
        <v>349</v>
      </c>
      <c r="AD55" s="106">
        <v>201</v>
      </c>
      <c r="AE55" s="106">
        <v>200</v>
      </c>
      <c r="AF55" s="106">
        <v>299</v>
      </c>
      <c r="AG55" s="106">
        <v>336</v>
      </c>
      <c r="AH55" s="106">
        <v>211</v>
      </c>
      <c r="AI55" s="106">
        <v>219</v>
      </c>
      <c r="AJ55" s="37"/>
      <c r="AK55" s="38"/>
      <c r="AL55" s="172" t="s">
        <v>308</v>
      </c>
    </row>
    <row r="56" spans="1:38" x14ac:dyDescent="0.25">
      <c r="A56" s="11">
        <v>54</v>
      </c>
      <c r="B56" s="106">
        <v>249</v>
      </c>
      <c r="C56" s="106">
        <v>233</v>
      </c>
      <c r="D56" s="106">
        <v>247</v>
      </c>
      <c r="E56" s="106">
        <v>200</v>
      </c>
      <c r="F56" s="106">
        <v>277</v>
      </c>
      <c r="G56" s="106">
        <v>246</v>
      </c>
      <c r="H56" s="106">
        <v>266</v>
      </c>
      <c r="I56" s="37"/>
      <c r="J56" s="106">
        <v>255</v>
      </c>
      <c r="K56" s="106">
        <v>250</v>
      </c>
      <c r="L56" s="106">
        <v>235</v>
      </c>
      <c r="M56" s="106">
        <v>237</v>
      </c>
      <c r="N56" s="106">
        <v>225</v>
      </c>
      <c r="O56" s="106">
        <v>184</v>
      </c>
      <c r="P56" s="106">
        <v>232</v>
      </c>
      <c r="Q56" s="37"/>
      <c r="R56" s="106">
        <v>261</v>
      </c>
      <c r="S56" s="106">
        <v>240</v>
      </c>
      <c r="T56" s="106">
        <v>291</v>
      </c>
      <c r="U56" s="106">
        <v>248</v>
      </c>
      <c r="V56" s="106">
        <v>305</v>
      </c>
      <c r="W56" s="106">
        <v>230</v>
      </c>
      <c r="X56" s="106">
        <v>229</v>
      </c>
      <c r="Y56" s="37"/>
      <c r="Z56" s="106">
        <v>245</v>
      </c>
      <c r="AA56" s="106">
        <v>349</v>
      </c>
      <c r="AB56" s="106">
        <v>308</v>
      </c>
      <c r="AC56" s="106">
        <v>346</v>
      </c>
      <c r="AD56" s="106">
        <v>245</v>
      </c>
      <c r="AE56" s="106">
        <v>350</v>
      </c>
      <c r="AF56" s="106">
        <v>151</v>
      </c>
      <c r="AG56" s="106">
        <v>350</v>
      </c>
      <c r="AH56" s="106">
        <v>295</v>
      </c>
      <c r="AI56" s="106">
        <v>245</v>
      </c>
      <c r="AJ56" s="37"/>
      <c r="AK56" s="38"/>
      <c r="AL56" s="172" t="s">
        <v>309</v>
      </c>
    </row>
    <row r="57" spans="1:38" x14ac:dyDescent="0.25">
      <c r="A57" s="11">
        <v>55</v>
      </c>
      <c r="B57" s="106">
        <v>245</v>
      </c>
      <c r="C57" s="106">
        <v>225</v>
      </c>
      <c r="D57" s="106">
        <v>265</v>
      </c>
      <c r="E57" s="106">
        <v>163</v>
      </c>
      <c r="F57" s="106">
        <v>154</v>
      </c>
      <c r="G57" s="106">
        <v>223</v>
      </c>
      <c r="H57" s="106">
        <v>261</v>
      </c>
      <c r="I57" s="37"/>
      <c r="J57" s="106">
        <v>202</v>
      </c>
      <c r="K57" s="106">
        <v>250</v>
      </c>
      <c r="L57" s="106">
        <v>250</v>
      </c>
      <c r="M57" s="106">
        <v>230</v>
      </c>
      <c r="N57" s="106">
        <v>250</v>
      </c>
      <c r="O57" s="106">
        <v>199</v>
      </c>
      <c r="P57" s="106">
        <v>191</v>
      </c>
      <c r="Q57" s="37"/>
      <c r="R57" s="106">
        <v>275</v>
      </c>
      <c r="S57" s="106">
        <v>208</v>
      </c>
      <c r="T57" s="106">
        <v>222</v>
      </c>
      <c r="U57" s="106">
        <v>227</v>
      </c>
      <c r="V57" s="106">
        <v>181</v>
      </c>
      <c r="W57" s="106">
        <v>227</v>
      </c>
      <c r="X57" s="106">
        <v>135</v>
      </c>
      <c r="Y57" s="37"/>
      <c r="Z57" s="106">
        <v>290</v>
      </c>
      <c r="AA57" s="106">
        <v>219</v>
      </c>
      <c r="AB57" s="106">
        <v>208</v>
      </c>
      <c r="AC57" s="106">
        <v>311</v>
      </c>
      <c r="AD57" s="106">
        <v>250</v>
      </c>
      <c r="AE57" s="106">
        <v>215</v>
      </c>
      <c r="AF57" s="106">
        <v>350</v>
      </c>
      <c r="AG57" s="106" t="s">
        <v>289</v>
      </c>
      <c r="AH57" s="106">
        <v>335</v>
      </c>
      <c r="AI57" s="106">
        <v>249</v>
      </c>
      <c r="AJ57" s="37"/>
      <c r="AK57" s="38"/>
      <c r="AL57" s="172" t="s">
        <v>311</v>
      </c>
    </row>
    <row r="58" spans="1:38" x14ac:dyDescent="0.25">
      <c r="A58" s="11">
        <v>56</v>
      </c>
      <c r="B58" s="106">
        <v>198</v>
      </c>
      <c r="C58" s="106">
        <v>234</v>
      </c>
      <c r="D58" s="106">
        <v>247</v>
      </c>
      <c r="E58" s="106">
        <v>180</v>
      </c>
      <c r="F58" s="106">
        <v>149</v>
      </c>
      <c r="G58" s="106">
        <v>208</v>
      </c>
      <c r="H58" s="106">
        <v>273</v>
      </c>
      <c r="I58" s="37"/>
      <c r="J58" s="106">
        <v>196</v>
      </c>
      <c r="K58" s="106">
        <v>271</v>
      </c>
      <c r="L58" s="106">
        <v>234</v>
      </c>
      <c r="M58" s="106">
        <v>185</v>
      </c>
      <c r="N58" s="106">
        <v>247</v>
      </c>
      <c r="O58" s="106">
        <v>150</v>
      </c>
      <c r="P58" s="106">
        <v>221</v>
      </c>
      <c r="Q58" s="37"/>
      <c r="R58" s="106">
        <v>262</v>
      </c>
      <c r="S58" s="106">
        <v>170</v>
      </c>
      <c r="T58" s="106">
        <v>281</v>
      </c>
      <c r="U58" s="106">
        <v>300</v>
      </c>
      <c r="V58" s="106">
        <v>210</v>
      </c>
      <c r="W58" s="106">
        <v>273</v>
      </c>
      <c r="X58" s="106">
        <v>200</v>
      </c>
      <c r="Y58" s="37"/>
      <c r="Z58" s="106">
        <v>272</v>
      </c>
      <c r="AA58" s="106">
        <v>305</v>
      </c>
      <c r="AB58" s="106">
        <v>234</v>
      </c>
      <c r="AC58" s="106">
        <v>196</v>
      </c>
      <c r="AD58" s="106">
        <v>231</v>
      </c>
      <c r="AE58" s="106">
        <v>200</v>
      </c>
      <c r="AF58" s="106">
        <v>350</v>
      </c>
      <c r="AG58" s="106" t="s">
        <v>289</v>
      </c>
      <c r="AH58" s="106">
        <v>232</v>
      </c>
      <c r="AI58" s="106">
        <v>153</v>
      </c>
      <c r="AJ58" s="37"/>
      <c r="AK58" s="38"/>
      <c r="AL58" s="172" t="s">
        <v>302</v>
      </c>
    </row>
    <row r="59" spans="1:38" x14ac:dyDescent="0.25">
      <c r="A59" s="11">
        <v>57</v>
      </c>
      <c r="B59" s="106">
        <v>236</v>
      </c>
      <c r="C59" s="106">
        <v>146</v>
      </c>
      <c r="D59" s="106">
        <v>150</v>
      </c>
      <c r="E59" s="106" t="s">
        <v>289</v>
      </c>
      <c r="F59" s="106">
        <v>250</v>
      </c>
      <c r="G59" s="106">
        <v>200</v>
      </c>
      <c r="H59" s="106">
        <v>233</v>
      </c>
      <c r="I59" s="37"/>
      <c r="J59" s="106">
        <v>200</v>
      </c>
      <c r="K59" s="106" t="s">
        <v>289</v>
      </c>
      <c r="L59" s="106" t="s">
        <v>289</v>
      </c>
      <c r="M59" s="106" t="s">
        <v>289</v>
      </c>
      <c r="N59" s="106" t="s">
        <v>289</v>
      </c>
      <c r="O59" s="106" t="s">
        <v>289</v>
      </c>
      <c r="P59" s="106" t="s">
        <v>289</v>
      </c>
      <c r="Q59" s="37"/>
      <c r="R59" s="106" t="s">
        <v>289</v>
      </c>
      <c r="S59" s="106" t="s">
        <v>289</v>
      </c>
      <c r="T59" s="106">
        <v>200</v>
      </c>
      <c r="U59" s="106" t="s">
        <v>289</v>
      </c>
      <c r="V59" s="106" t="s">
        <v>289</v>
      </c>
      <c r="W59" s="106" t="s">
        <v>289</v>
      </c>
      <c r="X59" s="106" t="s">
        <v>289</v>
      </c>
      <c r="Y59" s="37"/>
      <c r="Z59" s="106" t="s">
        <v>289</v>
      </c>
      <c r="AA59" s="106" t="s">
        <v>289</v>
      </c>
      <c r="AB59" s="106" t="s">
        <v>289</v>
      </c>
      <c r="AC59" s="106" t="s">
        <v>289</v>
      </c>
      <c r="AD59" s="106" t="s">
        <v>289</v>
      </c>
      <c r="AE59" s="106" t="s">
        <v>289</v>
      </c>
      <c r="AF59" s="106" t="s">
        <v>289</v>
      </c>
      <c r="AG59" s="106" t="s">
        <v>289</v>
      </c>
      <c r="AH59" s="106" t="s">
        <v>289</v>
      </c>
      <c r="AI59" s="106" t="s">
        <v>289</v>
      </c>
      <c r="AJ59" s="37"/>
      <c r="AK59" s="38"/>
      <c r="AL59" s="172" t="s">
        <v>303</v>
      </c>
    </row>
    <row r="60" spans="1:38" x14ac:dyDescent="0.25">
      <c r="A60" s="11">
        <v>58</v>
      </c>
      <c r="B60" s="106">
        <v>197</v>
      </c>
      <c r="C60" s="106">
        <v>243</v>
      </c>
      <c r="D60" s="106">
        <v>232</v>
      </c>
      <c r="E60" s="106">
        <v>225</v>
      </c>
      <c r="F60" s="106">
        <v>342</v>
      </c>
      <c r="G60" s="106">
        <v>235</v>
      </c>
      <c r="H60" s="106">
        <v>257</v>
      </c>
      <c r="I60" s="37"/>
      <c r="J60" s="106">
        <v>310</v>
      </c>
      <c r="K60" s="106">
        <v>277</v>
      </c>
      <c r="L60" s="106">
        <v>178</v>
      </c>
      <c r="M60" s="106">
        <v>234</v>
      </c>
      <c r="N60" s="106">
        <v>249</v>
      </c>
      <c r="O60" s="106">
        <v>200</v>
      </c>
      <c r="P60" s="106">
        <v>220</v>
      </c>
      <c r="Q60" s="37"/>
      <c r="R60" s="106">
        <v>270</v>
      </c>
      <c r="S60" s="106">
        <v>200</v>
      </c>
      <c r="T60" s="106">
        <v>211</v>
      </c>
      <c r="U60" s="106">
        <v>153</v>
      </c>
      <c r="V60" s="106">
        <v>122</v>
      </c>
      <c r="W60" s="106">
        <v>208</v>
      </c>
      <c r="X60" s="106">
        <v>201</v>
      </c>
      <c r="Y60" s="37"/>
      <c r="Z60" s="106">
        <v>160</v>
      </c>
      <c r="AA60" s="106">
        <v>243</v>
      </c>
      <c r="AB60" s="106">
        <v>328</v>
      </c>
      <c r="AC60" s="106">
        <v>300</v>
      </c>
      <c r="AD60" s="106">
        <v>172</v>
      </c>
      <c r="AE60" s="106">
        <v>200</v>
      </c>
      <c r="AF60" s="106">
        <v>350</v>
      </c>
      <c r="AG60" s="106">
        <v>247</v>
      </c>
      <c r="AH60" s="106">
        <v>295</v>
      </c>
      <c r="AI60" s="106">
        <v>236</v>
      </c>
      <c r="AJ60" s="37"/>
      <c r="AK60" s="38"/>
      <c r="AL60" s="172" t="s">
        <v>304</v>
      </c>
    </row>
    <row r="61" spans="1:38" ht="18.75" x14ac:dyDescent="0.3">
      <c r="A61" s="11">
        <v>59</v>
      </c>
      <c r="B61" s="106">
        <v>201</v>
      </c>
      <c r="C61" s="106">
        <v>213</v>
      </c>
      <c r="D61" s="106">
        <v>211</v>
      </c>
      <c r="E61" s="106">
        <v>233</v>
      </c>
      <c r="F61" s="106">
        <v>239</v>
      </c>
      <c r="G61" s="106">
        <v>228</v>
      </c>
      <c r="H61" s="106">
        <v>244</v>
      </c>
      <c r="I61" s="37"/>
      <c r="J61" s="106">
        <v>283</v>
      </c>
      <c r="K61" s="106">
        <v>278</v>
      </c>
      <c r="L61" s="106">
        <v>238</v>
      </c>
      <c r="M61" s="106" t="s">
        <v>289</v>
      </c>
      <c r="N61" s="106">
        <v>253</v>
      </c>
      <c r="O61" s="106">
        <v>250</v>
      </c>
      <c r="P61" s="106">
        <v>300</v>
      </c>
      <c r="Q61" s="37"/>
      <c r="R61" s="106">
        <v>298</v>
      </c>
      <c r="S61" s="106">
        <v>214</v>
      </c>
      <c r="T61" s="106">
        <v>210</v>
      </c>
      <c r="U61" s="106">
        <v>180</v>
      </c>
      <c r="V61" s="106">
        <v>172</v>
      </c>
      <c r="W61" s="106">
        <v>250</v>
      </c>
      <c r="X61" s="106">
        <v>249</v>
      </c>
      <c r="Y61" s="37"/>
      <c r="Z61" s="106">
        <v>199</v>
      </c>
      <c r="AA61" s="106">
        <v>265</v>
      </c>
      <c r="AB61" s="106">
        <v>350</v>
      </c>
      <c r="AC61" s="106">
        <v>300</v>
      </c>
      <c r="AD61" s="106" t="s">
        <v>289</v>
      </c>
      <c r="AE61" s="106">
        <v>256</v>
      </c>
      <c r="AF61" s="106">
        <v>350</v>
      </c>
      <c r="AG61" s="106">
        <v>273</v>
      </c>
      <c r="AH61" s="106" t="s">
        <v>289</v>
      </c>
      <c r="AI61" s="106" t="s">
        <v>289</v>
      </c>
      <c r="AJ61" s="37"/>
      <c r="AK61" s="538">
        <v>85353</v>
      </c>
      <c r="AL61" s="172" t="s">
        <v>305</v>
      </c>
    </row>
    <row r="62" spans="1:38" ht="18.75" x14ac:dyDescent="0.3">
      <c r="A62" s="11">
        <v>60</v>
      </c>
      <c r="B62" s="106">
        <v>237</v>
      </c>
      <c r="C62" s="106">
        <v>226</v>
      </c>
      <c r="D62" s="106">
        <v>214</v>
      </c>
      <c r="E62" s="106">
        <v>213</v>
      </c>
      <c r="F62" s="106">
        <v>351</v>
      </c>
      <c r="G62" s="106">
        <v>207</v>
      </c>
      <c r="H62" s="106">
        <v>238</v>
      </c>
      <c r="I62" s="37"/>
      <c r="J62" s="106">
        <v>219</v>
      </c>
      <c r="K62" s="106">
        <v>237</v>
      </c>
      <c r="L62" s="106">
        <v>247</v>
      </c>
      <c r="M62" s="106">
        <v>200</v>
      </c>
      <c r="N62" s="106">
        <v>250</v>
      </c>
      <c r="O62" s="106">
        <v>200</v>
      </c>
      <c r="P62" s="106">
        <v>222</v>
      </c>
      <c r="Q62" s="37"/>
      <c r="R62" s="106">
        <v>240</v>
      </c>
      <c r="S62" s="106">
        <v>175</v>
      </c>
      <c r="T62" s="106">
        <v>211</v>
      </c>
      <c r="U62" s="106">
        <v>208</v>
      </c>
      <c r="V62" s="106">
        <v>237</v>
      </c>
      <c r="W62" s="106">
        <v>204</v>
      </c>
      <c r="X62" s="106">
        <v>199</v>
      </c>
      <c r="Y62" s="37"/>
      <c r="Z62" s="106">
        <v>272</v>
      </c>
      <c r="AA62" s="106">
        <v>286</v>
      </c>
      <c r="AB62" s="106">
        <v>350</v>
      </c>
      <c r="AC62" s="106">
        <v>251</v>
      </c>
      <c r="AD62" s="106">
        <v>215</v>
      </c>
      <c r="AE62" s="106">
        <v>344</v>
      </c>
      <c r="AF62" s="106">
        <v>312</v>
      </c>
      <c r="AG62" s="106">
        <v>264</v>
      </c>
      <c r="AH62" s="106">
        <v>288</v>
      </c>
      <c r="AI62" s="106">
        <v>242</v>
      </c>
      <c r="AJ62" s="37"/>
      <c r="AK62" s="538">
        <v>74891</v>
      </c>
      <c r="AL62" s="172" t="s">
        <v>306</v>
      </c>
    </row>
    <row r="63" spans="1:38" ht="18.75" x14ac:dyDescent="0.3">
      <c r="A63" s="11">
        <v>61</v>
      </c>
      <c r="B63" s="106">
        <v>115</v>
      </c>
      <c r="C63" s="106" t="s">
        <v>289</v>
      </c>
      <c r="D63" s="106">
        <v>308</v>
      </c>
      <c r="E63" s="106">
        <v>200</v>
      </c>
      <c r="F63" s="106">
        <v>280</v>
      </c>
      <c r="G63" s="106">
        <v>232</v>
      </c>
      <c r="H63" s="106">
        <v>279</v>
      </c>
      <c r="I63" s="37"/>
      <c r="J63" s="106">
        <v>232</v>
      </c>
      <c r="K63" s="106">
        <v>247</v>
      </c>
      <c r="L63" s="106">
        <v>249</v>
      </c>
      <c r="M63" s="106">
        <v>200</v>
      </c>
      <c r="N63" s="106">
        <v>250</v>
      </c>
      <c r="O63" s="106">
        <v>210</v>
      </c>
      <c r="P63" s="106">
        <v>221</v>
      </c>
      <c r="Q63" s="37"/>
      <c r="R63" s="106">
        <v>252</v>
      </c>
      <c r="S63" s="106">
        <v>234</v>
      </c>
      <c r="T63" s="106">
        <v>200</v>
      </c>
      <c r="U63" s="106">
        <v>108</v>
      </c>
      <c r="V63" s="106">
        <v>178</v>
      </c>
      <c r="W63" s="106">
        <v>215</v>
      </c>
      <c r="X63" s="106">
        <v>200</v>
      </c>
      <c r="Y63" s="37"/>
      <c r="Z63" s="106">
        <v>315</v>
      </c>
      <c r="AA63" s="106">
        <v>222</v>
      </c>
      <c r="AB63" s="106">
        <v>222</v>
      </c>
      <c r="AC63" s="106">
        <v>208</v>
      </c>
      <c r="AD63" s="106">
        <v>234</v>
      </c>
      <c r="AE63" s="106">
        <v>350</v>
      </c>
      <c r="AF63" s="106">
        <v>300</v>
      </c>
      <c r="AG63" s="106">
        <v>350</v>
      </c>
      <c r="AH63" s="106">
        <v>288</v>
      </c>
      <c r="AI63" s="106">
        <v>254</v>
      </c>
      <c r="AJ63" s="37"/>
      <c r="AK63" s="538">
        <v>77276</v>
      </c>
      <c r="AL63" s="172" t="s">
        <v>312</v>
      </c>
    </row>
    <row r="64" spans="1:38" ht="18.75" x14ac:dyDescent="0.3">
      <c r="A64" s="11">
        <v>62</v>
      </c>
      <c r="B64" s="106">
        <v>238</v>
      </c>
      <c r="C64" s="106">
        <v>237</v>
      </c>
      <c r="D64" s="106">
        <v>347</v>
      </c>
      <c r="E64" s="106">
        <v>217</v>
      </c>
      <c r="F64" s="106">
        <v>300</v>
      </c>
      <c r="G64" s="106">
        <v>400</v>
      </c>
      <c r="H64" s="106">
        <v>400</v>
      </c>
      <c r="I64" s="37"/>
      <c r="J64" s="106">
        <v>400</v>
      </c>
      <c r="K64" s="106">
        <v>203</v>
      </c>
      <c r="L64" s="106">
        <v>206</v>
      </c>
      <c r="M64" s="106">
        <v>221</v>
      </c>
      <c r="N64" s="106">
        <v>242</v>
      </c>
      <c r="O64" s="106">
        <v>200</v>
      </c>
      <c r="P64" s="106">
        <v>223</v>
      </c>
      <c r="Q64" s="37"/>
      <c r="R64" s="106">
        <v>256</v>
      </c>
      <c r="S64" s="106">
        <v>270</v>
      </c>
      <c r="T64" s="106">
        <v>271</v>
      </c>
      <c r="U64" s="106">
        <v>300</v>
      </c>
      <c r="V64" s="106">
        <v>223</v>
      </c>
      <c r="W64" s="106">
        <v>330</v>
      </c>
      <c r="X64" s="106">
        <v>216</v>
      </c>
      <c r="Y64" s="37"/>
      <c r="Z64" s="106">
        <v>42</v>
      </c>
      <c r="AA64" s="106">
        <v>324</v>
      </c>
      <c r="AB64" s="106">
        <v>241</v>
      </c>
      <c r="AC64" s="106">
        <v>260</v>
      </c>
      <c r="AD64" s="106">
        <v>215</v>
      </c>
      <c r="AE64" s="106">
        <v>292</v>
      </c>
      <c r="AF64" s="106">
        <v>289</v>
      </c>
      <c r="AG64" s="106">
        <v>256</v>
      </c>
      <c r="AH64" s="106">
        <v>219</v>
      </c>
      <c r="AI64" s="106">
        <v>173</v>
      </c>
      <c r="AJ64" s="37"/>
      <c r="AK64" s="626">
        <v>122713</v>
      </c>
      <c r="AL64" s="172"/>
    </row>
    <row r="65" spans="1:38" ht="15.75" thickBot="1" x14ac:dyDescent="0.3">
      <c r="A65" s="62">
        <v>63</v>
      </c>
      <c r="B65" s="547" t="s">
        <v>290</v>
      </c>
      <c r="C65" s="547" t="s">
        <v>290</v>
      </c>
      <c r="D65" s="547" t="s">
        <v>290</v>
      </c>
      <c r="E65" s="547" t="s">
        <v>290</v>
      </c>
      <c r="F65" s="547" t="s">
        <v>290</v>
      </c>
      <c r="G65" s="547" t="s">
        <v>290</v>
      </c>
      <c r="H65" s="547" t="s">
        <v>290</v>
      </c>
      <c r="I65" s="110"/>
      <c r="J65" s="547" t="s">
        <v>290</v>
      </c>
      <c r="K65" s="547" t="s">
        <v>290</v>
      </c>
      <c r="L65" s="547" t="s">
        <v>290</v>
      </c>
      <c r="M65" s="547" t="s">
        <v>290</v>
      </c>
      <c r="N65" s="547" t="s">
        <v>290</v>
      </c>
      <c r="O65" s="547" t="s">
        <v>290</v>
      </c>
      <c r="P65" s="547" t="s">
        <v>290</v>
      </c>
      <c r="Q65" s="110"/>
      <c r="R65" s="547" t="s">
        <v>290</v>
      </c>
      <c r="S65" s="547" t="s">
        <v>290</v>
      </c>
      <c r="T65" s="547" t="s">
        <v>290</v>
      </c>
      <c r="U65" s="547" t="s">
        <v>290</v>
      </c>
      <c r="V65" s="547" t="s">
        <v>290</v>
      </c>
      <c r="W65" s="547" t="s">
        <v>290</v>
      </c>
      <c r="X65" s="547" t="s">
        <v>290</v>
      </c>
      <c r="Y65" s="114"/>
      <c r="Z65" s="547" t="s">
        <v>290</v>
      </c>
      <c r="AA65" s="547" t="s">
        <v>290</v>
      </c>
      <c r="AB65" s="547" t="s">
        <v>290</v>
      </c>
      <c r="AC65" s="547" t="s">
        <v>290</v>
      </c>
      <c r="AD65" s="547" t="s">
        <v>290</v>
      </c>
      <c r="AE65" s="547" t="s">
        <v>290</v>
      </c>
      <c r="AF65" s="547" t="s">
        <v>290</v>
      </c>
      <c r="AG65" s="547" t="s">
        <v>290</v>
      </c>
      <c r="AH65" s="547" t="s">
        <v>290</v>
      </c>
      <c r="AI65" s="547" t="s">
        <v>290</v>
      </c>
      <c r="AJ65" s="114"/>
      <c r="AK65" s="44"/>
      <c r="AL65" s="172"/>
    </row>
    <row r="66" spans="1:38" ht="18.75" x14ac:dyDescent="0.3">
      <c r="A66" s="485" t="s">
        <v>2</v>
      </c>
      <c r="B66" s="488">
        <f>SUM(B4:B65)</f>
        <v>9451</v>
      </c>
      <c r="C66" s="488">
        <f>SUM(C4:C65)</f>
        <v>11029</v>
      </c>
      <c r="D66" s="488">
        <f>SUM(D3:D65)</f>
        <v>13700</v>
      </c>
      <c r="E66" s="488">
        <f>SUM(E3:E65)</f>
        <v>10548</v>
      </c>
      <c r="F66" s="488">
        <f>SUM(F3:F65)</f>
        <v>14243</v>
      </c>
      <c r="G66" s="488">
        <f>SUM(G3:G65)</f>
        <v>12165</v>
      </c>
      <c r="H66" s="488">
        <f>SUM(H3:H65)</f>
        <v>14217</v>
      </c>
      <c r="I66" s="488">
        <f>SUM(B66:H66)</f>
        <v>85353</v>
      </c>
      <c r="J66" s="488">
        <f>SUM(J3:J65)</f>
        <v>13841</v>
      </c>
      <c r="K66" s="488">
        <f>SUM(K3:K65)</f>
        <v>11683</v>
      </c>
      <c r="L66" s="488">
        <f>SUM(L4:L65)</f>
        <v>9906</v>
      </c>
      <c r="M66" s="488">
        <f>SUM(M4:M65)</f>
        <v>9624</v>
      </c>
      <c r="N66" s="488">
        <f>SUM(N3:N65)</f>
        <v>9861</v>
      </c>
      <c r="O66" s="488">
        <f>SUM(O3:O65)</f>
        <v>10065</v>
      </c>
      <c r="P66" s="488">
        <f>SUM(P3:P65)</f>
        <v>10327</v>
      </c>
      <c r="Q66" s="497">
        <f>SUM(J66:P66)</f>
        <v>75307</v>
      </c>
      <c r="R66" s="488">
        <f t="shared" ref="R66:W66" si="0">SUM(R3:R65)</f>
        <v>11395</v>
      </c>
      <c r="S66" s="488">
        <f t="shared" si="0"/>
        <v>9913</v>
      </c>
      <c r="T66" s="488">
        <f t="shared" si="0"/>
        <v>11959</v>
      </c>
      <c r="U66" s="488">
        <f t="shared" si="0"/>
        <v>10185</v>
      </c>
      <c r="V66" s="488">
        <f t="shared" si="0"/>
        <v>11642</v>
      </c>
      <c r="W66" s="488">
        <f t="shared" si="0"/>
        <v>12112</v>
      </c>
      <c r="X66" s="488">
        <f>SUM(X3:X65)</f>
        <v>10070</v>
      </c>
      <c r="Y66" s="497">
        <f>SUM(R66:X66)</f>
        <v>77276</v>
      </c>
      <c r="Z66" s="488">
        <f>SUM(Z4:Z65)</f>
        <v>11292</v>
      </c>
      <c r="AA66" s="488">
        <f>SUM(AA3:AA65)</f>
        <v>13037</v>
      </c>
      <c r="AB66" s="488">
        <f>SUM(AB3:AB65)</f>
        <v>13234</v>
      </c>
      <c r="AC66" s="488">
        <f>SUM(AC3:AC65)</f>
        <v>13040</v>
      </c>
      <c r="AD66" s="488">
        <f>SUM(AD3:AD65)</f>
        <v>11871</v>
      </c>
      <c r="AE66" s="488">
        <f>SUM(AE4:AE65)</f>
        <v>10955</v>
      </c>
      <c r="AF66" s="488">
        <f>SUM(AF3:AF65)</f>
        <v>13612</v>
      </c>
      <c r="AG66" s="488">
        <f>SUM(AG3:AG65)</f>
        <v>12694</v>
      </c>
      <c r="AH66" s="488">
        <f>SUM(AH3:AH65)</f>
        <v>11140</v>
      </c>
      <c r="AI66" s="488">
        <f>SUM(AI3:AI65)</f>
        <v>11838</v>
      </c>
      <c r="AJ66" s="497">
        <f>SUM(Z66:AI66)</f>
        <v>122713</v>
      </c>
      <c r="AK66" s="627">
        <f>SUM(AK61:AK65)</f>
        <v>360233</v>
      </c>
      <c r="AL66" s="509"/>
    </row>
    <row r="67" spans="1:38" ht="15.75" thickBot="1" x14ac:dyDescent="0.3">
      <c r="A67" s="264"/>
      <c r="B67" s="265" t="s">
        <v>264</v>
      </c>
      <c r="C67" s="265" t="s">
        <v>259</v>
      </c>
      <c r="D67" s="265" t="s">
        <v>261</v>
      </c>
      <c r="E67" s="265" t="s">
        <v>292</v>
      </c>
      <c r="F67" s="265" t="s">
        <v>262</v>
      </c>
      <c r="G67" s="265" t="s">
        <v>261</v>
      </c>
      <c r="H67" s="265" t="s">
        <v>263</v>
      </c>
      <c r="I67" s="56"/>
      <c r="J67" s="265" t="s">
        <v>262</v>
      </c>
      <c r="K67" s="265" t="s">
        <v>260</v>
      </c>
      <c r="L67" s="265" t="s">
        <v>260</v>
      </c>
      <c r="M67" s="265" t="s">
        <v>292</v>
      </c>
      <c r="N67" s="265" t="s">
        <v>259</v>
      </c>
      <c r="O67" s="265" t="s">
        <v>260</v>
      </c>
      <c r="P67" s="265" t="s">
        <v>259</v>
      </c>
      <c r="Q67" s="56"/>
      <c r="R67" s="265" t="s">
        <v>259</v>
      </c>
      <c r="S67" s="265" t="s">
        <v>259</v>
      </c>
      <c r="T67" s="265" t="s">
        <v>262</v>
      </c>
      <c r="U67" s="265" t="s">
        <v>292</v>
      </c>
      <c r="V67" s="265" t="s">
        <v>261</v>
      </c>
      <c r="W67" s="558">
        <v>401211</v>
      </c>
      <c r="X67" s="265" t="s">
        <v>265</v>
      </c>
      <c r="Y67" s="56"/>
      <c r="Z67" s="265" t="s">
        <v>329</v>
      </c>
      <c r="AA67" s="265" t="s">
        <v>261</v>
      </c>
      <c r="AB67" s="265" t="s">
        <v>261</v>
      </c>
      <c r="AC67" s="265" t="s">
        <v>261</v>
      </c>
      <c r="AD67" s="265" t="s">
        <v>260</v>
      </c>
      <c r="AE67" s="265" t="s">
        <v>333</v>
      </c>
      <c r="AF67" s="265" t="s">
        <v>261</v>
      </c>
      <c r="AG67" s="265" t="s">
        <v>259</v>
      </c>
      <c r="AH67" s="265" t="s">
        <v>335</v>
      </c>
      <c r="AI67" s="265" t="s">
        <v>265</v>
      </c>
      <c r="AJ67" s="56"/>
      <c r="AK67" s="225"/>
      <c r="AL67" s="197"/>
    </row>
    <row r="68" spans="1:38" ht="24" thickBot="1" x14ac:dyDescent="0.4">
      <c r="A68" s="252" t="s">
        <v>104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3"/>
    </row>
    <row r="69" spans="1:38" ht="16.5" thickBot="1" x14ac:dyDescent="0.3">
      <c r="A69" s="470" t="s">
        <v>7</v>
      </c>
      <c r="B69" s="471">
        <v>1</v>
      </c>
      <c r="C69" s="471">
        <v>2</v>
      </c>
      <c r="D69" s="471">
        <v>3</v>
      </c>
      <c r="E69" s="471">
        <v>4</v>
      </c>
      <c r="F69" s="471">
        <v>5</v>
      </c>
      <c r="G69" s="471">
        <v>6</v>
      </c>
      <c r="H69" s="471">
        <v>7</v>
      </c>
      <c r="I69" s="458" t="s">
        <v>6</v>
      </c>
      <c r="J69" s="471">
        <v>8</v>
      </c>
      <c r="K69" s="471">
        <v>9</v>
      </c>
      <c r="L69" s="471">
        <v>10</v>
      </c>
      <c r="M69" s="471">
        <v>11</v>
      </c>
      <c r="N69" s="471">
        <v>12</v>
      </c>
      <c r="O69" s="471">
        <v>13</v>
      </c>
      <c r="P69" s="471">
        <v>14</v>
      </c>
      <c r="Q69" s="458" t="s">
        <v>6</v>
      </c>
      <c r="R69" s="471">
        <v>15</v>
      </c>
      <c r="S69" s="471">
        <v>16</v>
      </c>
      <c r="T69" s="471">
        <v>17</v>
      </c>
      <c r="U69" s="471">
        <v>18</v>
      </c>
      <c r="V69" s="471">
        <v>19</v>
      </c>
      <c r="W69" s="471">
        <v>20</v>
      </c>
      <c r="X69" s="471">
        <v>21</v>
      </c>
      <c r="Y69" s="458" t="s">
        <v>6</v>
      </c>
      <c r="Z69" s="471">
        <v>22</v>
      </c>
      <c r="AA69" s="471">
        <v>23</v>
      </c>
      <c r="AB69" s="471">
        <v>24</v>
      </c>
      <c r="AC69" s="471">
        <v>25</v>
      </c>
      <c r="AD69" s="471">
        <v>26</v>
      </c>
      <c r="AE69" s="471">
        <v>27</v>
      </c>
      <c r="AF69" s="471">
        <v>28</v>
      </c>
      <c r="AG69" s="471">
        <v>29</v>
      </c>
      <c r="AH69" s="471">
        <v>30</v>
      </c>
      <c r="AI69" s="471">
        <v>31</v>
      </c>
      <c r="AJ69" s="459" t="s">
        <v>6</v>
      </c>
      <c r="AK69" s="460" t="s">
        <v>0</v>
      </c>
      <c r="AL69" s="446" t="s">
        <v>42</v>
      </c>
    </row>
    <row r="70" spans="1:38" x14ac:dyDescent="0.25">
      <c r="A70" s="394">
        <v>23</v>
      </c>
      <c r="B70" s="531">
        <v>0</v>
      </c>
      <c r="C70" s="531">
        <v>0</v>
      </c>
      <c r="D70" s="531">
        <v>0</v>
      </c>
      <c r="E70" s="531">
        <v>0</v>
      </c>
      <c r="F70" s="531">
        <v>0</v>
      </c>
      <c r="G70" s="531">
        <v>0</v>
      </c>
      <c r="H70" s="531">
        <v>0</v>
      </c>
      <c r="I70" s="160"/>
      <c r="J70" s="531">
        <v>0</v>
      </c>
      <c r="K70" s="531">
        <v>0</v>
      </c>
      <c r="L70" s="531">
        <v>0</v>
      </c>
      <c r="M70" s="531">
        <v>0</v>
      </c>
      <c r="N70" s="531">
        <v>0</v>
      </c>
      <c r="O70" s="531">
        <v>0</v>
      </c>
      <c r="P70" s="531">
        <v>0</v>
      </c>
      <c r="Q70" s="160"/>
      <c r="R70" s="531">
        <v>0</v>
      </c>
      <c r="S70" s="531">
        <v>0</v>
      </c>
      <c r="T70" s="531">
        <v>0</v>
      </c>
      <c r="U70" s="531">
        <v>0</v>
      </c>
      <c r="V70" s="531">
        <v>0</v>
      </c>
      <c r="W70" s="531">
        <v>0</v>
      </c>
      <c r="X70" s="531">
        <v>0</v>
      </c>
      <c r="Y70" s="160"/>
      <c r="Z70" s="531">
        <v>0</v>
      </c>
      <c r="AA70" s="531">
        <v>0</v>
      </c>
      <c r="AB70" s="531">
        <v>0</v>
      </c>
      <c r="AC70" s="531">
        <v>0</v>
      </c>
      <c r="AD70" s="531">
        <v>0</v>
      </c>
      <c r="AE70" s="531">
        <v>0</v>
      </c>
      <c r="AF70" s="531">
        <v>0</v>
      </c>
      <c r="AG70" s="531">
        <v>0</v>
      </c>
      <c r="AH70" s="531">
        <v>0</v>
      </c>
      <c r="AI70" s="531"/>
      <c r="AJ70" s="160"/>
      <c r="AK70" s="14"/>
      <c r="AL70" s="447" t="s">
        <v>234</v>
      </c>
    </row>
    <row r="71" spans="1:38" x14ac:dyDescent="0.25">
      <c r="A71" s="381">
        <v>83</v>
      </c>
      <c r="B71" s="135">
        <v>115.03</v>
      </c>
      <c r="C71" s="135">
        <v>92.28</v>
      </c>
      <c r="D71" s="135">
        <v>123.18</v>
      </c>
      <c r="E71" s="12">
        <v>122.76</v>
      </c>
      <c r="F71" s="135">
        <v>75.69</v>
      </c>
      <c r="G71" s="135">
        <v>110.62</v>
      </c>
      <c r="H71" s="135">
        <v>114.93</v>
      </c>
      <c r="I71" s="37"/>
      <c r="J71" s="135">
        <v>70.260000000000005</v>
      </c>
      <c r="K71" s="135">
        <v>107.54</v>
      </c>
      <c r="L71" s="135">
        <v>90.65</v>
      </c>
      <c r="M71" s="135">
        <v>123.6</v>
      </c>
      <c r="N71" s="135">
        <v>93</v>
      </c>
      <c r="O71" s="135">
        <v>123.08</v>
      </c>
      <c r="P71" s="135">
        <v>125.8</v>
      </c>
      <c r="Q71" s="37"/>
      <c r="R71" s="135">
        <v>109.72</v>
      </c>
      <c r="S71" s="12">
        <v>92.1</v>
      </c>
      <c r="T71" s="530"/>
      <c r="U71" s="12">
        <v>55.28</v>
      </c>
      <c r="V71" s="12">
        <v>65.290000000000006</v>
      </c>
      <c r="W71" s="135">
        <v>106.53</v>
      </c>
      <c r="X71" s="135">
        <v>55.4</v>
      </c>
      <c r="Y71" s="37"/>
      <c r="Z71" s="532">
        <v>128.06</v>
      </c>
      <c r="AA71" s="131">
        <v>100.43</v>
      </c>
      <c r="AB71" s="12">
        <v>102.67</v>
      </c>
      <c r="AC71" s="12">
        <v>130</v>
      </c>
      <c r="AD71" s="12">
        <v>119.22</v>
      </c>
      <c r="AE71" s="12">
        <v>96.6</v>
      </c>
      <c r="AF71" s="131">
        <v>101.43</v>
      </c>
      <c r="AG71" s="12">
        <v>109</v>
      </c>
      <c r="AH71" s="532">
        <v>125.92</v>
      </c>
      <c r="AI71" s="12">
        <v>79.48</v>
      </c>
      <c r="AJ71" s="37"/>
      <c r="AK71" s="38"/>
      <c r="AL71" s="448" t="s">
        <v>235</v>
      </c>
    </row>
    <row r="72" spans="1:38" x14ac:dyDescent="0.25">
      <c r="A72" s="381">
        <v>90</v>
      </c>
      <c r="B72" s="530"/>
      <c r="C72" s="530"/>
      <c r="D72" s="530"/>
      <c r="E72" s="530"/>
      <c r="F72" s="530"/>
      <c r="G72" s="530"/>
      <c r="H72" s="530"/>
      <c r="I72" s="111"/>
      <c r="J72" s="537"/>
      <c r="K72" s="537"/>
      <c r="L72" s="537"/>
      <c r="M72" s="537"/>
      <c r="N72" s="537"/>
      <c r="O72" s="530"/>
      <c r="P72" s="530"/>
      <c r="Q72" s="111"/>
      <c r="R72" s="537"/>
      <c r="S72" s="530"/>
      <c r="T72" s="530"/>
      <c r="U72" s="530"/>
      <c r="V72" s="530"/>
      <c r="W72" s="530"/>
      <c r="X72" s="530"/>
      <c r="Y72" s="111"/>
      <c r="Z72" s="530"/>
      <c r="AA72" s="530"/>
      <c r="AB72" s="530"/>
      <c r="AC72" s="530"/>
      <c r="AD72" s="530"/>
      <c r="AE72" s="530"/>
      <c r="AF72" s="530"/>
      <c r="AG72" s="530"/>
      <c r="AH72" s="530"/>
      <c r="AI72" s="530"/>
      <c r="AJ72" s="111"/>
      <c r="AK72" s="38"/>
      <c r="AL72" s="448"/>
    </row>
    <row r="73" spans="1:38" x14ac:dyDescent="0.25">
      <c r="A73" s="381">
        <v>93</v>
      </c>
      <c r="B73" s="530"/>
      <c r="C73" s="530"/>
      <c r="D73" s="530"/>
      <c r="E73" s="12">
        <v>16.04</v>
      </c>
      <c r="F73" s="530"/>
      <c r="G73" s="530"/>
      <c r="H73" s="530"/>
      <c r="I73" s="37"/>
      <c r="J73" s="135">
        <v>46.62</v>
      </c>
      <c r="K73" s="135">
        <v>46.24</v>
      </c>
      <c r="L73" s="135">
        <v>39.22</v>
      </c>
      <c r="M73" s="131">
        <v>44.44</v>
      </c>
      <c r="N73" s="537"/>
      <c r="O73" s="135">
        <v>62.25</v>
      </c>
      <c r="P73" s="530"/>
      <c r="Q73" s="37"/>
      <c r="R73" s="530"/>
      <c r="S73" s="530"/>
      <c r="T73" s="12">
        <v>109.93</v>
      </c>
      <c r="U73" s="12">
        <v>71.31</v>
      </c>
      <c r="V73" s="12">
        <v>28.61</v>
      </c>
      <c r="W73" s="135">
        <v>79.8</v>
      </c>
      <c r="X73" s="135">
        <v>94.01</v>
      </c>
      <c r="Y73" s="37"/>
      <c r="Z73" s="537"/>
      <c r="AA73" s="530"/>
      <c r="AB73" s="530"/>
      <c r="AC73" s="530"/>
      <c r="AD73" s="12">
        <v>89.74</v>
      </c>
      <c r="AE73" s="548">
        <v>132.07</v>
      </c>
      <c r="AF73" s="532">
        <v>178.6</v>
      </c>
      <c r="AG73" s="530"/>
      <c r="AH73" s="530"/>
      <c r="AI73" s="12"/>
      <c r="AJ73" s="37"/>
      <c r="AK73" s="38"/>
      <c r="AL73" s="449" t="s">
        <v>236</v>
      </c>
    </row>
    <row r="74" spans="1:38" x14ac:dyDescent="0.25">
      <c r="A74" s="381">
        <v>95</v>
      </c>
      <c r="B74" s="12">
        <v>119.26</v>
      </c>
      <c r="C74" s="135">
        <v>110.98</v>
      </c>
      <c r="D74" s="135">
        <v>100.69</v>
      </c>
      <c r="E74" s="135">
        <v>91.02</v>
      </c>
      <c r="F74" s="135">
        <v>97.34</v>
      </c>
      <c r="G74" s="135">
        <v>93.42</v>
      </c>
      <c r="H74" s="532">
        <v>142.57</v>
      </c>
      <c r="I74" s="37"/>
      <c r="J74" s="532">
        <v>127.79</v>
      </c>
      <c r="K74" s="135">
        <v>103.35</v>
      </c>
      <c r="L74" s="131">
        <v>88.14</v>
      </c>
      <c r="M74" s="135">
        <v>102.47</v>
      </c>
      <c r="N74" s="135">
        <v>95</v>
      </c>
      <c r="O74" s="135">
        <v>102.17</v>
      </c>
      <c r="P74" s="135">
        <v>116.4</v>
      </c>
      <c r="Q74" s="37"/>
      <c r="R74" s="131">
        <v>99.31</v>
      </c>
      <c r="S74" s="12">
        <v>73.2</v>
      </c>
      <c r="T74" s="12">
        <v>47.62</v>
      </c>
      <c r="U74" s="12">
        <v>68.650000000000006</v>
      </c>
      <c r="V74" s="12">
        <v>64.599999999999994</v>
      </c>
      <c r="W74" s="135">
        <v>59.77</v>
      </c>
      <c r="X74" s="135">
        <v>102.91</v>
      </c>
      <c r="Y74" s="37"/>
      <c r="Z74" s="131">
        <v>75.34</v>
      </c>
      <c r="AA74" s="131">
        <v>107.46</v>
      </c>
      <c r="AB74" s="12">
        <v>68.84</v>
      </c>
      <c r="AC74" s="12">
        <v>81.56</v>
      </c>
      <c r="AD74" s="12">
        <v>104.86</v>
      </c>
      <c r="AE74" s="131">
        <v>64.069999999999993</v>
      </c>
      <c r="AF74" s="131">
        <v>76.58</v>
      </c>
      <c r="AG74" s="12">
        <v>122.9</v>
      </c>
      <c r="AH74" s="12">
        <v>73.5</v>
      </c>
      <c r="AI74" s="12">
        <v>86.52</v>
      </c>
      <c r="AJ74" s="37"/>
      <c r="AK74" s="38"/>
      <c r="AL74" s="448" t="s">
        <v>237</v>
      </c>
    </row>
    <row r="75" spans="1:38" x14ac:dyDescent="0.25">
      <c r="A75" s="381">
        <v>98</v>
      </c>
      <c r="B75" s="530"/>
      <c r="C75" s="530"/>
      <c r="D75" s="530"/>
      <c r="E75" s="530"/>
      <c r="F75" s="530"/>
      <c r="G75" s="530"/>
      <c r="H75" s="530"/>
      <c r="I75" s="111"/>
      <c r="J75" s="537"/>
      <c r="K75" s="537"/>
      <c r="L75" s="537"/>
      <c r="M75" s="537"/>
      <c r="N75" s="537"/>
      <c r="O75" s="537"/>
      <c r="P75" s="537"/>
      <c r="Q75" s="111"/>
      <c r="R75" s="537"/>
      <c r="S75" s="530"/>
      <c r="T75" s="530"/>
      <c r="U75" s="530"/>
      <c r="V75" s="530"/>
      <c r="W75" s="530"/>
      <c r="X75" s="530"/>
      <c r="Y75" s="111"/>
      <c r="Z75" s="530"/>
      <c r="AA75" s="530"/>
      <c r="AB75" s="530"/>
      <c r="AC75" s="530"/>
      <c r="AD75" s="530"/>
      <c r="AE75" s="530"/>
      <c r="AF75" s="530"/>
      <c r="AG75" s="530"/>
      <c r="AH75" s="530"/>
      <c r="AI75" s="530"/>
      <c r="AJ75" s="111"/>
      <c r="AK75" s="38"/>
      <c r="AL75" s="448" t="s">
        <v>238</v>
      </c>
    </row>
    <row r="76" spans="1:38" x14ac:dyDescent="0.25">
      <c r="A76" s="381">
        <v>104</v>
      </c>
      <c r="B76" s="12">
        <v>94.79</v>
      </c>
      <c r="C76" s="135">
        <v>126.84</v>
      </c>
      <c r="D76" s="135">
        <v>85.31</v>
      </c>
      <c r="E76" s="135">
        <v>102.33</v>
      </c>
      <c r="F76" s="135">
        <v>92</v>
      </c>
      <c r="G76" s="135">
        <v>81.98</v>
      </c>
      <c r="H76" s="135">
        <v>110.12</v>
      </c>
      <c r="I76" s="37"/>
      <c r="J76" s="530"/>
      <c r="K76" s="135">
        <v>112.89</v>
      </c>
      <c r="L76" s="135">
        <v>112.08</v>
      </c>
      <c r="M76" s="532">
        <v>120.82</v>
      </c>
      <c r="N76" s="135">
        <v>98</v>
      </c>
      <c r="O76" s="135">
        <v>121.36</v>
      </c>
      <c r="P76" s="135">
        <v>110.6</v>
      </c>
      <c r="Q76" s="37"/>
      <c r="R76" s="135">
        <v>129.4</v>
      </c>
      <c r="S76" s="530"/>
      <c r="T76" s="530"/>
      <c r="U76" s="12">
        <v>109.65</v>
      </c>
      <c r="V76" s="12">
        <v>87.17</v>
      </c>
      <c r="W76" s="135">
        <v>83.79</v>
      </c>
      <c r="X76" s="135">
        <v>96.5</v>
      </c>
      <c r="Y76" s="37"/>
      <c r="Z76" s="12">
        <v>119.04</v>
      </c>
      <c r="AA76" s="131">
        <v>130.47999999999999</v>
      </c>
      <c r="AB76" s="12">
        <v>88.41</v>
      </c>
      <c r="AC76" s="12">
        <v>118.95</v>
      </c>
      <c r="AD76" s="12">
        <v>121.79</v>
      </c>
      <c r="AE76" s="533">
        <v>91.46</v>
      </c>
      <c r="AF76" s="135">
        <v>75.2</v>
      </c>
      <c r="AG76" s="12">
        <v>117</v>
      </c>
      <c r="AH76" s="12">
        <v>72.02</v>
      </c>
      <c r="AI76" s="12">
        <v>57.09</v>
      </c>
      <c r="AJ76" s="37"/>
      <c r="AK76" s="38"/>
      <c r="AL76" s="448"/>
    </row>
    <row r="77" spans="1:38" x14ac:dyDescent="0.25">
      <c r="A77" s="393">
        <v>118</v>
      </c>
      <c r="B77" s="530"/>
      <c r="C77" s="530"/>
      <c r="D77" s="530"/>
      <c r="E77" s="530"/>
      <c r="F77" s="530"/>
      <c r="G77" s="12">
        <v>112.31</v>
      </c>
      <c r="H77" s="530"/>
      <c r="I77" s="37"/>
      <c r="J77" s="537"/>
      <c r="K77" s="537"/>
      <c r="L77" s="537"/>
      <c r="M77" s="537"/>
      <c r="N77" s="537"/>
      <c r="O77" s="530"/>
      <c r="P77" s="530"/>
      <c r="Q77" s="111"/>
      <c r="R77" s="537"/>
      <c r="S77" s="530"/>
      <c r="T77" s="530"/>
      <c r="U77" s="530"/>
      <c r="V77" s="12">
        <v>42.7</v>
      </c>
      <c r="W77" s="530"/>
      <c r="X77" s="530"/>
      <c r="Y77" s="37"/>
      <c r="Z77" s="530"/>
      <c r="AA77" s="530"/>
      <c r="AB77" s="530"/>
      <c r="AC77" s="530"/>
      <c r="AD77" s="530"/>
      <c r="AE77" s="530"/>
      <c r="AF77" s="530"/>
      <c r="AG77" s="530"/>
      <c r="AH77" s="530"/>
      <c r="AI77" s="530"/>
      <c r="AJ77" s="111"/>
      <c r="AK77" s="38"/>
      <c r="AL77" s="112" t="s">
        <v>239</v>
      </c>
    </row>
    <row r="78" spans="1:38" x14ac:dyDescent="0.25">
      <c r="A78" s="382">
        <v>128</v>
      </c>
      <c r="B78" s="12">
        <v>45.02</v>
      </c>
      <c r="C78" s="12">
        <v>60.1</v>
      </c>
      <c r="D78" s="135">
        <v>84.31</v>
      </c>
      <c r="E78" s="135">
        <v>74.55</v>
      </c>
      <c r="F78" s="135">
        <v>68.180000000000007</v>
      </c>
      <c r="G78" s="135">
        <v>90.6</v>
      </c>
      <c r="H78" s="12">
        <v>75.959999999999994</v>
      </c>
      <c r="I78" s="37"/>
      <c r="J78" s="155">
        <v>81.33</v>
      </c>
      <c r="K78" s="135">
        <v>79.77</v>
      </c>
      <c r="L78" s="135">
        <v>76.900000000000006</v>
      </c>
      <c r="M78" s="135">
        <v>91.88</v>
      </c>
      <c r="N78" s="530"/>
      <c r="O78" s="530"/>
      <c r="P78" s="135">
        <v>149.16999999999999</v>
      </c>
      <c r="Q78" s="37"/>
      <c r="R78" s="131">
        <v>95.54</v>
      </c>
      <c r="S78" s="12">
        <v>71.09</v>
      </c>
      <c r="T78" s="12">
        <v>55.64</v>
      </c>
      <c r="U78" s="12">
        <v>87.73</v>
      </c>
      <c r="V78" s="12">
        <v>77.52</v>
      </c>
      <c r="W78" s="135">
        <v>86.76</v>
      </c>
      <c r="X78" s="135">
        <v>99.03</v>
      </c>
      <c r="Y78" s="37"/>
      <c r="Z78" s="12">
        <v>76.540000000000006</v>
      </c>
      <c r="AA78" s="131">
        <v>79.38</v>
      </c>
      <c r="AB78" s="12">
        <v>87.05</v>
      </c>
      <c r="AC78" s="12">
        <v>93.97</v>
      </c>
      <c r="AD78" s="12">
        <v>79.25</v>
      </c>
      <c r="AE78" s="12">
        <v>104.8</v>
      </c>
      <c r="AF78" s="12">
        <v>88.5</v>
      </c>
      <c r="AG78" s="12">
        <v>81</v>
      </c>
      <c r="AH78" s="12">
        <v>63.54</v>
      </c>
      <c r="AI78" s="12">
        <v>95.13</v>
      </c>
      <c r="AJ78" s="37"/>
      <c r="AK78" s="38"/>
      <c r="AL78" s="450" t="s">
        <v>240</v>
      </c>
    </row>
    <row r="79" spans="1:38" x14ac:dyDescent="0.25">
      <c r="A79" s="382">
        <v>131</v>
      </c>
      <c r="B79" s="135">
        <v>97.51</v>
      </c>
      <c r="C79" s="135">
        <v>82.5</v>
      </c>
      <c r="D79" s="135">
        <v>78.97</v>
      </c>
      <c r="E79" s="135">
        <v>89.93</v>
      </c>
      <c r="F79" s="12">
        <v>68.12</v>
      </c>
      <c r="G79" s="135">
        <v>64.94</v>
      </c>
      <c r="H79" s="12">
        <v>83.18</v>
      </c>
      <c r="I79" s="37"/>
      <c r="J79" s="135">
        <v>67.260000000000005</v>
      </c>
      <c r="K79" s="131">
        <v>84.27</v>
      </c>
      <c r="L79" s="135">
        <v>79.02</v>
      </c>
      <c r="M79" s="135">
        <v>91.16</v>
      </c>
      <c r="N79" s="135">
        <v>94</v>
      </c>
      <c r="O79" s="135">
        <v>49.12</v>
      </c>
      <c r="P79" s="135">
        <v>75.11</v>
      </c>
      <c r="Q79" s="37"/>
      <c r="R79" s="131">
        <v>89.12</v>
      </c>
      <c r="S79" s="12">
        <v>54.95</v>
      </c>
      <c r="T79" s="12">
        <v>47.61</v>
      </c>
      <c r="U79" s="12">
        <v>75.41</v>
      </c>
      <c r="V79" s="12">
        <v>52.05</v>
      </c>
      <c r="W79" s="135">
        <v>84.99</v>
      </c>
      <c r="X79" s="533">
        <v>114.26</v>
      </c>
      <c r="Y79" s="37"/>
      <c r="Z79" s="131">
        <v>72.75</v>
      </c>
      <c r="AA79" s="131">
        <v>64.16</v>
      </c>
      <c r="AB79" s="12">
        <v>61.89</v>
      </c>
      <c r="AC79" s="12">
        <v>80.77</v>
      </c>
      <c r="AD79" s="135">
        <v>76.8</v>
      </c>
      <c r="AE79" s="135">
        <v>72.900000000000006</v>
      </c>
      <c r="AF79" s="131">
        <v>77.040000000000006</v>
      </c>
      <c r="AG79" s="12">
        <v>80.86</v>
      </c>
      <c r="AH79" s="12">
        <v>77.92</v>
      </c>
      <c r="AI79" s="12">
        <v>75.8</v>
      </c>
      <c r="AJ79" s="37"/>
      <c r="AK79" s="38"/>
      <c r="AL79" s="450" t="s">
        <v>241</v>
      </c>
    </row>
    <row r="80" spans="1:38" x14ac:dyDescent="0.25">
      <c r="A80" s="382">
        <v>132</v>
      </c>
      <c r="B80" s="12">
        <v>86.83</v>
      </c>
      <c r="C80" s="135">
        <v>82.13</v>
      </c>
      <c r="D80" s="135">
        <v>100.17</v>
      </c>
      <c r="E80" s="12">
        <v>86.01</v>
      </c>
      <c r="F80" s="135">
        <v>73.650000000000006</v>
      </c>
      <c r="G80" s="532">
        <v>110.96</v>
      </c>
      <c r="H80" s="533">
        <v>93.92</v>
      </c>
      <c r="I80" s="37"/>
      <c r="J80" s="155">
        <v>69.87</v>
      </c>
      <c r="K80" s="135">
        <v>83.49</v>
      </c>
      <c r="L80" s="135">
        <v>54.86</v>
      </c>
      <c r="M80" s="135">
        <v>90.71</v>
      </c>
      <c r="N80" s="135">
        <v>86</v>
      </c>
      <c r="O80" s="135">
        <v>84.34</v>
      </c>
      <c r="P80" s="135">
        <v>112.19</v>
      </c>
      <c r="Q80" s="37"/>
      <c r="R80" s="131">
        <v>75.77</v>
      </c>
      <c r="S80" s="12">
        <v>76.39</v>
      </c>
      <c r="T80" s="12">
        <v>42.63</v>
      </c>
      <c r="U80" s="530"/>
      <c r="V80" s="12">
        <v>28.65</v>
      </c>
      <c r="W80" s="135">
        <v>104.7</v>
      </c>
      <c r="X80" s="135">
        <v>81.599999999999994</v>
      </c>
      <c r="Y80" s="37"/>
      <c r="Z80" s="131">
        <v>89.81</v>
      </c>
      <c r="AA80" s="12">
        <v>65.010000000000005</v>
      </c>
      <c r="AB80" s="12">
        <v>47.1</v>
      </c>
      <c r="AC80" s="530"/>
      <c r="AD80" s="530"/>
      <c r="AE80" s="135">
        <v>55.87</v>
      </c>
      <c r="AF80" s="131">
        <v>103.88</v>
      </c>
      <c r="AG80" s="530"/>
      <c r="AH80" s="530"/>
      <c r="AI80" s="12">
        <v>72.47</v>
      </c>
      <c r="AJ80" s="37"/>
      <c r="AK80" s="38"/>
      <c r="AL80" s="450"/>
    </row>
    <row r="81" spans="1:38" x14ac:dyDescent="0.25">
      <c r="A81" s="382">
        <v>133</v>
      </c>
      <c r="B81" s="12">
        <v>89</v>
      </c>
      <c r="C81" s="12">
        <v>58.95</v>
      </c>
      <c r="D81" s="135">
        <v>73.72</v>
      </c>
      <c r="E81" s="135">
        <v>81.77</v>
      </c>
      <c r="F81" s="12">
        <v>49.56</v>
      </c>
      <c r="G81" s="12">
        <v>36.86</v>
      </c>
      <c r="H81" s="12">
        <v>76.099999999999994</v>
      </c>
      <c r="I81" s="37"/>
      <c r="J81" s="135">
        <v>66.86</v>
      </c>
      <c r="K81" s="131">
        <v>88.12</v>
      </c>
      <c r="L81" s="12">
        <v>47.58</v>
      </c>
      <c r="M81" s="135">
        <v>56.43</v>
      </c>
      <c r="N81" s="135">
        <v>87</v>
      </c>
      <c r="O81" s="135">
        <v>56.77</v>
      </c>
      <c r="P81" s="135">
        <v>80.819999999999993</v>
      </c>
      <c r="Q81" s="37"/>
      <c r="R81" s="131">
        <v>93.22</v>
      </c>
      <c r="S81" s="12">
        <v>55.41</v>
      </c>
      <c r="T81" s="12">
        <v>49.62</v>
      </c>
      <c r="U81" s="12">
        <v>66.22</v>
      </c>
      <c r="V81" s="12">
        <v>57.54</v>
      </c>
      <c r="W81" s="135">
        <v>64.83</v>
      </c>
      <c r="X81" s="135">
        <v>70.099999999999994</v>
      </c>
      <c r="Y81" s="37"/>
      <c r="Z81" s="131">
        <v>70.209999999999994</v>
      </c>
      <c r="AA81" s="131">
        <v>81.31</v>
      </c>
      <c r="AB81" s="12">
        <v>71.47</v>
      </c>
      <c r="AC81" s="12">
        <v>74.930000000000007</v>
      </c>
      <c r="AD81" s="12">
        <v>82.73</v>
      </c>
      <c r="AE81" s="135">
        <v>61.28</v>
      </c>
      <c r="AF81" s="155">
        <v>93.06</v>
      </c>
      <c r="AG81" s="12">
        <v>65</v>
      </c>
      <c r="AH81" s="12">
        <v>76.099999999999994</v>
      </c>
      <c r="AI81" s="12">
        <v>87.37</v>
      </c>
      <c r="AJ81" s="37"/>
      <c r="AK81" s="38"/>
      <c r="AL81" s="451" t="s">
        <v>242</v>
      </c>
    </row>
    <row r="82" spans="1:38" x14ac:dyDescent="0.25">
      <c r="A82" s="382">
        <v>134</v>
      </c>
      <c r="B82" s="135">
        <v>119.23</v>
      </c>
      <c r="C82" s="12">
        <v>93.44</v>
      </c>
      <c r="D82" s="12">
        <v>83.8</v>
      </c>
      <c r="E82" s="135">
        <v>122.87</v>
      </c>
      <c r="F82" s="12">
        <v>75.27</v>
      </c>
      <c r="G82" s="135">
        <v>85.77</v>
      </c>
      <c r="H82" s="12">
        <v>53.68</v>
      </c>
      <c r="I82" s="37"/>
      <c r="J82" s="155">
        <v>52.18</v>
      </c>
      <c r="K82" s="131">
        <v>93.15</v>
      </c>
      <c r="L82" s="135">
        <v>72.08</v>
      </c>
      <c r="M82" s="135">
        <v>102.43</v>
      </c>
      <c r="N82" s="12">
        <v>112</v>
      </c>
      <c r="O82" s="135">
        <v>105.53</v>
      </c>
      <c r="P82" s="135">
        <v>118.52</v>
      </c>
      <c r="Q82" s="37"/>
      <c r="R82" s="131">
        <v>94.59</v>
      </c>
      <c r="S82" s="12">
        <v>83.88</v>
      </c>
      <c r="T82" s="12">
        <v>91.08</v>
      </c>
      <c r="U82" s="12">
        <v>87.57</v>
      </c>
      <c r="V82" s="12">
        <v>74.739999999999995</v>
      </c>
      <c r="W82" s="135">
        <v>95.27</v>
      </c>
      <c r="X82" s="135">
        <v>112.58</v>
      </c>
      <c r="Y82" s="37"/>
      <c r="Z82" s="537"/>
      <c r="AA82" s="131">
        <v>140.52000000000001</v>
      </c>
      <c r="AB82" s="12">
        <v>80.62</v>
      </c>
      <c r="AC82" s="12">
        <v>110.69</v>
      </c>
      <c r="AD82" s="530"/>
      <c r="AE82" s="12">
        <v>74.599999999999994</v>
      </c>
      <c r="AF82" s="131">
        <v>100.26</v>
      </c>
      <c r="AG82" s="12">
        <v>98</v>
      </c>
      <c r="AH82" s="12">
        <v>88.42</v>
      </c>
      <c r="AI82" s="12">
        <v>76.180000000000007</v>
      </c>
      <c r="AJ82" s="37"/>
      <c r="AK82" s="38"/>
      <c r="AL82" s="450" t="s">
        <v>243</v>
      </c>
    </row>
    <row r="83" spans="1:38" x14ac:dyDescent="0.25">
      <c r="A83" s="382">
        <v>135</v>
      </c>
      <c r="B83" s="12">
        <v>92.79</v>
      </c>
      <c r="C83" s="135">
        <v>94.04</v>
      </c>
      <c r="D83" s="135">
        <v>98.92</v>
      </c>
      <c r="E83" s="12">
        <v>69.34</v>
      </c>
      <c r="F83" s="12">
        <v>66.150000000000006</v>
      </c>
      <c r="G83" s="135">
        <v>81.59</v>
      </c>
      <c r="H83" s="135">
        <v>112.73</v>
      </c>
      <c r="I83" s="37"/>
      <c r="J83" s="135">
        <v>86.98</v>
      </c>
      <c r="K83" s="135">
        <v>100.54</v>
      </c>
      <c r="L83" s="135">
        <v>91.27</v>
      </c>
      <c r="M83" s="530"/>
      <c r="N83" s="530"/>
      <c r="O83" s="135">
        <v>105.58</v>
      </c>
      <c r="P83" s="135">
        <v>94.32</v>
      </c>
      <c r="Q83" s="37"/>
      <c r="R83" s="131">
        <v>101.74</v>
      </c>
      <c r="S83" s="12">
        <v>56.19</v>
      </c>
      <c r="T83" s="12">
        <v>53.86</v>
      </c>
      <c r="U83" s="12">
        <v>81.239999999999995</v>
      </c>
      <c r="V83" s="12">
        <v>76.88</v>
      </c>
      <c r="W83" s="135">
        <v>103.97</v>
      </c>
      <c r="X83" s="135">
        <v>87.47</v>
      </c>
      <c r="Y83" s="37"/>
      <c r="Z83" s="12">
        <v>85.9</v>
      </c>
      <c r="AA83" s="131">
        <v>82.49</v>
      </c>
      <c r="AB83" s="12">
        <v>87.15</v>
      </c>
      <c r="AC83" s="12">
        <v>82.84</v>
      </c>
      <c r="AD83" s="12">
        <v>98.2</v>
      </c>
      <c r="AE83" s="445">
        <v>104.94</v>
      </c>
      <c r="AF83" s="131">
        <v>95.99</v>
      </c>
      <c r="AG83" s="12">
        <v>63</v>
      </c>
      <c r="AH83" s="12">
        <v>94.14</v>
      </c>
      <c r="AI83" s="12">
        <v>90.07</v>
      </c>
      <c r="AJ83" s="37"/>
      <c r="AK83" s="38"/>
      <c r="AL83" s="450" t="s">
        <v>244</v>
      </c>
    </row>
    <row r="84" spans="1:38" x14ac:dyDescent="0.25">
      <c r="A84" s="382">
        <v>136</v>
      </c>
      <c r="B84" s="12">
        <v>80.86</v>
      </c>
      <c r="C84" s="135">
        <v>67.87</v>
      </c>
      <c r="D84" s="12">
        <v>82.67</v>
      </c>
      <c r="E84" s="12">
        <v>93.36</v>
      </c>
      <c r="F84" s="12">
        <v>52.02</v>
      </c>
      <c r="G84" s="135">
        <v>75.680000000000007</v>
      </c>
      <c r="H84" s="532">
        <v>138.11000000000001</v>
      </c>
      <c r="I84" s="37"/>
      <c r="J84" s="135">
        <v>70.739999999999995</v>
      </c>
      <c r="K84" s="135">
        <v>89.54</v>
      </c>
      <c r="L84" s="131">
        <v>71.010000000000005</v>
      </c>
      <c r="M84" s="131">
        <v>69.08</v>
      </c>
      <c r="N84" s="12">
        <v>76</v>
      </c>
      <c r="O84" s="135">
        <v>108.59</v>
      </c>
      <c r="P84" s="135">
        <v>65.37</v>
      </c>
      <c r="Q84" s="37"/>
      <c r="R84" s="131">
        <v>83.13</v>
      </c>
      <c r="S84" s="530"/>
      <c r="T84" s="12">
        <v>35.950000000000003</v>
      </c>
      <c r="U84" s="12">
        <v>76.75</v>
      </c>
      <c r="V84" s="12">
        <v>56.1</v>
      </c>
      <c r="W84" s="135">
        <v>94.36</v>
      </c>
      <c r="X84" s="135">
        <v>85.83</v>
      </c>
      <c r="Y84" s="37"/>
      <c r="Z84" s="12">
        <v>72.94</v>
      </c>
      <c r="AA84" s="135">
        <v>72.63</v>
      </c>
      <c r="AB84" s="12">
        <v>55.79</v>
      </c>
      <c r="AC84" s="12">
        <v>72</v>
      </c>
      <c r="AD84" s="12">
        <v>73.349999999999994</v>
      </c>
      <c r="AE84" s="131">
        <v>73.680000000000007</v>
      </c>
      <c r="AF84" s="445">
        <v>72.42</v>
      </c>
      <c r="AG84" s="12">
        <v>74</v>
      </c>
      <c r="AH84" s="530"/>
      <c r="AI84" s="12">
        <v>106.74</v>
      </c>
      <c r="AJ84" s="37"/>
      <c r="AK84" s="38"/>
      <c r="AL84" s="450" t="s">
        <v>245</v>
      </c>
    </row>
    <row r="85" spans="1:38" x14ac:dyDescent="0.25">
      <c r="A85" s="382">
        <v>137</v>
      </c>
      <c r="B85" s="12">
        <v>92.89</v>
      </c>
      <c r="C85" s="135">
        <v>93.68</v>
      </c>
      <c r="D85" s="135">
        <v>87.23</v>
      </c>
      <c r="E85" s="135">
        <v>95.41</v>
      </c>
      <c r="F85" s="135">
        <v>69.3</v>
      </c>
      <c r="G85" s="530"/>
      <c r="H85" s="135">
        <v>129.56</v>
      </c>
      <c r="I85" s="37"/>
      <c r="J85" s="135">
        <v>68.78</v>
      </c>
      <c r="K85" s="131">
        <v>112.14</v>
      </c>
      <c r="L85" s="135">
        <v>71.33</v>
      </c>
      <c r="M85" s="135">
        <v>89.31</v>
      </c>
      <c r="N85" s="135">
        <v>93</v>
      </c>
      <c r="O85" s="135">
        <v>75.400000000000006</v>
      </c>
      <c r="P85" s="135">
        <v>74.16</v>
      </c>
      <c r="Q85" s="37"/>
      <c r="R85" s="155">
        <v>92.73</v>
      </c>
      <c r="S85" s="12">
        <v>69</v>
      </c>
      <c r="T85" s="12">
        <v>62.42</v>
      </c>
      <c r="U85" s="12">
        <v>89.07</v>
      </c>
      <c r="V85" s="12">
        <v>97.15</v>
      </c>
      <c r="W85" s="135">
        <v>87.95</v>
      </c>
      <c r="X85" s="12">
        <v>88.99</v>
      </c>
      <c r="Y85" s="37"/>
      <c r="Z85" s="131">
        <v>72.17</v>
      </c>
      <c r="AA85" s="12">
        <v>103.97</v>
      </c>
      <c r="AB85" s="12">
        <v>73.959999999999994</v>
      </c>
      <c r="AC85" s="12">
        <v>103.93</v>
      </c>
      <c r="AD85" s="12">
        <v>77.67</v>
      </c>
      <c r="AE85" s="12">
        <v>89.9</v>
      </c>
      <c r="AF85" s="530"/>
      <c r="AG85" s="532">
        <v>159</v>
      </c>
      <c r="AH85" s="12">
        <v>76.37</v>
      </c>
      <c r="AI85" s="12">
        <v>84.45</v>
      </c>
      <c r="AJ85" s="37"/>
      <c r="AK85" s="38"/>
      <c r="AL85" s="450" t="s">
        <v>246</v>
      </c>
    </row>
    <row r="86" spans="1:38" x14ac:dyDescent="0.25">
      <c r="A86" s="382">
        <v>138</v>
      </c>
      <c r="B86" s="12">
        <v>86.74</v>
      </c>
      <c r="C86" s="135">
        <v>88.34</v>
      </c>
      <c r="D86" s="530"/>
      <c r="E86" s="12">
        <v>154.38</v>
      </c>
      <c r="F86" s="12">
        <v>48.07</v>
      </c>
      <c r="G86" s="135">
        <v>83.4</v>
      </c>
      <c r="H86" s="12">
        <v>96.83</v>
      </c>
      <c r="I86" s="37"/>
      <c r="J86" s="135">
        <v>69.19</v>
      </c>
      <c r="K86" s="135">
        <v>76.11</v>
      </c>
      <c r="L86" s="135">
        <v>93.28</v>
      </c>
      <c r="M86" s="135">
        <v>90.69</v>
      </c>
      <c r="N86" s="135">
        <v>81</v>
      </c>
      <c r="O86" s="552">
        <v>94.34</v>
      </c>
      <c r="P86" s="552">
        <v>76.41</v>
      </c>
      <c r="Q86" s="37"/>
      <c r="R86" s="155">
        <v>102.66</v>
      </c>
      <c r="S86" s="12">
        <v>60.68</v>
      </c>
      <c r="T86" s="12">
        <v>37.82</v>
      </c>
      <c r="U86" s="12">
        <v>89.48</v>
      </c>
      <c r="V86" s="12">
        <v>59.78</v>
      </c>
      <c r="W86" s="12">
        <v>77.8</v>
      </c>
      <c r="X86" s="12">
        <v>77.42</v>
      </c>
      <c r="Y86" s="37"/>
      <c r="Z86" s="135">
        <v>79.3</v>
      </c>
      <c r="AA86" s="135">
        <v>95.74</v>
      </c>
      <c r="AB86" s="135">
        <v>86.09</v>
      </c>
      <c r="AC86" s="135">
        <v>91.32</v>
      </c>
      <c r="AD86" s="135">
        <v>94.43</v>
      </c>
      <c r="AE86" s="135">
        <v>109.56</v>
      </c>
      <c r="AF86" s="135">
        <v>87.8</v>
      </c>
      <c r="AG86" s="135">
        <v>96</v>
      </c>
      <c r="AH86" s="135">
        <v>49.67</v>
      </c>
      <c r="AI86" s="135">
        <v>94.03</v>
      </c>
      <c r="AJ86" s="37"/>
      <c r="AK86" s="38"/>
      <c r="AL86" s="450" t="s">
        <v>247</v>
      </c>
    </row>
    <row r="87" spans="1:38" x14ac:dyDescent="0.25">
      <c r="A87" s="382">
        <v>139</v>
      </c>
      <c r="B87" s="12">
        <v>72.23</v>
      </c>
      <c r="C87" s="135">
        <v>85.38</v>
      </c>
      <c r="D87" s="135">
        <v>78.55</v>
      </c>
      <c r="E87" s="12">
        <v>66.09</v>
      </c>
      <c r="F87" s="12">
        <v>54.46</v>
      </c>
      <c r="G87" s="135">
        <v>73.599999999999994</v>
      </c>
      <c r="H87" s="12">
        <v>79.349999999999994</v>
      </c>
      <c r="I87" s="37"/>
      <c r="J87" s="155">
        <v>62.65</v>
      </c>
      <c r="K87" s="131">
        <v>95.18</v>
      </c>
      <c r="L87" s="135">
        <v>60.93</v>
      </c>
      <c r="M87" s="135">
        <v>77.47</v>
      </c>
      <c r="N87" s="532">
        <v>131</v>
      </c>
      <c r="O87" s="135">
        <v>73.180000000000007</v>
      </c>
      <c r="P87" s="135">
        <v>79.06</v>
      </c>
      <c r="Q87" s="37"/>
      <c r="R87" s="131">
        <v>95.77</v>
      </c>
      <c r="S87" s="12">
        <v>80.67</v>
      </c>
      <c r="T87" s="12">
        <v>50.99</v>
      </c>
      <c r="U87" s="12">
        <v>66.95</v>
      </c>
      <c r="V87" s="12">
        <v>65.13</v>
      </c>
      <c r="W87" s="135">
        <v>94.85</v>
      </c>
      <c r="X87" s="135">
        <v>93.65</v>
      </c>
      <c r="Y87" s="37"/>
      <c r="Z87" s="131">
        <v>64.069999999999993</v>
      </c>
      <c r="AA87" s="131">
        <v>79.099999999999994</v>
      </c>
      <c r="AB87" s="12">
        <v>74.81</v>
      </c>
      <c r="AC87" s="12">
        <v>95.88</v>
      </c>
      <c r="AD87" s="12">
        <v>78.23</v>
      </c>
      <c r="AE87" s="131">
        <v>79.819999999999993</v>
      </c>
      <c r="AF87" s="12">
        <v>75.459999999999994</v>
      </c>
      <c r="AG87" s="12">
        <v>79.58</v>
      </c>
      <c r="AH87" s="12">
        <v>58.61</v>
      </c>
      <c r="AI87" s="12">
        <v>86.34</v>
      </c>
      <c r="AJ87" s="37"/>
      <c r="AK87" s="38"/>
      <c r="AL87" s="450"/>
    </row>
    <row r="88" spans="1:38" x14ac:dyDescent="0.25">
      <c r="A88" s="382">
        <v>140</v>
      </c>
      <c r="B88" s="135">
        <v>85.66</v>
      </c>
      <c r="C88" s="12">
        <v>65.75</v>
      </c>
      <c r="D88" s="135">
        <v>81.11</v>
      </c>
      <c r="E88" s="12">
        <v>45.91</v>
      </c>
      <c r="F88" s="135">
        <v>73.599999999999994</v>
      </c>
      <c r="G88" s="135">
        <v>74.989999999999995</v>
      </c>
      <c r="H88" s="12">
        <v>90.08</v>
      </c>
      <c r="I88" s="37"/>
      <c r="J88" s="155">
        <v>45.91</v>
      </c>
      <c r="K88" s="537"/>
      <c r="L88" s="548">
        <v>135.18</v>
      </c>
      <c r="M88" s="12">
        <v>81.3</v>
      </c>
      <c r="N88" s="12">
        <v>80</v>
      </c>
      <c r="O88" s="135">
        <v>78.2</v>
      </c>
      <c r="P88" s="135">
        <v>82.81</v>
      </c>
      <c r="Q88" s="37"/>
      <c r="R88" s="12">
        <v>86.4</v>
      </c>
      <c r="S88" s="12">
        <v>52.31</v>
      </c>
      <c r="T88" s="12">
        <v>56.05</v>
      </c>
      <c r="U88" s="12">
        <v>73.13</v>
      </c>
      <c r="V88" s="12">
        <v>51.76</v>
      </c>
      <c r="W88" s="135">
        <v>68.569999999999993</v>
      </c>
      <c r="X88" s="135">
        <v>78.849999999999994</v>
      </c>
      <c r="Y88" s="37"/>
      <c r="Z88" s="131">
        <v>92.07</v>
      </c>
      <c r="AA88" s="131">
        <v>63.6</v>
      </c>
      <c r="AB88" s="12">
        <v>70.2</v>
      </c>
      <c r="AC88" s="530"/>
      <c r="AD88" s="530"/>
      <c r="AE88" s="131">
        <v>57.87</v>
      </c>
      <c r="AF88" s="12">
        <v>94.09</v>
      </c>
      <c r="AG88" s="12">
        <v>78</v>
      </c>
      <c r="AH88" s="12">
        <v>89.48</v>
      </c>
      <c r="AI88" s="12">
        <v>83.66</v>
      </c>
      <c r="AJ88" s="37"/>
      <c r="AK88" s="38"/>
      <c r="AL88" s="452" t="s">
        <v>248</v>
      </c>
    </row>
    <row r="89" spans="1:38" x14ac:dyDescent="0.25">
      <c r="A89" s="382">
        <v>141</v>
      </c>
      <c r="B89" s="135">
        <v>86.25</v>
      </c>
      <c r="C89" s="135">
        <v>86.13</v>
      </c>
      <c r="D89" s="135">
        <v>79.040000000000006</v>
      </c>
      <c r="E89" s="135">
        <v>102.86</v>
      </c>
      <c r="F89" s="135">
        <v>69.19</v>
      </c>
      <c r="G89" s="135">
        <v>85.94</v>
      </c>
      <c r="H89" s="135">
        <v>88.26</v>
      </c>
      <c r="I89" s="37"/>
      <c r="J89" s="135">
        <v>70.39</v>
      </c>
      <c r="K89" s="135">
        <v>100.78</v>
      </c>
      <c r="L89" s="135">
        <v>63.84</v>
      </c>
      <c r="M89" s="135">
        <v>93.36</v>
      </c>
      <c r="N89" s="135">
        <v>86</v>
      </c>
      <c r="O89" s="135">
        <v>105.57</v>
      </c>
      <c r="P89" s="135">
        <v>81.98</v>
      </c>
      <c r="Q89" s="37"/>
      <c r="R89" s="131">
        <v>114.07</v>
      </c>
      <c r="S89" s="12">
        <v>51.79</v>
      </c>
      <c r="T89" s="12">
        <v>29.01</v>
      </c>
      <c r="U89" s="12">
        <v>66.59</v>
      </c>
      <c r="V89" s="12">
        <v>71.959999999999994</v>
      </c>
      <c r="W89" s="135">
        <v>79.81</v>
      </c>
      <c r="X89" s="135">
        <v>78.5</v>
      </c>
      <c r="Y89" s="37"/>
      <c r="Z89" s="12">
        <v>83.2</v>
      </c>
      <c r="AA89" s="131">
        <v>81.11</v>
      </c>
      <c r="AB89" s="12">
        <v>76.28</v>
      </c>
      <c r="AC89" s="12">
        <v>89.6</v>
      </c>
      <c r="AD89" s="12">
        <v>78.680000000000007</v>
      </c>
      <c r="AE89" s="131">
        <v>101.85</v>
      </c>
      <c r="AF89" s="131">
        <v>68.150000000000006</v>
      </c>
      <c r="AG89" s="12">
        <v>87</v>
      </c>
      <c r="AH89" s="12">
        <v>115.31</v>
      </c>
      <c r="AI89" s="12">
        <v>84.46</v>
      </c>
      <c r="AJ89" s="37"/>
      <c r="AK89" s="38"/>
      <c r="AL89" s="450"/>
    </row>
    <row r="90" spans="1:38" x14ac:dyDescent="0.25">
      <c r="A90" s="382">
        <v>142</v>
      </c>
      <c r="B90" s="12">
        <v>46</v>
      </c>
      <c r="C90" s="12">
        <v>81.38</v>
      </c>
      <c r="D90" s="135">
        <v>69.900000000000006</v>
      </c>
      <c r="E90" s="12">
        <v>97.68</v>
      </c>
      <c r="F90" s="530"/>
      <c r="G90" s="532">
        <v>133.86000000000001</v>
      </c>
      <c r="H90" s="12">
        <v>83.18</v>
      </c>
      <c r="I90" s="37"/>
      <c r="J90" s="135">
        <v>69.569999999999993</v>
      </c>
      <c r="K90" s="131">
        <v>75.569999999999993</v>
      </c>
      <c r="L90" s="131">
        <v>36.42</v>
      </c>
      <c r="M90" s="135">
        <v>87.77</v>
      </c>
      <c r="N90" s="12">
        <v>93</v>
      </c>
      <c r="O90" s="135">
        <v>64.94</v>
      </c>
      <c r="P90" s="135">
        <v>36.79</v>
      </c>
      <c r="Q90" s="37"/>
      <c r="R90" s="131">
        <v>61.53</v>
      </c>
      <c r="S90" s="12">
        <v>80</v>
      </c>
      <c r="T90" s="12">
        <v>23.23</v>
      </c>
      <c r="U90" s="12">
        <v>66.209999999999994</v>
      </c>
      <c r="V90" s="12">
        <v>45.26</v>
      </c>
      <c r="W90" s="135">
        <v>83.41</v>
      </c>
      <c r="X90" s="135">
        <v>60.17</v>
      </c>
      <c r="Y90" s="37"/>
      <c r="Z90" s="131">
        <v>84.77</v>
      </c>
      <c r="AA90" s="131">
        <v>79.150000000000006</v>
      </c>
      <c r="AB90" s="12">
        <v>72.44</v>
      </c>
      <c r="AC90" s="12">
        <v>72.569999999999993</v>
      </c>
      <c r="AD90" s="12">
        <v>69.39</v>
      </c>
      <c r="AE90" s="131">
        <v>71.430000000000007</v>
      </c>
      <c r="AF90" s="131">
        <v>100.45</v>
      </c>
      <c r="AG90" s="12">
        <v>41</v>
      </c>
      <c r="AH90" s="12">
        <v>86.81</v>
      </c>
      <c r="AI90" s="12">
        <v>66.02</v>
      </c>
      <c r="AJ90" s="37"/>
      <c r="AK90" s="38"/>
      <c r="AL90" s="451" t="s">
        <v>249</v>
      </c>
    </row>
    <row r="91" spans="1:38" x14ac:dyDescent="0.25">
      <c r="A91" s="382">
        <v>143</v>
      </c>
      <c r="B91" s="135">
        <v>85.03</v>
      </c>
      <c r="C91" s="135">
        <v>94.77</v>
      </c>
      <c r="D91" s="135">
        <v>95.02</v>
      </c>
      <c r="E91" s="135">
        <v>75.06</v>
      </c>
      <c r="F91" s="135">
        <v>54.77</v>
      </c>
      <c r="G91" s="135">
        <v>41.91</v>
      </c>
      <c r="H91" s="12">
        <v>99.29</v>
      </c>
      <c r="I91" s="37"/>
      <c r="J91" s="135">
        <v>52.87</v>
      </c>
      <c r="K91" s="135">
        <v>97.71</v>
      </c>
      <c r="L91" s="135">
        <v>69.27</v>
      </c>
      <c r="M91" s="135">
        <v>74.8</v>
      </c>
      <c r="N91" s="135">
        <v>102</v>
      </c>
      <c r="O91" s="135">
        <v>77.290000000000006</v>
      </c>
      <c r="P91" s="135">
        <v>91.02</v>
      </c>
      <c r="Q91" s="37"/>
      <c r="R91" s="131">
        <v>85.28</v>
      </c>
      <c r="S91" s="12">
        <v>50.6</v>
      </c>
      <c r="T91" s="12">
        <v>55.37</v>
      </c>
      <c r="U91" s="12">
        <v>67.83</v>
      </c>
      <c r="V91" s="12">
        <v>69.709999999999994</v>
      </c>
      <c r="W91" s="135">
        <v>80.959999999999994</v>
      </c>
      <c r="X91" s="135">
        <v>58.39</v>
      </c>
      <c r="Y91" s="37"/>
      <c r="Z91" s="131">
        <v>65.33</v>
      </c>
      <c r="AA91" s="131">
        <v>80.989999999999995</v>
      </c>
      <c r="AB91" s="12">
        <v>62.21</v>
      </c>
      <c r="AC91" s="12">
        <v>85.36</v>
      </c>
      <c r="AD91" s="12">
        <v>82.14</v>
      </c>
      <c r="AE91" s="570">
        <v>105.12</v>
      </c>
      <c r="AF91" s="131">
        <v>70.86</v>
      </c>
      <c r="AG91" s="12">
        <v>95</v>
      </c>
      <c r="AH91" s="12">
        <v>90.44</v>
      </c>
      <c r="AI91" s="12"/>
      <c r="AJ91" s="37"/>
      <c r="AK91" s="38"/>
      <c r="AL91" s="451" t="s">
        <v>250</v>
      </c>
    </row>
    <row r="92" spans="1:38" x14ac:dyDescent="0.25">
      <c r="A92" s="382">
        <v>144</v>
      </c>
      <c r="B92" s="12">
        <v>85.36</v>
      </c>
      <c r="C92" s="12">
        <v>76.650000000000006</v>
      </c>
      <c r="D92" s="135">
        <v>69.63</v>
      </c>
      <c r="E92" s="135">
        <v>86.45</v>
      </c>
      <c r="F92" s="12">
        <v>48.44</v>
      </c>
      <c r="G92" s="135">
        <v>42.56</v>
      </c>
      <c r="H92" s="530"/>
      <c r="I92" s="37"/>
      <c r="J92" s="135">
        <v>82.78</v>
      </c>
      <c r="K92" s="131">
        <v>85.41</v>
      </c>
      <c r="L92" s="135">
        <v>71.989999999999995</v>
      </c>
      <c r="M92" s="135">
        <v>101.23</v>
      </c>
      <c r="N92" s="135">
        <v>76</v>
      </c>
      <c r="O92" s="135">
        <v>83.7</v>
      </c>
      <c r="P92" s="135">
        <v>84.14</v>
      </c>
      <c r="Q92" s="37"/>
      <c r="R92" s="537"/>
      <c r="S92" s="532">
        <v>122.86</v>
      </c>
      <c r="T92" s="12">
        <v>39.03</v>
      </c>
      <c r="U92" s="12">
        <v>73.03</v>
      </c>
      <c r="V92" s="12">
        <v>93.54</v>
      </c>
      <c r="W92" s="135">
        <v>82.21</v>
      </c>
      <c r="X92" s="135">
        <v>99.91</v>
      </c>
      <c r="Y92" s="37"/>
      <c r="Z92" s="12">
        <v>94.13</v>
      </c>
      <c r="AA92" s="131">
        <v>84.04</v>
      </c>
      <c r="AB92" s="12">
        <v>74.22</v>
      </c>
      <c r="AC92" s="12">
        <v>75.88</v>
      </c>
      <c r="AD92" s="12">
        <v>83.06</v>
      </c>
      <c r="AE92" s="131">
        <v>74.97</v>
      </c>
      <c r="AF92" s="131">
        <v>87.94</v>
      </c>
      <c r="AG92" s="12">
        <v>66</v>
      </c>
      <c r="AH92" s="12">
        <v>91.57</v>
      </c>
      <c r="AI92" s="12">
        <v>66.63</v>
      </c>
      <c r="AJ92" s="37"/>
      <c r="AK92" s="38"/>
      <c r="AL92" s="450"/>
    </row>
    <row r="93" spans="1:38" x14ac:dyDescent="0.25">
      <c r="A93" s="382">
        <v>145</v>
      </c>
      <c r="B93" s="12">
        <v>82.48</v>
      </c>
      <c r="C93" s="135">
        <v>40.61</v>
      </c>
      <c r="D93" s="135">
        <v>61.39</v>
      </c>
      <c r="E93" s="135">
        <v>58.87</v>
      </c>
      <c r="F93" s="12">
        <v>39.47</v>
      </c>
      <c r="G93" s="135">
        <v>68.900000000000006</v>
      </c>
      <c r="H93" s="532">
        <v>129.96</v>
      </c>
      <c r="I93" s="37"/>
      <c r="J93" s="135">
        <v>114.45</v>
      </c>
      <c r="K93" s="135">
        <v>65.260000000000005</v>
      </c>
      <c r="L93" s="135">
        <v>68.81</v>
      </c>
      <c r="M93" s="135">
        <v>66.61</v>
      </c>
      <c r="N93" s="135">
        <v>72</v>
      </c>
      <c r="O93" s="135">
        <v>74.03</v>
      </c>
      <c r="P93" s="135">
        <v>88.07</v>
      </c>
      <c r="Q93" s="37"/>
      <c r="R93" s="131">
        <v>83.47</v>
      </c>
      <c r="S93" s="12">
        <v>59.12</v>
      </c>
      <c r="T93" s="12">
        <v>64.400000000000006</v>
      </c>
      <c r="U93" s="12">
        <v>63.48</v>
      </c>
      <c r="V93" s="135">
        <v>75.400000000000006</v>
      </c>
      <c r="W93" s="135">
        <v>98.92</v>
      </c>
      <c r="X93" s="135">
        <v>90.39</v>
      </c>
      <c r="Y93" s="37"/>
      <c r="Z93" s="131">
        <v>105.53</v>
      </c>
      <c r="AA93" s="12">
        <v>84.62</v>
      </c>
      <c r="AB93" s="12">
        <v>74.45</v>
      </c>
      <c r="AC93" s="12">
        <v>83.9</v>
      </c>
      <c r="AD93" s="12">
        <v>68.39</v>
      </c>
      <c r="AE93" s="131">
        <v>106.09</v>
      </c>
      <c r="AF93" s="131">
        <v>78.38</v>
      </c>
      <c r="AG93" s="12">
        <v>91</v>
      </c>
      <c r="AH93" s="12">
        <v>89.98</v>
      </c>
      <c r="AI93" s="12">
        <v>111.15</v>
      </c>
      <c r="AJ93" s="37"/>
      <c r="AK93" s="38"/>
      <c r="AL93" s="453"/>
    </row>
    <row r="94" spans="1:38" x14ac:dyDescent="0.25">
      <c r="A94" s="382">
        <v>147</v>
      </c>
      <c r="B94" s="135">
        <v>105.65</v>
      </c>
      <c r="C94" s="135">
        <v>85.74</v>
      </c>
      <c r="D94" s="135">
        <v>101.5</v>
      </c>
      <c r="E94" s="12">
        <v>113.93</v>
      </c>
      <c r="F94" s="135">
        <v>63.68</v>
      </c>
      <c r="G94" s="135">
        <v>65.650000000000006</v>
      </c>
      <c r="H94" s="533">
        <v>105.58</v>
      </c>
      <c r="I94" s="37"/>
      <c r="J94" s="135">
        <v>66.790000000000006</v>
      </c>
      <c r="K94" s="135">
        <v>90.51</v>
      </c>
      <c r="L94" s="135">
        <v>88.05</v>
      </c>
      <c r="M94" s="135">
        <v>76.44</v>
      </c>
      <c r="N94" s="135">
        <v>107</v>
      </c>
      <c r="O94" s="552">
        <v>119.86</v>
      </c>
      <c r="P94" s="135">
        <v>48.69</v>
      </c>
      <c r="Q94" s="37"/>
      <c r="R94" s="155">
        <v>70.64</v>
      </c>
      <c r="S94" s="12">
        <v>61.33</v>
      </c>
      <c r="T94" s="12">
        <v>52.76</v>
      </c>
      <c r="U94" s="12">
        <v>72.37</v>
      </c>
      <c r="V94" s="12">
        <v>77.19</v>
      </c>
      <c r="W94" s="135">
        <v>87.94</v>
      </c>
      <c r="X94" s="135">
        <v>49.82</v>
      </c>
      <c r="Y94" s="37"/>
      <c r="Z94" s="131">
        <v>91.26</v>
      </c>
      <c r="AA94" s="131">
        <v>92.58</v>
      </c>
      <c r="AB94" s="12">
        <v>72.27</v>
      </c>
      <c r="AC94" s="530"/>
      <c r="AD94" s="530"/>
      <c r="AE94" s="532">
        <v>156.35</v>
      </c>
      <c r="AF94" s="131">
        <v>105.14</v>
      </c>
      <c r="AG94" s="12">
        <v>91</v>
      </c>
      <c r="AH94" s="12">
        <v>109.36</v>
      </c>
      <c r="AI94" s="12">
        <v>65.790000000000006</v>
      </c>
      <c r="AJ94" s="37"/>
      <c r="AK94" s="38"/>
      <c r="AL94" s="453"/>
    </row>
    <row r="95" spans="1:38" x14ac:dyDescent="0.25">
      <c r="A95" s="382">
        <v>148</v>
      </c>
      <c r="B95" s="135">
        <v>82.9</v>
      </c>
      <c r="C95" s="12">
        <v>105.51</v>
      </c>
      <c r="D95" s="12">
        <v>88.76</v>
      </c>
      <c r="E95" s="135">
        <v>89.52</v>
      </c>
      <c r="F95" s="135">
        <v>61.14</v>
      </c>
      <c r="G95" s="135">
        <v>90.05</v>
      </c>
      <c r="H95" s="135">
        <v>73.819999999999993</v>
      </c>
      <c r="I95" s="37"/>
      <c r="J95" s="135">
        <v>92.46</v>
      </c>
      <c r="K95" s="530"/>
      <c r="L95" s="530"/>
      <c r="M95" s="537"/>
      <c r="N95" s="530"/>
      <c r="O95" s="530"/>
      <c r="P95" s="530"/>
      <c r="Q95" s="37"/>
      <c r="R95" s="537"/>
      <c r="S95" s="530"/>
      <c r="T95" s="530"/>
      <c r="U95" s="530"/>
      <c r="V95" s="530"/>
      <c r="W95" s="530"/>
      <c r="X95" s="530"/>
      <c r="Y95" s="111"/>
      <c r="Z95" s="537"/>
      <c r="AA95" s="537"/>
      <c r="AB95" s="530"/>
      <c r="AC95" s="530"/>
      <c r="AD95" s="530"/>
      <c r="AE95" s="537"/>
      <c r="AF95" s="537"/>
      <c r="AG95" s="530"/>
      <c r="AH95" s="530"/>
      <c r="AI95" s="530"/>
      <c r="AJ95" s="111"/>
      <c r="AK95" s="38"/>
      <c r="AL95" s="453"/>
    </row>
    <row r="96" spans="1:38" x14ac:dyDescent="0.25">
      <c r="A96" s="382">
        <v>149</v>
      </c>
      <c r="B96" s="135">
        <v>95.21</v>
      </c>
      <c r="C96" s="135">
        <v>109.84</v>
      </c>
      <c r="D96" s="135">
        <v>91.89</v>
      </c>
      <c r="E96" s="135">
        <v>72.040000000000006</v>
      </c>
      <c r="F96" s="12">
        <v>84.51</v>
      </c>
      <c r="G96" s="135">
        <v>79.22</v>
      </c>
      <c r="H96" s="135">
        <v>99.79</v>
      </c>
      <c r="I96" s="37"/>
      <c r="J96" s="135">
        <v>89.3</v>
      </c>
      <c r="K96" s="135">
        <v>80.349999999999994</v>
      </c>
      <c r="L96" s="135">
        <v>95.28</v>
      </c>
      <c r="M96" s="135">
        <v>97.88</v>
      </c>
      <c r="N96" s="530"/>
      <c r="O96" s="135">
        <v>42.98</v>
      </c>
      <c r="P96" s="135">
        <v>78.5</v>
      </c>
      <c r="Q96" s="37"/>
      <c r="R96" s="131">
        <v>109.11</v>
      </c>
      <c r="S96" s="12">
        <v>85.01</v>
      </c>
      <c r="T96" s="12">
        <v>43.92</v>
      </c>
      <c r="U96" s="12">
        <v>75.260000000000005</v>
      </c>
      <c r="V96" s="12">
        <v>68.790000000000006</v>
      </c>
      <c r="W96" s="135">
        <v>88.9</v>
      </c>
      <c r="X96" s="135">
        <v>90.14</v>
      </c>
      <c r="Y96" s="37"/>
      <c r="Z96" s="12">
        <v>73</v>
      </c>
      <c r="AA96" s="131">
        <v>93.99</v>
      </c>
      <c r="AB96" s="12">
        <v>64.75</v>
      </c>
      <c r="AC96" s="12">
        <v>95.5</v>
      </c>
      <c r="AD96" s="12">
        <v>104.45</v>
      </c>
      <c r="AE96" s="570">
        <v>76.38</v>
      </c>
      <c r="AF96" s="131">
        <v>67.010000000000005</v>
      </c>
      <c r="AG96" s="12">
        <v>82</v>
      </c>
      <c r="AH96" s="12">
        <v>115.29</v>
      </c>
      <c r="AI96" s="12">
        <v>60.14</v>
      </c>
      <c r="AJ96" s="37"/>
      <c r="AK96" s="38"/>
      <c r="AL96" s="453"/>
    </row>
    <row r="97" spans="1:38" x14ac:dyDescent="0.25">
      <c r="A97" s="382">
        <v>150</v>
      </c>
      <c r="B97" s="12">
        <v>96.43</v>
      </c>
      <c r="C97" s="530"/>
      <c r="D97" s="135">
        <v>87.34</v>
      </c>
      <c r="E97" s="135">
        <v>104.43</v>
      </c>
      <c r="F97" s="135">
        <v>60.61</v>
      </c>
      <c r="G97" s="135">
        <v>76.900000000000006</v>
      </c>
      <c r="H97" s="533">
        <v>91.19</v>
      </c>
      <c r="I97" s="37"/>
      <c r="J97" s="135">
        <v>51.19</v>
      </c>
      <c r="K97" s="135">
        <v>101.07</v>
      </c>
      <c r="L97" s="135">
        <v>82.93</v>
      </c>
      <c r="M97" s="131">
        <v>112.96</v>
      </c>
      <c r="N97" s="135">
        <v>113</v>
      </c>
      <c r="O97" s="135">
        <v>63.58</v>
      </c>
      <c r="P97" s="532">
        <v>126.67</v>
      </c>
      <c r="Q97" s="37"/>
      <c r="R97" s="131">
        <v>69.19</v>
      </c>
      <c r="S97" s="12">
        <v>89.86</v>
      </c>
      <c r="T97" s="12">
        <v>63.83</v>
      </c>
      <c r="U97" s="12">
        <v>80.38</v>
      </c>
      <c r="V97" s="12">
        <v>92.8</v>
      </c>
      <c r="W97" s="135">
        <v>91.71</v>
      </c>
      <c r="X97" s="135">
        <v>103.94</v>
      </c>
      <c r="Y97" s="37"/>
      <c r="Z97" s="131">
        <v>87.82</v>
      </c>
      <c r="AA97" s="131">
        <v>106.12</v>
      </c>
      <c r="AB97" s="12">
        <v>93.66</v>
      </c>
      <c r="AC97" s="12">
        <v>87.71</v>
      </c>
      <c r="AD97" s="135">
        <v>94.41</v>
      </c>
      <c r="AE97" s="570">
        <v>115.73</v>
      </c>
      <c r="AF97" s="131">
        <v>75.040000000000006</v>
      </c>
      <c r="AG97" s="12">
        <v>92</v>
      </c>
      <c r="AH97" s="12">
        <v>115.63</v>
      </c>
      <c r="AI97" s="12">
        <v>105</v>
      </c>
      <c r="AJ97" s="37"/>
      <c r="AK97" s="38"/>
      <c r="AL97" s="453"/>
    </row>
    <row r="98" spans="1:38" x14ac:dyDescent="0.25">
      <c r="A98" s="382">
        <v>151</v>
      </c>
      <c r="B98" s="135">
        <v>69.16</v>
      </c>
      <c r="C98" s="135">
        <v>69.7</v>
      </c>
      <c r="D98" s="135">
        <v>90.97</v>
      </c>
      <c r="E98" s="135">
        <v>101.72</v>
      </c>
      <c r="F98" s="135">
        <v>68.36</v>
      </c>
      <c r="G98" s="135">
        <v>73.63</v>
      </c>
      <c r="H98" s="135">
        <v>75.94</v>
      </c>
      <c r="I98" s="37"/>
      <c r="J98" s="135">
        <v>68.58</v>
      </c>
      <c r="K98" s="530"/>
      <c r="L98" s="135">
        <v>114.59</v>
      </c>
      <c r="M98" s="135">
        <v>114.77</v>
      </c>
      <c r="N98" s="135">
        <v>93</v>
      </c>
      <c r="O98" s="135">
        <v>38.729999999999997</v>
      </c>
      <c r="P98" s="135">
        <v>74.84</v>
      </c>
      <c r="Q98" s="37"/>
      <c r="R98" s="155">
        <v>91.94</v>
      </c>
      <c r="S98" s="135">
        <v>71.23</v>
      </c>
      <c r="T98" s="12">
        <v>51.17</v>
      </c>
      <c r="U98" s="12">
        <v>81.58</v>
      </c>
      <c r="V98" s="12">
        <v>61.53</v>
      </c>
      <c r="W98" s="135">
        <v>95.54</v>
      </c>
      <c r="X98" s="135">
        <v>90.18</v>
      </c>
      <c r="Y98" s="37"/>
      <c r="Z98" s="12">
        <v>78.69</v>
      </c>
      <c r="AA98" s="131">
        <v>97.17</v>
      </c>
      <c r="AB98" s="12">
        <v>67.2</v>
      </c>
      <c r="AC98" s="12">
        <v>93.91</v>
      </c>
      <c r="AD98" s="12">
        <v>80.069999999999993</v>
      </c>
      <c r="AE98" s="533">
        <v>89.92</v>
      </c>
      <c r="AF98" s="131">
        <v>65.63</v>
      </c>
      <c r="AG98" s="12">
        <v>61</v>
      </c>
      <c r="AH98" s="12">
        <v>102.03</v>
      </c>
      <c r="AI98" s="12">
        <v>71.81</v>
      </c>
      <c r="AJ98" s="37"/>
      <c r="AK98" s="38"/>
      <c r="AL98" s="453"/>
    </row>
    <row r="99" spans="1:38" x14ac:dyDescent="0.25">
      <c r="A99" s="382">
        <v>152</v>
      </c>
      <c r="B99" s="530"/>
      <c r="C99" s="530"/>
      <c r="D99" s="530"/>
      <c r="E99" s="530"/>
      <c r="F99" s="530"/>
      <c r="G99" s="530"/>
      <c r="H99" s="530"/>
      <c r="I99" s="111"/>
      <c r="J99" s="537"/>
      <c r="K99" s="530"/>
      <c r="L99" s="537"/>
      <c r="M99" s="537"/>
      <c r="N99" s="537"/>
      <c r="O99" s="537"/>
      <c r="P99" s="537"/>
      <c r="Q99" s="111"/>
      <c r="R99" s="537"/>
      <c r="S99" s="530"/>
      <c r="T99" s="530"/>
      <c r="U99" s="530"/>
      <c r="V99" s="530"/>
      <c r="W99" s="530"/>
      <c r="X99" s="530"/>
      <c r="Y99" s="111"/>
      <c r="Z99" s="530"/>
      <c r="AA99" s="530"/>
      <c r="AB99" s="530"/>
      <c r="AC99" s="530"/>
      <c r="AD99" s="530"/>
      <c r="AE99" s="530"/>
      <c r="AF99" s="530"/>
      <c r="AG99" s="530"/>
      <c r="AH99" s="530"/>
      <c r="AI99" s="530"/>
      <c r="AJ99" s="111"/>
      <c r="AK99" s="38"/>
      <c r="AL99" s="453"/>
    </row>
    <row r="100" spans="1:38" x14ac:dyDescent="0.25">
      <c r="A100" s="382">
        <v>153</v>
      </c>
      <c r="B100" s="12">
        <v>87.02</v>
      </c>
      <c r="C100" s="135">
        <v>83.18</v>
      </c>
      <c r="D100" s="12">
        <v>72.08</v>
      </c>
      <c r="E100" s="12">
        <v>73.58</v>
      </c>
      <c r="F100" s="12">
        <v>61.24</v>
      </c>
      <c r="G100" s="135">
        <v>68.510000000000005</v>
      </c>
      <c r="H100" s="12">
        <v>81.89</v>
      </c>
      <c r="I100" s="37"/>
      <c r="J100" s="135">
        <v>74.69</v>
      </c>
      <c r="K100" s="12">
        <v>73.56</v>
      </c>
      <c r="L100" s="533">
        <v>59.79</v>
      </c>
      <c r="M100" s="131">
        <v>71.39</v>
      </c>
      <c r="N100" s="12">
        <v>64</v>
      </c>
      <c r="O100" s="135">
        <v>83.2</v>
      </c>
      <c r="P100" s="155">
        <v>87.59</v>
      </c>
      <c r="Q100" s="37"/>
      <c r="R100" s="131">
        <v>83.49</v>
      </c>
      <c r="S100" s="12">
        <v>77.760000000000005</v>
      </c>
      <c r="T100" s="12">
        <v>54.11</v>
      </c>
      <c r="U100" s="12">
        <v>72.09</v>
      </c>
      <c r="V100" s="12">
        <v>60.57</v>
      </c>
      <c r="W100" s="135">
        <v>89.01</v>
      </c>
      <c r="X100" s="135">
        <v>82.26</v>
      </c>
      <c r="Y100" s="37"/>
      <c r="Z100" s="131">
        <v>72.73</v>
      </c>
      <c r="AA100" s="131">
        <v>89.9</v>
      </c>
      <c r="AB100" s="12">
        <v>81.53</v>
      </c>
      <c r="AC100" s="12">
        <v>70.67</v>
      </c>
      <c r="AD100" s="12">
        <v>67.75</v>
      </c>
      <c r="AE100" s="131">
        <v>94.35</v>
      </c>
      <c r="AF100" s="131">
        <v>85.55</v>
      </c>
      <c r="AG100" s="12">
        <v>61</v>
      </c>
      <c r="AH100" s="12">
        <v>82.7</v>
      </c>
      <c r="AI100" s="12">
        <v>82.58</v>
      </c>
      <c r="AJ100" s="37"/>
      <c r="AK100" s="38"/>
      <c r="AL100" s="453"/>
    </row>
    <row r="101" spans="1:38" x14ac:dyDescent="0.25">
      <c r="A101" s="382">
        <v>154</v>
      </c>
      <c r="B101" s="12">
        <v>90.37</v>
      </c>
      <c r="C101" s="12">
        <v>67.88</v>
      </c>
      <c r="D101" s="135">
        <v>81.260000000000005</v>
      </c>
      <c r="E101" s="135">
        <v>93.41</v>
      </c>
      <c r="F101" s="135">
        <v>73.88</v>
      </c>
      <c r="G101" s="135">
        <v>93.3</v>
      </c>
      <c r="H101" s="135">
        <v>85.04</v>
      </c>
      <c r="I101" s="37"/>
      <c r="J101" s="135">
        <v>75.989999999999995</v>
      </c>
      <c r="K101" s="135">
        <v>99.66</v>
      </c>
      <c r="L101" s="135">
        <v>81.33</v>
      </c>
      <c r="M101" s="135">
        <v>85.76</v>
      </c>
      <c r="N101" s="135">
        <v>86</v>
      </c>
      <c r="O101" s="135">
        <v>60.92</v>
      </c>
      <c r="P101" s="155">
        <v>59.25</v>
      </c>
      <c r="Q101" s="37"/>
      <c r="R101" s="131">
        <v>84.26</v>
      </c>
      <c r="S101" s="12">
        <v>65.84</v>
      </c>
      <c r="T101" s="12">
        <v>29.47</v>
      </c>
      <c r="U101" s="12">
        <v>69.8</v>
      </c>
      <c r="V101" s="12">
        <v>66.55</v>
      </c>
      <c r="W101" s="135">
        <v>90.67</v>
      </c>
      <c r="X101" s="135">
        <v>75.430000000000007</v>
      </c>
      <c r="Y101" s="37"/>
      <c r="Z101" s="131">
        <v>91.53</v>
      </c>
      <c r="AA101" s="131">
        <v>97.63</v>
      </c>
      <c r="AB101" s="12">
        <v>71.430000000000007</v>
      </c>
      <c r="AC101" s="12">
        <v>91.9</v>
      </c>
      <c r="AD101" s="12">
        <v>76.42</v>
      </c>
      <c r="AE101" s="131">
        <v>75.16</v>
      </c>
      <c r="AF101" s="131">
        <v>80.47</v>
      </c>
      <c r="AG101" s="12">
        <v>96</v>
      </c>
      <c r="AH101" s="12">
        <v>90.62</v>
      </c>
      <c r="AI101" s="12">
        <v>75.34</v>
      </c>
      <c r="AJ101" s="37"/>
      <c r="AK101" s="38"/>
      <c r="AL101" s="453"/>
    </row>
    <row r="102" spans="1:38" x14ac:dyDescent="0.25">
      <c r="A102" s="382">
        <v>155</v>
      </c>
      <c r="B102" s="12">
        <v>73.790000000000006</v>
      </c>
      <c r="C102" s="12">
        <v>103.58</v>
      </c>
      <c r="D102" s="135">
        <v>83.55</v>
      </c>
      <c r="E102" s="12">
        <v>116.64</v>
      </c>
      <c r="F102" s="135">
        <v>72.31</v>
      </c>
      <c r="G102" s="135">
        <v>58.23</v>
      </c>
      <c r="H102" s="135">
        <v>45.09</v>
      </c>
      <c r="I102" s="37"/>
      <c r="J102" s="135">
        <v>79.23</v>
      </c>
      <c r="K102" s="135">
        <v>85.06</v>
      </c>
      <c r="L102" s="135">
        <v>76.75</v>
      </c>
      <c r="M102" s="135">
        <v>100.94</v>
      </c>
      <c r="N102" s="135">
        <v>84</v>
      </c>
      <c r="O102" s="135">
        <v>54.98</v>
      </c>
      <c r="P102" s="155">
        <v>78.41</v>
      </c>
      <c r="Q102" s="37"/>
      <c r="R102" s="12">
        <v>88.72</v>
      </c>
      <c r="S102" s="12">
        <v>92.14</v>
      </c>
      <c r="T102" s="12">
        <v>55.48</v>
      </c>
      <c r="U102" s="12">
        <v>108.1</v>
      </c>
      <c r="V102" s="12">
        <v>87.75</v>
      </c>
      <c r="W102" s="135">
        <v>87.38</v>
      </c>
      <c r="X102" s="135">
        <v>107.77</v>
      </c>
      <c r="Y102" s="37"/>
      <c r="Z102" s="131">
        <v>78.069999999999993</v>
      </c>
      <c r="AA102" s="131">
        <v>120.1</v>
      </c>
      <c r="AB102" s="12">
        <v>105.24</v>
      </c>
      <c r="AC102" s="12">
        <v>74.400000000000006</v>
      </c>
      <c r="AD102" s="12">
        <v>99.32</v>
      </c>
      <c r="AE102" s="131">
        <v>82.99</v>
      </c>
      <c r="AF102" s="12">
        <v>91.43</v>
      </c>
      <c r="AG102" s="12">
        <v>99</v>
      </c>
      <c r="AH102" s="12">
        <v>85.5</v>
      </c>
      <c r="AI102" s="12">
        <v>72.930000000000007</v>
      </c>
      <c r="AJ102" s="37"/>
      <c r="AK102" s="38"/>
      <c r="AL102" s="453"/>
    </row>
    <row r="103" spans="1:38" x14ac:dyDescent="0.25">
      <c r="A103" s="382">
        <v>156</v>
      </c>
      <c r="B103" s="12">
        <v>59.41</v>
      </c>
      <c r="C103" s="135">
        <v>77.86</v>
      </c>
      <c r="D103" s="135">
        <v>91.52</v>
      </c>
      <c r="E103" s="12">
        <v>50.44</v>
      </c>
      <c r="F103" s="532">
        <v>152.02000000000001</v>
      </c>
      <c r="G103" s="135">
        <v>81.41</v>
      </c>
      <c r="H103" s="135">
        <v>62.22</v>
      </c>
      <c r="I103" s="37"/>
      <c r="J103" s="135">
        <v>59.98</v>
      </c>
      <c r="K103" s="135">
        <v>79.41</v>
      </c>
      <c r="L103" s="135">
        <v>80.239999999999995</v>
      </c>
      <c r="M103" s="135">
        <v>76.25</v>
      </c>
      <c r="N103" s="135">
        <v>58</v>
      </c>
      <c r="O103" s="135">
        <v>84.18</v>
      </c>
      <c r="P103" s="548">
        <v>151.82</v>
      </c>
      <c r="Q103" s="37"/>
      <c r="R103" s="155">
        <v>93.95</v>
      </c>
      <c r="S103" s="12">
        <v>76.41</v>
      </c>
      <c r="T103" s="12">
        <v>47.88</v>
      </c>
      <c r="U103" s="530"/>
      <c r="V103" s="532">
        <v>122.29</v>
      </c>
      <c r="W103" s="135">
        <v>64.180000000000007</v>
      </c>
      <c r="X103" s="135">
        <v>86.98</v>
      </c>
      <c r="Y103" s="37"/>
      <c r="Z103" s="12">
        <v>67.7</v>
      </c>
      <c r="AA103" s="131">
        <v>100.08</v>
      </c>
      <c r="AB103" s="12">
        <v>68.83</v>
      </c>
      <c r="AC103" s="12">
        <v>68.680000000000007</v>
      </c>
      <c r="AD103" s="12">
        <v>90.82</v>
      </c>
      <c r="AE103" s="131">
        <v>63.01</v>
      </c>
      <c r="AF103" s="537"/>
      <c r="AG103" s="530"/>
      <c r="AH103" s="530"/>
      <c r="AI103" s="12"/>
      <c r="AJ103" s="37"/>
      <c r="AK103" s="38"/>
      <c r="AL103" s="453"/>
    </row>
    <row r="104" spans="1:38" x14ac:dyDescent="0.25">
      <c r="A104" s="382">
        <v>157</v>
      </c>
      <c r="B104" s="12">
        <v>80.83</v>
      </c>
      <c r="C104" s="530"/>
      <c r="D104" s="12">
        <v>95.55</v>
      </c>
      <c r="E104" s="135">
        <v>97.87</v>
      </c>
      <c r="F104" s="12">
        <v>55.68</v>
      </c>
      <c r="G104" s="135">
        <v>61.67</v>
      </c>
      <c r="H104" s="12">
        <v>78.19</v>
      </c>
      <c r="I104" s="37"/>
      <c r="J104" s="155">
        <v>59.87</v>
      </c>
      <c r="K104" s="135">
        <v>71.900000000000006</v>
      </c>
      <c r="L104" s="131">
        <v>70.38</v>
      </c>
      <c r="M104" s="135">
        <v>56.86</v>
      </c>
      <c r="N104" s="12">
        <v>69</v>
      </c>
      <c r="O104" s="135">
        <v>69.61</v>
      </c>
      <c r="P104" s="155">
        <v>75.22</v>
      </c>
      <c r="Q104" s="37"/>
      <c r="R104" s="155">
        <v>83.33</v>
      </c>
      <c r="S104" s="12">
        <v>53.75</v>
      </c>
      <c r="T104" s="12">
        <v>28.48</v>
      </c>
      <c r="U104" s="12">
        <v>60.18</v>
      </c>
      <c r="V104" s="12">
        <v>54.63</v>
      </c>
      <c r="W104" s="135">
        <v>88.6</v>
      </c>
      <c r="X104" s="135">
        <v>72.5</v>
      </c>
      <c r="Y104" s="37"/>
      <c r="Z104" s="131">
        <v>58.18</v>
      </c>
      <c r="AA104" s="131">
        <v>82.51</v>
      </c>
      <c r="AB104" s="12">
        <v>85.82</v>
      </c>
      <c r="AC104" s="12">
        <v>68.69</v>
      </c>
      <c r="AD104" s="12">
        <v>80.53</v>
      </c>
      <c r="AE104" s="131">
        <v>69.06</v>
      </c>
      <c r="AF104" s="12">
        <v>75.95</v>
      </c>
      <c r="AG104" s="12">
        <v>65</v>
      </c>
      <c r="AH104" s="12">
        <v>63.32</v>
      </c>
      <c r="AI104" s="12">
        <v>65.36</v>
      </c>
      <c r="AJ104" s="37"/>
      <c r="AK104" s="38"/>
      <c r="AL104" s="453"/>
    </row>
    <row r="105" spans="1:38" x14ac:dyDescent="0.25">
      <c r="A105" s="382">
        <v>158</v>
      </c>
      <c r="B105" s="12">
        <v>69.739999999999995</v>
      </c>
      <c r="C105" s="135">
        <v>84.07</v>
      </c>
      <c r="D105" s="135">
        <v>75.59</v>
      </c>
      <c r="E105" s="530"/>
      <c r="F105" s="12">
        <v>79.790000000000006</v>
      </c>
      <c r="G105" s="135">
        <v>89.11</v>
      </c>
      <c r="H105" s="135">
        <v>90.4</v>
      </c>
      <c r="I105" s="37"/>
      <c r="J105" s="135">
        <v>70.959999999999994</v>
      </c>
      <c r="K105" s="135">
        <v>81.99</v>
      </c>
      <c r="L105" s="135">
        <v>82.94</v>
      </c>
      <c r="M105" s="135">
        <v>91.03</v>
      </c>
      <c r="N105" s="135">
        <v>80</v>
      </c>
      <c r="O105" s="155">
        <v>86.24</v>
      </c>
      <c r="P105" s="155">
        <v>66.31</v>
      </c>
      <c r="Q105" s="37"/>
      <c r="R105" s="537"/>
      <c r="S105" s="532">
        <v>160.52000000000001</v>
      </c>
      <c r="T105" s="12">
        <v>40.53</v>
      </c>
      <c r="U105" s="12">
        <v>69.72</v>
      </c>
      <c r="V105" s="12">
        <v>77.400000000000006</v>
      </c>
      <c r="W105" s="135">
        <v>107.09</v>
      </c>
      <c r="X105" s="135">
        <v>83.18</v>
      </c>
      <c r="Y105" s="37"/>
      <c r="Z105" s="131">
        <v>67.91</v>
      </c>
      <c r="AA105" s="135">
        <v>98.46</v>
      </c>
      <c r="AB105" s="12">
        <v>74.69</v>
      </c>
      <c r="AC105" s="12">
        <v>80.56</v>
      </c>
      <c r="AD105" s="12">
        <v>84.18</v>
      </c>
      <c r="AE105" s="548">
        <v>121.73</v>
      </c>
      <c r="AF105" s="131">
        <v>31.97</v>
      </c>
      <c r="AG105" s="12">
        <v>76.95</v>
      </c>
      <c r="AH105" s="12">
        <v>65.83</v>
      </c>
      <c r="AI105" s="12">
        <v>82.17</v>
      </c>
      <c r="AJ105" s="37"/>
      <c r="AK105" s="38"/>
      <c r="AL105" s="453"/>
    </row>
    <row r="106" spans="1:38" x14ac:dyDescent="0.25">
      <c r="A106" s="382">
        <v>159</v>
      </c>
      <c r="B106" s="12">
        <v>93.75</v>
      </c>
      <c r="C106" s="135">
        <v>62.43</v>
      </c>
      <c r="D106" s="135">
        <v>100.46</v>
      </c>
      <c r="E106" s="135">
        <v>91.13</v>
      </c>
      <c r="F106" s="12">
        <v>60.78</v>
      </c>
      <c r="G106" s="12">
        <v>80.760000000000005</v>
      </c>
      <c r="H106" s="530"/>
      <c r="I106" s="37"/>
      <c r="J106" s="532">
        <v>146.27000000000001</v>
      </c>
      <c r="K106" s="135">
        <v>53.09</v>
      </c>
      <c r="L106" s="135">
        <v>67.5</v>
      </c>
      <c r="M106" s="135">
        <v>68.7</v>
      </c>
      <c r="N106" s="135">
        <v>72</v>
      </c>
      <c r="O106" s="135">
        <v>78.03</v>
      </c>
      <c r="P106" s="155">
        <v>65.319999999999993</v>
      </c>
      <c r="Q106" s="37"/>
      <c r="R106" s="135">
        <v>89.8</v>
      </c>
      <c r="S106" s="12">
        <v>64.739999999999995</v>
      </c>
      <c r="T106" s="12">
        <v>59.55</v>
      </c>
      <c r="U106" s="530"/>
      <c r="V106" s="530"/>
      <c r="W106" s="135">
        <v>115.54</v>
      </c>
      <c r="X106" s="135">
        <v>90.32</v>
      </c>
      <c r="Y106" s="37"/>
      <c r="Z106" s="12">
        <v>86.98</v>
      </c>
      <c r="AA106" s="131">
        <v>81.62</v>
      </c>
      <c r="AB106" s="12">
        <v>74.38</v>
      </c>
      <c r="AC106" s="12">
        <v>74.73</v>
      </c>
      <c r="AD106" s="12">
        <v>79.03</v>
      </c>
      <c r="AE106" s="131">
        <v>75.61</v>
      </c>
      <c r="AF106" s="131">
        <v>84.46</v>
      </c>
      <c r="AG106" s="12">
        <v>64</v>
      </c>
      <c r="AH106" s="12">
        <v>76.88</v>
      </c>
      <c r="AI106" s="12">
        <v>69.64</v>
      </c>
      <c r="AJ106" s="37"/>
      <c r="AK106" s="38"/>
      <c r="AL106" s="453"/>
    </row>
    <row r="107" spans="1:38" x14ac:dyDescent="0.25">
      <c r="A107" s="382">
        <v>161</v>
      </c>
      <c r="B107" s="12">
        <v>63.58</v>
      </c>
      <c r="C107" s="12">
        <v>72.599999999999994</v>
      </c>
      <c r="D107" s="530"/>
      <c r="E107" s="530"/>
      <c r="F107" s="530"/>
      <c r="G107" s="530"/>
      <c r="H107" s="12">
        <v>78.52</v>
      </c>
      <c r="I107" s="37"/>
      <c r="J107" s="155">
        <v>69.010000000000005</v>
      </c>
      <c r="K107" s="135">
        <v>90.33</v>
      </c>
      <c r="L107" s="135">
        <v>68.69</v>
      </c>
      <c r="M107" s="135">
        <v>96.68</v>
      </c>
      <c r="N107" s="135">
        <v>90</v>
      </c>
      <c r="O107" s="135">
        <v>55.5</v>
      </c>
      <c r="P107" s="155">
        <v>64.66</v>
      </c>
      <c r="Q107" s="37"/>
      <c r="R107" s="131">
        <v>88.93</v>
      </c>
      <c r="S107" s="12">
        <v>65.209999999999994</v>
      </c>
      <c r="T107" s="12">
        <v>58.54</v>
      </c>
      <c r="U107" s="12">
        <v>63.61</v>
      </c>
      <c r="V107" s="12">
        <v>58.64</v>
      </c>
      <c r="W107" s="135">
        <v>77.400000000000006</v>
      </c>
      <c r="X107" s="135">
        <v>89.4</v>
      </c>
      <c r="Y107" s="37"/>
      <c r="Z107" s="131">
        <v>74.930000000000007</v>
      </c>
      <c r="AA107" s="131">
        <v>78.150000000000006</v>
      </c>
      <c r="AB107" s="12">
        <v>74.53</v>
      </c>
      <c r="AC107" s="12">
        <v>77.7</v>
      </c>
      <c r="AD107" s="12">
        <v>76.47</v>
      </c>
      <c r="AE107" s="131">
        <v>72.37</v>
      </c>
      <c r="AF107" s="131">
        <v>66.73</v>
      </c>
      <c r="AG107" s="12">
        <v>88</v>
      </c>
      <c r="AH107" s="12">
        <v>67.59</v>
      </c>
      <c r="AI107" s="12">
        <v>74.319999999999993</v>
      </c>
      <c r="AJ107" s="37"/>
      <c r="AK107" s="38"/>
      <c r="AL107" s="453"/>
    </row>
    <row r="108" spans="1:38" x14ac:dyDescent="0.25">
      <c r="A108" s="382">
        <v>162</v>
      </c>
      <c r="B108" s="12">
        <v>92.01</v>
      </c>
      <c r="C108" s="135">
        <v>71.91</v>
      </c>
      <c r="D108" s="135">
        <v>80.05</v>
      </c>
      <c r="E108" s="12">
        <v>83.06</v>
      </c>
      <c r="F108" s="12">
        <v>55.9</v>
      </c>
      <c r="G108" s="12">
        <v>58.54</v>
      </c>
      <c r="H108" s="533">
        <v>87.39</v>
      </c>
      <c r="I108" s="37"/>
      <c r="J108" s="135">
        <v>39.4</v>
      </c>
      <c r="K108" s="12">
        <v>94.48</v>
      </c>
      <c r="L108" s="135">
        <v>78.06</v>
      </c>
      <c r="M108" s="530"/>
      <c r="N108" s="135">
        <v>66</v>
      </c>
      <c r="O108" s="135">
        <v>61.72</v>
      </c>
      <c r="P108" s="155">
        <v>76.209999999999994</v>
      </c>
      <c r="Q108" s="37"/>
      <c r="R108" s="131">
        <v>83.01</v>
      </c>
      <c r="S108" s="12">
        <v>77.84</v>
      </c>
      <c r="T108" s="12">
        <v>40.950000000000003</v>
      </c>
      <c r="U108" s="12">
        <v>67.790000000000006</v>
      </c>
      <c r="V108" s="12">
        <v>58.43</v>
      </c>
      <c r="W108" s="135">
        <v>91.59</v>
      </c>
      <c r="X108" s="530"/>
      <c r="Y108" s="37"/>
      <c r="Z108" s="548">
        <v>161.25</v>
      </c>
      <c r="AA108" s="131">
        <v>92.05</v>
      </c>
      <c r="AB108" s="12">
        <v>91.28</v>
      </c>
      <c r="AC108" s="12">
        <v>71.38</v>
      </c>
      <c r="AD108" s="12">
        <v>84.24</v>
      </c>
      <c r="AE108" s="131">
        <v>81.09</v>
      </c>
      <c r="AF108" s="131">
        <v>82.49</v>
      </c>
      <c r="AG108" s="12">
        <v>40</v>
      </c>
      <c r="AH108" s="12">
        <v>111.37</v>
      </c>
      <c r="AI108" s="12">
        <v>79.849999999999994</v>
      </c>
      <c r="AJ108" s="37"/>
      <c r="AK108" s="38"/>
      <c r="AL108" s="453"/>
    </row>
    <row r="109" spans="1:38" x14ac:dyDescent="0.25">
      <c r="A109" s="382">
        <v>163</v>
      </c>
      <c r="B109" s="135">
        <v>83.88</v>
      </c>
      <c r="C109" s="135">
        <v>68.260000000000005</v>
      </c>
      <c r="D109" s="135">
        <v>66.760000000000005</v>
      </c>
      <c r="E109" s="135">
        <v>76.69</v>
      </c>
      <c r="F109" s="135">
        <v>65.11</v>
      </c>
      <c r="G109" s="135">
        <v>84.35</v>
      </c>
      <c r="H109" s="135">
        <v>90.12</v>
      </c>
      <c r="I109" s="37"/>
      <c r="J109" s="135">
        <v>66.91</v>
      </c>
      <c r="K109" s="135">
        <v>73.98</v>
      </c>
      <c r="L109" s="131">
        <v>66.16</v>
      </c>
      <c r="M109" s="131">
        <v>87.34</v>
      </c>
      <c r="N109" s="135">
        <v>87</v>
      </c>
      <c r="O109" s="155">
        <v>71.14</v>
      </c>
      <c r="P109" s="155">
        <v>79.34</v>
      </c>
      <c r="Q109" s="37"/>
      <c r="R109" s="135">
        <v>58.06</v>
      </c>
      <c r="S109" s="12">
        <v>53.02</v>
      </c>
      <c r="T109" s="12">
        <v>51.19</v>
      </c>
      <c r="U109" s="12">
        <v>62.8</v>
      </c>
      <c r="V109" s="12">
        <v>68.08</v>
      </c>
      <c r="W109" s="135">
        <v>74.13</v>
      </c>
      <c r="X109" s="530"/>
      <c r="Y109" s="37"/>
      <c r="Z109" s="131">
        <v>90.27</v>
      </c>
      <c r="AA109" s="131">
        <v>125.05</v>
      </c>
      <c r="AB109" s="12">
        <v>80.06</v>
      </c>
      <c r="AC109" s="12">
        <v>68.67</v>
      </c>
      <c r="AD109" s="12">
        <v>98.71</v>
      </c>
      <c r="AE109" s="131">
        <v>69.510000000000005</v>
      </c>
      <c r="AF109" s="131">
        <v>81.66</v>
      </c>
      <c r="AG109" s="12">
        <v>58</v>
      </c>
      <c r="AH109" s="12">
        <v>64.75</v>
      </c>
      <c r="AI109" s="12">
        <v>112.09</v>
      </c>
      <c r="AJ109" s="37"/>
      <c r="AK109" s="38"/>
      <c r="AL109" s="453"/>
    </row>
    <row r="110" spans="1:38" x14ac:dyDescent="0.25">
      <c r="A110" s="382">
        <v>164</v>
      </c>
      <c r="B110" s="12">
        <v>53.64</v>
      </c>
      <c r="C110" s="135">
        <v>70.489999999999995</v>
      </c>
      <c r="D110" s="135">
        <v>81.75</v>
      </c>
      <c r="E110" s="12">
        <v>96.85</v>
      </c>
      <c r="F110" s="135">
        <v>79.489999999999995</v>
      </c>
      <c r="G110" s="135">
        <v>71.510000000000005</v>
      </c>
      <c r="H110" s="12">
        <v>80.7</v>
      </c>
      <c r="I110" s="37"/>
      <c r="J110" s="135">
        <v>72.739999999999995</v>
      </c>
      <c r="K110" s="135">
        <v>88.25</v>
      </c>
      <c r="L110" s="135">
        <v>60.64</v>
      </c>
      <c r="M110" s="135">
        <v>75.739999999999995</v>
      </c>
      <c r="N110" s="135">
        <v>65</v>
      </c>
      <c r="O110" s="135">
        <v>74.55</v>
      </c>
      <c r="P110" s="155">
        <v>88.07</v>
      </c>
      <c r="Q110" s="37"/>
      <c r="R110" s="131">
        <v>86.86</v>
      </c>
      <c r="S110" s="12">
        <v>58.38</v>
      </c>
      <c r="T110" s="12">
        <v>56.58</v>
      </c>
      <c r="U110" s="12">
        <v>67.180000000000007</v>
      </c>
      <c r="V110" s="12">
        <v>66.03</v>
      </c>
      <c r="W110" s="135">
        <v>92.67</v>
      </c>
      <c r="X110" s="135">
        <v>73.239999999999995</v>
      </c>
      <c r="Y110" s="37"/>
      <c r="Z110" s="131">
        <v>88.62</v>
      </c>
      <c r="AA110" s="131">
        <v>92.04</v>
      </c>
      <c r="AB110" s="12">
        <v>72.5</v>
      </c>
      <c r="AC110" s="12">
        <v>83.4</v>
      </c>
      <c r="AD110" s="12">
        <v>71.95</v>
      </c>
      <c r="AE110" s="131">
        <v>107.57</v>
      </c>
      <c r="AF110" s="12">
        <v>90</v>
      </c>
      <c r="AG110" s="12">
        <v>92</v>
      </c>
      <c r="AH110" s="12">
        <v>64.849999999999994</v>
      </c>
      <c r="AI110" s="12">
        <v>82.45</v>
      </c>
      <c r="AJ110" s="37"/>
      <c r="AK110" s="38"/>
      <c r="AL110" s="453"/>
    </row>
    <row r="111" spans="1:38" x14ac:dyDescent="0.25">
      <c r="A111" s="382">
        <v>165</v>
      </c>
      <c r="B111" s="135">
        <v>73</v>
      </c>
      <c r="C111" s="12">
        <v>96.53</v>
      </c>
      <c r="D111" s="135">
        <v>74.239999999999995</v>
      </c>
      <c r="E111" s="12">
        <v>68.959999999999994</v>
      </c>
      <c r="F111" s="135">
        <v>53.16</v>
      </c>
      <c r="G111" s="135">
        <v>83.17</v>
      </c>
      <c r="H111" s="135">
        <v>89.21</v>
      </c>
      <c r="I111" s="37"/>
      <c r="J111" s="155">
        <v>69.67</v>
      </c>
      <c r="K111" s="135">
        <v>80.55</v>
      </c>
      <c r="L111" s="135">
        <v>82.2</v>
      </c>
      <c r="M111" s="135">
        <v>66.790000000000006</v>
      </c>
      <c r="N111" s="135">
        <v>90</v>
      </c>
      <c r="O111" s="155">
        <v>47.24</v>
      </c>
      <c r="P111" s="155">
        <v>94.78</v>
      </c>
      <c r="Q111" s="37"/>
      <c r="R111" s="537"/>
      <c r="S111" s="12">
        <v>68.47</v>
      </c>
      <c r="T111" s="12">
        <v>68.3</v>
      </c>
      <c r="U111" s="12">
        <v>66.489999999999995</v>
      </c>
      <c r="V111" s="12">
        <v>80.849999999999994</v>
      </c>
      <c r="W111" s="135">
        <v>65.73</v>
      </c>
      <c r="X111" s="135">
        <v>73.98</v>
      </c>
      <c r="Y111" s="37"/>
      <c r="Z111" s="131">
        <v>77.959999999999994</v>
      </c>
      <c r="AA111" s="131">
        <v>93.49</v>
      </c>
      <c r="AB111" s="12">
        <v>87.97</v>
      </c>
      <c r="AC111" s="530"/>
      <c r="AD111" s="532">
        <v>163.24</v>
      </c>
      <c r="AE111" s="131">
        <v>63.95</v>
      </c>
      <c r="AF111" s="131">
        <v>82.59</v>
      </c>
      <c r="AG111" s="12">
        <v>69</v>
      </c>
      <c r="AH111" s="12">
        <v>77.64</v>
      </c>
      <c r="AI111" s="12">
        <v>68.2</v>
      </c>
      <c r="AJ111" s="37"/>
      <c r="AK111" s="38"/>
      <c r="AL111" s="453"/>
    </row>
    <row r="112" spans="1:38" x14ac:dyDescent="0.25">
      <c r="A112" s="382">
        <v>166</v>
      </c>
      <c r="B112" s="135">
        <v>85.31</v>
      </c>
      <c r="C112" s="135">
        <v>65.12</v>
      </c>
      <c r="D112" s="135">
        <v>84.32</v>
      </c>
      <c r="E112" s="135">
        <v>72</v>
      </c>
      <c r="F112" s="135">
        <v>48.27</v>
      </c>
      <c r="G112" s="12">
        <v>74.150000000000006</v>
      </c>
      <c r="H112" s="12">
        <v>85.78</v>
      </c>
      <c r="I112" s="37"/>
      <c r="J112" s="135">
        <v>57.35</v>
      </c>
      <c r="K112" s="12">
        <v>75.47</v>
      </c>
      <c r="L112" s="12">
        <v>68.25</v>
      </c>
      <c r="M112" s="135">
        <v>89.11</v>
      </c>
      <c r="N112" s="12">
        <v>61</v>
      </c>
      <c r="O112" s="155">
        <v>82.3</v>
      </c>
      <c r="P112" s="155">
        <v>62.48</v>
      </c>
      <c r="Q112" s="37"/>
      <c r="R112" s="131">
        <v>62.61</v>
      </c>
      <c r="S112" s="12">
        <v>81.09</v>
      </c>
      <c r="T112" s="530"/>
      <c r="U112" s="12">
        <v>60.68</v>
      </c>
      <c r="V112" s="12">
        <v>82.77</v>
      </c>
      <c r="W112" s="135">
        <v>40.4</v>
      </c>
      <c r="X112" s="135">
        <v>88.12</v>
      </c>
      <c r="Y112" s="37"/>
      <c r="Z112" s="131">
        <v>77.42</v>
      </c>
      <c r="AA112" s="131">
        <v>88.5</v>
      </c>
      <c r="AB112" s="12">
        <v>72.87</v>
      </c>
      <c r="AC112" s="12">
        <v>72.59</v>
      </c>
      <c r="AD112" s="12">
        <v>83.21</v>
      </c>
      <c r="AE112" s="548">
        <v>124.22</v>
      </c>
      <c r="AF112" s="12">
        <v>65.37</v>
      </c>
      <c r="AG112" s="12">
        <v>70</v>
      </c>
      <c r="AH112" s="12">
        <v>77.42</v>
      </c>
      <c r="AI112" s="12">
        <v>70.81</v>
      </c>
      <c r="AJ112" s="37"/>
      <c r="AK112" s="38"/>
      <c r="AL112" s="453"/>
    </row>
    <row r="113" spans="1:38" x14ac:dyDescent="0.25">
      <c r="A113" s="382">
        <v>167</v>
      </c>
      <c r="B113" s="135">
        <v>45.91</v>
      </c>
      <c r="C113" s="135">
        <v>71.86</v>
      </c>
      <c r="D113" s="135">
        <v>95.56</v>
      </c>
      <c r="E113" s="530"/>
      <c r="F113" s="12">
        <v>39.909999999999997</v>
      </c>
      <c r="G113" s="135">
        <v>38.75</v>
      </c>
      <c r="H113" s="135">
        <v>88.45</v>
      </c>
      <c r="I113" s="37"/>
      <c r="J113" s="135">
        <v>61.9</v>
      </c>
      <c r="K113" s="135">
        <v>84.66</v>
      </c>
      <c r="L113" s="135">
        <v>69.73</v>
      </c>
      <c r="M113" s="548">
        <v>135.99</v>
      </c>
      <c r="N113" s="135">
        <v>91</v>
      </c>
      <c r="O113" s="135">
        <v>94.45</v>
      </c>
      <c r="P113" s="155">
        <v>86.78</v>
      </c>
      <c r="Q113" s="37"/>
      <c r="R113" s="12">
        <v>61.3</v>
      </c>
      <c r="S113" s="12">
        <v>84.53</v>
      </c>
      <c r="T113" s="12">
        <v>55.44</v>
      </c>
      <c r="U113" s="12">
        <v>52.76</v>
      </c>
      <c r="V113" s="12">
        <v>50.8</v>
      </c>
      <c r="W113" s="135">
        <v>78.260000000000005</v>
      </c>
      <c r="X113" s="135">
        <v>86.18</v>
      </c>
      <c r="Y113" s="37"/>
      <c r="Z113" s="131">
        <v>70.849999999999994</v>
      </c>
      <c r="AA113" s="131">
        <v>58.78</v>
      </c>
      <c r="AB113" s="12">
        <v>77.709999999999994</v>
      </c>
      <c r="AC113" s="12">
        <v>74.41</v>
      </c>
      <c r="AD113" s="12">
        <v>86.61</v>
      </c>
      <c r="AE113" s="131">
        <v>104.95</v>
      </c>
      <c r="AF113" s="12">
        <v>83.5</v>
      </c>
      <c r="AG113" s="12">
        <v>93</v>
      </c>
      <c r="AH113" s="12">
        <v>82.6</v>
      </c>
      <c r="AI113" s="12">
        <v>89.76</v>
      </c>
      <c r="AJ113" s="37"/>
      <c r="AK113" s="38"/>
      <c r="AL113" s="453"/>
    </row>
    <row r="114" spans="1:38" x14ac:dyDescent="0.25">
      <c r="A114" s="382">
        <v>168</v>
      </c>
      <c r="B114" s="12">
        <v>75.92</v>
      </c>
      <c r="C114" s="12">
        <v>73.72</v>
      </c>
      <c r="D114" s="135">
        <v>87.7</v>
      </c>
      <c r="E114" s="135">
        <v>76.5</v>
      </c>
      <c r="F114" s="135">
        <v>68.62</v>
      </c>
      <c r="G114" s="135">
        <v>54</v>
      </c>
      <c r="H114" s="12">
        <v>71.2</v>
      </c>
      <c r="I114" s="37"/>
      <c r="J114" s="135">
        <v>73.06</v>
      </c>
      <c r="K114" s="135">
        <v>80.89</v>
      </c>
      <c r="L114" s="155">
        <v>79.150000000000006</v>
      </c>
      <c r="M114" s="549">
        <v>62.92</v>
      </c>
      <c r="N114" s="12">
        <v>72</v>
      </c>
      <c r="O114" s="155">
        <v>26.18</v>
      </c>
      <c r="P114" s="155">
        <v>97.79</v>
      </c>
      <c r="Q114" s="37"/>
      <c r="R114" s="131">
        <v>62.18</v>
      </c>
      <c r="S114" s="12">
        <v>65.41</v>
      </c>
      <c r="T114" s="12">
        <v>58.52</v>
      </c>
      <c r="U114" s="12">
        <v>64.22</v>
      </c>
      <c r="V114" s="12">
        <v>52.91</v>
      </c>
      <c r="W114" s="135">
        <v>82.56</v>
      </c>
      <c r="X114" s="135">
        <v>81.23</v>
      </c>
      <c r="Y114" s="37"/>
      <c r="Z114" s="131">
        <v>82.23</v>
      </c>
      <c r="AA114" s="12">
        <v>71.599999999999994</v>
      </c>
      <c r="AB114" s="12">
        <v>76.72</v>
      </c>
      <c r="AC114" s="12">
        <v>83.7</v>
      </c>
      <c r="AD114" s="12">
        <v>74.81</v>
      </c>
      <c r="AE114" s="131">
        <v>71.59</v>
      </c>
      <c r="AF114" s="131">
        <v>65.930000000000007</v>
      </c>
      <c r="AG114" s="12">
        <v>54</v>
      </c>
      <c r="AH114" s="12">
        <v>99.23</v>
      </c>
      <c r="AI114" s="12">
        <v>92.52</v>
      </c>
      <c r="AJ114" s="37"/>
      <c r="AK114" s="38"/>
      <c r="AL114" s="453"/>
    </row>
    <row r="115" spans="1:38" x14ac:dyDescent="0.25">
      <c r="A115" s="382">
        <v>169</v>
      </c>
      <c r="B115" s="12">
        <v>89.42</v>
      </c>
      <c r="C115" s="135">
        <v>64.489999999999995</v>
      </c>
      <c r="D115" s="135">
        <v>72.47</v>
      </c>
      <c r="E115" s="12">
        <v>106.4</v>
      </c>
      <c r="F115" s="135">
        <v>53.25</v>
      </c>
      <c r="G115" s="12">
        <v>76.62</v>
      </c>
      <c r="H115" s="12">
        <v>83.51</v>
      </c>
      <c r="I115" s="37"/>
      <c r="J115" s="135">
        <v>55.22</v>
      </c>
      <c r="K115" s="12">
        <v>67</v>
      </c>
      <c r="L115" s="131">
        <v>64.75</v>
      </c>
      <c r="M115" s="135">
        <v>83.33</v>
      </c>
      <c r="N115" s="12">
        <v>94</v>
      </c>
      <c r="O115" s="155">
        <v>64.55</v>
      </c>
      <c r="P115" s="135">
        <v>87.2</v>
      </c>
      <c r="Q115" s="37"/>
      <c r="R115" s="131">
        <v>80.88</v>
      </c>
      <c r="S115" s="12">
        <v>72.150000000000006</v>
      </c>
      <c r="T115" s="12">
        <v>53.23</v>
      </c>
      <c r="U115" s="12">
        <v>71.81</v>
      </c>
      <c r="V115" s="12">
        <v>62.49</v>
      </c>
      <c r="W115" s="135">
        <v>80.08</v>
      </c>
      <c r="X115" s="135">
        <v>78.069999999999993</v>
      </c>
      <c r="Y115" s="37"/>
      <c r="Z115" s="12">
        <v>80.069999999999993</v>
      </c>
      <c r="AA115" s="131">
        <v>82.49</v>
      </c>
      <c r="AB115" s="12">
        <v>66.239999999999995</v>
      </c>
      <c r="AC115" s="12">
        <v>70.290000000000006</v>
      </c>
      <c r="AD115" s="12">
        <v>62.93</v>
      </c>
      <c r="AE115" s="131">
        <v>85.07</v>
      </c>
      <c r="AF115" s="12">
        <v>100.94</v>
      </c>
      <c r="AG115" s="12">
        <v>60</v>
      </c>
      <c r="AH115" s="12">
        <v>70.290000000000006</v>
      </c>
      <c r="AI115" s="12"/>
      <c r="AJ115" s="37"/>
      <c r="AK115" s="38"/>
      <c r="AL115" s="453"/>
    </row>
    <row r="116" spans="1:38" x14ac:dyDescent="0.25">
      <c r="A116" s="382">
        <v>170</v>
      </c>
      <c r="B116" s="530"/>
      <c r="C116" s="530"/>
      <c r="D116" s="135">
        <v>134.65</v>
      </c>
      <c r="E116" s="135">
        <v>90.1</v>
      </c>
      <c r="F116" s="135">
        <v>76.83</v>
      </c>
      <c r="G116" s="135">
        <v>85.89</v>
      </c>
      <c r="H116" s="135">
        <v>90.85</v>
      </c>
      <c r="I116" s="37"/>
      <c r="J116" s="135">
        <v>47.82</v>
      </c>
      <c r="K116" s="135">
        <v>57.71</v>
      </c>
      <c r="L116" s="131">
        <v>98.62</v>
      </c>
      <c r="M116" s="530"/>
      <c r="N116" s="530"/>
      <c r="O116" s="530"/>
      <c r="P116" s="135">
        <v>17.7</v>
      </c>
      <c r="Q116" s="37"/>
      <c r="R116" s="12">
        <v>96.7</v>
      </c>
      <c r="S116" s="12">
        <v>62.8</v>
      </c>
      <c r="T116" s="12">
        <v>49.75</v>
      </c>
      <c r="U116" s="12">
        <v>73.63</v>
      </c>
      <c r="V116" s="12">
        <v>82.59</v>
      </c>
      <c r="W116" s="135">
        <v>102.95</v>
      </c>
      <c r="X116" s="135">
        <v>90.73</v>
      </c>
      <c r="Y116" s="37"/>
      <c r="Z116" s="131">
        <v>80.58</v>
      </c>
      <c r="AA116" s="131">
        <v>92.57</v>
      </c>
      <c r="AB116" s="12">
        <v>87.2</v>
      </c>
      <c r="AC116" s="12">
        <v>98.39</v>
      </c>
      <c r="AD116" s="12">
        <v>97.88</v>
      </c>
      <c r="AE116" s="131">
        <v>115.36</v>
      </c>
      <c r="AF116" s="135">
        <v>69.650000000000006</v>
      </c>
      <c r="AG116" s="12">
        <v>76</v>
      </c>
      <c r="AH116" s="12">
        <v>74.77</v>
      </c>
      <c r="AI116" s="12">
        <v>78.66</v>
      </c>
      <c r="AJ116" s="37"/>
      <c r="AK116" s="38"/>
      <c r="AL116" s="453"/>
    </row>
    <row r="117" spans="1:38" x14ac:dyDescent="0.25">
      <c r="A117" s="382">
        <v>171</v>
      </c>
      <c r="B117" s="12">
        <v>81.09</v>
      </c>
      <c r="C117" s="135">
        <v>70.67</v>
      </c>
      <c r="D117" s="135">
        <v>98.81</v>
      </c>
      <c r="E117" s="12">
        <v>62.95</v>
      </c>
      <c r="F117" s="12">
        <v>92.78</v>
      </c>
      <c r="G117" s="135">
        <v>76.75</v>
      </c>
      <c r="H117" s="135">
        <v>111.01</v>
      </c>
      <c r="I117" s="37"/>
      <c r="J117" s="135">
        <v>70.73</v>
      </c>
      <c r="K117" s="135">
        <v>89.88</v>
      </c>
      <c r="L117" s="135">
        <v>51.09</v>
      </c>
      <c r="M117" s="135">
        <v>115.84</v>
      </c>
      <c r="N117" s="135">
        <v>91</v>
      </c>
      <c r="O117" s="135">
        <v>70.64</v>
      </c>
      <c r="P117" s="155">
        <v>62.56</v>
      </c>
      <c r="Q117" s="37"/>
      <c r="R117" s="12">
        <v>92.52</v>
      </c>
      <c r="S117" s="12">
        <v>78.62</v>
      </c>
      <c r="T117" s="12">
        <v>57.3</v>
      </c>
      <c r="U117" s="12">
        <v>76.98</v>
      </c>
      <c r="V117" s="12">
        <v>58.25</v>
      </c>
      <c r="W117" s="135">
        <v>84.91</v>
      </c>
      <c r="X117" s="533">
        <v>80.650000000000006</v>
      </c>
      <c r="Y117" s="37"/>
      <c r="Z117" s="131">
        <v>59.76</v>
      </c>
      <c r="AA117" s="131"/>
      <c r="AB117" s="12">
        <v>153.59</v>
      </c>
      <c r="AC117" s="12">
        <v>77.41</v>
      </c>
      <c r="AD117" s="12">
        <v>81.69</v>
      </c>
      <c r="AE117" s="569">
        <v>93.1</v>
      </c>
      <c r="AF117" s="131">
        <v>60.23</v>
      </c>
      <c r="AG117" s="12">
        <v>66</v>
      </c>
      <c r="AH117" s="12">
        <v>103.27</v>
      </c>
      <c r="AI117" s="12">
        <v>93.59</v>
      </c>
      <c r="AJ117" s="37"/>
      <c r="AK117" s="38"/>
      <c r="AL117" s="453"/>
    </row>
    <row r="118" spans="1:38" x14ac:dyDescent="0.25">
      <c r="A118" s="382">
        <v>172</v>
      </c>
      <c r="B118" s="530"/>
      <c r="C118" s="530"/>
      <c r="D118" s="530"/>
      <c r="E118" s="135">
        <v>76.510000000000005</v>
      </c>
      <c r="F118" s="530"/>
      <c r="G118" s="530"/>
      <c r="H118" s="530"/>
      <c r="I118" s="111"/>
      <c r="J118" s="135">
        <v>24.55</v>
      </c>
      <c r="K118" s="537"/>
      <c r="L118" s="131">
        <v>33.840000000000003</v>
      </c>
      <c r="M118" s="537"/>
      <c r="N118" s="537"/>
      <c r="O118" s="537"/>
      <c r="P118" s="155">
        <v>60.09</v>
      </c>
      <c r="Q118" s="37"/>
      <c r="R118" s="537"/>
      <c r="S118" s="530"/>
      <c r="T118" s="530"/>
      <c r="U118" s="530"/>
      <c r="V118" s="530"/>
      <c r="W118" s="135">
        <v>50.3</v>
      </c>
      <c r="X118" s="530"/>
      <c r="Y118" s="37"/>
      <c r="Z118" s="537"/>
      <c r="AA118" s="530"/>
      <c r="AB118" s="530"/>
      <c r="AC118" s="530"/>
      <c r="AD118" s="530"/>
      <c r="AE118" s="530"/>
      <c r="AF118" s="530"/>
      <c r="AG118" s="530"/>
      <c r="AH118" s="532">
        <v>124.97</v>
      </c>
      <c r="AI118" s="12"/>
      <c r="AJ118" s="37"/>
      <c r="AK118" s="38"/>
      <c r="AL118" s="453"/>
    </row>
    <row r="119" spans="1:38" x14ac:dyDescent="0.25">
      <c r="A119" s="382">
        <v>173</v>
      </c>
      <c r="B119" s="530"/>
      <c r="C119" s="530"/>
      <c r="D119" s="530"/>
      <c r="E119" s="530"/>
      <c r="F119" s="530"/>
      <c r="G119" s="530"/>
      <c r="H119" s="530"/>
      <c r="I119" s="111"/>
      <c r="J119" s="537"/>
      <c r="K119" s="532">
        <v>135.5</v>
      </c>
      <c r="L119" s="537"/>
      <c r="M119" s="537"/>
      <c r="N119" s="537"/>
      <c r="O119" s="537"/>
      <c r="P119" s="537"/>
      <c r="Q119" s="111"/>
      <c r="R119" s="537"/>
      <c r="S119" s="530"/>
      <c r="T119" s="530"/>
      <c r="U119" s="530"/>
      <c r="V119" s="530"/>
      <c r="W119" s="530"/>
      <c r="X119" s="530"/>
      <c r="Y119" s="111"/>
      <c r="Z119" s="530"/>
      <c r="AA119" s="530"/>
      <c r="AB119" s="530"/>
      <c r="AC119" s="530"/>
      <c r="AD119" s="530"/>
      <c r="AE119" s="530"/>
      <c r="AF119" s="530"/>
      <c r="AG119" s="574">
        <v>199</v>
      </c>
      <c r="AH119" s="537"/>
      <c r="AI119" s="573"/>
      <c r="AJ119" s="37"/>
      <c r="AK119" s="38"/>
      <c r="AL119" s="453"/>
    </row>
    <row r="120" spans="1:38" x14ac:dyDescent="0.25">
      <c r="A120" s="385">
        <v>174</v>
      </c>
      <c r="B120" s="12">
        <v>56.23</v>
      </c>
      <c r="C120" s="12">
        <v>64.94</v>
      </c>
      <c r="D120" s="135">
        <v>76.59</v>
      </c>
      <c r="E120" s="12">
        <v>77.56</v>
      </c>
      <c r="F120" s="135">
        <v>58.94</v>
      </c>
      <c r="G120" s="12">
        <v>34.47</v>
      </c>
      <c r="H120" s="12">
        <v>88.87</v>
      </c>
      <c r="I120" s="37"/>
      <c r="J120" s="155">
        <v>55.35</v>
      </c>
      <c r="K120" s="131">
        <v>71.760000000000005</v>
      </c>
      <c r="L120" s="135">
        <v>64.930000000000007</v>
      </c>
      <c r="M120" s="12">
        <v>65.099999999999994</v>
      </c>
      <c r="N120" s="12">
        <v>73</v>
      </c>
      <c r="O120" s="155">
        <v>36.380000000000003</v>
      </c>
      <c r="P120" s="155">
        <v>74.83</v>
      </c>
      <c r="Q120" s="37"/>
      <c r="R120" s="12">
        <v>69.58</v>
      </c>
      <c r="S120" s="530"/>
      <c r="T120" s="12">
        <v>14.14</v>
      </c>
      <c r="U120" s="12">
        <v>46.54</v>
      </c>
      <c r="V120" s="12">
        <v>71.38</v>
      </c>
      <c r="W120" s="135">
        <v>66.66</v>
      </c>
      <c r="X120" s="135">
        <v>74.349999999999994</v>
      </c>
      <c r="Y120" s="37"/>
      <c r="Z120" s="131">
        <v>72.27</v>
      </c>
      <c r="AA120" s="131">
        <v>71.930000000000007</v>
      </c>
      <c r="AB120" s="12">
        <v>64.39</v>
      </c>
      <c r="AC120" s="12">
        <v>69.69</v>
      </c>
      <c r="AD120" s="12">
        <v>12.81</v>
      </c>
      <c r="AE120" s="131">
        <v>64.09</v>
      </c>
      <c r="AF120" s="131">
        <v>72.540000000000006</v>
      </c>
      <c r="AG120" s="12">
        <v>75</v>
      </c>
      <c r="AH120" s="12">
        <v>50.32</v>
      </c>
      <c r="AI120" s="12">
        <v>63.88</v>
      </c>
      <c r="AJ120" s="37"/>
      <c r="AK120" s="38"/>
      <c r="AL120" s="454" t="s">
        <v>251</v>
      </c>
    </row>
    <row r="121" spans="1:38" x14ac:dyDescent="0.25">
      <c r="A121" s="385">
        <v>175</v>
      </c>
      <c r="B121" s="135">
        <v>85.68</v>
      </c>
      <c r="C121" s="12">
        <v>80.53</v>
      </c>
      <c r="D121" s="12">
        <v>82.91</v>
      </c>
      <c r="E121" s="135">
        <v>80.48</v>
      </c>
      <c r="F121" s="135">
        <v>37.97</v>
      </c>
      <c r="G121" s="135">
        <v>17</v>
      </c>
      <c r="H121" s="135">
        <v>68.069999999999993</v>
      </c>
      <c r="I121" s="37"/>
      <c r="J121" s="135">
        <v>77.73</v>
      </c>
      <c r="K121" s="135">
        <v>79.59</v>
      </c>
      <c r="L121" s="135">
        <v>79.900000000000006</v>
      </c>
      <c r="M121" s="135">
        <v>80.16</v>
      </c>
      <c r="N121" s="135">
        <v>69</v>
      </c>
      <c r="O121" s="155">
        <v>49.18</v>
      </c>
      <c r="P121" s="135">
        <v>89.09</v>
      </c>
      <c r="Q121" s="37"/>
      <c r="R121" s="131">
        <v>77.02</v>
      </c>
      <c r="S121" s="12">
        <v>62.61</v>
      </c>
      <c r="T121" s="12">
        <v>41.64</v>
      </c>
      <c r="U121" s="12">
        <v>57.05</v>
      </c>
      <c r="V121" s="12">
        <v>58.86</v>
      </c>
      <c r="W121" s="135">
        <v>70.290000000000006</v>
      </c>
      <c r="X121" s="135">
        <v>69.23</v>
      </c>
      <c r="Y121" s="37"/>
      <c r="Z121" s="131">
        <v>76.760000000000005</v>
      </c>
      <c r="AA121" s="131">
        <v>85</v>
      </c>
      <c r="AB121" s="12">
        <v>63.27</v>
      </c>
      <c r="AC121" s="12">
        <v>67.08</v>
      </c>
      <c r="AD121" s="12">
        <v>66.209999999999994</v>
      </c>
      <c r="AE121" s="131">
        <v>64.86</v>
      </c>
      <c r="AF121" s="12">
        <v>69.099999999999994</v>
      </c>
      <c r="AG121" s="12">
        <v>71</v>
      </c>
      <c r="AH121" s="12">
        <v>79.22</v>
      </c>
      <c r="AI121" s="12">
        <v>61.52</v>
      </c>
      <c r="AJ121" s="37"/>
      <c r="AK121" s="38"/>
      <c r="AL121" s="455"/>
    </row>
    <row r="122" spans="1:38" x14ac:dyDescent="0.25">
      <c r="A122" s="385">
        <v>176</v>
      </c>
      <c r="B122" s="530"/>
      <c r="C122" s="530"/>
      <c r="D122" s="530"/>
      <c r="E122" s="530"/>
      <c r="F122" s="530"/>
      <c r="G122" s="530"/>
      <c r="H122" s="530"/>
      <c r="I122" s="111"/>
      <c r="J122" s="537"/>
      <c r="K122" s="537"/>
      <c r="L122" s="537"/>
      <c r="M122" s="537"/>
      <c r="N122" s="537"/>
      <c r="O122" s="537"/>
      <c r="P122" s="537"/>
      <c r="Q122" s="111"/>
      <c r="R122" s="537"/>
      <c r="S122" s="530"/>
      <c r="T122" s="530"/>
      <c r="U122" s="530"/>
      <c r="V122" s="530"/>
      <c r="W122" s="530"/>
      <c r="X122" s="530"/>
      <c r="Y122" s="111"/>
      <c r="Z122" s="530"/>
      <c r="AA122" s="530"/>
      <c r="AB122" s="530"/>
      <c r="AC122" s="530"/>
      <c r="AD122" s="530"/>
      <c r="AE122" s="530"/>
      <c r="AF122" s="530"/>
      <c r="AG122" s="530"/>
      <c r="AH122" s="530"/>
      <c r="AI122" s="530"/>
      <c r="AJ122" s="114"/>
      <c r="AK122" s="44"/>
      <c r="AL122" s="455"/>
    </row>
    <row r="123" spans="1:38" x14ac:dyDescent="0.25">
      <c r="A123" s="385">
        <v>177</v>
      </c>
      <c r="B123" s="12">
        <v>58.71</v>
      </c>
      <c r="C123" s="135">
        <v>56.13</v>
      </c>
      <c r="D123" s="12">
        <v>64.59</v>
      </c>
      <c r="E123" s="12">
        <v>57.21</v>
      </c>
      <c r="F123" s="12">
        <v>27</v>
      </c>
      <c r="G123" s="12">
        <v>57.61</v>
      </c>
      <c r="H123" s="530"/>
      <c r="I123" s="37"/>
      <c r="J123" s="155">
        <v>84.21</v>
      </c>
      <c r="K123" s="131">
        <v>77.040000000000006</v>
      </c>
      <c r="L123" s="12">
        <v>75.34</v>
      </c>
      <c r="M123" s="131">
        <v>80.66</v>
      </c>
      <c r="N123" s="12">
        <v>77</v>
      </c>
      <c r="O123" s="135">
        <v>60.48</v>
      </c>
      <c r="P123" s="135">
        <v>96.2</v>
      </c>
      <c r="Q123" s="37"/>
      <c r="R123" s="131">
        <v>75.08</v>
      </c>
      <c r="S123" s="12">
        <v>72.64</v>
      </c>
      <c r="T123" s="12">
        <v>5.33</v>
      </c>
      <c r="U123" s="12">
        <v>59.33</v>
      </c>
      <c r="V123" s="12">
        <v>49.99</v>
      </c>
      <c r="W123" s="135">
        <v>79.709999999999994</v>
      </c>
      <c r="X123" s="135">
        <v>83.88</v>
      </c>
      <c r="Y123" s="37"/>
      <c r="Z123" s="135">
        <v>91.69</v>
      </c>
      <c r="AA123" s="131">
        <v>89.01</v>
      </c>
      <c r="AB123" s="12">
        <v>65.63</v>
      </c>
      <c r="AC123" s="12">
        <v>62.41</v>
      </c>
      <c r="AD123" s="12">
        <v>90.99</v>
      </c>
      <c r="AE123" s="135">
        <v>65.63</v>
      </c>
      <c r="AF123" s="131">
        <v>81.92</v>
      </c>
      <c r="AG123" s="12">
        <v>65</v>
      </c>
      <c r="AH123" s="12"/>
      <c r="AI123" s="12">
        <v>106.88</v>
      </c>
      <c r="AJ123" s="47"/>
      <c r="AK123" s="48"/>
      <c r="AL123" s="455"/>
    </row>
    <row r="124" spans="1:38" x14ac:dyDescent="0.25">
      <c r="A124" s="385">
        <v>178</v>
      </c>
      <c r="B124" s="12">
        <v>76.27</v>
      </c>
      <c r="C124" s="530"/>
      <c r="D124" s="135">
        <v>117.5</v>
      </c>
      <c r="E124" s="135">
        <v>96.03</v>
      </c>
      <c r="F124" s="530"/>
      <c r="G124" s="135">
        <v>91.56</v>
      </c>
      <c r="H124" s="135">
        <v>93.73</v>
      </c>
      <c r="I124" s="534"/>
      <c r="J124" s="135">
        <v>66.959999999999994</v>
      </c>
      <c r="K124" s="131">
        <v>85.97</v>
      </c>
      <c r="L124" s="155">
        <v>60.94</v>
      </c>
      <c r="M124" s="135">
        <v>74.63</v>
      </c>
      <c r="N124" s="135">
        <v>94</v>
      </c>
      <c r="O124" s="135">
        <v>65</v>
      </c>
      <c r="P124" s="135">
        <v>81.86</v>
      </c>
      <c r="Q124" s="37"/>
      <c r="R124" s="131">
        <v>82.82</v>
      </c>
      <c r="S124" s="12">
        <v>63.68</v>
      </c>
      <c r="T124" s="12">
        <v>36.700000000000003</v>
      </c>
      <c r="U124" s="12">
        <v>33.82</v>
      </c>
      <c r="V124" s="12">
        <v>64.36</v>
      </c>
      <c r="W124" s="135">
        <v>95.58</v>
      </c>
      <c r="X124" s="135">
        <v>88.85</v>
      </c>
      <c r="Y124" s="37"/>
      <c r="Z124" s="131">
        <v>60.06</v>
      </c>
      <c r="AA124" s="12">
        <v>76.989999999999995</v>
      </c>
      <c r="AB124" s="12">
        <v>89.63</v>
      </c>
      <c r="AC124" s="12">
        <v>63.55</v>
      </c>
      <c r="AD124" s="12">
        <v>44.75</v>
      </c>
      <c r="AE124" s="537"/>
      <c r="AF124" s="131">
        <v>68.489999999999995</v>
      </c>
      <c r="AG124" s="12">
        <v>99.78</v>
      </c>
      <c r="AH124" s="12">
        <v>72.17</v>
      </c>
      <c r="AI124" s="12">
        <v>101.11</v>
      </c>
      <c r="AJ124" s="49"/>
      <c r="AK124" s="48"/>
      <c r="AL124" s="455"/>
    </row>
    <row r="125" spans="1:38" x14ac:dyDescent="0.25">
      <c r="A125" s="385">
        <v>179</v>
      </c>
      <c r="B125" s="12">
        <v>82.28</v>
      </c>
      <c r="C125" s="530"/>
      <c r="D125" s="12">
        <v>98.51</v>
      </c>
      <c r="E125" s="12">
        <v>86.43</v>
      </c>
      <c r="F125" s="12">
        <v>73.13</v>
      </c>
      <c r="G125" s="12">
        <v>74.34</v>
      </c>
      <c r="H125" s="533">
        <v>73.8</v>
      </c>
      <c r="I125" s="37"/>
      <c r="J125" s="155">
        <v>85.84</v>
      </c>
      <c r="K125" s="131">
        <v>82.36</v>
      </c>
      <c r="L125" s="131">
        <v>51.22</v>
      </c>
      <c r="M125" s="135">
        <v>119.29</v>
      </c>
      <c r="N125" s="12">
        <v>91</v>
      </c>
      <c r="O125" s="135">
        <v>66.989999999999995</v>
      </c>
      <c r="P125" s="135">
        <v>91.55</v>
      </c>
      <c r="Q125" s="37"/>
      <c r="R125" s="12">
        <v>101.7</v>
      </c>
      <c r="S125" s="12">
        <v>39.299999999999997</v>
      </c>
      <c r="T125" s="12">
        <v>27.58</v>
      </c>
      <c r="U125" s="12">
        <v>59.68</v>
      </c>
      <c r="V125" s="12">
        <v>83.75</v>
      </c>
      <c r="W125" s="135">
        <v>62.39</v>
      </c>
      <c r="X125" s="135">
        <v>63.7</v>
      </c>
      <c r="Y125" s="37"/>
      <c r="Z125" s="548">
        <v>121.71</v>
      </c>
      <c r="AA125" s="131">
        <v>63.4</v>
      </c>
      <c r="AB125" s="12">
        <v>100.76</v>
      </c>
      <c r="AC125" s="12">
        <v>71.55</v>
      </c>
      <c r="AD125" s="12">
        <v>95.8</v>
      </c>
      <c r="AE125" s="131">
        <v>97.02</v>
      </c>
      <c r="AF125" s="131">
        <v>52.27</v>
      </c>
      <c r="AG125" s="12">
        <v>61</v>
      </c>
      <c r="AH125" s="608">
        <v>137.11000000000001</v>
      </c>
      <c r="AI125" s="12">
        <v>88.75</v>
      </c>
      <c r="AJ125" s="36"/>
      <c r="AK125" s="14"/>
      <c r="AL125" s="455"/>
    </row>
    <row r="126" spans="1:38" x14ac:dyDescent="0.25">
      <c r="A126" s="385">
        <v>180</v>
      </c>
      <c r="B126" s="530"/>
      <c r="C126" s="530"/>
      <c r="D126" s="530"/>
      <c r="E126" s="530"/>
      <c r="F126" s="530"/>
      <c r="G126" s="530"/>
      <c r="H126" s="530"/>
      <c r="I126" s="111"/>
      <c r="J126" s="155">
        <v>71.680000000000007</v>
      </c>
      <c r="K126" s="537"/>
      <c r="L126" s="537"/>
      <c r="M126" s="537"/>
      <c r="N126" s="537"/>
      <c r="O126" s="530"/>
      <c r="P126" s="530"/>
      <c r="Q126" s="37"/>
      <c r="R126" s="537"/>
      <c r="S126" s="530"/>
      <c r="T126" s="530"/>
      <c r="U126" s="530"/>
      <c r="V126" s="12">
        <v>64.92</v>
      </c>
      <c r="W126" s="530"/>
      <c r="X126" s="530"/>
      <c r="Y126" s="37"/>
      <c r="Z126" s="135">
        <v>18.98</v>
      </c>
      <c r="AA126" s="530"/>
      <c r="AB126" s="530"/>
      <c r="AC126" s="135">
        <v>40.619999999999997</v>
      </c>
      <c r="AD126" s="530"/>
      <c r="AE126" s="530"/>
      <c r="AF126" s="530"/>
      <c r="AG126" s="530"/>
      <c r="AH126" s="530"/>
      <c r="AI126" s="12">
        <v>57.81</v>
      </c>
      <c r="AJ126" s="37"/>
      <c r="AK126" s="38"/>
      <c r="AL126" s="455"/>
    </row>
    <row r="127" spans="1:38" x14ac:dyDescent="0.25">
      <c r="A127" s="385">
        <v>181</v>
      </c>
      <c r="B127" s="12">
        <v>84.01</v>
      </c>
      <c r="C127" s="135">
        <v>72.540000000000006</v>
      </c>
      <c r="D127" s="12">
        <v>91.78</v>
      </c>
      <c r="E127" s="135">
        <v>81.95</v>
      </c>
      <c r="F127" s="12">
        <v>72.62</v>
      </c>
      <c r="G127" s="12">
        <v>52.57</v>
      </c>
      <c r="H127" s="135">
        <v>66.180000000000007</v>
      </c>
      <c r="I127" s="37"/>
      <c r="J127" s="155">
        <v>65.739999999999995</v>
      </c>
      <c r="K127" s="131">
        <v>84.92</v>
      </c>
      <c r="L127" s="131">
        <v>80.94</v>
      </c>
      <c r="M127" s="131">
        <v>25.94</v>
      </c>
      <c r="N127" s="135">
        <v>79</v>
      </c>
      <c r="O127" s="530"/>
      <c r="P127" s="135">
        <v>90.55</v>
      </c>
      <c r="Q127" s="37"/>
      <c r="R127" s="548">
        <v>182.61</v>
      </c>
      <c r="S127" s="12">
        <v>74.66</v>
      </c>
      <c r="T127" s="12">
        <v>45.51</v>
      </c>
      <c r="U127" s="12">
        <v>94.89</v>
      </c>
      <c r="V127" s="12">
        <v>53.83</v>
      </c>
      <c r="W127" s="135">
        <v>71.790000000000006</v>
      </c>
      <c r="X127" s="135">
        <v>101.71</v>
      </c>
      <c r="Y127" s="37"/>
      <c r="Z127" s="131">
        <v>87.94</v>
      </c>
      <c r="AA127" s="131">
        <v>78.349999999999994</v>
      </c>
      <c r="AB127" s="12">
        <v>76.66</v>
      </c>
      <c r="AC127" s="12">
        <v>81.040000000000006</v>
      </c>
      <c r="AD127" s="12">
        <v>82.94</v>
      </c>
      <c r="AE127" s="131">
        <v>76.06</v>
      </c>
      <c r="AF127" s="131">
        <v>84.35</v>
      </c>
      <c r="AG127" s="12">
        <v>55.53</v>
      </c>
      <c r="AH127" s="12">
        <v>79.180000000000007</v>
      </c>
      <c r="AI127" s="12">
        <v>84.16</v>
      </c>
      <c r="AJ127" s="37"/>
      <c r="AK127" s="38"/>
      <c r="AL127" s="455"/>
    </row>
    <row r="128" spans="1:38" x14ac:dyDescent="0.25">
      <c r="A128" s="385">
        <v>182</v>
      </c>
      <c r="B128" s="12">
        <v>90.39</v>
      </c>
      <c r="C128" s="135">
        <v>63.43</v>
      </c>
      <c r="D128" s="530"/>
      <c r="E128" s="530"/>
      <c r="F128" s="530"/>
      <c r="G128" s="530"/>
      <c r="H128" s="530"/>
      <c r="I128" s="37"/>
      <c r="J128" s="530"/>
      <c r="K128" s="530"/>
      <c r="L128" s="530"/>
      <c r="M128" s="530"/>
      <c r="N128" s="530"/>
      <c r="O128" s="530"/>
      <c r="P128" s="530"/>
      <c r="Q128" s="37"/>
      <c r="R128" s="537"/>
      <c r="S128" s="530"/>
      <c r="T128" s="530"/>
      <c r="U128" s="530"/>
      <c r="V128" s="530"/>
      <c r="W128" s="530"/>
      <c r="X128" s="530"/>
      <c r="Y128" s="111"/>
      <c r="Z128" s="537"/>
      <c r="AA128" s="537"/>
      <c r="AB128" s="530"/>
      <c r="AC128" s="530"/>
      <c r="AD128" s="530"/>
      <c r="AE128" s="530"/>
      <c r="AF128" s="537"/>
      <c r="AG128" s="530"/>
      <c r="AH128" s="530"/>
      <c r="AI128" s="530"/>
      <c r="AJ128" s="111"/>
      <c r="AK128" s="38"/>
      <c r="AL128" s="455"/>
    </row>
    <row r="129" spans="1:38" x14ac:dyDescent="0.25">
      <c r="A129" s="385">
        <v>183</v>
      </c>
      <c r="B129" s="12">
        <v>47.71</v>
      </c>
      <c r="C129" s="12">
        <v>43.46</v>
      </c>
      <c r="D129" s="530"/>
      <c r="E129" s="530"/>
      <c r="F129" s="12">
        <v>42.3</v>
      </c>
      <c r="G129" s="530"/>
      <c r="H129" s="12">
        <v>78.42</v>
      </c>
      <c r="I129" s="37"/>
      <c r="J129" s="155">
        <v>29.57</v>
      </c>
      <c r="K129" s="131">
        <v>65.010000000000005</v>
      </c>
      <c r="L129" s="537"/>
      <c r="M129" s="537"/>
      <c r="N129" s="135">
        <v>26</v>
      </c>
      <c r="O129" s="530"/>
      <c r="P129" s="135">
        <v>81.650000000000006</v>
      </c>
      <c r="Q129" s="37"/>
      <c r="R129" s="131">
        <v>48.18</v>
      </c>
      <c r="S129" s="530"/>
      <c r="T129" s="12">
        <v>64.25</v>
      </c>
      <c r="U129" s="12">
        <v>27.37</v>
      </c>
      <c r="V129" s="12">
        <v>18.39</v>
      </c>
      <c r="W129" s="135">
        <v>84.95</v>
      </c>
      <c r="X129" s="135">
        <v>65.87</v>
      </c>
      <c r="Y129" s="37"/>
      <c r="Z129" s="12">
        <v>93</v>
      </c>
      <c r="AA129" s="131">
        <v>67.45</v>
      </c>
      <c r="AB129" s="12">
        <v>56.39</v>
      </c>
      <c r="AC129" s="12">
        <v>75.41</v>
      </c>
      <c r="AD129" s="12">
        <v>82.24</v>
      </c>
      <c r="AE129" s="131">
        <v>81.72</v>
      </c>
      <c r="AF129" s="131">
        <v>87.57</v>
      </c>
      <c r="AG129" s="12">
        <v>38.4</v>
      </c>
      <c r="AH129" s="12">
        <v>68.81</v>
      </c>
      <c r="AI129" s="12">
        <v>70.08</v>
      </c>
      <c r="AJ129" s="37"/>
      <c r="AK129" s="38"/>
      <c r="AL129" s="455"/>
    </row>
    <row r="130" spans="1:38" x14ac:dyDescent="0.25">
      <c r="A130" s="385">
        <v>184</v>
      </c>
      <c r="B130" s="135">
        <v>93.92</v>
      </c>
      <c r="C130" s="135"/>
      <c r="D130" s="135">
        <v>75.7</v>
      </c>
      <c r="E130" s="135">
        <v>96.48</v>
      </c>
      <c r="F130" s="12">
        <v>89.53</v>
      </c>
      <c r="G130" s="135">
        <v>68.290000000000006</v>
      </c>
      <c r="H130" s="530"/>
      <c r="I130" s="37"/>
      <c r="J130" s="537"/>
      <c r="K130" s="530"/>
      <c r="L130" s="530"/>
      <c r="M130" s="530"/>
      <c r="N130" s="530"/>
      <c r="O130" s="530"/>
      <c r="P130" s="530"/>
      <c r="Q130" s="37"/>
      <c r="R130" s="537"/>
      <c r="S130" s="530"/>
      <c r="T130" s="530"/>
      <c r="U130" s="530"/>
      <c r="V130" s="530"/>
      <c r="W130" s="530"/>
      <c r="X130" s="530"/>
      <c r="Y130" s="111"/>
      <c r="Z130" s="537"/>
      <c r="AA130" s="537"/>
      <c r="AB130" s="530"/>
      <c r="AC130" s="530"/>
      <c r="AD130" s="530"/>
      <c r="AE130" s="537"/>
      <c r="AF130" s="537"/>
      <c r="AG130" s="530"/>
      <c r="AH130" s="530"/>
      <c r="AI130" s="530"/>
      <c r="AJ130" s="111"/>
      <c r="AK130" s="38"/>
      <c r="AL130" s="455"/>
    </row>
    <row r="131" spans="1:38" x14ac:dyDescent="0.25">
      <c r="A131" s="385">
        <v>185</v>
      </c>
      <c r="B131" s="12">
        <v>57.54</v>
      </c>
      <c r="C131" s="135">
        <v>39.56</v>
      </c>
      <c r="D131" s="135">
        <v>66.95</v>
      </c>
      <c r="E131" s="12">
        <v>68.98</v>
      </c>
      <c r="F131" s="135">
        <v>32.83</v>
      </c>
      <c r="G131" s="12">
        <v>47.07</v>
      </c>
      <c r="H131" s="12">
        <v>69.849999999999994</v>
      </c>
      <c r="I131" s="37"/>
      <c r="J131" s="155">
        <v>58.01</v>
      </c>
      <c r="K131" s="131">
        <v>96.53</v>
      </c>
      <c r="L131" s="131">
        <v>70.44</v>
      </c>
      <c r="M131" s="537"/>
      <c r="N131" s="12">
        <v>109</v>
      </c>
      <c r="O131" s="135">
        <v>63.61</v>
      </c>
      <c r="P131" s="135">
        <v>61.5</v>
      </c>
      <c r="Q131" s="37"/>
      <c r="R131" s="12">
        <v>78.5</v>
      </c>
      <c r="S131" s="530"/>
      <c r="T131" s="530"/>
      <c r="U131" s="12">
        <v>91.74</v>
      </c>
      <c r="V131" s="12">
        <v>25.83</v>
      </c>
      <c r="W131" s="135">
        <v>94.11</v>
      </c>
      <c r="X131" s="135">
        <v>78.430000000000007</v>
      </c>
      <c r="Y131" s="37"/>
      <c r="Z131" s="530"/>
      <c r="AA131" s="135">
        <v>122.63</v>
      </c>
      <c r="AB131" s="12">
        <v>49.31</v>
      </c>
      <c r="AC131" s="12">
        <v>87.39</v>
      </c>
      <c r="AD131" s="12">
        <v>72.59</v>
      </c>
      <c r="AE131" s="131">
        <v>84.25</v>
      </c>
      <c r="AF131" s="131">
        <v>81.75</v>
      </c>
      <c r="AG131" s="12">
        <v>82.37</v>
      </c>
      <c r="AH131" s="12">
        <v>72.38</v>
      </c>
      <c r="AI131" s="12">
        <v>70.87</v>
      </c>
      <c r="AJ131" s="37"/>
      <c r="AK131" s="38"/>
      <c r="AL131" s="455"/>
    </row>
    <row r="132" spans="1:38" x14ac:dyDescent="0.25">
      <c r="A132" s="385">
        <v>186</v>
      </c>
      <c r="B132" s="12">
        <v>85.24</v>
      </c>
      <c r="C132" s="12">
        <v>78.16</v>
      </c>
      <c r="D132" s="135">
        <v>78.53</v>
      </c>
      <c r="E132" s="12">
        <v>73.040000000000006</v>
      </c>
      <c r="F132" s="12">
        <v>68.069999999999993</v>
      </c>
      <c r="G132" s="135">
        <v>42.59</v>
      </c>
      <c r="H132" s="135">
        <v>77.400000000000006</v>
      </c>
      <c r="I132" s="37"/>
      <c r="J132" s="135">
        <v>71.38</v>
      </c>
      <c r="K132" s="135">
        <v>89.92</v>
      </c>
      <c r="L132" s="135">
        <v>55.51</v>
      </c>
      <c r="M132" s="135">
        <v>83.19</v>
      </c>
      <c r="N132" s="135">
        <v>95</v>
      </c>
      <c r="O132" s="135">
        <v>71.08</v>
      </c>
      <c r="P132" s="530"/>
      <c r="Q132" s="37"/>
      <c r="R132" s="530"/>
      <c r="S132" s="530"/>
      <c r="T132" s="530"/>
      <c r="U132" s="530"/>
      <c r="V132" s="530"/>
      <c r="W132" s="530"/>
      <c r="X132" s="530"/>
      <c r="Y132" s="111"/>
      <c r="Z132" s="537"/>
      <c r="AA132" s="567">
        <v>37.200000000000003</v>
      </c>
      <c r="AB132" s="567">
        <v>54.97</v>
      </c>
      <c r="AC132" s="567">
        <v>90.72</v>
      </c>
      <c r="AD132" s="567">
        <v>85.15</v>
      </c>
      <c r="AE132" s="568">
        <v>76.62</v>
      </c>
      <c r="AF132" s="571">
        <v>64.59</v>
      </c>
      <c r="AG132" s="1">
        <v>74</v>
      </c>
      <c r="AH132" s="1">
        <v>74.17</v>
      </c>
      <c r="AI132" s="336">
        <v>84.82</v>
      </c>
      <c r="AJ132" s="37"/>
      <c r="AK132" s="38"/>
      <c r="AL132" s="455"/>
    </row>
    <row r="133" spans="1:38" x14ac:dyDescent="0.25">
      <c r="A133" s="385">
        <v>187</v>
      </c>
      <c r="B133" s="530"/>
      <c r="C133" s="530"/>
      <c r="D133" s="530"/>
      <c r="E133" s="530"/>
      <c r="F133" s="530"/>
      <c r="G133" s="530"/>
      <c r="H133" s="530"/>
      <c r="I133" s="111"/>
      <c r="J133" s="537"/>
      <c r="K133" s="537"/>
      <c r="L133" s="537"/>
      <c r="M133" s="537"/>
      <c r="N133" s="537"/>
      <c r="O133" s="537"/>
      <c r="P133" s="537"/>
      <c r="Q133" s="111"/>
      <c r="R133" s="537"/>
      <c r="S133" s="530"/>
      <c r="T133" s="530"/>
      <c r="U133" s="530"/>
      <c r="V133" s="530"/>
      <c r="W133" s="530"/>
      <c r="X133" s="530"/>
      <c r="Y133" s="111"/>
      <c r="Z133" s="530"/>
      <c r="AA133" s="530"/>
      <c r="AB133" s="530"/>
      <c r="AC133" s="530"/>
      <c r="AD133" s="530"/>
      <c r="AE133" s="530"/>
      <c r="AF133" s="530"/>
      <c r="AG133" s="530"/>
      <c r="AH133" s="530"/>
      <c r="AI133" s="530"/>
      <c r="AJ133" s="111"/>
      <c r="AK133" s="38"/>
      <c r="AL133" s="455"/>
    </row>
    <row r="134" spans="1:38" x14ac:dyDescent="0.25">
      <c r="A134" s="385">
        <v>188</v>
      </c>
      <c r="B134" s="12">
        <v>79.91</v>
      </c>
      <c r="C134" s="12">
        <v>72.67</v>
      </c>
      <c r="D134" s="12">
        <v>58.9</v>
      </c>
      <c r="E134" s="12">
        <v>80.569999999999993</v>
      </c>
      <c r="F134" s="12">
        <v>79.56</v>
      </c>
      <c r="G134" s="135">
        <v>91.75</v>
      </c>
      <c r="H134" s="135">
        <v>70.89</v>
      </c>
      <c r="I134" s="37"/>
      <c r="J134" s="135">
        <v>61.56</v>
      </c>
      <c r="K134" s="135">
        <v>83.53</v>
      </c>
      <c r="L134" s="135">
        <v>87.51</v>
      </c>
      <c r="M134" s="135">
        <v>78.25</v>
      </c>
      <c r="N134" s="12">
        <v>74</v>
      </c>
      <c r="O134" s="155">
        <v>79.930000000000007</v>
      </c>
      <c r="P134" s="155">
        <v>81.459999999999994</v>
      </c>
      <c r="Q134" s="37"/>
      <c r="R134" s="131">
        <v>80.55</v>
      </c>
      <c r="S134" s="12">
        <v>58.96</v>
      </c>
      <c r="T134" s="12">
        <v>59.94</v>
      </c>
      <c r="U134" s="12">
        <v>69.87</v>
      </c>
      <c r="V134" s="12">
        <v>80.94</v>
      </c>
      <c r="W134" s="135">
        <v>84.57</v>
      </c>
      <c r="X134" s="135">
        <v>84.45</v>
      </c>
      <c r="Y134" s="37"/>
      <c r="Z134" s="131">
        <v>92.29</v>
      </c>
      <c r="AA134" s="131">
        <v>61.21</v>
      </c>
      <c r="AB134" s="12">
        <v>82.66</v>
      </c>
      <c r="AC134" s="12">
        <v>79.16</v>
      </c>
      <c r="AD134" s="12">
        <v>94.35</v>
      </c>
      <c r="AE134" s="131">
        <v>75.349999999999994</v>
      </c>
      <c r="AF134" s="131">
        <v>73.540000000000006</v>
      </c>
      <c r="AG134" s="12">
        <v>75</v>
      </c>
      <c r="AH134" s="12">
        <v>51.88</v>
      </c>
      <c r="AI134" s="12">
        <v>68.66</v>
      </c>
      <c r="AJ134" s="37"/>
      <c r="AK134" s="38"/>
      <c r="AL134" s="455"/>
    </row>
    <row r="135" spans="1:38" x14ac:dyDescent="0.25">
      <c r="A135" s="385">
        <v>189</v>
      </c>
      <c r="B135" s="135">
        <v>70.459999999999994</v>
      </c>
      <c r="C135" s="12">
        <v>55.96</v>
      </c>
      <c r="D135" s="12">
        <v>78.83</v>
      </c>
      <c r="E135" s="12">
        <v>64.8</v>
      </c>
      <c r="F135" s="135">
        <v>59.94</v>
      </c>
      <c r="G135" s="12">
        <v>68.38</v>
      </c>
      <c r="H135" s="135">
        <v>91.25</v>
      </c>
      <c r="I135" s="37"/>
      <c r="J135" s="155">
        <v>81.98</v>
      </c>
      <c r="K135" s="12">
        <v>36.65</v>
      </c>
      <c r="L135" s="530"/>
      <c r="M135" s="131">
        <v>75.069999999999993</v>
      </c>
      <c r="N135" s="12">
        <v>76</v>
      </c>
      <c r="O135" s="155">
        <v>71.319999999999993</v>
      </c>
      <c r="P135" s="155">
        <v>75.86</v>
      </c>
      <c r="Q135" s="37"/>
      <c r="R135" s="155">
        <v>77.98</v>
      </c>
      <c r="S135" s="12">
        <v>39.44</v>
      </c>
      <c r="T135" s="12">
        <v>50.25</v>
      </c>
      <c r="U135" s="12">
        <v>62.04</v>
      </c>
      <c r="V135" s="12">
        <v>65.14</v>
      </c>
      <c r="W135" s="135">
        <v>65.89</v>
      </c>
      <c r="X135" s="135">
        <v>67.91</v>
      </c>
      <c r="Y135" s="37"/>
      <c r="Z135" s="131">
        <v>68.88</v>
      </c>
      <c r="AA135" s="131">
        <v>93.59</v>
      </c>
      <c r="AB135" s="12">
        <v>71.819999999999993</v>
      </c>
      <c r="AC135" s="12">
        <v>76.400000000000006</v>
      </c>
      <c r="AD135" s="12">
        <v>57.2</v>
      </c>
      <c r="AE135" s="131">
        <v>70.930000000000007</v>
      </c>
      <c r="AF135" s="12">
        <v>41.47</v>
      </c>
      <c r="AG135" s="12">
        <v>76</v>
      </c>
      <c r="AH135" s="12">
        <v>67.39</v>
      </c>
      <c r="AI135" s="12">
        <v>75.89</v>
      </c>
      <c r="AJ135" s="37"/>
      <c r="AK135" s="38"/>
      <c r="AL135" s="455"/>
    </row>
    <row r="136" spans="1:38" x14ac:dyDescent="0.25">
      <c r="A136" s="385">
        <v>190</v>
      </c>
      <c r="B136" s="12">
        <v>81.47</v>
      </c>
      <c r="C136" s="135">
        <v>52.72</v>
      </c>
      <c r="D136" s="135">
        <v>54.85</v>
      </c>
      <c r="E136" s="12">
        <v>85.66</v>
      </c>
      <c r="F136" s="12">
        <v>30.58</v>
      </c>
      <c r="G136" s="135">
        <v>28.65</v>
      </c>
      <c r="H136" s="533">
        <v>75.55</v>
      </c>
      <c r="I136" s="37"/>
      <c r="J136" s="135">
        <v>31.83</v>
      </c>
      <c r="K136" s="530"/>
      <c r="L136" s="131">
        <v>12.21</v>
      </c>
      <c r="M136" s="131">
        <v>63.15</v>
      </c>
      <c r="N136" s="135">
        <v>78</v>
      </c>
      <c r="O136" s="135">
        <v>77.98</v>
      </c>
      <c r="P136" s="155">
        <v>69.209999999999994</v>
      </c>
      <c r="Q136" s="37"/>
      <c r="R136" s="12">
        <v>101.52</v>
      </c>
      <c r="S136" s="530"/>
      <c r="T136" s="12">
        <v>48.34</v>
      </c>
      <c r="U136" s="12">
        <v>64.8</v>
      </c>
      <c r="V136" s="530"/>
      <c r="W136" s="135">
        <v>59.88</v>
      </c>
      <c r="X136" s="533">
        <v>93.54</v>
      </c>
      <c r="Y136" s="37"/>
      <c r="Z136" s="131">
        <v>48.62</v>
      </c>
      <c r="AA136" s="12">
        <v>94</v>
      </c>
      <c r="AB136" s="12">
        <v>54.83</v>
      </c>
      <c r="AC136" s="12">
        <v>66.94</v>
      </c>
      <c r="AD136" s="12">
        <v>95.17</v>
      </c>
      <c r="AE136" s="131">
        <v>53.94</v>
      </c>
      <c r="AF136" s="131">
        <v>41.93</v>
      </c>
      <c r="AG136" s="12">
        <v>71.3</v>
      </c>
      <c r="AH136" s="12">
        <v>79.680000000000007</v>
      </c>
      <c r="AI136" s="12">
        <v>64.84</v>
      </c>
      <c r="AJ136" s="37"/>
      <c r="AK136" s="38"/>
      <c r="AL136" s="455"/>
    </row>
    <row r="137" spans="1:38" x14ac:dyDescent="0.25">
      <c r="A137" s="385">
        <v>191</v>
      </c>
      <c r="B137" s="12">
        <v>80.75</v>
      </c>
      <c r="C137" s="135">
        <v>78.790000000000006</v>
      </c>
      <c r="D137" s="135">
        <v>88.15</v>
      </c>
      <c r="E137" s="135">
        <v>60.99</v>
      </c>
      <c r="F137" s="135">
        <v>63.94</v>
      </c>
      <c r="G137" s="135">
        <v>63.4</v>
      </c>
      <c r="H137" s="530"/>
      <c r="I137" s="37"/>
      <c r="J137" s="532">
        <v>134.29</v>
      </c>
      <c r="K137" s="530"/>
      <c r="L137" s="532">
        <v>165.29</v>
      </c>
      <c r="M137" s="135">
        <v>84.46</v>
      </c>
      <c r="N137" s="135">
        <v>95</v>
      </c>
      <c r="O137" s="155">
        <v>75.959999999999994</v>
      </c>
      <c r="P137" s="155">
        <v>58.99</v>
      </c>
      <c r="Q137" s="37"/>
      <c r="R137" s="155">
        <v>84.62</v>
      </c>
      <c r="S137" s="12">
        <v>33.76</v>
      </c>
      <c r="T137" s="12">
        <v>58.14</v>
      </c>
      <c r="U137" s="12">
        <v>43.14</v>
      </c>
      <c r="V137" s="12">
        <v>72.260000000000005</v>
      </c>
      <c r="W137" s="135">
        <v>87.56</v>
      </c>
      <c r="X137" s="135">
        <v>80.23</v>
      </c>
      <c r="Y137" s="37"/>
      <c r="Z137" s="131">
        <v>105.97</v>
      </c>
      <c r="AA137" s="131">
        <v>58.58</v>
      </c>
      <c r="AB137" s="12">
        <v>56.26</v>
      </c>
      <c r="AC137" s="12">
        <v>90.67</v>
      </c>
      <c r="AD137" s="12">
        <v>86.67</v>
      </c>
      <c r="AE137" s="131">
        <v>77.08</v>
      </c>
      <c r="AF137" s="12">
        <v>99.74</v>
      </c>
      <c r="AG137" s="12">
        <v>90</v>
      </c>
      <c r="AH137" s="12">
        <v>70.7</v>
      </c>
      <c r="AI137" s="12">
        <v>67.540000000000006</v>
      </c>
      <c r="AJ137" s="37"/>
      <c r="AK137" s="38"/>
      <c r="AL137" s="455"/>
    </row>
    <row r="138" spans="1:38" x14ac:dyDescent="0.25">
      <c r="A138" s="385">
        <v>192</v>
      </c>
      <c r="B138" s="12">
        <v>25.95</v>
      </c>
      <c r="C138" s="135">
        <v>62.83</v>
      </c>
      <c r="D138" s="135">
        <v>74.88</v>
      </c>
      <c r="E138" s="530"/>
      <c r="F138" s="530"/>
      <c r="G138" s="135">
        <v>72.790000000000006</v>
      </c>
      <c r="H138" s="135">
        <v>68.790000000000006</v>
      </c>
      <c r="I138" s="37"/>
      <c r="J138" s="135">
        <v>61.1</v>
      </c>
      <c r="K138" s="155">
        <v>73.989999999999995</v>
      </c>
      <c r="L138" s="131">
        <v>59.65</v>
      </c>
      <c r="M138" s="548">
        <v>127.05</v>
      </c>
      <c r="N138" s="135">
        <v>74</v>
      </c>
      <c r="O138" s="135">
        <v>16.899999999999999</v>
      </c>
      <c r="P138" s="155">
        <v>78.92</v>
      </c>
      <c r="Q138" s="37"/>
      <c r="R138" s="548">
        <v>137.31</v>
      </c>
      <c r="S138" s="12">
        <v>62.07</v>
      </c>
      <c r="T138" s="12">
        <v>20.61</v>
      </c>
      <c r="U138" s="12">
        <v>63.85</v>
      </c>
      <c r="V138" s="12">
        <v>51.14</v>
      </c>
      <c r="W138" s="135">
        <v>81.28</v>
      </c>
      <c r="X138" s="12">
        <v>68.27</v>
      </c>
      <c r="Y138" s="37"/>
      <c r="Z138" s="530"/>
      <c r="AA138" s="532">
        <v>141</v>
      </c>
      <c r="AB138" s="12">
        <v>79.95</v>
      </c>
      <c r="AC138" s="12">
        <v>48.28</v>
      </c>
      <c r="AD138" s="12">
        <v>38.79</v>
      </c>
      <c r="AE138" s="131">
        <v>57.07</v>
      </c>
      <c r="AF138" s="131">
        <v>47.56</v>
      </c>
      <c r="AG138" s="12">
        <v>54.02</v>
      </c>
      <c r="AH138" s="12">
        <v>59.57</v>
      </c>
      <c r="AI138" s="12"/>
      <c r="AJ138" s="37"/>
      <c r="AK138" s="38"/>
      <c r="AL138" s="455"/>
    </row>
    <row r="139" spans="1:38" x14ac:dyDescent="0.25">
      <c r="A139" s="385">
        <v>193</v>
      </c>
      <c r="B139" s="12">
        <v>80.66</v>
      </c>
      <c r="C139" s="530"/>
      <c r="D139" s="12">
        <v>92.2</v>
      </c>
      <c r="E139" s="135">
        <v>111.27</v>
      </c>
      <c r="F139" s="12">
        <v>67.180000000000007</v>
      </c>
      <c r="G139" s="12">
        <v>68.95</v>
      </c>
      <c r="H139" s="12">
        <v>87.71</v>
      </c>
      <c r="I139" s="37"/>
      <c r="J139" s="135">
        <v>67.680000000000007</v>
      </c>
      <c r="K139" s="135">
        <v>108.95</v>
      </c>
      <c r="L139" s="131">
        <v>95.51</v>
      </c>
      <c r="M139" s="131">
        <v>71.63</v>
      </c>
      <c r="N139" s="12">
        <v>105</v>
      </c>
      <c r="O139" s="155">
        <v>81.760000000000005</v>
      </c>
      <c r="P139" s="155">
        <v>15.89</v>
      </c>
      <c r="Q139" s="37"/>
      <c r="R139" s="131">
        <v>93.79</v>
      </c>
      <c r="S139" s="12">
        <v>69.19</v>
      </c>
      <c r="T139" s="556"/>
      <c r="U139" s="12">
        <v>63.11</v>
      </c>
      <c r="V139" s="12">
        <v>58.01</v>
      </c>
      <c r="W139" s="135">
        <v>100.82</v>
      </c>
      <c r="X139" s="135">
        <v>92.58</v>
      </c>
      <c r="Y139" s="37"/>
      <c r="Z139" s="131">
        <v>72.55</v>
      </c>
      <c r="AA139" s="131">
        <v>85.95</v>
      </c>
      <c r="AB139" s="12">
        <v>71.81</v>
      </c>
      <c r="AC139" s="12">
        <v>99.96</v>
      </c>
      <c r="AD139" s="12">
        <v>105.38</v>
      </c>
      <c r="AE139" s="131">
        <v>91.81</v>
      </c>
      <c r="AF139" s="131">
        <v>117.81</v>
      </c>
      <c r="AG139" s="12">
        <v>88.93</v>
      </c>
      <c r="AH139" s="12">
        <v>91.36</v>
      </c>
      <c r="AI139" s="12">
        <v>91.99</v>
      </c>
      <c r="AJ139" s="37"/>
      <c r="AK139" s="38"/>
      <c r="AL139" s="455"/>
    </row>
    <row r="140" spans="1:38" x14ac:dyDescent="0.25">
      <c r="A140" s="385">
        <v>194</v>
      </c>
      <c r="B140" s="135">
        <v>67.33</v>
      </c>
      <c r="C140" s="135">
        <v>64.86</v>
      </c>
      <c r="D140" s="135">
        <v>99.7</v>
      </c>
      <c r="E140" s="12">
        <v>68.78</v>
      </c>
      <c r="F140" s="533">
        <v>50.91</v>
      </c>
      <c r="G140" s="12">
        <v>72.739999999999995</v>
      </c>
      <c r="H140" s="12">
        <v>84.34</v>
      </c>
      <c r="I140" s="37"/>
      <c r="J140" s="155">
        <v>71.48</v>
      </c>
      <c r="K140" s="12">
        <v>79.040000000000006</v>
      </c>
      <c r="L140" s="12">
        <v>71.7</v>
      </c>
      <c r="M140" s="131">
        <v>79.45</v>
      </c>
      <c r="N140" s="12">
        <v>95</v>
      </c>
      <c r="O140" s="155">
        <v>77.52</v>
      </c>
      <c r="P140" s="155">
        <v>81.99</v>
      </c>
      <c r="Q140" s="37"/>
      <c r="R140" s="131">
        <v>90.38</v>
      </c>
      <c r="S140" s="12">
        <v>36.18</v>
      </c>
      <c r="T140" s="556"/>
      <c r="U140" s="12">
        <v>103.6</v>
      </c>
      <c r="V140" s="12">
        <v>75.89</v>
      </c>
      <c r="W140" s="135">
        <v>78.55</v>
      </c>
      <c r="X140" s="135">
        <v>77.05</v>
      </c>
      <c r="Y140" s="37"/>
      <c r="Z140" s="131">
        <v>75.84</v>
      </c>
      <c r="AA140" s="530"/>
      <c r="AB140" s="135">
        <v>103.81</v>
      </c>
      <c r="AC140" s="12">
        <v>78.59</v>
      </c>
      <c r="AD140" s="530"/>
      <c r="AE140" s="537"/>
      <c r="AF140" s="537"/>
      <c r="AG140" s="530"/>
      <c r="AH140" s="530"/>
      <c r="AI140" s="12"/>
      <c r="AJ140" s="40"/>
      <c r="AK140" s="41"/>
      <c r="AL140" s="455"/>
    </row>
    <row r="141" spans="1:38" x14ac:dyDescent="0.25">
      <c r="A141" s="385">
        <v>195</v>
      </c>
      <c r="B141" s="12">
        <v>100.62</v>
      </c>
      <c r="C141" s="135">
        <v>82.73</v>
      </c>
      <c r="D141" s="135">
        <v>95.78</v>
      </c>
      <c r="E141" s="12">
        <v>88.18</v>
      </c>
      <c r="F141" s="530"/>
      <c r="G141" s="530"/>
      <c r="H141" s="530"/>
      <c r="I141" s="37"/>
      <c r="J141" s="135">
        <v>53.92</v>
      </c>
      <c r="K141" s="135">
        <v>30.26</v>
      </c>
      <c r="L141" s="135">
        <v>76.34</v>
      </c>
      <c r="M141" s="135">
        <v>99.57</v>
      </c>
      <c r="N141" s="135">
        <v>96</v>
      </c>
      <c r="O141" s="155">
        <v>72.45</v>
      </c>
      <c r="P141" s="155">
        <v>98.52</v>
      </c>
      <c r="Q141" s="37"/>
      <c r="R141" s="12">
        <v>102.65</v>
      </c>
      <c r="S141" s="530"/>
      <c r="T141" s="12">
        <v>20.95</v>
      </c>
      <c r="U141" s="12">
        <v>79.959999999999994</v>
      </c>
      <c r="V141" s="12">
        <v>71.760000000000005</v>
      </c>
      <c r="W141" s="135">
        <v>87.29</v>
      </c>
      <c r="X141" s="135">
        <v>92.2</v>
      </c>
      <c r="Y141" s="37"/>
      <c r="Z141" s="537"/>
      <c r="AA141" s="12">
        <v>55.43</v>
      </c>
      <c r="AB141" s="12">
        <v>89.25</v>
      </c>
      <c r="AC141" s="12">
        <v>121.8</v>
      </c>
      <c r="AD141" s="12">
        <v>102.33</v>
      </c>
      <c r="AE141" s="131">
        <v>108.59</v>
      </c>
      <c r="AF141" s="131">
        <v>103.62</v>
      </c>
      <c r="AG141" s="12">
        <v>75</v>
      </c>
      <c r="AH141" s="12">
        <v>96.74</v>
      </c>
      <c r="AI141" s="12">
        <v>106.38</v>
      </c>
      <c r="AJ141" s="37"/>
      <c r="AK141" s="38"/>
      <c r="AL141" s="455"/>
    </row>
    <row r="142" spans="1:38" x14ac:dyDescent="0.25">
      <c r="A142" s="385">
        <v>196</v>
      </c>
      <c r="B142" s="12">
        <v>94.22</v>
      </c>
      <c r="C142" s="135">
        <v>86.95</v>
      </c>
      <c r="D142" s="135">
        <v>77.680000000000007</v>
      </c>
      <c r="E142" s="135">
        <v>86.37</v>
      </c>
      <c r="F142" s="135">
        <v>68.58</v>
      </c>
      <c r="G142" s="135">
        <v>78.94</v>
      </c>
      <c r="H142" s="135">
        <v>76.95</v>
      </c>
      <c r="I142" s="37"/>
      <c r="J142" s="135">
        <v>77.930000000000007</v>
      </c>
      <c r="K142" s="155">
        <v>79.73</v>
      </c>
      <c r="L142" s="135">
        <v>79.58</v>
      </c>
      <c r="M142" s="135">
        <v>93.28</v>
      </c>
      <c r="N142" s="135">
        <v>82</v>
      </c>
      <c r="O142" s="155">
        <v>96.29</v>
      </c>
      <c r="P142" s="155">
        <v>84.28</v>
      </c>
      <c r="Q142" s="37"/>
      <c r="R142" s="131">
        <v>73.91</v>
      </c>
      <c r="S142" s="12">
        <v>56.56</v>
      </c>
      <c r="T142" s="12">
        <v>11</v>
      </c>
      <c r="U142" s="530"/>
      <c r="V142" s="12">
        <v>3.75</v>
      </c>
      <c r="W142" s="135">
        <v>90.04</v>
      </c>
      <c r="X142" s="135">
        <v>73.09</v>
      </c>
      <c r="Y142" s="37"/>
      <c r="Z142" s="131">
        <v>85.11</v>
      </c>
      <c r="AA142" s="537"/>
      <c r="AB142" s="530"/>
      <c r="AC142" s="530"/>
      <c r="AD142" s="530"/>
      <c r="AE142" s="537"/>
      <c r="AF142" s="537"/>
      <c r="AG142" s="530"/>
      <c r="AH142" s="530"/>
      <c r="AI142" s="12">
        <v>168.17</v>
      </c>
      <c r="AJ142" s="37"/>
      <c r="AK142" s="38"/>
      <c r="AL142" s="455"/>
    </row>
    <row r="143" spans="1:38" x14ac:dyDescent="0.25">
      <c r="A143" s="385">
        <v>197</v>
      </c>
      <c r="B143" s="12">
        <v>72.53</v>
      </c>
      <c r="C143" s="135">
        <v>64.14</v>
      </c>
      <c r="D143" s="135">
        <v>55.77</v>
      </c>
      <c r="E143" s="12">
        <v>62.62</v>
      </c>
      <c r="F143" s="135">
        <v>61.3</v>
      </c>
      <c r="G143" s="12">
        <v>31.42</v>
      </c>
      <c r="H143" s="444"/>
      <c r="I143" s="37"/>
      <c r="J143" s="135">
        <v>83.34</v>
      </c>
      <c r="K143" s="131">
        <v>73.97</v>
      </c>
      <c r="L143" s="135">
        <v>66.37</v>
      </c>
      <c r="M143" s="131">
        <v>77.760000000000005</v>
      </c>
      <c r="N143" s="12">
        <v>93</v>
      </c>
      <c r="O143" s="135">
        <v>69.459999999999994</v>
      </c>
      <c r="P143" s="155">
        <v>73.62</v>
      </c>
      <c r="Q143" s="37"/>
      <c r="R143" s="131">
        <v>77.94</v>
      </c>
      <c r="S143" s="530"/>
      <c r="T143" s="530"/>
      <c r="U143" s="12">
        <v>51.21</v>
      </c>
      <c r="V143" s="12">
        <v>63.06</v>
      </c>
      <c r="W143" s="135">
        <v>85.43</v>
      </c>
      <c r="X143" s="135">
        <v>71.760000000000005</v>
      </c>
      <c r="Y143" s="37"/>
      <c r="Z143" s="131">
        <v>92.22</v>
      </c>
      <c r="AA143" s="12">
        <v>76.67</v>
      </c>
      <c r="AB143" s="12">
        <v>47.17</v>
      </c>
      <c r="AC143" s="12">
        <v>62.55</v>
      </c>
      <c r="AD143" s="12">
        <v>76.48</v>
      </c>
      <c r="AE143" s="131">
        <v>69.17</v>
      </c>
      <c r="AF143" s="12">
        <v>66.3</v>
      </c>
      <c r="AG143" s="12">
        <v>70</v>
      </c>
      <c r="AH143" s="12">
        <v>78.37</v>
      </c>
      <c r="AI143" s="12">
        <v>85.03</v>
      </c>
      <c r="AJ143" s="37"/>
      <c r="AK143" s="38"/>
      <c r="AL143" s="455"/>
    </row>
    <row r="144" spans="1:38" x14ac:dyDescent="0.25">
      <c r="A144" s="385">
        <v>198</v>
      </c>
      <c r="B144" s="12">
        <v>98.14</v>
      </c>
      <c r="C144" s="135">
        <v>94.77</v>
      </c>
      <c r="D144" s="135">
        <v>105.92</v>
      </c>
      <c r="E144" s="135">
        <v>94.67</v>
      </c>
      <c r="F144" s="135">
        <v>46.67</v>
      </c>
      <c r="G144" s="135">
        <v>91.67</v>
      </c>
      <c r="H144" s="135">
        <v>93.14</v>
      </c>
      <c r="I144" s="37"/>
      <c r="J144" s="135">
        <v>74.84</v>
      </c>
      <c r="K144" s="135">
        <v>86.73</v>
      </c>
      <c r="L144" s="135">
        <v>83.62</v>
      </c>
      <c r="M144" s="135">
        <v>110.01</v>
      </c>
      <c r="N144" s="135">
        <v>100</v>
      </c>
      <c r="O144" s="135">
        <v>76.19</v>
      </c>
      <c r="P144" s="155">
        <v>99.75</v>
      </c>
      <c r="Q144" s="37"/>
      <c r="R144" s="131">
        <v>90.73</v>
      </c>
      <c r="S144" s="12">
        <v>83.47</v>
      </c>
      <c r="T144" s="12">
        <v>25.73</v>
      </c>
      <c r="U144" s="12">
        <v>93.31</v>
      </c>
      <c r="V144" s="12">
        <v>80.959999999999994</v>
      </c>
      <c r="W144" s="135">
        <v>71.41</v>
      </c>
      <c r="X144" s="135">
        <v>99.74</v>
      </c>
      <c r="Y144" s="37"/>
      <c r="Z144" s="131">
        <v>97.78</v>
      </c>
      <c r="AA144" s="131">
        <v>95.42</v>
      </c>
      <c r="AB144" s="12">
        <v>94.97</v>
      </c>
      <c r="AC144" s="12">
        <v>93.37</v>
      </c>
      <c r="AD144" s="12">
        <v>114.98</v>
      </c>
      <c r="AE144" s="131">
        <v>84.69</v>
      </c>
      <c r="AF144" s="12">
        <v>81.400000000000006</v>
      </c>
      <c r="AG144" s="12">
        <v>89</v>
      </c>
      <c r="AH144" s="12">
        <v>102.64</v>
      </c>
      <c r="AI144" s="12">
        <v>90.96</v>
      </c>
      <c r="AJ144" s="37"/>
      <c r="AK144" s="38"/>
      <c r="AL144" s="455"/>
    </row>
    <row r="145" spans="1:38" x14ac:dyDescent="0.25">
      <c r="A145" s="385">
        <v>199</v>
      </c>
      <c r="B145" s="12">
        <v>69.099999999999994</v>
      </c>
      <c r="C145" s="12">
        <v>42.19</v>
      </c>
      <c r="D145" s="12">
        <v>61.75</v>
      </c>
      <c r="E145" s="12">
        <v>80.61</v>
      </c>
      <c r="F145" s="12">
        <v>57.29</v>
      </c>
      <c r="G145" s="530"/>
      <c r="H145" s="530"/>
      <c r="I145" s="37"/>
      <c r="J145" s="537"/>
      <c r="K145" s="537"/>
      <c r="L145" s="530"/>
      <c r="M145" s="530"/>
      <c r="N145" s="530"/>
      <c r="O145" s="537"/>
      <c r="P145" s="537"/>
      <c r="Q145" s="111"/>
      <c r="R145" s="537"/>
      <c r="S145" s="530"/>
      <c r="T145" s="530"/>
      <c r="U145" s="530"/>
      <c r="V145" s="530"/>
      <c r="W145" s="530"/>
      <c r="X145" s="530"/>
      <c r="Y145" s="111"/>
      <c r="Z145" s="537"/>
      <c r="AA145" s="537"/>
      <c r="AB145" s="530"/>
      <c r="AC145" s="530"/>
      <c r="AD145" s="530"/>
      <c r="AE145" s="567">
        <v>29.93</v>
      </c>
      <c r="AF145" s="537"/>
      <c r="AG145" s="533">
        <v>61</v>
      </c>
      <c r="AH145" s="533">
        <v>63.48</v>
      </c>
      <c r="AI145" s="572">
        <v>82.37</v>
      </c>
      <c r="AJ145" s="37"/>
      <c r="AK145" s="38"/>
      <c r="AL145" s="455"/>
    </row>
    <row r="146" spans="1:38" x14ac:dyDescent="0.25">
      <c r="A146" s="385">
        <v>200</v>
      </c>
      <c r="B146" s="530"/>
      <c r="C146" s="530"/>
      <c r="D146" s="530"/>
      <c r="E146" s="530"/>
      <c r="F146" s="530"/>
      <c r="G146" s="530"/>
      <c r="H146" s="530"/>
      <c r="I146" s="111"/>
      <c r="J146" s="537"/>
      <c r="K146" s="537"/>
      <c r="L146" s="537"/>
      <c r="M146" s="537"/>
      <c r="N146" s="537"/>
      <c r="O146" s="537"/>
      <c r="P146" s="537"/>
      <c r="Q146" s="111"/>
      <c r="R146" s="537"/>
      <c r="S146" s="530"/>
      <c r="T146" s="530"/>
      <c r="U146" s="530"/>
      <c r="V146" s="530"/>
      <c r="W146" s="530"/>
      <c r="X146" s="530"/>
      <c r="Y146" s="111"/>
      <c r="Z146" s="530"/>
      <c r="AA146" s="530"/>
      <c r="AB146" s="530"/>
      <c r="AC146" s="530"/>
      <c r="AD146" s="530"/>
      <c r="AE146" s="530"/>
      <c r="AF146" s="530"/>
      <c r="AG146" s="530"/>
      <c r="AH146" s="530"/>
      <c r="AI146" s="530"/>
      <c r="AJ146" s="111"/>
      <c r="AK146" s="38"/>
      <c r="AL146" s="455"/>
    </row>
    <row r="147" spans="1:38" x14ac:dyDescent="0.25">
      <c r="A147" s="385">
        <v>201</v>
      </c>
      <c r="B147" s="12">
        <v>82.06</v>
      </c>
      <c r="C147" s="135">
        <v>103.12</v>
      </c>
      <c r="D147" s="135">
        <v>66.599999999999994</v>
      </c>
      <c r="E147" s="12">
        <v>100.6</v>
      </c>
      <c r="F147" s="12">
        <v>63.58</v>
      </c>
      <c r="G147" s="135">
        <v>57.26</v>
      </c>
      <c r="H147" s="12">
        <v>90.93</v>
      </c>
      <c r="I147" s="37"/>
      <c r="J147" s="155">
        <v>20.16</v>
      </c>
      <c r="K147" s="135">
        <v>94.32</v>
      </c>
      <c r="L147" s="135">
        <v>78.37</v>
      </c>
      <c r="M147" s="135">
        <v>78.16</v>
      </c>
      <c r="N147" s="12">
        <v>89</v>
      </c>
      <c r="O147" s="135">
        <v>77.599999999999994</v>
      </c>
      <c r="P147" s="135">
        <v>80.33</v>
      </c>
      <c r="Q147" s="37"/>
      <c r="R147" s="131">
        <v>83.66</v>
      </c>
      <c r="S147" s="12">
        <v>70.599999999999994</v>
      </c>
      <c r="T147" s="12">
        <v>52.82</v>
      </c>
      <c r="U147" s="12">
        <v>60.89</v>
      </c>
      <c r="V147" s="12">
        <v>62.57</v>
      </c>
      <c r="W147" s="135">
        <v>96.71</v>
      </c>
      <c r="X147" s="135">
        <v>77.709999999999994</v>
      </c>
      <c r="Y147" s="37"/>
      <c r="Z147" s="131">
        <v>75.03</v>
      </c>
      <c r="AA147" s="131">
        <v>74.44</v>
      </c>
      <c r="AB147" s="12">
        <v>61.61</v>
      </c>
      <c r="AC147" s="12">
        <v>75.930000000000007</v>
      </c>
      <c r="AD147" s="12">
        <v>87.25</v>
      </c>
      <c r="AE147" s="131">
        <v>70.47</v>
      </c>
      <c r="AF147" s="131">
        <v>96.27</v>
      </c>
      <c r="AG147" s="12">
        <v>69.95</v>
      </c>
      <c r="AH147" s="12">
        <v>76.02</v>
      </c>
      <c r="AI147" s="12">
        <v>88.03</v>
      </c>
      <c r="AJ147" s="37"/>
      <c r="AK147" s="38"/>
      <c r="AL147" s="455"/>
    </row>
    <row r="148" spans="1:38" x14ac:dyDescent="0.25">
      <c r="A148" s="385">
        <v>202</v>
      </c>
      <c r="B148" s="135">
        <v>22.07</v>
      </c>
      <c r="C148" s="135">
        <v>72.31</v>
      </c>
      <c r="D148" s="135">
        <v>74.09</v>
      </c>
      <c r="E148" s="12">
        <v>76.95</v>
      </c>
      <c r="F148" s="135">
        <v>55.38</v>
      </c>
      <c r="G148" s="135">
        <v>69.09</v>
      </c>
      <c r="H148" s="12">
        <v>72.69</v>
      </c>
      <c r="I148" s="37"/>
      <c r="J148" s="155">
        <v>61.34</v>
      </c>
      <c r="K148" s="131">
        <v>75.239999999999995</v>
      </c>
      <c r="L148" s="131">
        <v>64.430000000000007</v>
      </c>
      <c r="M148" s="135">
        <v>79.5</v>
      </c>
      <c r="N148" s="135">
        <v>90</v>
      </c>
      <c r="O148" s="135">
        <v>51.88</v>
      </c>
      <c r="P148" s="135">
        <v>58.5</v>
      </c>
      <c r="Q148" s="37"/>
      <c r="R148" s="131">
        <v>69.739999999999995</v>
      </c>
      <c r="S148" s="12">
        <v>52.86</v>
      </c>
      <c r="T148" s="12">
        <v>53.77</v>
      </c>
      <c r="U148" s="12">
        <v>56.89</v>
      </c>
      <c r="V148" s="12">
        <v>55.22</v>
      </c>
      <c r="W148" s="135">
        <v>65.150000000000006</v>
      </c>
      <c r="X148" s="135">
        <v>61.72</v>
      </c>
      <c r="Y148" s="37"/>
      <c r="Z148" s="135">
        <v>46.59</v>
      </c>
      <c r="AA148" s="135">
        <v>63.91</v>
      </c>
      <c r="AB148" s="530"/>
      <c r="AC148" s="135">
        <v>64.239999999999995</v>
      </c>
      <c r="AD148" s="12">
        <v>53.21</v>
      </c>
      <c r="AE148" s="337">
        <v>74.41</v>
      </c>
      <c r="AF148" s="135">
        <v>52.97</v>
      </c>
      <c r="AG148" s="12">
        <v>60.73</v>
      </c>
      <c r="AH148" s="12">
        <v>60.97</v>
      </c>
      <c r="AI148" s="12">
        <v>71.040000000000006</v>
      </c>
      <c r="AJ148" s="37"/>
      <c r="AK148" s="38"/>
      <c r="AL148" s="455"/>
    </row>
    <row r="149" spans="1:38" x14ac:dyDescent="0.25">
      <c r="A149" s="385">
        <v>203</v>
      </c>
      <c r="B149" s="12">
        <v>85.4</v>
      </c>
      <c r="C149" s="135">
        <v>102.73</v>
      </c>
      <c r="D149" s="135">
        <v>69.48</v>
      </c>
      <c r="E149" s="135">
        <v>81.11</v>
      </c>
      <c r="F149" s="135">
        <v>57.86</v>
      </c>
      <c r="G149" s="135">
        <v>91.84</v>
      </c>
      <c r="H149" s="532">
        <v>122.49</v>
      </c>
      <c r="I149" s="37"/>
      <c r="J149" s="135">
        <v>69.53</v>
      </c>
      <c r="K149" s="135">
        <v>86.34</v>
      </c>
      <c r="L149" s="135">
        <v>103.32</v>
      </c>
      <c r="M149" s="135">
        <v>104.12</v>
      </c>
      <c r="N149" s="135">
        <v>100</v>
      </c>
      <c r="O149" s="530"/>
      <c r="P149" s="135">
        <v>103.54</v>
      </c>
      <c r="Q149" s="37"/>
      <c r="R149" s="131">
        <v>118.02</v>
      </c>
      <c r="S149" s="12">
        <v>69.62</v>
      </c>
      <c r="T149" s="12">
        <v>61.91</v>
      </c>
      <c r="U149" s="12">
        <v>69.3</v>
      </c>
      <c r="V149" s="12">
        <v>62.66</v>
      </c>
      <c r="W149" s="135">
        <v>101.58</v>
      </c>
      <c r="X149" s="135">
        <v>88.46</v>
      </c>
      <c r="Y149" s="37"/>
      <c r="Z149" s="131">
        <v>85.65</v>
      </c>
      <c r="AA149" s="12">
        <v>100.66</v>
      </c>
      <c r="AB149" s="12">
        <v>62.69</v>
      </c>
      <c r="AC149" s="12">
        <v>96.41</v>
      </c>
      <c r="AD149" s="12">
        <v>85.05</v>
      </c>
      <c r="AE149" s="131">
        <v>92.14</v>
      </c>
      <c r="AF149" s="131">
        <v>87.21</v>
      </c>
      <c r="AG149" s="12">
        <v>68</v>
      </c>
      <c r="AH149" s="12">
        <v>107.6</v>
      </c>
      <c r="AI149" s="12">
        <v>83.4</v>
      </c>
      <c r="AJ149" s="37"/>
      <c r="AK149" s="38"/>
      <c r="AL149" s="455"/>
    </row>
    <row r="150" spans="1:38" x14ac:dyDescent="0.25">
      <c r="A150" s="383">
        <v>204</v>
      </c>
      <c r="B150" s="135">
        <v>66.849999999999994</v>
      </c>
      <c r="C150" s="135">
        <v>63.27</v>
      </c>
      <c r="D150" s="135">
        <v>105.13</v>
      </c>
      <c r="E150" s="135">
        <v>61.14</v>
      </c>
      <c r="F150" s="12">
        <v>76.3</v>
      </c>
      <c r="G150" s="135">
        <v>50.89</v>
      </c>
      <c r="H150" s="12">
        <v>98.86</v>
      </c>
      <c r="I150" s="37"/>
      <c r="J150" s="135">
        <v>83.3</v>
      </c>
      <c r="K150" s="131">
        <v>75.25</v>
      </c>
      <c r="L150" s="131">
        <v>64.59</v>
      </c>
      <c r="M150" s="131">
        <v>84.86</v>
      </c>
      <c r="N150" s="12">
        <v>92</v>
      </c>
      <c r="O150" s="135">
        <v>62</v>
      </c>
      <c r="P150" s="135">
        <v>51.37</v>
      </c>
      <c r="Q150" s="37"/>
      <c r="R150" s="131">
        <v>75.930000000000007</v>
      </c>
      <c r="S150" s="12">
        <v>67.41</v>
      </c>
      <c r="T150" s="12">
        <v>55.25</v>
      </c>
      <c r="U150" s="12">
        <v>79.430000000000007</v>
      </c>
      <c r="V150" s="12">
        <v>70.430000000000007</v>
      </c>
      <c r="W150" s="135">
        <v>59.56</v>
      </c>
      <c r="X150" s="135">
        <v>100.13</v>
      </c>
      <c r="Y150" s="37"/>
      <c r="Z150" s="12">
        <v>68.5</v>
      </c>
      <c r="AA150" s="131">
        <v>76.709999999999994</v>
      </c>
      <c r="AB150" s="12">
        <v>69.989999999999995</v>
      </c>
      <c r="AC150" s="12">
        <v>75.319999999999993</v>
      </c>
      <c r="AD150" s="12">
        <v>84.96</v>
      </c>
      <c r="AE150" s="131">
        <v>56.98</v>
      </c>
      <c r="AF150" s="131">
        <v>82.47</v>
      </c>
      <c r="AG150" s="12">
        <v>73</v>
      </c>
      <c r="AH150" s="12">
        <v>78.98</v>
      </c>
      <c r="AI150" s="12">
        <v>79.44</v>
      </c>
      <c r="AJ150" s="37"/>
      <c r="AK150" s="38"/>
      <c r="AL150" s="456" t="s">
        <v>252</v>
      </c>
    </row>
    <row r="151" spans="1:38" x14ac:dyDescent="0.25">
      <c r="A151" s="383">
        <v>205</v>
      </c>
      <c r="B151" s="135">
        <v>93.66</v>
      </c>
      <c r="C151" s="135">
        <v>114.71</v>
      </c>
      <c r="D151" s="135">
        <v>66.03</v>
      </c>
      <c r="E151" s="135">
        <v>109</v>
      </c>
      <c r="F151" s="135">
        <v>76.790000000000006</v>
      </c>
      <c r="G151" s="135">
        <v>99.21</v>
      </c>
      <c r="H151" s="135">
        <v>76.94</v>
      </c>
      <c r="I151" s="37"/>
      <c r="J151" s="135">
        <v>62.96</v>
      </c>
      <c r="K151" s="135">
        <v>109.4</v>
      </c>
      <c r="L151" s="135">
        <v>76.78</v>
      </c>
      <c r="M151" s="135">
        <v>94.85</v>
      </c>
      <c r="N151" s="135">
        <v>90</v>
      </c>
      <c r="O151" s="135">
        <v>64.52</v>
      </c>
      <c r="P151" s="135">
        <v>69.05</v>
      </c>
      <c r="Q151" s="37"/>
      <c r="R151" s="131">
        <v>103.94</v>
      </c>
      <c r="S151" s="12">
        <v>69.45</v>
      </c>
      <c r="T151" s="12">
        <v>70.709999999999994</v>
      </c>
      <c r="U151" s="12">
        <v>59.47</v>
      </c>
      <c r="V151" s="12">
        <v>52.2</v>
      </c>
      <c r="W151" s="135">
        <v>88.3</v>
      </c>
      <c r="X151" s="135">
        <v>60.06</v>
      </c>
      <c r="Y151" s="37"/>
      <c r="Z151" s="131">
        <v>102.89</v>
      </c>
      <c r="AA151" s="131">
        <v>72.42</v>
      </c>
      <c r="AB151" s="12">
        <v>77.84</v>
      </c>
      <c r="AC151" s="12">
        <v>107.37</v>
      </c>
      <c r="AD151" s="12">
        <v>89.27</v>
      </c>
      <c r="AE151" s="131">
        <v>92.38</v>
      </c>
      <c r="AF151" s="131">
        <v>85.54</v>
      </c>
      <c r="AG151" s="12">
        <v>89</v>
      </c>
      <c r="AH151" s="12">
        <v>73.5</v>
      </c>
      <c r="AI151" s="12">
        <v>78.31</v>
      </c>
      <c r="AJ151" s="37"/>
      <c r="AK151" s="38"/>
      <c r="AL151" s="372"/>
    </row>
    <row r="152" spans="1:38" x14ac:dyDescent="0.25">
      <c r="A152" s="383">
        <v>206</v>
      </c>
      <c r="B152" s="12">
        <v>52.67</v>
      </c>
      <c r="C152" s="135">
        <v>60.87</v>
      </c>
      <c r="D152" s="135">
        <v>75.31</v>
      </c>
      <c r="E152" s="12">
        <v>90.57</v>
      </c>
      <c r="F152" s="135">
        <v>53.45</v>
      </c>
      <c r="G152" s="135">
        <v>72.12</v>
      </c>
      <c r="H152" s="12">
        <v>89.32</v>
      </c>
      <c r="I152" s="37"/>
      <c r="J152" s="135">
        <v>90.65</v>
      </c>
      <c r="K152" s="135">
        <v>70.400000000000006</v>
      </c>
      <c r="L152" s="135">
        <v>62.61</v>
      </c>
      <c r="M152" s="135">
        <v>96.18</v>
      </c>
      <c r="N152" s="135">
        <v>114</v>
      </c>
      <c r="O152" s="135">
        <v>70.900000000000006</v>
      </c>
      <c r="P152" s="135">
        <v>83.78</v>
      </c>
      <c r="Q152" s="37"/>
      <c r="R152" s="12">
        <v>57.77</v>
      </c>
      <c r="S152" s="12">
        <v>99.46</v>
      </c>
      <c r="T152" s="12">
        <v>40.74</v>
      </c>
      <c r="U152" s="12">
        <v>86.67</v>
      </c>
      <c r="V152" s="12">
        <v>48.8</v>
      </c>
      <c r="W152" s="135">
        <v>101.66</v>
      </c>
      <c r="X152" s="135">
        <v>86.37</v>
      </c>
      <c r="Y152" s="37"/>
      <c r="Z152" s="12">
        <v>72.72</v>
      </c>
      <c r="AA152" s="131">
        <v>75.92</v>
      </c>
      <c r="AB152" s="12">
        <v>58.95</v>
      </c>
      <c r="AC152" s="12">
        <v>86.36</v>
      </c>
      <c r="AD152" s="12">
        <v>75.400000000000006</v>
      </c>
      <c r="AE152" s="131">
        <v>100.83</v>
      </c>
      <c r="AF152" s="12">
        <v>79.3</v>
      </c>
      <c r="AG152" s="12">
        <v>79</v>
      </c>
      <c r="AH152" s="12">
        <v>69.59</v>
      </c>
      <c r="AI152" s="12">
        <v>84.16</v>
      </c>
      <c r="AJ152" s="37"/>
      <c r="AK152" s="38"/>
      <c r="AL152" s="372"/>
    </row>
    <row r="153" spans="1:38" x14ac:dyDescent="0.25">
      <c r="A153" s="383">
        <v>207</v>
      </c>
      <c r="B153" s="135">
        <v>92.02</v>
      </c>
      <c r="C153" s="12">
        <v>68.5</v>
      </c>
      <c r="D153" s="135">
        <v>79.44</v>
      </c>
      <c r="E153" s="135">
        <v>85.35</v>
      </c>
      <c r="F153" s="135">
        <v>44.89</v>
      </c>
      <c r="G153" s="135">
        <v>54.5</v>
      </c>
      <c r="H153" s="12">
        <v>81.67</v>
      </c>
      <c r="I153" s="37"/>
      <c r="J153" s="135">
        <v>68.27</v>
      </c>
      <c r="K153" s="135">
        <v>84.12</v>
      </c>
      <c r="L153" s="135">
        <v>68.349999999999994</v>
      </c>
      <c r="M153" s="135">
        <v>83.89</v>
      </c>
      <c r="N153" s="135">
        <v>84</v>
      </c>
      <c r="O153" s="135">
        <v>77.239999999999995</v>
      </c>
      <c r="P153" s="135">
        <v>110.18</v>
      </c>
      <c r="Q153" s="37"/>
      <c r="R153" s="131">
        <v>84.07</v>
      </c>
      <c r="S153" s="12">
        <v>79.13</v>
      </c>
      <c r="T153" s="12">
        <v>63.71</v>
      </c>
      <c r="U153" s="12">
        <v>86.79</v>
      </c>
      <c r="V153" s="12">
        <v>46.56</v>
      </c>
      <c r="W153" s="135">
        <v>80.040000000000006</v>
      </c>
      <c r="X153" s="135">
        <v>66.64</v>
      </c>
      <c r="Y153" s="37"/>
      <c r="Z153" s="131">
        <v>112.13</v>
      </c>
      <c r="AA153" s="131">
        <v>82.07</v>
      </c>
      <c r="AB153" s="12">
        <v>59.29</v>
      </c>
      <c r="AC153" s="12">
        <v>109.22</v>
      </c>
      <c r="AD153" s="12">
        <v>79.33</v>
      </c>
      <c r="AE153" s="131">
        <v>70.040000000000006</v>
      </c>
      <c r="AF153" s="131">
        <v>82.02</v>
      </c>
      <c r="AG153" s="12">
        <v>70</v>
      </c>
      <c r="AH153" s="12">
        <v>75.67</v>
      </c>
      <c r="AI153" s="12">
        <v>79.3</v>
      </c>
      <c r="AJ153" s="37"/>
      <c r="AK153" s="38"/>
      <c r="AL153" s="372"/>
    </row>
    <row r="154" spans="1:38" x14ac:dyDescent="0.25">
      <c r="A154" s="383">
        <v>208</v>
      </c>
      <c r="B154" s="12">
        <v>69.599999999999994</v>
      </c>
      <c r="C154" s="135">
        <v>69.69</v>
      </c>
      <c r="D154" s="135">
        <v>75.98</v>
      </c>
      <c r="E154" s="135">
        <v>96.26</v>
      </c>
      <c r="F154" s="12">
        <v>19.39</v>
      </c>
      <c r="G154" s="12">
        <v>76.83</v>
      </c>
      <c r="H154" s="12">
        <v>68.7</v>
      </c>
      <c r="I154" s="37"/>
      <c r="J154" s="155">
        <v>54.79</v>
      </c>
      <c r="K154" s="131">
        <v>77.11</v>
      </c>
      <c r="L154" s="131">
        <v>55.85</v>
      </c>
      <c r="M154" s="530"/>
      <c r="N154" s="12">
        <v>101</v>
      </c>
      <c r="O154" s="548">
        <v>154.85</v>
      </c>
      <c r="P154" s="135">
        <v>54.82</v>
      </c>
      <c r="Q154" s="37"/>
      <c r="R154" s="131">
        <v>69.069999999999993</v>
      </c>
      <c r="S154" s="12">
        <v>45.53</v>
      </c>
      <c r="T154" s="12">
        <v>55</v>
      </c>
      <c r="U154" s="12">
        <v>60.9</v>
      </c>
      <c r="V154" s="12">
        <v>65.739999999999995</v>
      </c>
      <c r="W154" s="530"/>
      <c r="X154" s="530"/>
      <c r="Y154" s="37"/>
      <c r="Z154" s="537"/>
      <c r="AA154" s="537"/>
      <c r="AB154" s="530"/>
      <c r="AC154" s="530"/>
      <c r="AD154" s="530"/>
      <c r="AE154" s="537"/>
      <c r="AF154" s="537"/>
      <c r="AG154" s="530"/>
      <c r="AH154" s="530"/>
      <c r="AI154" s="530"/>
      <c r="AJ154" s="111"/>
      <c r="AK154" s="38"/>
      <c r="AL154" s="372"/>
    </row>
    <row r="155" spans="1:38" x14ac:dyDescent="0.25">
      <c r="A155" s="383">
        <v>209</v>
      </c>
      <c r="B155" s="135">
        <v>106.37</v>
      </c>
      <c r="C155" s="135">
        <v>97.17</v>
      </c>
      <c r="D155" s="135">
        <v>62.57</v>
      </c>
      <c r="E155" s="135">
        <v>132.58000000000001</v>
      </c>
      <c r="F155" s="135">
        <v>85</v>
      </c>
      <c r="G155" s="135">
        <v>111.1</v>
      </c>
      <c r="H155" s="135">
        <v>95.13</v>
      </c>
      <c r="I155" s="37"/>
      <c r="J155" s="135">
        <v>100.99</v>
      </c>
      <c r="K155" s="135">
        <v>101.65</v>
      </c>
      <c r="L155" s="135">
        <v>94.46</v>
      </c>
      <c r="M155" s="135">
        <v>98.72</v>
      </c>
      <c r="N155" s="135">
        <v>99</v>
      </c>
      <c r="O155" s="135">
        <v>83.63</v>
      </c>
      <c r="P155" s="135">
        <v>65.77</v>
      </c>
      <c r="Q155" s="37"/>
      <c r="R155" s="131">
        <v>74.58</v>
      </c>
      <c r="S155" s="12">
        <v>81.12</v>
      </c>
      <c r="T155" s="12">
        <v>80.34</v>
      </c>
      <c r="U155" s="12">
        <v>67.73</v>
      </c>
      <c r="V155" s="12">
        <v>66.23</v>
      </c>
      <c r="W155" s="135">
        <v>92.34</v>
      </c>
      <c r="X155" s="135">
        <v>103.81</v>
      </c>
      <c r="Y155" s="37"/>
      <c r="Z155" s="131">
        <v>82.56</v>
      </c>
      <c r="AA155" s="131">
        <v>95.97</v>
      </c>
      <c r="AB155" s="12">
        <v>58.63</v>
      </c>
      <c r="AC155" s="12">
        <v>107.07</v>
      </c>
      <c r="AD155" s="135">
        <v>84.94</v>
      </c>
      <c r="AE155" s="135">
        <v>104.47</v>
      </c>
      <c r="AF155" s="131">
        <v>102.92</v>
      </c>
      <c r="AG155" s="12">
        <v>75</v>
      </c>
      <c r="AH155" s="12">
        <v>89.09</v>
      </c>
      <c r="AI155" s="12">
        <v>91.84</v>
      </c>
      <c r="AJ155" s="37"/>
      <c r="AK155" s="38"/>
      <c r="AL155" s="372"/>
    </row>
    <row r="156" spans="1:38" x14ac:dyDescent="0.25">
      <c r="A156" s="383">
        <v>210</v>
      </c>
      <c r="B156" s="530"/>
      <c r="C156" s="135">
        <v>88.08</v>
      </c>
      <c r="D156" s="135">
        <v>73.89</v>
      </c>
      <c r="E156" s="135">
        <v>87.72</v>
      </c>
      <c r="F156" s="12">
        <v>47.16</v>
      </c>
      <c r="G156" s="135">
        <v>51.23</v>
      </c>
      <c r="H156" s="135">
        <v>81.739999999999995</v>
      </c>
      <c r="I156" s="37"/>
      <c r="J156" s="135">
        <v>61.16</v>
      </c>
      <c r="K156" s="135">
        <v>83.7</v>
      </c>
      <c r="L156" s="131">
        <v>62.22</v>
      </c>
      <c r="M156" s="135">
        <v>53.9</v>
      </c>
      <c r="N156" s="135">
        <v>70</v>
      </c>
      <c r="O156" s="135">
        <v>74.36</v>
      </c>
      <c r="P156" s="135">
        <v>58.97</v>
      </c>
      <c r="Q156" s="37"/>
      <c r="R156" s="131">
        <v>110.73</v>
      </c>
      <c r="S156" s="12">
        <v>50.89</v>
      </c>
      <c r="T156" s="12">
        <v>36.17</v>
      </c>
      <c r="U156" s="12">
        <v>80.56</v>
      </c>
      <c r="V156" s="530"/>
      <c r="W156" s="135">
        <v>61.64</v>
      </c>
      <c r="X156" s="135">
        <v>69.680000000000007</v>
      </c>
      <c r="Y156" s="37"/>
      <c r="Z156" s="131">
        <v>76.989999999999995</v>
      </c>
      <c r="AA156" s="131">
        <v>94.15</v>
      </c>
      <c r="AB156" s="12">
        <v>61.24</v>
      </c>
      <c r="AC156" s="12">
        <v>87.06</v>
      </c>
      <c r="AD156" s="12">
        <v>89.13</v>
      </c>
      <c r="AE156" s="12">
        <v>77.650000000000006</v>
      </c>
      <c r="AF156" s="131">
        <v>62.51</v>
      </c>
      <c r="AG156" s="12">
        <v>85.5</v>
      </c>
      <c r="AH156" s="12">
        <v>65.47</v>
      </c>
      <c r="AI156" s="12">
        <v>73.22</v>
      </c>
      <c r="AJ156" s="37"/>
      <c r="AK156" s="38"/>
      <c r="AL156" s="372"/>
    </row>
    <row r="157" spans="1:38" x14ac:dyDescent="0.25">
      <c r="A157" s="383">
        <v>211</v>
      </c>
      <c r="B157" s="135">
        <v>81.55</v>
      </c>
      <c r="C157" s="135">
        <v>64.53</v>
      </c>
      <c r="D157" s="135">
        <v>88.8</v>
      </c>
      <c r="E157" s="135">
        <v>96.62</v>
      </c>
      <c r="F157" s="12">
        <v>35.78</v>
      </c>
      <c r="G157" s="135">
        <v>76.430000000000007</v>
      </c>
      <c r="H157" s="533">
        <v>72.430000000000007</v>
      </c>
      <c r="I157" s="37"/>
      <c r="J157" s="135">
        <v>54.47</v>
      </c>
      <c r="K157" s="135">
        <v>96.84</v>
      </c>
      <c r="L157" s="135">
        <v>69.61</v>
      </c>
      <c r="M157" s="135">
        <v>85.46</v>
      </c>
      <c r="N157" s="135">
        <v>73</v>
      </c>
      <c r="O157" s="135">
        <v>90.99</v>
      </c>
      <c r="P157" s="135">
        <v>80.03</v>
      </c>
      <c r="Q157" s="37"/>
      <c r="R157" s="131">
        <v>103.63</v>
      </c>
      <c r="S157" s="12">
        <v>62.51</v>
      </c>
      <c r="T157" s="12">
        <v>49.11</v>
      </c>
      <c r="U157" s="12">
        <v>65.510000000000005</v>
      </c>
      <c r="V157" s="12">
        <v>46.87</v>
      </c>
      <c r="W157" s="135">
        <v>84.33</v>
      </c>
      <c r="X157" s="135">
        <v>68.099999999999994</v>
      </c>
      <c r="Y157" s="37"/>
      <c r="Z157" s="131">
        <v>83.82</v>
      </c>
      <c r="AA157" s="12">
        <v>81.92</v>
      </c>
      <c r="AB157" s="12">
        <v>67.290000000000006</v>
      </c>
      <c r="AC157" s="12">
        <v>85.44</v>
      </c>
      <c r="AD157" s="12">
        <v>79.400000000000006</v>
      </c>
      <c r="AE157" s="131">
        <v>80.23</v>
      </c>
      <c r="AF157" s="12">
        <v>93.02</v>
      </c>
      <c r="AG157" s="12">
        <v>80</v>
      </c>
      <c r="AH157" s="12">
        <v>21.17</v>
      </c>
      <c r="AI157" s="12">
        <v>70.08</v>
      </c>
      <c r="AJ157" s="37"/>
      <c r="AK157" s="38"/>
      <c r="AL157" s="372"/>
    </row>
    <row r="158" spans="1:38" ht="18.75" x14ac:dyDescent="0.3">
      <c r="A158" s="383">
        <v>212</v>
      </c>
      <c r="B158" s="135">
        <v>90.28</v>
      </c>
      <c r="C158" s="135">
        <v>88.5</v>
      </c>
      <c r="D158" s="12">
        <v>67.77</v>
      </c>
      <c r="E158" s="12">
        <v>80.239999999999995</v>
      </c>
      <c r="F158" s="12">
        <v>77.260000000000005</v>
      </c>
      <c r="G158" s="12">
        <v>81.64</v>
      </c>
      <c r="H158" s="135">
        <v>69.17</v>
      </c>
      <c r="I158" s="37"/>
      <c r="J158" s="135">
        <v>83.85</v>
      </c>
      <c r="K158" s="135">
        <v>91.07</v>
      </c>
      <c r="L158" s="135">
        <v>88.84</v>
      </c>
      <c r="M158" s="135">
        <v>85.71</v>
      </c>
      <c r="N158" s="135">
        <v>85</v>
      </c>
      <c r="O158" s="135">
        <v>55.98</v>
      </c>
      <c r="P158" s="135">
        <v>84.25</v>
      </c>
      <c r="Q158" s="37"/>
      <c r="R158" s="12">
        <v>78.8</v>
      </c>
      <c r="S158" s="12">
        <v>61.23</v>
      </c>
      <c r="T158" s="12">
        <v>75.88</v>
      </c>
      <c r="U158" s="12">
        <v>72.05</v>
      </c>
      <c r="V158" s="12">
        <v>38.119999999999997</v>
      </c>
      <c r="W158" s="135">
        <v>118.22</v>
      </c>
      <c r="X158" s="135">
        <v>68.89</v>
      </c>
      <c r="Y158" s="37"/>
      <c r="Z158" s="131">
        <v>90.01</v>
      </c>
      <c r="AA158" s="131">
        <v>71.11</v>
      </c>
      <c r="AB158" s="12">
        <v>73.95</v>
      </c>
      <c r="AC158" s="12">
        <v>104.97</v>
      </c>
      <c r="AD158" s="12">
        <v>86.26</v>
      </c>
      <c r="AE158" s="131">
        <v>88.32</v>
      </c>
      <c r="AF158" s="131">
        <v>92.19</v>
      </c>
      <c r="AG158" s="12">
        <v>86</v>
      </c>
      <c r="AH158" s="12">
        <v>72.040000000000006</v>
      </c>
      <c r="AI158" s="12">
        <v>95.28</v>
      </c>
      <c r="AJ158" s="37"/>
      <c r="AK158" s="544">
        <v>41265.980000000003</v>
      </c>
      <c r="AL158" s="372"/>
    </row>
    <row r="159" spans="1:38" ht="15" customHeight="1" x14ac:dyDescent="0.3">
      <c r="A159" s="383">
        <v>213</v>
      </c>
      <c r="B159" s="135">
        <v>78.08</v>
      </c>
      <c r="C159" s="135">
        <v>83.51</v>
      </c>
      <c r="D159" s="135">
        <v>81.77</v>
      </c>
      <c r="E159" s="135">
        <v>100.16</v>
      </c>
      <c r="F159" s="12">
        <v>65.03</v>
      </c>
      <c r="G159" s="135">
        <v>73.3</v>
      </c>
      <c r="H159" s="135">
        <v>86.71</v>
      </c>
      <c r="I159" s="37"/>
      <c r="J159" s="135">
        <v>70.67</v>
      </c>
      <c r="K159" s="135">
        <v>86.12</v>
      </c>
      <c r="L159" s="135">
        <v>77.48</v>
      </c>
      <c r="M159" s="135">
        <v>95.88</v>
      </c>
      <c r="N159" s="135">
        <v>85</v>
      </c>
      <c r="O159" s="135">
        <v>96.7</v>
      </c>
      <c r="P159" s="135">
        <v>76.900000000000006</v>
      </c>
      <c r="Q159" s="37"/>
      <c r="R159" s="12">
        <v>57.2</v>
      </c>
      <c r="S159" s="12">
        <v>86.68</v>
      </c>
      <c r="T159" s="12">
        <v>52.91</v>
      </c>
      <c r="U159" s="12">
        <v>70.2</v>
      </c>
      <c r="V159" s="12">
        <v>73.150000000000006</v>
      </c>
      <c r="W159" s="135">
        <v>91.99</v>
      </c>
      <c r="X159" s="135">
        <v>77.48</v>
      </c>
      <c r="Y159" s="37"/>
      <c r="Z159" s="12">
        <v>91.25</v>
      </c>
      <c r="AA159" s="131">
        <v>97.89</v>
      </c>
      <c r="AB159" s="12">
        <v>68.95</v>
      </c>
      <c r="AC159" s="12">
        <v>94.91</v>
      </c>
      <c r="AD159" s="12">
        <v>85.73</v>
      </c>
      <c r="AE159" s="131">
        <v>83.64</v>
      </c>
      <c r="AF159" s="131">
        <v>111.4</v>
      </c>
      <c r="AG159" s="12">
        <v>53</v>
      </c>
      <c r="AH159" s="12">
        <v>86.63</v>
      </c>
      <c r="AI159" s="12">
        <v>85.38</v>
      </c>
      <c r="AJ159" s="37"/>
      <c r="AK159" s="539">
        <v>41532.870000000003</v>
      </c>
      <c r="AL159" s="372"/>
    </row>
    <row r="160" spans="1:38" ht="15" customHeight="1" x14ac:dyDescent="0.3">
      <c r="A160" s="383">
        <v>214</v>
      </c>
      <c r="B160" s="12">
        <v>84.07</v>
      </c>
      <c r="C160" s="135">
        <v>91.94</v>
      </c>
      <c r="D160" s="135">
        <v>63.57</v>
      </c>
      <c r="E160" s="135">
        <v>63.21</v>
      </c>
      <c r="F160" s="135">
        <v>78.02</v>
      </c>
      <c r="G160" s="530"/>
      <c r="H160" s="532">
        <v>141.31</v>
      </c>
      <c r="I160" s="37"/>
      <c r="J160" s="135">
        <v>62.98</v>
      </c>
      <c r="K160" s="12">
        <v>103.35</v>
      </c>
      <c r="L160" s="135">
        <v>75.5</v>
      </c>
      <c r="M160" s="530"/>
      <c r="N160" s="135">
        <v>63</v>
      </c>
      <c r="O160" s="135">
        <v>54.74</v>
      </c>
      <c r="P160" s="530"/>
      <c r="Q160" s="37"/>
      <c r="R160" s="548">
        <v>193.34</v>
      </c>
      <c r="S160" s="12">
        <v>55.95</v>
      </c>
      <c r="T160" s="12">
        <v>104.91</v>
      </c>
      <c r="U160" s="12">
        <v>86.69</v>
      </c>
      <c r="V160" s="12">
        <v>73.2</v>
      </c>
      <c r="W160" s="532">
        <v>128.5</v>
      </c>
      <c r="X160" s="135">
        <v>76.59</v>
      </c>
      <c r="Y160" s="37"/>
      <c r="Z160" s="131">
        <v>104.97</v>
      </c>
      <c r="AA160" s="131">
        <v>110.66</v>
      </c>
      <c r="AB160" s="12">
        <v>70.17</v>
      </c>
      <c r="AC160" s="12">
        <v>107.67</v>
      </c>
      <c r="AD160" s="12">
        <v>90.29</v>
      </c>
      <c r="AE160" s="131">
        <v>107.09</v>
      </c>
      <c r="AF160" s="131">
        <v>58.19</v>
      </c>
      <c r="AG160" s="12">
        <v>85</v>
      </c>
      <c r="AH160" s="12">
        <v>84.65</v>
      </c>
      <c r="AI160" s="12">
        <v>88.24</v>
      </c>
      <c r="AJ160" s="37"/>
      <c r="AK160" s="539">
        <v>37227.07</v>
      </c>
      <c r="AL160" s="372"/>
    </row>
    <row r="161" spans="1:38" ht="15" customHeight="1" x14ac:dyDescent="0.3">
      <c r="A161" s="383">
        <v>215</v>
      </c>
      <c r="B161" s="12">
        <v>64.84</v>
      </c>
      <c r="C161" s="135">
        <v>80.099999999999994</v>
      </c>
      <c r="D161" s="135">
        <v>89.01</v>
      </c>
      <c r="E161" s="530"/>
      <c r="F161" s="530"/>
      <c r="G161" s="135">
        <v>56.7</v>
      </c>
      <c r="H161" s="135">
        <v>63.41</v>
      </c>
      <c r="I161" s="37"/>
      <c r="J161" s="135">
        <v>68.790000000000006</v>
      </c>
      <c r="K161" s="135">
        <v>87.08</v>
      </c>
      <c r="L161" s="135">
        <v>87.55</v>
      </c>
      <c r="M161" s="135">
        <v>73.400000000000006</v>
      </c>
      <c r="N161" s="135">
        <v>66</v>
      </c>
      <c r="O161" s="135">
        <v>59.66</v>
      </c>
      <c r="P161" s="135">
        <v>90.91</v>
      </c>
      <c r="Q161" s="37"/>
      <c r="R161" s="131">
        <v>64.17</v>
      </c>
      <c r="S161" s="530"/>
      <c r="T161" s="532">
        <v>127.19</v>
      </c>
      <c r="U161" s="12">
        <v>66.28</v>
      </c>
      <c r="V161" s="12">
        <v>57.8</v>
      </c>
      <c r="W161" s="135">
        <v>67.16</v>
      </c>
      <c r="X161" s="135">
        <v>73.17</v>
      </c>
      <c r="Y161" s="37"/>
      <c r="Z161" s="131">
        <v>102.26</v>
      </c>
      <c r="AA161" s="12">
        <v>106.57</v>
      </c>
      <c r="AB161" s="12">
        <v>66.040000000000006</v>
      </c>
      <c r="AC161" s="12">
        <v>104.07</v>
      </c>
      <c r="AD161" s="12">
        <v>85.77</v>
      </c>
      <c r="AE161" s="131">
        <v>67.72</v>
      </c>
      <c r="AF161" s="131">
        <v>93.02</v>
      </c>
      <c r="AG161" s="12">
        <v>70.09</v>
      </c>
      <c r="AH161" s="12">
        <v>87.46</v>
      </c>
      <c r="AI161" s="12">
        <v>77.010000000000005</v>
      </c>
      <c r="AJ161" s="37"/>
      <c r="AK161" s="339"/>
      <c r="AL161" s="372"/>
    </row>
    <row r="162" spans="1:38" ht="15.75" thickBot="1" x14ac:dyDescent="0.3">
      <c r="A162" s="384">
        <v>216</v>
      </c>
      <c r="B162" s="153">
        <v>59.17</v>
      </c>
      <c r="C162" s="175">
        <v>65.19</v>
      </c>
      <c r="D162" s="175">
        <v>77.92</v>
      </c>
      <c r="E162" s="175">
        <v>54.9</v>
      </c>
      <c r="F162" s="175">
        <v>61.11</v>
      </c>
      <c r="G162" s="12">
        <v>72.59</v>
      </c>
      <c r="H162" s="175">
        <v>77.56</v>
      </c>
      <c r="I162" s="43"/>
      <c r="J162" s="175">
        <v>54.93</v>
      </c>
      <c r="K162" s="131">
        <v>68.62</v>
      </c>
      <c r="L162" s="131">
        <v>92.68</v>
      </c>
      <c r="M162" s="131">
        <v>50.45</v>
      </c>
      <c r="N162" s="175">
        <v>74</v>
      </c>
      <c r="O162" s="175">
        <v>62.04</v>
      </c>
      <c r="P162" s="175">
        <v>65.34</v>
      </c>
      <c r="Q162" s="43"/>
      <c r="R162" s="152">
        <v>75.14</v>
      </c>
      <c r="S162" s="153">
        <v>67.510000000000005</v>
      </c>
      <c r="T162" s="153">
        <v>51.6</v>
      </c>
      <c r="U162" s="153">
        <v>76.209999999999994</v>
      </c>
      <c r="V162" s="153">
        <v>55.15</v>
      </c>
      <c r="W162" s="175">
        <v>60.71</v>
      </c>
      <c r="X162" s="175">
        <v>74.989999999999995</v>
      </c>
      <c r="Y162" s="43"/>
      <c r="Z162" s="135">
        <v>66.37</v>
      </c>
      <c r="AA162" s="152">
        <v>86.72</v>
      </c>
      <c r="AB162" s="153">
        <v>57.29</v>
      </c>
      <c r="AC162" s="153">
        <v>71.180000000000007</v>
      </c>
      <c r="AD162" s="153">
        <v>72.290000000000006</v>
      </c>
      <c r="AE162" s="152">
        <v>47.55</v>
      </c>
      <c r="AF162" s="153">
        <v>90.1</v>
      </c>
      <c r="AG162" s="153">
        <v>61</v>
      </c>
      <c r="AH162" s="153">
        <v>76.239999999999995</v>
      </c>
      <c r="AI162" s="153">
        <v>75.83</v>
      </c>
      <c r="AJ162" s="43"/>
      <c r="AK162" s="44"/>
      <c r="AL162" s="457"/>
    </row>
    <row r="163" spans="1:38" ht="18.75" x14ac:dyDescent="0.3">
      <c r="A163" s="485" t="s">
        <v>2</v>
      </c>
      <c r="B163" s="488">
        <f t="shared" ref="B163:G163" si="1">SUM(B70:B162)</f>
        <v>6278.7900000000009</v>
      </c>
      <c r="C163" s="488">
        <f t="shared" si="1"/>
        <v>5728.8399999999992</v>
      </c>
      <c r="D163" s="488">
        <f t="shared" si="1"/>
        <v>6385.2200000000012</v>
      </c>
      <c r="E163" s="488">
        <f t="shared" si="1"/>
        <v>6466.5099999999975</v>
      </c>
      <c r="F163" s="488">
        <f t="shared" si="1"/>
        <v>4687.9400000000005</v>
      </c>
      <c r="G163" s="488">
        <f t="shared" si="1"/>
        <v>5420.9800000000023</v>
      </c>
      <c r="H163" s="488">
        <f>SUM(H70:H162)</f>
        <v>6297.7</v>
      </c>
      <c r="I163" s="488">
        <f>SUM(B163:H163)</f>
        <v>41265.980000000003</v>
      </c>
      <c r="J163" s="488">
        <f t="shared" ref="J163:O163" si="2">SUM(J70:J162)</f>
        <v>5555.4100000000008</v>
      </c>
      <c r="K163" s="488">
        <f t="shared" si="2"/>
        <v>6308.9199999999964</v>
      </c>
      <c r="L163" s="488">
        <f t="shared" si="2"/>
        <v>5774.46</v>
      </c>
      <c r="M163" s="488">
        <f t="shared" si="2"/>
        <v>6076.01</v>
      </c>
      <c r="N163" s="488">
        <f t="shared" si="2"/>
        <v>6244</v>
      </c>
      <c r="O163" s="488">
        <f t="shared" si="2"/>
        <v>5421.5899999999983</v>
      </c>
      <c r="P163" s="488">
        <f>SUM(P70:P162)</f>
        <v>6152.4800000000005</v>
      </c>
      <c r="Q163" s="497">
        <f>SUM(J163:P163)</f>
        <v>41532.869999999995</v>
      </c>
      <c r="R163" s="488">
        <f t="shared" ref="R163:W163" si="3">SUM(R70:R162)</f>
        <v>6477.5899999999992</v>
      </c>
      <c r="S163" s="488">
        <f t="shared" si="3"/>
        <v>4628.82</v>
      </c>
      <c r="T163" s="488">
        <f t="shared" si="3"/>
        <v>3591.37</v>
      </c>
      <c r="U163" s="488">
        <f t="shared" si="3"/>
        <v>5163.8899999999985</v>
      </c>
      <c r="V163" s="488">
        <f t="shared" si="3"/>
        <v>4821.7999999999993</v>
      </c>
      <c r="W163" s="488">
        <f t="shared" si="3"/>
        <v>6462.880000000001</v>
      </c>
      <c r="X163" s="488">
        <f>SUM(X70:X162)</f>
        <v>6080.7200000000021</v>
      </c>
      <c r="Y163" s="497">
        <f>SUM(R163:X163)</f>
        <v>37227.07</v>
      </c>
      <c r="Z163" s="488">
        <f t="shared" ref="Z163:AE163" si="4">SUM(Z70:Z162)</f>
        <v>5952.38</v>
      </c>
      <c r="AA163" s="488">
        <f t="shared" si="4"/>
        <v>6355.9999999999991</v>
      </c>
      <c r="AB163" s="488">
        <f t="shared" si="4"/>
        <v>5503.5899999999992</v>
      </c>
      <c r="AC163" s="488">
        <f t="shared" si="4"/>
        <v>6033.2399999999989</v>
      </c>
      <c r="AD163" s="488">
        <f t="shared" si="4"/>
        <v>5949.7599999999993</v>
      </c>
      <c r="AE163" s="488">
        <f t="shared" si="4"/>
        <v>6280.6800000000012</v>
      </c>
      <c r="AF163" s="488">
        <f>SUM(AF70:AF162)</f>
        <v>5942.9100000000017</v>
      </c>
      <c r="AG163" s="488">
        <f>SUM(AG70:AG162)</f>
        <v>5833.8900000000012</v>
      </c>
      <c r="AH163" s="488">
        <f>SUM(AH70:AH162)</f>
        <v>5865.96</v>
      </c>
      <c r="AI163" s="488">
        <f>SUM(AI70:AI162)</f>
        <v>6008.869999999999</v>
      </c>
      <c r="AJ163" s="506"/>
      <c r="AK163" s="507"/>
      <c r="AL163" s="478"/>
    </row>
    <row r="164" spans="1:38" ht="15.75" thickBot="1" x14ac:dyDescent="0.3">
      <c r="A164" s="264"/>
      <c r="B164" s="265" t="s">
        <v>266</v>
      </c>
      <c r="C164" s="265" t="s">
        <v>324</v>
      </c>
      <c r="D164" s="265" t="s">
        <v>320</v>
      </c>
      <c r="E164" s="265" t="s">
        <v>317</v>
      </c>
      <c r="F164" s="265" t="s">
        <v>324</v>
      </c>
      <c r="G164" s="265" t="s">
        <v>321</v>
      </c>
      <c r="H164" s="265" t="s">
        <v>323</v>
      </c>
      <c r="I164" s="56"/>
      <c r="J164" s="265" t="s">
        <v>322</v>
      </c>
      <c r="K164" s="265" t="s">
        <v>321</v>
      </c>
      <c r="L164" s="265" t="s">
        <v>320</v>
      </c>
      <c r="M164" s="265" t="s">
        <v>319</v>
      </c>
      <c r="N164" s="265" t="s">
        <v>318</v>
      </c>
      <c r="O164" s="265" t="s">
        <v>318</v>
      </c>
      <c r="P164" s="265" t="s">
        <v>317</v>
      </c>
      <c r="Q164" s="56"/>
      <c r="R164" s="265" t="s">
        <v>318</v>
      </c>
      <c r="S164" s="265" t="s">
        <v>326</v>
      </c>
      <c r="T164" s="265" t="s">
        <v>327</v>
      </c>
      <c r="U164" s="265" t="s">
        <v>318</v>
      </c>
      <c r="V164" s="265" t="s">
        <v>317</v>
      </c>
      <c r="W164" s="265" t="s">
        <v>320</v>
      </c>
      <c r="X164" s="265" t="s">
        <v>324</v>
      </c>
      <c r="Y164" s="56"/>
      <c r="Z164" s="265" t="s">
        <v>323</v>
      </c>
      <c r="AA164" s="265" t="s">
        <v>318</v>
      </c>
      <c r="AB164" s="265" t="s">
        <v>321</v>
      </c>
      <c r="AC164" s="265" t="s">
        <v>323</v>
      </c>
      <c r="AD164" s="265" t="s">
        <v>319</v>
      </c>
      <c r="AE164" s="265" t="s">
        <v>321</v>
      </c>
      <c r="AF164" s="265" t="s">
        <v>318</v>
      </c>
      <c r="AG164" s="265" t="s">
        <v>324</v>
      </c>
      <c r="AH164" s="265" t="s">
        <v>323</v>
      </c>
      <c r="AI164" s="265" t="s">
        <v>318</v>
      </c>
      <c r="AJ164" s="56"/>
      <c r="AK164" s="225"/>
      <c r="AL164" s="228"/>
    </row>
    <row r="165" spans="1:38" ht="24" thickBot="1" x14ac:dyDescent="0.4">
      <c r="A165" s="294" t="s">
        <v>105</v>
      </c>
      <c r="B165" s="295"/>
      <c r="C165" s="295"/>
      <c r="D165" s="295"/>
      <c r="E165" s="295"/>
      <c r="F165" s="295"/>
      <c r="G165" s="296"/>
      <c r="H165" s="296"/>
      <c r="I165" s="297"/>
      <c r="J165" s="297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301"/>
      <c r="AK165" s="462"/>
      <c r="AL165" s="463"/>
    </row>
    <row r="166" spans="1:38" ht="16.5" thickBot="1" x14ac:dyDescent="0.3">
      <c r="A166" s="464" t="s">
        <v>8</v>
      </c>
      <c r="B166" s="465">
        <v>1</v>
      </c>
      <c r="C166" s="465">
        <v>2</v>
      </c>
      <c r="D166" s="465">
        <v>3</v>
      </c>
      <c r="E166" s="465">
        <v>4</v>
      </c>
      <c r="F166" s="465">
        <v>5</v>
      </c>
      <c r="G166" s="465">
        <v>6</v>
      </c>
      <c r="H166" s="465">
        <v>7</v>
      </c>
      <c r="I166" s="466" t="s">
        <v>6</v>
      </c>
      <c r="J166" s="465">
        <v>8</v>
      </c>
      <c r="K166" s="465">
        <v>9</v>
      </c>
      <c r="L166" s="465">
        <v>10</v>
      </c>
      <c r="M166" s="465">
        <v>11</v>
      </c>
      <c r="N166" s="465">
        <v>12</v>
      </c>
      <c r="O166" s="465">
        <v>13</v>
      </c>
      <c r="P166" s="465">
        <v>14</v>
      </c>
      <c r="Q166" s="466" t="s">
        <v>6</v>
      </c>
      <c r="R166" s="465">
        <v>15</v>
      </c>
      <c r="S166" s="465">
        <v>16</v>
      </c>
      <c r="T166" s="465">
        <v>17</v>
      </c>
      <c r="U166" s="465">
        <v>18</v>
      </c>
      <c r="V166" s="465">
        <v>19</v>
      </c>
      <c r="W166" s="465">
        <v>20</v>
      </c>
      <c r="X166" s="465">
        <v>21</v>
      </c>
      <c r="Y166" s="466" t="s">
        <v>6</v>
      </c>
      <c r="Z166" s="465">
        <v>22</v>
      </c>
      <c r="AA166" s="465">
        <v>23</v>
      </c>
      <c r="AB166" s="465">
        <v>24</v>
      </c>
      <c r="AC166" s="465">
        <v>25</v>
      </c>
      <c r="AD166" s="465">
        <v>26</v>
      </c>
      <c r="AE166" s="465">
        <v>27</v>
      </c>
      <c r="AF166" s="465">
        <v>28</v>
      </c>
      <c r="AG166" s="465">
        <v>29</v>
      </c>
      <c r="AH166" s="465">
        <v>30</v>
      </c>
      <c r="AI166" s="465">
        <v>31</v>
      </c>
      <c r="AJ166" s="467" t="s">
        <v>6</v>
      </c>
      <c r="AK166" s="468" t="s">
        <v>0</v>
      </c>
      <c r="AL166" s="469" t="s">
        <v>42</v>
      </c>
    </row>
    <row r="167" spans="1:38" x14ac:dyDescent="0.25">
      <c r="A167" s="347" t="s">
        <v>9</v>
      </c>
      <c r="B167" s="303">
        <v>86.95</v>
      </c>
      <c r="C167" s="303">
        <v>63.32</v>
      </c>
      <c r="D167" s="303">
        <v>55.45</v>
      </c>
      <c r="E167" s="303">
        <v>37.29</v>
      </c>
      <c r="F167" s="303">
        <v>28.07</v>
      </c>
      <c r="G167" s="303">
        <v>70.61</v>
      </c>
      <c r="H167" s="303">
        <v>0</v>
      </c>
      <c r="I167" s="304"/>
      <c r="J167" s="577">
        <v>0</v>
      </c>
      <c r="K167" s="577">
        <v>0</v>
      </c>
      <c r="L167" s="593">
        <v>0</v>
      </c>
      <c r="M167" s="577">
        <v>0</v>
      </c>
      <c r="N167" s="577">
        <v>0</v>
      </c>
      <c r="O167" s="577">
        <v>0</v>
      </c>
      <c r="P167" s="577">
        <v>0</v>
      </c>
      <c r="Q167" s="602"/>
      <c r="R167" s="577">
        <v>0</v>
      </c>
      <c r="S167" s="577">
        <v>0</v>
      </c>
      <c r="T167" s="577">
        <v>0</v>
      </c>
      <c r="U167" s="577">
        <v>0</v>
      </c>
      <c r="V167" s="593">
        <v>0</v>
      </c>
      <c r="W167" s="593">
        <v>0</v>
      </c>
      <c r="X167" s="593">
        <v>0</v>
      </c>
      <c r="Y167" s="602"/>
      <c r="Z167" s="577">
        <v>0</v>
      </c>
      <c r="AA167" s="577">
        <v>0</v>
      </c>
      <c r="AB167" s="593">
        <v>0</v>
      </c>
      <c r="AC167" s="593">
        <v>0</v>
      </c>
      <c r="AD167" s="593">
        <v>0</v>
      </c>
      <c r="AE167" s="577">
        <v>0</v>
      </c>
      <c r="AF167" s="577">
        <v>0</v>
      </c>
      <c r="AG167" s="577">
        <v>0</v>
      </c>
      <c r="AH167" s="577">
        <v>0</v>
      </c>
      <c r="AI167" s="303">
        <v>0</v>
      </c>
      <c r="AJ167" s="592"/>
      <c r="AK167" s="184"/>
      <c r="AL167" s="207"/>
    </row>
    <row r="168" spans="1:38" ht="18.75" x14ac:dyDescent="0.3">
      <c r="A168" s="67" t="s">
        <v>10</v>
      </c>
      <c r="B168" s="537"/>
      <c r="C168" s="537"/>
      <c r="D168" s="537"/>
      <c r="E168" s="537"/>
      <c r="F168" s="537"/>
      <c r="G168" s="537"/>
      <c r="H168" s="537"/>
      <c r="I168" s="111"/>
      <c r="J168" s="594"/>
      <c r="K168" s="594"/>
      <c r="L168" s="595"/>
      <c r="M168" s="594"/>
      <c r="N168" s="594"/>
      <c r="O168" s="594"/>
      <c r="P168" s="531"/>
      <c r="Q168" s="111"/>
      <c r="R168" s="594"/>
      <c r="S168" s="594"/>
      <c r="T168" s="594"/>
      <c r="U168" s="594"/>
      <c r="V168" s="595"/>
      <c r="W168" s="595"/>
      <c r="X168" s="595"/>
      <c r="Y168" s="111"/>
      <c r="Z168" s="594"/>
      <c r="AA168" s="594"/>
      <c r="AB168" s="595"/>
      <c r="AC168" s="595"/>
      <c r="AD168" s="595"/>
      <c r="AE168" s="594"/>
      <c r="AF168" s="594"/>
      <c r="AG168" s="594"/>
      <c r="AH168" s="537"/>
      <c r="AI168" s="118"/>
      <c r="AJ168" s="111"/>
      <c r="AK168" s="544">
        <v>764.56</v>
      </c>
      <c r="AL168" s="197"/>
    </row>
    <row r="169" spans="1:38" ht="15" customHeight="1" x14ac:dyDescent="0.3">
      <c r="A169" s="67" t="s">
        <v>45</v>
      </c>
      <c r="B169" s="537"/>
      <c r="C169" s="537"/>
      <c r="D169" s="537"/>
      <c r="E169" s="537"/>
      <c r="F169" s="537"/>
      <c r="G169" s="537"/>
      <c r="H169" s="537"/>
      <c r="I169" s="111"/>
      <c r="J169" s="118">
        <v>168.77</v>
      </c>
      <c r="K169" s="118">
        <v>93.39</v>
      </c>
      <c r="L169" s="211">
        <v>83.25</v>
      </c>
      <c r="M169" s="118">
        <v>62.37</v>
      </c>
      <c r="N169" s="537"/>
      <c r="O169" s="1">
        <v>68.5</v>
      </c>
      <c r="P169" s="1">
        <v>72.03</v>
      </c>
      <c r="Q169" s="37"/>
      <c r="R169" s="537"/>
      <c r="S169" s="537"/>
      <c r="T169" s="537"/>
      <c r="U169" s="537"/>
      <c r="V169" s="582"/>
      <c r="W169" s="582"/>
      <c r="X169" s="211">
        <v>176.67</v>
      </c>
      <c r="Y169" s="37"/>
      <c r="Z169" s="118">
        <v>124.05</v>
      </c>
      <c r="AA169" s="537"/>
      <c r="AB169" s="211">
        <v>131.82</v>
      </c>
      <c r="AC169" s="173">
        <v>81.900000000000006</v>
      </c>
      <c r="AD169" s="211">
        <v>86.61</v>
      </c>
      <c r="AE169" s="537"/>
      <c r="AF169" s="537"/>
      <c r="AG169" s="537"/>
      <c r="AH169" s="537"/>
      <c r="AI169" s="118"/>
      <c r="AJ169" s="37"/>
      <c r="AK169" s="539">
        <v>1350.14</v>
      </c>
      <c r="AL169" s="197"/>
    </row>
    <row r="170" spans="1:38" ht="15" customHeight="1" x14ac:dyDescent="0.3">
      <c r="A170" s="67" t="s">
        <v>11</v>
      </c>
      <c r="B170" s="537"/>
      <c r="C170" s="537"/>
      <c r="D170" s="537"/>
      <c r="E170" s="537"/>
      <c r="F170" s="537"/>
      <c r="G170" s="537"/>
      <c r="H170" s="537"/>
      <c r="I170" s="111"/>
      <c r="J170" s="118">
        <v>149.54</v>
      </c>
      <c r="K170" s="118">
        <v>118.65</v>
      </c>
      <c r="L170" s="582"/>
      <c r="M170" s="537"/>
      <c r="N170" s="1">
        <v>74</v>
      </c>
      <c r="O170" s="537"/>
      <c r="P170" s="530"/>
      <c r="Q170" s="37"/>
      <c r="R170" s="118">
        <v>95.32</v>
      </c>
      <c r="S170" s="118">
        <v>88.66</v>
      </c>
      <c r="T170" s="118">
        <v>57.94</v>
      </c>
      <c r="U170" s="537"/>
      <c r="V170" s="582"/>
      <c r="W170" s="582"/>
      <c r="X170" s="211">
        <v>155.66</v>
      </c>
      <c r="Y170" s="37"/>
      <c r="Z170" s="537"/>
      <c r="AA170" s="537"/>
      <c r="AB170" s="582"/>
      <c r="AC170" s="211">
        <v>152.68</v>
      </c>
      <c r="AD170" s="211">
        <v>116.35</v>
      </c>
      <c r="AE170" s="1">
        <v>150.54</v>
      </c>
      <c r="AF170" s="118">
        <v>69.37</v>
      </c>
      <c r="AG170" s="537"/>
      <c r="AH170" s="537"/>
      <c r="AI170" s="118">
        <v>63.35</v>
      </c>
      <c r="AJ170" s="37"/>
      <c r="AK170" s="539">
        <v>1121.74</v>
      </c>
      <c r="AL170" s="197"/>
    </row>
    <row r="171" spans="1:38" ht="15" customHeight="1" x14ac:dyDescent="0.3">
      <c r="A171" s="67" t="s">
        <v>12</v>
      </c>
      <c r="B171" s="118">
        <v>101.71</v>
      </c>
      <c r="C171" s="118">
        <v>94.42</v>
      </c>
      <c r="D171" s="118">
        <v>75.739999999999995</v>
      </c>
      <c r="E171" s="118">
        <v>43.74</v>
      </c>
      <c r="F171" s="118">
        <v>45.76</v>
      </c>
      <c r="G171" s="1">
        <v>61.5</v>
      </c>
      <c r="H171" s="537"/>
      <c r="I171" s="37"/>
      <c r="J171" s="537"/>
      <c r="K171" s="537"/>
      <c r="L171" s="173">
        <v>194.9</v>
      </c>
      <c r="M171" s="118">
        <v>124.26</v>
      </c>
      <c r="N171" s="537"/>
      <c r="O171" s="537"/>
      <c r="P171" s="1">
        <v>140.47999999999999</v>
      </c>
      <c r="Q171" s="37"/>
      <c r="R171" s="118">
        <v>43.31</v>
      </c>
      <c r="S171" s="118">
        <v>47.51</v>
      </c>
      <c r="T171" s="118">
        <v>48.76</v>
      </c>
      <c r="U171" s="1">
        <v>98.45</v>
      </c>
      <c r="V171" s="211">
        <v>44.01</v>
      </c>
      <c r="W171" s="211">
        <v>101.58</v>
      </c>
      <c r="X171" s="582"/>
      <c r="Y171" s="37"/>
      <c r="Z171" s="118">
        <v>48.29</v>
      </c>
      <c r="AA171" s="118">
        <v>134.29</v>
      </c>
      <c r="AB171" s="211">
        <v>84.87</v>
      </c>
      <c r="AC171" s="582"/>
      <c r="AD171" s="582"/>
      <c r="AE171" s="537"/>
      <c r="AF171" s="530"/>
      <c r="AG171" s="1">
        <v>86</v>
      </c>
      <c r="AH171" s="537"/>
      <c r="AI171" s="118"/>
      <c r="AJ171" s="37"/>
      <c r="AK171" s="339"/>
      <c r="AL171" s="197"/>
    </row>
    <row r="172" spans="1:38" ht="15" customHeight="1" thickBot="1" x14ac:dyDescent="0.3">
      <c r="A172" s="63" t="s">
        <v>79</v>
      </c>
      <c r="B172" s="581"/>
      <c r="C172" s="576"/>
      <c r="D172" s="581"/>
      <c r="E172" s="581"/>
      <c r="F172" s="581"/>
      <c r="G172" s="581"/>
      <c r="H172" s="581"/>
      <c r="I172" s="114"/>
      <c r="J172" s="581"/>
      <c r="K172" s="581"/>
      <c r="L172" s="585"/>
      <c r="M172" s="581"/>
      <c r="N172" s="581"/>
      <c r="O172" s="581"/>
      <c r="P172" s="576"/>
      <c r="Q172" s="114"/>
      <c r="R172" s="581"/>
      <c r="S172" s="581"/>
      <c r="T172" s="581"/>
      <c r="U172" s="581"/>
      <c r="V172" s="200">
        <v>88.57</v>
      </c>
      <c r="W172" s="557">
        <v>75.3</v>
      </c>
      <c r="X172" s="585"/>
      <c r="Y172" s="43"/>
      <c r="Z172" s="581"/>
      <c r="AA172" s="581"/>
      <c r="AB172" s="585"/>
      <c r="AC172" s="585"/>
      <c r="AD172" s="585"/>
      <c r="AE172" s="581"/>
      <c r="AF172" s="581"/>
      <c r="AG172" s="581"/>
      <c r="AH172" s="581"/>
      <c r="AI172" s="119"/>
      <c r="AJ172" s="114"/>
      <c r="AK172" s="44"/>
      <c r="AL172" s="204"/>
    </row>
    <row r="173" spans="1:38" ht="19.5" thickBot="1" x14ac:dyDescent="0.35">
      <c r="A173" s="485" t="s">
        <v>2</v>
      </c>
      <c r="B173" s="491">
        <f t="shared" ref="B173:G173" si="5">SUM(B167:B172)</f>
        <v>188.66</v>
      </c>
      <c r="C173" s="491">
        <f t="shared" si="5"/>
        <v>157.74</v>
      </c>
      <c r="D173" s="491">
        <f t="shared" si="5"/>
        <v>131.19</v>
      </c>
      <c r="E173" s="491">
        <f t="shared" si="5"/>
        <v>81.03</v>
      </c>
      <c r="F173" s="491">
        <f t="shared" si="5"/>
        <v>73.83</v>
      </c>
      <c r="G173" s="491">
        <f t="shared" si="5"/>
        <v>132.11000000000001</v>
      </c>
      <c r="H173" s="491">
        <f>SUM(H167:H172)</f>
        <v>0</v>
      </c>
      <c r="I173" s="497">
        <f>SUM(B173:H173)</f>
        <v>764.56000000000006</v>
      </c>
      <c r="J173" s="491">
        <f t="shared" ref="J173:O173" si="6">SUM(J167:J172)</f>
        <v>318.31</v>
      </c>
      <c r="K173" s="491">
        <f t="shared" si="6"/>
        <v>212.04000000000002</v>
      </c>
      <c r="L173" s="491">
        <f t="shared" si="6"/>
        <v>278.14999999999998</v>
      </c>
      <c r="M173" s="491">
        <f t="shared" si="6"/>
        <v>186.63</v>
      </c>
      <c r="N173" s="508">
        <f t="shared" si="6"/>
        <v>74</v>
      </c>
      <c r="O173" s="508">
        <f t="shared" si="6"/>
        <v>68.5</v>
      </c>
      <c r="P173" s="491">
        <f>SUM(P167:P172)</f>
        <v>212.51</v>
      </c>
      <c r="Q173" s="497">
        <f>SUM(J173:P173)</f>
        <v>1350.14</v>
      </c>
      <c r="R173" s="491">
        <f t="shared" ref="R173:W173" si="7">SUM(R167:R172)</f>
        <v>138.63</v>
      </c>
      <c r="S173" s="491">
        <f t="shared" si="7"/>
        <v>136.16999999999999</v>
      </c>
      <c r="T173" s="491">
        <f t="shared" si="7"/>
        <v>106.69999999999999</v>
      </c>
      <c r="U173" s="491">
        <f t="shared" si="7"/>
        <v>98.45</v>
      </c>
      <c r="V173" s="491">
        <f t="shared" si="7"/>
        <v>132.57999999999998</v>
      </c>
      <c r="W173" s="491">
        <f t="shared" si="7"/>
        <v>176.88</v>
      </c>
      <c r="X173" s="491">
        <f>SUM(X167:X172)</f>
        <v>332.33</v>
      </c>
      <c r="Y173" s="497">
        <f>SUM(R173:X173)</f>
        <v>1121.74</v>
      </c>
      <c r="Z173" s="491">
        <f t="shared" ref="Z173:AE173" si="8">SUM(Z167:Z172)</f>
        <v>172.34</v>
      </c>
      <c r="AA173" s="508">
        <f t="shared" si="8"/>
        <v>134.29</v>
      </c>
      <c r="AB173" s="491">
        <f t="shared" si="8"/>
        <v>216.69</v>
      </c>
      <c r="AC173" s="491">
        <f t="shared" si="8"/>
        <v>234.58</v>
      </c>
      <c r="AD173" s="491">
        <f t="shared" si="8"/>
        <v>202.95999999999998</v>
      </c>
      <c r="AE173" s="491">
        <f t="shared" si="8"/>
        <v>150.54</v>
      </c>
      <c r="AF173" s="491">
        <f>SUM(AF167:AF172)</f>
        <v>69.37</v>
      </c>
      <c r="AG173" s="491">
        <f>SUM(AG167:AG172)</f>
        <v>86</v>
      </c>
      <c r="AH173" s="508">
        <f>SUM(AH167:AH172)</f>
        <v>0</v>
      </c>
      <c r="AI173" s="508">
        <f>SUM(AI167:AI172)</f>
        <v>63.35</v>
      </c>
      <c r="AJ173" s="506"/>
      <c r="AK173" s="507"/>
      <c r="AL173" s="490"/>
    </row>
    <row r="174" spans="1:38" ht="15.75" thickBot="1" x14ac:dyDescent="0.3">
      <c r="A174" s="264"/>
      <c r="B174" s="348" t="s">
        <v>268</v>
      </c>
      <c r="C174" s="348" t="s">
        <v>268</v>
      </c>
      <c r="D174" s="348" t="s">
        <v>268</v>
      </c>
      <c r="E174" s="348" t="s">
        <v>268</v>
      </c>
      <c r="F174" s="348" t="s">
        <v>268</v>
      </c>
      <c r="G174" s="348" t="s">
        <v>268</v>
      </c>
      <c r="H174" s="348" t="s">
        <v>294</v>
      </c>
      <c r="I174" s="56"/>
      <c r="J174" s="348" t="s">
        <v>268</v>
      </c>
      <c r="K174" s="348" t="s">
        <v>268</v>
      </c>
      <c r="L174" s="348" t="s">
        <v>268</v>
      </c>
      <c r="M174" s="348" t="s">
        <v>268</v>
      </c>
      <c r="N174" s="348" t="s">
        <v>267</v>
      </c>
      <c r="O174" s="348" t="s">
        <v>267</v>
      </c>
      <c r="P174" s="348" t="s">
        <v>268</v>
      </c>
      <c r="Q174" s="56"/>
      <c r="R174" s="348" t="s">
        <v>268</v>
      </c>
      <c r="S174" s="348" t="s">
        <v>268</v>
      </c>
      <c r="T174" s="348" t="s">
        <v>268</v>
      </c>
      <c r="U174" s="348" t="s">
        <v>267</v>
      </c>
      <c r="V174" s="348" t="s">
        <v>268</v>
      </c>
      <c r="W174" s="348" t="s">
        <v>268</v>
      </c>
      <c r="X174" s="348" t="s">
        <v>268</v>
      </c>
      <c r="Y174" s="56"/>
      <c r="Z174" s="348" t="s">
        <v>268</v>
      </c>
      <c r="AA174" s="348" t="s">
        <v>267</v>
      </c>
      <c r="AB174" s="348" t="s">
        <v>268</v>
      </c>
      <c r="AC174" s="348" t="s">
        <v>268</v>
      </c>
      <c r="AD174" s="348" t="s">
        <v>268</v>
      </c>
      <c r="AE174" s="348" t="s">
        <v>267</v>
      </c>
      <c r="AF174" s="348" t="s">
        <v>267</v>
      </c>
      <c r="AG174" s="348" t="s">
        <v>267</v>
      </c>
      <c r="AH174" s="348" t="s">
        <v>294</v>
      </c>
      <c r="AI174" s="348" t="s">
        <v>267</v>
      </c>
      <c r="AJ174" s="56"/>
      <c r="AK174" s="225"/>
      <c r="AL174" s="228"/>
    </row>
    <row r="175" spans="1:38" ht="24" thickBot="1" x14ac:dyDescent="0.4">
      <c r="A175" s="294" t="s">
        <v>106</v>
      </c>
      <c r="B175" s="295"/>
      <c r="C175" s="295"/>
      <c r="D175" s="295"/>
      <c r="E175" s="295"/>
      <c r="F175" s="295"/>
      <c r="G175" s="296"/>
      <c r="H175" s="296"/>
      <c r="I175" s="297"/>
      <c r="J175" s="297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301"/>
      <c r="AK175" s="462"/>
      <c r="AL175" s="301"/>
    </row>
    <row r="176" spans="1:38" ht="16.5" thickBot="1" x14ac:dyDescent="0.3">
      <c r="A176" s="464" t="s">
        <v>8</v>
      </c>
      <c r="B176" s="465">
        <v>1</v>
      </c>
      <c r="C176" s="465">
        <v>2</v>
      </c>
      <c r="D176" s="465">
        <v>3</v>
      </c>
      <c r="E176" s="465">
        <v>4</v>
      </c>
      <c r="F176" s="465">
        <v>5</v>
      </c>
      <c r="G176" s="465">
        <v>6</v>
      </c>
      <c r="H176" s="465">
        <v>7</v>
      </c>
      <c r="I176" s="466" t="s">
        <v>6</v>
      </c>
      <c r="J176" s="465">
        <v>8</v>
      </c>
      <c r="K176" s="465">
        <v>9</v>
      </c>
      <c r="L176" s="465">
        <v>10</v>
      </c>
      <c r="M176" s="465">
        <v>11</v>
      </c>
      <c r="N176" s="465">
        <v>12</v>
      </c>
      <c r="O176" s="465">
        <v>13</v>
      </c>
      <c r="P176" s="465">
        <v>14</v>
      </c>
      <c r="Q176" s="466" t="s">
        <v>6</v>
      </c>
      <c r="R176" s="465">
        <v>15</v>
      </c>
      <c r="S176" s="465">
        <v>16</v>
      </c>
      <c r="T176" s="465">
        <v>17</v>
      </c>
      <c r="U176" s="465">
        <v>18</v>
      </c>
      <c r="V176" s="465">
        <v>19</v>
      </c>
      <c r="W176" s="465">
        <v>20</v>
      </c>
      <c r="X176" s="465">
        <v>21</v>
      </c>
      <c r="Y176" s="466" t="s">
        <v>6</v>
      </c>
      <c r="Z176" s="465">
        <v>22</v>
      </c>
      <c r="AA176" s="465">
        <v>23</v>
      </c>
      <c r="AB176" s="465">
        <v>24</v>
      </c>
      <c r="AC176" s="465">
        <v>25</v>
      </c>
      <c r="AD176" s="465">
        <v>26</v>
      </c>
      <c r="AE176" s="465">
        <v>27</v>
      </c>
      <c r="AF176" s="465">
        <v>28</v>
      </c>
      <c r="AG176" s="465">
        <v>29</v>
      </c>
      <c r="AH176" s="465">
        <v>30</v>
      </c>
      <c r="AI176" s="465">
        <v>31</v>
      </c>
      <c r="AJ176" s="467" t="s">
        <v>6</v>
      </c>
      <c r="AK176" s="468" t="s">
        <v>0</v>
      </c>
      <c r="AL176" s="469" t="s">
        <v>42</v>
      </c>
    </row>
    <row r="177" spans="1:38" ht="15" customHeight="1" x14ac:dyDescent="0.3">
      <c r="A177" s="347" t="s">
        <v>29</v>
      </c>
      <c r="B177" s="303">
        <v>300</v>
      </c>
      <c r="C177" s="618"/>
      <c r="D177" s="618"/>
      <c r="E177" s="303">
        <v>263</v>
      </c>
      <c r="F177" s="618"/>
      <c r="G177" s="618"/>
      <c r="H177" s="303">
        <v>0</v>
      </c>
      <c r="I177" s="305"/>
      <c r="J177" s="577">
        <v>0</v>
      </c>
      <c r="K177" s="577">
        <v>0</v>
      </c>
      <c r="L177" s="577">
        <v>0</v>
      </c>
      <c r="M177" s="577">
        <v>0</v>
      </c>
      <c r="N177" s="577">
        <v>0</v>
      </c>
      <c r="O177" s="577">
        <v>0</v>
      </c>
      <c r="P177" s="303">
        <v>300</v>
      </c>
      <c r="Q177" s="305"/>
      <c r="R177" s="577">
        <v>0</v>
      </c>
      <c r="S177" s="577">
        <v>0</v>
      </c>
      <c r="T177" s="577">
        <v>0</v>
      </c>
      <c r="U177" s="577">
        <v>0</v>
      </c>
      <c r="V177" s="577">
        <v>0</v>
      </c>
      <c r="W177" s="577">
        <v>0</v>
      </c>
      <c r="X177" s="577">
        <v>0</v>
      </c>
      <c r="Y177" s="305"/>
      <c r="Z177" s="577">
        <v>0</v>
      </c>
      <c r="AA177" s="577">
        <v>0</v>
      </c>
      <c r="AB177" s="577">
        <v>0</v>
      </c>
      <c r="AC177" s="411">
        <v>232.5</v>
      </c>
      <c r="AD177" s="411">
        <v>131.94999999999999</v>
      </c>
      <c r="AE177" s="577">
        <v>0</v>
      </c>
      <c r="AF177" s="577">
        <v>0</v>
      </c>
      <c r="AG177" s="577">
        <v>0</v>
      </c>
      <c r="AH177" s="577">
        <v>0</v>
      </c>
      <c r="AI177" s="577">
        <v>0</v>
      </c>
      <c r="AJ177" s="305"/>
      <c r="AK177" s="540">
        <v>1188.67</v>
      </c>
      <c r="AL177" s="207"/>
    </row>
    <row r="178" spans="1:38" ht="15" customHeight="1" x14ac:dyDescent="0.3">
      <c r="A178" s="67" t="s">
        <v>13</v>
      </c>
      <c r="B178" s="537"/>
      <c r="C178" s="1">
        <v>85.43</v>
      </c>
      <c r="D178" s="118">
        <v>147.68</v>
      </c>
      <c r="E178" s="537"/>
      <c r="F178" s="118">
        <v>127.52</v>
      </c>
      <c r="G178" s="537"/>
      <c r="H178" s="118">
        <v>152.08000000000001</v>
      </c>
      <c r="I178" s="37"/>
      <c r="J178" s="1">
        <v>119.1</v>
      </c>
      <c r="K178" s="1">
        <v>216.38</v>
      </c>
      <c r="L178" s="57">
        <v>149.38</v>
      </c>
      <c r="M178" s="530"/>
      <c r="N178" s="530"/>
      <c r="O178" s="530"/>
      <c r="P178" s="530"/>
      <c r="Q178" s="37"/>
      <c r="R178" s="57">
        <v>250.22</v>
      </c>
      <c r="S178" s="530"/>
      <c r="T178" s="530"/>
      <c r="U178" s="530"/>
      <c r="V178" s="1">
        <v>55.86</v>
      </c>
      <c r="W178" s="57">
        <v>146.22</v>
      </c>
      <c r="X178" s="57">
        <v>207.24</v>
      </c>
      <c r="Y178" s="37"/>
      <c r="Z178" s="1">
        <v>264.16000000000003</v>
      </c>
      <c r="AA178" s="1">
        <v>131.51</v>
      </c>
      <c r="AB178" s="57">
        <v>230.19</v>
      </c>
      <c r="AC178" s="530"/>
      <c r="AD178" s="530"/>
      <c r="AE178" s="578"/>
      <c r="AF178" s="578"/>
      <c r="AG178" s="578"/>
      <c r="AH178" s="578"/>
      <c r="AI178" s="578"/>
      <c r="AJ178" s="37"/>
      <c r="AK178" s="539">
        <v>1229.3800000000001</v>
      </c>
      <c r="AL178" s="197"/>
    </row>
    <row r="179" spans="1:38" ht="15" customHeight="1" x14ac:dyDescent="0.3">
      <c r="A179" s="63" t="s">
        <v>14</v>
      </c>
      <c r="B179" s="581"/>
      <c r="C179" s="581"/>
      <c r="D179" s="581"/>
      <c r="E179" s="581"/>
      <c r="F179" s="581"/>
      <c r="G179" s="581"/>
      <c r="H179" s="581"/>
      <c r="I179" s="43"/>
      <c r="J179" s="576"/>
      <c r="K179" s="576"/>
      <c r="L179" s="576"/>
      <c r="M179" s="576"/>
      <c r="N179" s="576"/>
      <c r="O179" s="576"/>
      <c r="P179" s="576"/>
      <c r="Q179" s="114"/>
      <c r="R179" s="576"/>
      <c r="S179" s="576"/>
      <c r="T179" s="576"/>
      <c r="U179" s="576"/>
      <c r="V179" s="576"/>
      <c r="W179" s="576"/>
      <c r="X179" s="576"/>
      <c r="Y179" s="114"/>
      <c r="Z179" s="576"/>
      <c r="AA179" s="576"/>
      <c r="AB179" s="576"/>
      <c r="AC179" s="576"/>
      <c r="AD179" s="576"/>
      <c r="AE179" s="579"/>
      <c r="AF179" s="579"/>
      <c r="AG179" s="579"/>
      <c r="AH179" s="579"/>
      <c r="AI179" s="579"/>
      <c r="AJ179" s="114"/>
      <c r="AK179" s="560">
        <v>952.42</v>
      </c>
      <c r="AL179" s="204"/>
    </row>
    <row r="180" spans="1:38" ht="15" customHeight="1" thickBot="1" x14ac:dyDescent="0.3">
      <c r="A180" s="347" t="s">
        <v>299</v>
      </c>
      <c r="B180" s="576"/>
      <c r="C180" s="576"/>
      <c r="D180" s="576"/>
      <c r="E180" s="576"/>
      <c r="F180" s="576"/>
      <c r="G180" s="175">
        <v>112.96</v>
      </c>
      <c r="H180" s="576"/>
      <c r="I180" s="127"/>
      <c r="J180" s="576"/>
      <c r="K180" s="576"/>
      <c r="L180" s="576"/>
      <c r="M180" s="175">
        <v>130.44</v>
      </c>
      <c r="N180" s="175">
        <v>183</v>
      </c>
      <c r="O180" s="175">
        <v>131.08000000000001</v>
      </c>
      <c r="P180" s="576"/>
      <c r="Q180" s="45"/>
      <c r="R180" s="576"/>
      <c r="S180" s="175">
        <v>133.94999999999999</v>
      </c>
      <c r="T180" s="175">
        <v>95.63</v>
      </c>
      <c r="U180" s="175">
        <v>63.3</v>
      </c>
      <c r="V180" s="576"/>
      <c r="W180" s="576"/>
      <c r="X180" s="576"/>
      <c r="Y180" s="45"/>
      <c r="Z180" s="576"/>
      <c r="AA180" s="576"/>
      <c r="AB180" s="576"/>
      <c r="AC180" s="576"/>
      <c r="AD180" s="175">
        <v>190.66</v>
      </c>
      <c r="AE180" s="579"/>
      <c r="AF180" s="579"/>
      <c r="AG180" s="579"/>
      <c r="AH180" s="579"/>
      <c r="AI180" s="579"/>
      <c r="AJ180" s="43"/>
      <c r="AK180" s="293"/>
      <c r="AL180" s="204"/>
    </row>
    <row r="181" spans="1:38" ht="18.75" x14ac:dyDescent="0.3">
      <c r="A181" s="485" t="s">
        <v>2</v>
      </c>
      <c r="B181" s="488">
        <f t="shared" ref="B181:G181" si="9">SUM(B177:B180)</f>
        <v>300</v>
      </c>
      <c r="C181" s="488">
        <f t="shared" si="9"/>
        <v>85.43</v>
      </c>
      <c r="D181" s="488">
        <f t="shared" si="9"/>
        <v>147.68</v>
      </c>
      <c r="E181" s="488">
        <f t="shared" si="9"/>
        <v>263</v>
      </c>
      <c r="F181" s="488">
        <f t="shared" si="9"/>
        <v>127.52</v>
      </c>
      <c r="G181" s="488">
        <f t="shared" si="9"/>
        <v>112.96</v>
      </c>
      <c r="H181" s="488">
        <f>SUM(H177:H180)</f>
        <v>152.08000000000001</v>
      </c>
      <c r="I181" s="497">
        <f>SUM(B181:H181)</f>
        <v>1188.6699999999998</v>
      </c>
      <c r="J181" s="488">
        <f>SUM(J178:J180)</f>
        <v>119.1</v>
      </c>
      <c r="K181" s="488">
        <f t="shared" ref="K181:P181" si="10">SUM(K177:K180)</f>
        <v>216.38</v>
      </c>
      <c r="L181" s="488">
        <f t="shared" si="10"/>
        <v>149.38</v>
      </c>
      <c r="M181" s="488">
        <f t="shared" si="10"/>
        <v>130.44</v>
      </c>
      <c r="N181" s="488">
        <f t="shared" si="10"/>
        <v>183</v>
      </c>
      <c r="O181" s="488">
        <f t="shared" si="10"/>
        <v>131.08000000000001</v>
      </c>
      <c r="P181" s="488">
        <f t="shared" si="10"/>
        <v>300</v>
      </c>
      <c r="Q181" s="497">
        <f>SUM(J181:P181)</f>
        <v>1229.3800000000001</v>
      </c>
      <c r="R181" s="488">
        <f t="shared" ref="R181:W181" si="11">SUM(R177:R180)</f>
        <v>250.22</v>
      </c>
      <c r="S181" s="488">
        <f t="shared" si="11"/>
        <v>133.94999999999999</v>
      </c>
      <c r="T181" s="488">
        <f t="shared" si="11"/>
        <v>95.63</v>
      </c>
      <c r="U181" s="488">
        <f t="shared" si="11"/>
        <v>63.3</v>
      </c>
      <c r="V181" s="488">
        <f t="shared" si="11"/>
        <v>55.86</v>
      </c>
      <c r="W181" s="488">
        <f t="shared" si="11"/>
        <v>146.22</v>
      </c>
      <c r="X181" s="488">
        <f>SUM(X177:X180)</f>
        <v>207.24</v>
      </c>
      <c r="Y181" s="497">
        <f>SUM(R181:X181)</f>
        <v>952.42</v>
      </c>
      <c r="Z181" s="488">
        <f t="shared" ref="Z181:AE181" si="12">SUM(Z177:Z180)</f>
        <v>264.16000000000003</v>
      </c>
      <c r="AA181" s="488">
        <f t="shared" si="12"/>
        <v>131.51</v>
      </c>
      <c r="AB181" s="488">
        <f t="shared" si="12"/>
        <v>230.19</v>
      </c>
      <c r="AC181" s="488">
        <f t="shared" si="12"/>
        <v>232.5</v>
      </c>
      <c r="AD181" s="488">
        <f t="shared" si="12"/>
        <v>322.61</v>
      </c>
      <c r="AE181" s="580">
        <f t="shared" si="12"/>
        <v>0</v>
      </c>
      <c r="AF181" s="580">
        <f>SUM(AF177:AF180)</f>
        <v>0</v>
      </c>
      <c r="AG181" s="580">
        <f>SUM(AG177:AG180)</f>
        <v>0</v>
      </c>
      <c r="AH181" s="580">
        <f>SUM(AH177:AH180)</f>
        <v>0</v>
      </c>
      <c r="AI181" s="580">
        <f>SUM(AI177:AI180)</f>
        <v>0</v>
      </c>
      <c r="AJ181" s="506"/>
      <c r="AK181" s="507"/>
      <c r="AL181" s="478"/>
    </row>
    <row r="182" spans="1:38" ht="15.75" thickBot="1" x14ac:dyDescent="0.3">
      <c r="A182" s="264"/>
      <c r="B182" s="265" t="s">
        <v>269</v>
      </c>
      <c r="C182" s="265" t="s">
        <v>269</v>
      </c>
      <c r="D182" s="265" t="s">
        <v>269</v>
      </c>
      <c r="E182" s="265" t="s">
        <v>269</v>
      </c>
      <c r="F182" s="265" t="s">
        <v>269</v>
      </c>
      <c r="G182" s="265" t="s">
        <v>269</v>
      </c>
      <c r="H182" s="265" t="s">
        <v>269</v>
      </c>
      <c r="I182" s="56"/>
      <c r="J182" s="265" t="s">
        <v>269</v>
      </c>
      <c r="K182" s="265" t="s">
        <v>269</v>
      </c>
      <c r="L182" s="265" t="s">
        <v>269</v>
      </c>
      <c r="M182" s="265" t="s">
        <v>269</v>
      </c>
      <c r="N182" s="265" t="s">
        <v>269</v>
      </c>
      <c r="O182" s="265" t="s">
        <v>269</v>
      </c>
      <c r="P182" s="265" t="s">
        <v>269</v>
      </c>
      <c r="Q182" s="56"/>
      <c r="R182" s="265" t="s">
        <v>269</v>
      </c>
      <c r="S182" s="265" t="s">
        <v>269</v>
      </c>
      <c r="T182" s="265" t="s">
        <v>269</v>
      </c>
      <c r="U182" s="265" t="s">
        <v>269</v>
      </c>
      <c r="V182" s="265" t="s">
        <v>269</v>
      </c>
      <c r="W182" s="265" t="s">
        <v>269</v>
      </c>
      <c r="X182" s="265" t="s">
        <v>269</v>
      </c>
      <c r="Y182" s="56"/>
      <c r="Z182" s="265" t="s">
        <v>269</v>
      </c>
      <c r="AA182" s="265" t="s">
        <v>269</v>
      </c>
      <c r="AB182" s="265" t="s">
        <v>269</v>
      </c>
      <c r="AC182" s="265" t="s">
        <v>269</v>
      </c>
      <c r="AD182" s="265" t="s">
        <v>331</v>
      </c>
      <c r="AE182" s="265" t="s">
        <v>334</v>
      </c>
      <c r="AF182" s="265" t="s">
        <v>334</v>
      </c>
      <c r="AG182" s="265" t="s">
        <v>334</v>
      </c>
      <c r="AH182" s="265" t="s">
        <v>334</v>
      </c>
      <c r="AI182" s="265" t="s">
        <v>334</v>
      </c>
      <c r="AJ182" s="56"/>
      <c r="AK182" s="225"/>
      <c r="AL182" s="228"/>
    </row>
    <row r="183" spans="1:38" ht="24" thickBot="1" x14ac:dyDescent="0.4">
      <c r="A183" s="294" t="s">
        <v>107</v>
      </c>
      <c r="B183" s="295"/>
      <c r="C183" s="295"/>
      <c r="D183" s="295"/>
      <c r="E183" s="295"/>
      <c r="F183" s="295"/>
      <c r="G183" s="296"/>
      <c r="H183" s="296"/>
      <c r="I183" s="297"/>
      <c r="J183" s="297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301"/>
      <c r="AK183" s="462"/>
      <c r="AL183" s="301"/>
    </row>
    <row r="184" spans="1:38" ht="16.5" thickBot="1" x14ac:dyDescent="0.3">
      <c r="A184" s="464" t="s">
        <v>8</v>
      </c>
      <c r="B184" s="465">
        <v>1</v>
      </c>
      <c r="C184" s="465">
        <v>2</v>
      </c>
      <c r="D184" s="465">
        <v>3</v>
      </c>
      <c r="E184" s="465">
        <v>4</v>
      </c>
      <c r="F184" s="465">
        <v>5</v>
      </c>
      <c r="G184" s="465">
        <v>6</v>
      </c>
      <c r="H184" s="465">
        <v>7</v>
      </c>
      <c r="I184" s="466" t="s">
        <v>6</v>
      </c>
      <c r="J184" s="465">
        <v>8</v>
      </c>
      <c r="K184" s="465">
        <v>9</v>
      </c>
      <c r="L184" s="465">
        <v>10</v>
      </c>
      <c r="M184" s="465">
        <v>11</v>
      </c>
      <c r="N184" s="465">
        <v>12</v>
      </c>
      <c r="O184" s="465">
        <v>13</v>
      </c>
      <c r="P184" s="465">
        <v>14</v>
      </c>
      <c r="Q184" s="466" t="s">
        <v>6</v>
      </c>
      <c r="R184" s="465">
        <v>15</v>
      </c>
      <c r="S184" s="465">
        <v>16</v>
      </c>
      <c r="T184" s="465">
        <v>17</v>
      </c>
      <c r="U184" s="465">
        <v>18</v>
      </c>
      <c r="V184" s="465">
        <v>19</v>
      </c>
      <c r="W184" s="465">
        <v>20</v>
      </c>
      <c r="X184" s="465">
        <v>21</v>
      </c>
      <c r="Y184" s="466" t="s">
        <v>6</v>
      </c>
      <c r="Z184" s="465">
        <v>22</v>
      </c>
      <c r="AA184" s="465">
        <v>23</v>
      </c>
      <c r="AB184" s="465">
        <v>24</v>
      </c>
      <c r="AC184" s="465">
        <v>25</v>
      </c>
      <c r="AD184" s="465">
        <v>26</v>
      </c>
      <c r="AE184" s="465">
        <v>27</v>
      </c>
      <c r="AF184" s="465">
        <v>28</v>
      </c>
      <c r="AG184" s="465">
        <v>29</v>
      </c>
      <c r="AH184" s="465">
        <v>30</v>
      </c>
      <c r="AI184" s="465">
        <v>31</v>
      </c>
      <c r="AJ184" s="467" t="s">
        <v>6</v>
      </c>
      <c r="AK184" s="468" t="s">
        <v>0</v>
      </c>
      <c r="AL184" s="469" t="s">
        <v>42</v>
      </c>
    </row>
    <row r="185" spans="1:38" x14ac:dyDescent="0.25">
      <c r="A185" s="347" t="s">
        <v>32</v>
      </c>
      <c r="B185" s="577">
        <v>0</v>
      </c>
      <c r="C185" s="577">
        <v>0</v>
      </c>
      <c r="D185" s="577">
        <v>0</v>
      </c>
      <c r="E185" s="577">
        <v>0</v>
      </c>
      <c r="F185" s="577">
        <v>0</v>
      </c>
      <c r="G185" s="577">
        <v>0</v>
      </c>
      <c r="H185" s="577">
        <v>0</v>
      </c>
      <c r="I185" s="592"/>
      <c r="J185" s="577">
        <v>0</v>
      </c>
      <c r="K185" s="577">
        <v>0</v>
      </c>
      <c r="L185" s="577">
        <v>0</v>
      </c>
      <c r="M185" s="577">
        <v>0</v>
      </c>
      <c r="N185" s="577">
        <v>0</v>
      </c>
      <c r="O185" s="577">
        <v>0</v>
      </c>
      <c r="P185" s="577">
        <v>0</v>
      </c>
      <c r="Q185" s="592"/>
      <c r="R185" s="577">
        <v>0</v>
      </c>
      <c r="S185" s="577">
        <v>0</v>
      </c>
      <c r="T185" s="577">
        <v>0</v>
      </c>
      <c r="U185" s="577">
        <v>0</v>
      </c>
      <c r="V185" s="577">
        <v>0</v>
      </c>
      <c r="W185" s="577">
        <v>0</v>
      </c>
      <c r="X185" s="411">
        <v>23.45</v>
      </c>
      <c r="Y185" s="305"/>
      <c r="Z185" s="577">
        <v>0</v>
      </c>
      <c r="AA185" s="577">
        <v>0</v>
      </c>
      <c r="AB185" s="577">
        <v>0</v>
      </c>
      <c r="AC185" s="577">
        <v>0</v>
      </c>
      <c r="AD185" s="577">
        <v>0</v>
      </c>
      <c r="AE185" s="577">
        <v>0</v>
      </c>
      <c r="AF185" s="577">
        <v>0</v>
      </c>
      <c r="AG185" s="577">
        <v>0</v>
      </c>
      <c r="AH185" s="303">
        <v>0</v>
      </c>
      <c r="AI185" s="303">
        <v>0</v>
      </c>
      <c r="AJ185" s="592"/>
      <c r="AK185" s="184"/>
      <c r="AL185" s="207"/>
    </row>
    <row r="186" spans="1:38" x14ac:dyDescent="0.25">
      <c r="A186" s="67" t="s">
        <v>15</v>
      </c>
      <c r="B186" s="594"/>
      <c r="C186" s="594"/>
      <c r="D186" s="594"/>
      <c r="E186" s="594"/>
      <c r="F186" s="594"/>
      <c r="G186" s="594"/>
      <c r="H186" s="594"/>
      <c r="I186" s="111"/>
      <c r="J186" s="531"/>
      <c r="K186" s="531"/>
      <c r="L186" s="531"/>
      <c r="M186" s="531"/>
      <c r="N186" s="531"/>
      <c r="O186" s="531"/>
      <c r="P186" s="531"/>
      <c r="Q186" s="111"/>
      <c r="R186" s="530"/>
      <c r="S186" s="1">
        <v>40</v>
      </c>
      <c r="T186" s="530"/>
      <c r="U186" s="530"/>
      <c r="V186" s="530"/>
      <c r="W186" s="530"/>
      <c r="X186" s="530"/>
      <c r="Y186" s="37"/>
      <c r="Z186" s="530"/>
      <c r="AA186" s="530"/>
      <c r="AB186" s="530"/>
      <c r="AC186" s="530"/>
      <c r="AD186" s="57">
        <v>49.9</v>
      </c>
      <c r="AE186" s="530"/>
      <c r="AF186" s="57">
        <v>22.72</v>
      </c>
      <c r="AG186" s="530"/>
      <c r="AH186" s="1"/>
      <c r="AI186" s="1"/>
      <c r="AJ186" s="37"/>
      <c r="AK186" s="38"/>
      <c r="AL186" s="197"/>
    </row>
    <row r="187" spans="1:38" x14ac:dyDescent="0.25">
      <c r="A187" s="67" t="s">
        <v>297</v>
      </c>
      <c r="B187" s="594"/>
      <c r="C187" s="594"/>
      <c r="D187" s="594"/>
      <c r="E187" s="594"/>
      <c r="F187" s="118">
        <v>25.58</v>
      </c>
      <c r="G187" s="537"/>
      <c r="H187" s="537"/>
      <c r="I187" s="37"/>
      <c r="J187" s="531"/>
      <c r="K187" s="531"/>
      <c r="L187" s="531"/>
      <c r="M187" s="531"/>
      <c r="N187" s="531"/>
      <c r="O187" s="531"/>
      <c r="P187" s="531"/>
      <c r="Q187" s="111"/>
      <c r="R187" s="530"/>
      <c r="S187" s="530"/>
      <c r="T187" s="1">
        <v>26.94</v>
      </c>
      <c r="U187" s="530"/>
      <c r="V187" s="530"/>
      <c r="W187" s="530"/>
      <c r="X187" s="530"/>
      <c r="Y187" s="37"/>
      <c r="Z187" s="530"/>
      <c r="AA187" s="530"/>
      <c r="AB187" s="530"/>
      <c r="AC187" s="530"/>
      <c r="AD187" s="530"/>
      <c r="AE187" s="530"/>
      <c r="AF187" s="530"/>
      <c r="AG187" s="530"/>
      <c r="AH187" s="1"/>
      <c r="AI187" s="1"/>
      <c r="AJ187" s="111"/>
      <c r="AK187" s="38"/>
      <c r="AL187" s="197"/>
    </row>
    <row r="188" spans="1:38" x14ac:dyDescent="0.25">
      <c r="A188" s="67" t="s">
        <v>316</v>
      </c>
      <c r="B188" s="594"/>
      <c r="C188" s="594"/>
      <c r="D188" s="594"/>
      <c r="E188" s="594"/>
      <c r="F188" s="537"/>
      <c r="G188" s="537"/>
      <c r="H188" s="537"/>
      <c r="I188" s="111"/>
      <c r="J188" s="530"/>
      <c r="K188" s="530"/>
      <c r="L188" s="530"/>
      <c r="M188" s="530"/>
      <c r="N188" s="530"/>
      <c r="O188" s="530"/>
      <c r="P188" s="1">
        <v>50</v>
      </c>
      <c r="Q188" s="37"/>
      <c r="R188" s="530"/>
      <c r="S188" s="530"/>
      <c r="T188" s="530"/>
      <c r="U188" s="530"/>
      <c r="V188" s="530"/>
      <c r="W188" s="530"/>
      <c r="X188" s="530"/>
      <c r="Y188" s="111"/>
      <c r="Z188" s="530"/>
      <c r="AA188" s="530"/>
      <c r="AB188" s="530"/>
      <c r="AC188" s="530"/>
      <c r="AD188" s="530"/>
      <c r="AE188" s="530"/>
      <c r="AF188" s="530"/>
      <c r="AG188" s="530"/>
      <c r="AH188" s="1"/>
      <c r="AI188" s="1"/>
      <c r="AJ188" s="111"/>
      <c r="AK188" s="38"/>
      <c r="AL188" s="197"/>
    </row>
    <row r="189" spans="1:38" x14ac:dyDescent="0.25">
      <c r="A189" s="67" t="s">
        <v>31</v>
      </c>
      <c r="B189" s="530"/>
      <c r="C189" s="537"/>
      <c r="D189" s="537"/>
      <c r="E189" s="118">
        <v>50.57</v>
      </c>
      <c r="F189" s="537"/>
      <c r="G189" s="537"/>
      <c r="H189" s="537"/>
      <c r="I189" s="37"/>
      <c r="J189" s="530"/>
      <c r="K189" s="530"/>
      <c r="L189" s="530"/>
      <c r="M189" s="530"/>
      <c r="N189" s="530"/>
      <c r="O189" s="530"/>
      <c r="P189" s="530"/>
      <c r="Q189" s="111"/>
      <c r="R189" s="530"/>
      <c r="S189" s="530"/>
      <c r="T189" s="530"/>
      <c r="U189" s="530"/>
      <c r="V189" s="530"/>
      <c r="W189" s="530"/>
      <c r="X189" s="530"/>
      <c r="Y189" s="111"/>
      <c r="Z189" s="530"/>
      <c r="AA189" s="1">
        <v>27.25</v>
      </c>
      <c r="AB189" s="530"/>
      <c r="AC189" s="530"/>
      <c r="AD189" s="530"/>
      <c r="AE189" s="530"/>
      <c r="AF189" s="530"/>
      <c r="AG189" s="530"/>
      <c r="AH189" s="1"/>
      <c r="AI189" s="1"/>
      <c r="AJ189" s="37"/>
      <c r="AK189" s="38"/>
      <c r="AL189" s="197"/>
    </row>
    <row r="190" spans="1:38" x14ac:dyDescent="0.25">
      <c r="A190" s="67" t="s">
        <v>30</v>
      </c>
      <c r="B190" s="537"/>
      <c r="C190" s="537"/>
      <c r="D190" s="537"/>
      <c r="E190" s="537"/>
      <c r="F190" s="537"/>
      <c r="G190" s="537"/>
      <c r="H190" s="537"/>
      <c r="I190" s="111"/>
      <c r="J190" s="530"/>
      <c r="K190" s="530"/>
      <c r="L190" s="530"/>
      <c r="M190" s="530"/>
      <c r="N190" s="530"/>
      <c r="O190" s="530"/>
      <c r="P190" s="530"/>
      <c r="Q190" s="111"/>
      <c r="R190" s="530"/>
      <c r="S190" s="530"/>
      <c r="T190" s="530"/>
      <c r="U190" s="530"/>
      <c r="V190" s="1">
        <v>24.49</v>
      </c>
      <c r="W190" s="530"/>
      <c r="X190" s="530"/>
      <c r="Y190" s="37"/>
      <c r="Z190" s="530"/>
      <c r="AA190" s="530"/>
      <c r="AB190" s="57">
        <v>20.99</v>
      </c>
      <c r="AC190" s="57">
        <v>25.64</v>
      </c>
      <c r="AD190" s="57"/>
      <c r="AE190" s="57">
        <v>29.47</v>
      </c>
      <c r="AF190" s="57">
        <v>26.96</v>
      </c>
      <c r="AG190" s="530"/>
      <c r="AH190" s="1">
        <v>33.270000000000003</v>
      </c>
      <c r="AI190" s="1"/>
      <c r="AJ190" s="37"/>
      <c r="AK190" s="38"/>
      <c r="AL190" s="197"/>
    </row>
    <row r="191" spans="1:38" x14ac:dyDescent="0.25">
      <c r="A191" s="67" t="s">
        <v>17</v>
      </c>
      <c r="B191" s="118">
        <v>23.76</v>
      </c>
      <c r="C191" s="118">
        <v>11.41</v>
      </c>
      <c r="D191" s="537"/>
      <c r="E191" s="118">
        <v>30.41</v>
      </c>
      <c r="F191" s="118">
        <v>26.18</v>
      </c>
      <c r="G191" s="537"/>
      <c r="H191" s="118">
        <v>26.46</v>
      </c>
      <c r="I191" s="37"/>
      <c r="J191" s="1">
        <v>26.26</v>
      </c>
      <c r="K191" s="530"/>
      <c r="L191" s="1">
        <v>25.71</v>
      </c>
      <c r="M191" s="530"/>
      <c r="N191" s="530"/>
      <c r="O191" s="530"/>
      <c r="P191" s="1">
        <v>39.979999999999997</v>
      </c>
      <c r="Q191" s="37"/>
      <c r="R191" s="530"/>
      <c r="S191" s="1">
        <v>29.26</v>
      </c>
      <c r="T191" s="530"/>
      <c r="U191" s="530"/>
      <c r="V191" s="1">
        <v>41.25</v>
      </c>
      <c r="W191" s="57">
        <v>16.16</v>
      </c>
      <c r="X191" s="57">
        <v>27.82</v>
      </c>
      <c r="Y191" s="37"/>
      <c r="Z191" s="530"/>
      <c r="AA191" s="1">
        <v>35.49</v>
      </c>
      <c r="AB191" s="530"/>
      <c r="AC191" s="530"/>
      <c r="AD191" s="530"/>
      <c r="AE191" s="530"/>
      <c r="AF191" s="57"/>
      <c r="AG191" s="530"/>
      <c r="AH191" s="1"/>
      <c r="AI191" s="1"/>
      <c r="AJ191" s="37"/>
      <c r="AK191" s="38"/>
      <c r="AL191" s="197"/>
    </row>
    <row r="192" spans="1:38" ht="15" customHeight="1" x14ac:dyDescent="0.3">
      <c r="A192" s="67" t="s">
        <v>16</v>
      </c>
      <c r="B192" s="537"/>
      <c r="C192" s="537"/>
      <c r="D192" s="537"/>
      <c r="E192" s="537"/>
      <c r="F192" s="537"/>
      <c r="G192" s="537"/>
      <c r="H192" s="537"/>
      <c r="I192" s="111"/>
      <c r="J192" s="530"/>
      <c r="K192" s="530"/>
      <c r="L192" s="530"/>
      <c r="M192" s="530"/>
      <c r="N192" s="530"/>
      <c r="O192" s="530"/>
      <c r="P192" s="530"/>
      <c r="Q192" s="37"/>
      <c r="R192" s="57">
        <v>39.03</v>
      </c>
      <c r="S192" s="530"/>
      <c r="T192" s="530"/>
      <c r="U192" s="530"/>
      <c r="V192" s="530"/>
      <c r="W192" s="530"/>
      <c r="X192" s="530"/>
      <c r="Y192" s="37"/>
      <c r="Z192" s="1">
        <v>22.73</v>
      </c>
      <c r="AA192" s="530"/>
      <c r="AB192" s="530"/>
      <c r="AC192" s="530"/>
      <c r="AD192" s="530"/>
      <c r="AE192" s="530"/>
      <c r="AF192" s="57">
        <v>25.29</v>
      </c>
      <c r="AG192" s="530"/>
      <c r="AH192" s="1"/>
      <c r="AI192" s="1"/>
      <c r="AJ192" s="37"/>
      <c r="AK192" s="339"/>
      <c r="AL192" s="197"/>
    </row>
    <row r="193" spans="1:38" ht="15" customHeight="1" x14ac:dyDescent="0.3">
      <c r="A193" s="67" t="s">
        <v>33</v>
      </c>
      <c r="B193" s="581"/>
      <c r="C193" s="581"/>
      <c r="D193" s="581"/>
      <c r="E193" s="581"/>
      <c r="F193" s="581"/>
      <c r="G193" s="581"/>
      <c r="H193" s="581"/>
      <c r="I193" s="114"/>
      <c r="J193" s="576"/>
      <c r="K193" s="576"/>
      <c r="L193" s="576"/>
      <c r="M193" s="576"/>
      <c r="N193" s="576"/>
      <c r="O193" s="576"/>
      <c r="P193" s="576"/>
      <c r="Q193" s="114"/>
      <c r="R193" s="576"/>
      <c r="S193" s="576"/>
      <c r="T193" s="576"/>
      <c r="U193" s="576"/>
      <c r="V193" s="576"/>
      <c r="W193" s="576"/>
      <c r="X193" s="576"/>
      <c r="Y193" s="114"/>
      <c r="Z193" s="576"/>
      <c r="AA193" s="576"/>
      <c r="AB193" s="576"/>
      <c r="AC193" s="576"/>
      <c r="AD193" s="576"/>
      <c r="AE193" s="576"/>
      <c r="AF193" s="576"/>
      <c r="AG193" s="576"/>
      <c r="AH193" s="123"/>
      <c r="AI193" s="123"/>
      <c r="AJ193" s="114"/>
      <c r="AK193" s="342"/>
      <c r="AL193" s="204"/>
    </row>
    <row r="194" spans="1:38" ht="15" customHeight="1" x14ac:dyDescent="0.3">
      <c r="A194" s="63" t="s">
        <v>18</v>
      </c>
      <c r="B194" s="530"/>
      <c r="C194" s="530"/>
      <c r="D194" s="530"/>
      <c r="E194" s="530"/>
      <c r="F194" s="530"/>
      <c r="G194" s="530"/>
      <c r="H194" s="530"/>
      <c r="I194" s="609"/>
      <c r="J194" s="530"/>
      <c r="K194" s="530"/>
      <c r="L194" s="530"/>
      <c r="M194" s="135">
        <v>44.31</v>
      </c>
      <c r="N194" s="530"/>
      <c r="O194" s="530"/>
      <c r="P194" s="530"/>
      <c r="Q194" s="47"/>
      <c r="R194" s="530"/>
      <c r="S194" s="530"/>
      <c r="T194" s="530"/>
      <c r="U194" s="530"/>
      <c r="V194" s="530"/>
      <c r="W194" s="530"/>
      <c r="X194" s="530"/>
      <c r="Y194" s="609"/>
      <c r="Z194" s="530"/>
      <c r="AA194" s="530"/>
      <c r="AB194" s="530"/>
      <c r="AC194" s="530"/>
      <c r="AD194" s="135">
        <v>25.33</v>
      </c>
      <c r="AE194" s="530"/>
      <c r="AF194" s="530"/>
      <c r="AG194" s="135">
        <v>24</v>
      </c>
      <c r="AH194" s="124"/>
      <c r="AI194" s="124"/>
      <c r="AJ194" s="37"/>
      <c r="AK194" s="543">
        <v>194.37</v>
      </c>
      <c r="AL194" s="197"/>
    </row>
    <row r="195" spans="1:38" ht="18.75" x14ac:dyDescent="0.3">
      <c r="A195" s="63" t="s">
        <v>19</v>
      </c>
      <c r="B195" s="584"/>
      <c r="C195" s="584"/>
      <c r="D195" s="584"/>
      <c r="E195" s="584"/>
      <c r="F195" s="584"/>
      <c r="G195" s="584"/>
      <c r="H195" s="584"/>
      <c r="I195" s="114"/>
      <c r="J195" s="589"/>
      <c r="K195" s="589"/>
      <c r="L195" s="589"/>
      <c r="M195" s="589"/>
      <c r="N195" s="589"/>
      <c r="O195" s="589"/>
      <c r="P195" s="589"/>
      <c r="Q195" s="114"/>
      <c r="R195" s="589"/>
      <c r="S195" s="589"/>
      <c r="T195" s="589"/>
      <c r="U195" s="589"/>
      <c r="V195" s="589"/>
      <c r="W195" s="367">
        <v>37.78</v>
      </c>
      <c r="X195" s="589"/>
      <c r="Y195" s="43"/>
      <c r="Z195" s="589"/>
      <c r="AA195" s="589"/>
      <c r="AB195" s="589"/>
      <c r="AC195" s="589"/>
      <c r="AD195" s="589"/>
      <c r="AE195" s="589"/>
      <c r="AF195" s="589"/>
      <c r="AG195" s="589"/>
      <c r="AH195" s="151"/>
      <c r="AI195" s="151"/>
      <c r="AJ195" s="114"/>
      <c r="AK195" s="553">
        <v>186.26</v>
      </c>
      <c r="AL195" s="204"/>
    </row>
    <row r="196" spans="1:38" ht="18.75" x14ac:dyDescent="0.3">
      <c r="A196" s="67" t="s">
        <v>288</v>
      </c>
      <c r="B196" s="583"/>
      <c r="C196" s="583"/>
      <c r="D196" s="583"/>
      <c r="E196" s="583"/>
      <c r="F196" s="583"/>
      <c r="G196" s="583"/>
      <c r="H196" s="583"/>
      <c r="I196" s="111"/>
      <c r="J196" s="587"/>
      <c r="K196" s="587"/>
      <c r="L196" s="587"/>
      <c r="M196" s="587"/>
      <c r="N196" s="587"/>
      <c r="O196" s="587"/>
      <c r="P196" s="587"/>
      <c r="Q196" s="111"/>
      <c r="R196" s="587"/>
      <c r="S196" s="587"/>
      <c r="T196" s="587"/>
      <c r="U196" s="587"/>
      <c r="V196" s="587"/>
      <c r="W196" s="587"/>
      <c r="X196" s="587"/>
      <c r="Y196" s="111"/>
      <c r="Z196" s="587"/>
      <c r="AA196" s="587"/>
      <c r="AB196" s="587"/>
      <c r="AC196" s="587"/>
      <c r="AD196" s="587"/>
      <c r="AE196" s="587"/>
      <c r="AF196" s="587"/>
      <c r="AG196" s="588"/>
      <c r="AH196" s="113"/>
      <c r="AI196" s="113"/>
      <c r="AJ196" s="111"/>
      <c r="AK196" s="562">
        <v>306.18</v>
      </c>
      <c r="AL196" s="197"/>
    </row>
    <row r="197" spans="1:38" x14ac:dyDescent="0.25">
      <c r="A197" s="67" t="s">
        <v>287</v>
      </c>
      <c r="B197" s="583"/>
      <c r="C197" s="583"/>
      <c r="D197" s="583"/>
      <c r="E197" s="583"/>
      <c r="F197" s="583"/>
      <c r="G197" s="583"/>
      <c r="H197" s="583"/>
      <c r="I197" s="111"/>
      <c r="J197" s="587"/>
      <c r="K197" s="587"/>
      <c r="L197" s="587"/>
      <c r="M197" s="587"/>
      <c r="N197" s="587"/>
      <c r="O197" s="587"/>
      <c r="P197" s="587"/>
      <c r="Q197" s="111"/>
      <c r="R197" s="587"/>
      <c r="S197" s="587"/>
      <c r="T197" s="587"/>
      <c r="U197" s="587"/>
      <c r="V197" s="587"/>
      <c r="W197" s="587"/>
      <c r="X197" s="587"/>
      <c r="Y197" s="111"/>
      <c r="Z197" s="587"/>
      <c r="AA197" s="587"/>
      <c r="AB197" s="587"/>
      <c r="AC197" s="587"/>
      <c r="AD197" s="587"/>
      <c r="AE197" s="587"/>
      <c r="AF197" s="587"/>
      <c r="AG197" s="588"/>
      <c r="AH197" s="113"/>
      <c r="AI197" s="113"/>
      <c r="AJ197" s="111"/>
      <c r="AK197" s="3"/>
      <c r="AL197" s="197"/>
    </row>
    <row r="198" spans="1:38" ht="18.75" x14ac:dyDescent="0.3">
      <c r="A198" s="479" t="s">
        <v>2</v>
      </c>
      <c r="B198" s="501">
        <f t="shared" ref="B198:G198" si="13">SUM(B185:B197)</f>
        <v>23.76</v>
      </c>
      <c r="C198" s="501">
        <f t="shared" si="13"/>
        <v>11.41</v>
      </c>
      <c r="D198" s="501">
        <f t="shared" si="13"/>
        <v>0</v>
      </c>
      <c r="E198" s="501">
        <f t="shared" si="13"/>
        <v>80.98</v>
      </c>
      <c r="F198" s="501">
        <f t="shared" si="13"/>
        <v>51.76</v>
      </c>
      <c r="G198" s="501">
        <f t="shared" si="13"/>
        <v>0</v>
      </c>
      <c r="H198" s="501">
        <f>SUM(H185:H197)</f>
        <v>26.46</v>
      </c>
      <c r="I198" s="502">
        <f>SUM(B198:H198)</f>
        <v>194.37</v>
      </c>
      <c r="J198" s="501">
        <f>SUM(J185:J197)</f>
        <v>26.26</v>
      </c>
      <c r="K198" s="501">
        <f>SUM(K185:K197)</f>
        <v>0</v>
      </c>
      <c r="L198" s="501">
        <f>SUM(L185:L197)</f>
        <v>25.71</v>
      </c>
      <c r="M198" s="501">
        <f>SUM(M185:M197)</f>
        <v>44.31</v>
      </c>
      <c r="N198" s="501">
        <f>SUM(N185:N197)</f>
        <v>0</v>
      </c>
      <c r="O198" s="501">
        <v>0</v>
      </c>
      <c r="P198" s="501">
        <f>SUM(P185:P197)</f>
        <v>89.97999999999999</v>
      </c>
      <c r="Q198" s="502">
        <f>SUM(J198:P198)</f>
        <v>186.26</v>
      </c>
      <c r="R198" s="501">
        <f t="shared" ref="R198:W198" si="14">SUM(R185:R197)</f>
        <v>39.03</v>
      </c>
      <c r="S198" s="501">
        <f t="shared" si="14"/>
        <v>69.260000000000005</v>
      </c>
      <c r="T198" s="501">
        <f t="shared" si="14"/>
        <v>26.94</v>
      </c>
      <c r="U198" s="501">
        <f t="shared" si="14"/>
        <v>0</v>
      </c>
      <c r="V198" s="501">
        <f t="shared" si="14"/>
        <v>65.739999999999995</v>
      </c>
      <c r="W198" s="501">
        <f t="shared" si="14"/>
        <v>53.94</v>
      </c>
      <c r="X198" s="501">
        <f>SUM(X185:X197)</f>
        <v>51.269999999999996</v>
      </c>
      <c r="Y198" s="502">
        <f>SUM(R198:X198)</f>
        <v>306.18</v>
      </c>
      <c r="Z198" s="501">
        <f t="shared" ref="Z198:AE198" si="15">SUM(Z185:Z197)</f>
        <v>22.73</v>
      </c>
      <c r="AA198" s="501">
        <f t="shared" si="15"/>
        <v>62.74</v>
      </c>
      <c r="AB198" s="501">
        <f t="shared" si="15"/>
        <v>20.99</v>
      </c>
      <c r="AC198" s="501">
        <f t="shared" si="15"/>
        <v>25.64</v>
      </c>
      <c r="AD198" s="501">
        <f t="shared" si="15"/>
        <v>75.22999999999999</v>
      </c>
      <c r="AE198" s="501">
        <f t="shared" si="15"/>
        <v>29.47</v>
      </c>
      <c r="AF198" s="501">
        <f>SUM(AF185:AF197)</f>
        <v>74.97</v>
      </c>
      <c r="AG198" s="501">
        <f>SUM(AG185:AG197)</f>
        <v>24</v>
      </c>
      <c r="AH198" s="501">
        <f>SUM(AH185:AH197)</f>
        <v>33.270000000000003</v>
      </c>
      <c r="AI198" s="501">
        <v>0</v>
      </c>
      <c r="AJ198" s="503"/>
      <c r="AK198" s="504"/>
      <c r="AL198" s="505"/>
    </row>
    <row r="199" spans="1:38" ht="15.75" thickBot="1" x14ac:dyDescent="0.3">
      <c r="A199" s="264"/>
      <c r="B199" s="265" t="s">
        <v>272</v>
      </c>
      <c r="C199" s="265" t="s">
        <v>272</v>
      </c>
      <c r="D199" s="265" t="s">
        <v>271</v>
      </c>
      <c r="E199" s="265" t="s">
        <v>270</v>
      </c>
      <c r="F199" s="265" t="s">
        <v>270</v>
      </c>
      <c r="G199" s="265" t="s">
        <v>271</v>
      </c>
      <c r="H199" s="265" t="s">
        <v>272</v>
      </c>
      <c r="I199" s="56"/>
      <c r="J199" s="265" t="s">
        <v>272</v>
      </c>
      <c r="K199" s="265" t="s">
        <v>271</v>
      </c>
      <c r="L199" s="265" t="s">
        <v>272</v>
      </c>
      <c r="M199" s="265" t="s">
        <v>272</v>
      </c>
      <c r="N199" s="265" t="s">
        <v>271</v>
      </c>
      <c r="O199" s="265" t="s">
        <v>272</v>
      </c>
      <c r="P199" s="265" t="s">
        <v>270</v>
      </c>
      <c r="Q199" s="56"/>
      <c r="R199" s="265" t="s">
        <v>270</v>
      </c>
      <c r="S199" s="265" t="s">
        <v>270</v>
      </c>
      <c r="T199" s="265" t="s">
        <v>272</v>
      </c>
      <c r="U199" s="265" t="s">
        <v>271</v>
      </c>
      <c r="V199" s="265" t="s">
        <v>270</v>
      </c>
      <c r="W199" s="265" t="s">
        <v>270</v>
      </c>
      <c r="X199" s="265" t="s">
        <v>270</v>
      </c>
      <c r="Y199" s="56"/>
      <c r="Z199" s="265" t="s">
        <v>272</v>
      </c>
      <c r="AA199" s="265" t="s">
        <v>270</v>
      </c>
      <c r="AB199" s="265" t="s">
        <v>272</v>
      </c>
      <c r="AC199" s="265" t="s">
        <v>272</v>
      </c>
      <c r="AD199" s="265" t="s">
        <v>270</v>
      </c>
      <c r="AE199" s="265" t="s">
        <v>272</v>
      </c>
      <c r="AF199" s="265" t="s">
        <v>270</v>
      </c>
      <c r="AG199" s="265" t="s">
        <v>272</v>
      </c>
      <c r="AH199" s="265" t="s">
        <v>272</v>
      </c>
      <c r="AI199" s="265" t="s">
        <v>273</v>
      </c>
      <c r="AJ199" s="56"/>
      <c r="AK199" s="225"/>
      <c r="AL199" s="228"/>
    </row>
    <row r="200" spans="1:38" ht="24" thickBot="1" x14ac:dyDescent="0.4">
      <c r="A200" s="294" t="s">
        <v>108</v>
      </c>
      <c r="B200" s="295"/>
      <c r="C200" s="295"/>
      <c r="D200" s="295"/>
      <c r="E200" s="295"/>
      <c r="F200" s="295"/>
      <c r="G200" s="296"/>
      <c r="H200" s="297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8"/>
      <c r="AA200" s="298"/>
      <c r="AB200" s="298"/>
      <c r="AC200" s="298"/>
      <c r="AD200" s="298"/>
      <c r="AE200" s="298"/>
      <c r="AF200" s="298"/>
      <c r="AG200" s="298"/>
      <c r="AH200" s="298"/>
      <c r="AI200" s="298"/>
      <c r="AJ200" s="299"/>
      <c r="AK200" s="300"/>
      <c r="AL200" s="301"/>
    </row>
    <row r="201" spans="1:38" ht="16.5" thickBot="1" x14ac:dyDescent="0.3">
      <c r="A201" s="464" t="s">
        <v>80</v>
      </c>
      <c r="B201" s="465">
        <v>1</v>
      </c>
      <c r="C201" s="465">
        <v>2</v>
      </c>
      <c r="D201" s="465">
        <v>3</v>
      </c>
      <c r="E201" s="465">
        <v>4</v>
      </c>
      <c r="F201" s="465">
        <v>5</v>
      </c>
      <c r="G201" s="465">
        <v>6</v>
      </c>
      <c r="H201" s="465">
        <v>7</v>
      </c>
      <c r="I201" s="466" t="s">
        <v>6</v>
      </c>
      <c r="J201" s="465">
        <v>8</v>
      </c>
      <c r="K201" s="465">
        <v>9</v>
      </c>
      <c r="L201" s="465">
        <v>10</v>
      </c>
      <c r="M201" s="465">
        <v>11</v>
      </c>
      <c r="N201" s="465">
        <v>12</v>
      </c>
      <c r="O201" s="465">
        <v>13</v>
      </c>
      <c r="P201" s="465">
        <v>14</v>
      </c>
      <c r="Q201" s="466" t="s">
        <v>6</v>
      </c>
      <c r="R201" s="465">
        <v>15</v>
      </c>
      <c r="S201" s="465">
        <v>16</v>
      </c>
      <c r="T201" s="465">
        <v>17</v>
      </c>
      <c r="U201" s="465">
        <v>18</v>
      </c>
      <c r="V201" s="465">
        <v>19</v>
      </c>
      <c r="W201" s="465">
        <v>20</v>
      </c>
      <c r="X201" s="465">
        <v>21</v>
      </c>
      <c r="Y201" s="466" t="s">
        <v>6</v>
      </c>
      <c r="Z201" s="465">
        <v>22</v>
      </c>
      <c r="AA201" s="465">
        <v>23</v>
      </c>
      <c r="AB201" s="465">
        <v>24</v>
      </c>
      <c r="AC201" s="465">
        <v>25</v>
      </c>
      <c r="AD201" s="465">
        <v>26</v>
      </c>
      <c r="AE201" s="465">
        <v>27</v>
      </c>
      <c r="AF201" s="465">
        <v>28</v>
      </c>
      <c r="AG201" s="465">
        <v>29</v>
      </c>
      <c r="AH201" s="465">
        <v>30</v>
      </c>
      <c r="AI201" s="465">
        <v>31</v>
      </c>
      <c r="AJ201" s="467" t="s">
        <v>6</v>
      </c>
      <c r="AK201" s="468" t="s">
        <v>0</v>
      </c>
      <c r="AL201" s="469" t="s">
        <v>42</v>
      </c>
    </row>
    <row r="202" spans="1:38" ht="15" customHeight="1" x14ac:dyDescent="0.3">
      <c r="A202" s="347" t="s">
        <v>81</v>
      </c>
      <c r="B202" s="575">
        <v>0</v>
      </c>
      <c r="C202" s="575">
        <v>0</v>
      </c>
      <c r="D202" s="575">
        <v>0</v>
      </c>
      <c r="E202" s="575">
        <v>0</v>
      </c>
      <c r="F202" s="575">
        <v>0</v>
      </c>
      <c r="G202" s="575">
        <v>0</v>
      </c>
      <c r="H202" s="575">
        <v>0</v>
      </c>
      <c r="I202" s="602"/>
      <c r="J202" s="577">
        <v>0</v>
      </c>
      <c r="K202" s="577">
        <v>0</v>
      </c>
      <c r="L202" s="577">
        <v>0</v>
      </c>
      <c r="M202" s="577">
        <v>0</v>
      </c>
      <c r="N202" s="577">
        <v>0</v>
      </c>
      <c r="O202" s="577">
        <v>0</v>
      </c>
      <c r="P202" s="577">
        <v>0</v>
      </c>
      <c r="Q202" s="304"/>
      <c r="R202" s="577">
        <v>0</v>
      </c>
      <c r="S202" s="577">
        <v>0</v>
      </c>
      <c r="T202" s="577">
        <v>0</v>
      </c>
      <c r="U202" s="577">
        <v>0</v>
      </c>
      <c r="V202" s="577">
        <v>0</v>
      </c>
      <c r="W202" s="577">
        <v>0</v>
      </c>
      <c r="X202" s="577">
        <v>0</v>
      </c>
      <c r="Y202" s="602"/>
      <c r="Z202" s="577">
        <v>0</v>
      </c>
      <c r="AA202" s="577">
        <v>0</v>
      </c>
      <c r="AB202" s="577">
        <v>0</v>
      </c>
      <c r="AC202" s="577">
        <v>0</v>
      </c>
      <c r="AD202" s="577">
        <v>0</v>
      </c>
      <c r="AE202" s="577">
        <v>0</v>
      </c>
      <c r="AF202" s="577">
        <v>0</v>
      </c>
      <c r="AG202" s="577">
        <v>0</v>
      </c>
      <c r="AH202" s="577">
        <v>0</v>
      </c>
      <c r="AI202" s="303">
        <v>0</v>
      </c>
      <c r="AJ202" s="592"/>
      <c r="AK202" s="542">
        <v>0</v>
      </c>
      <c r="AL202" s="207"/>
    </row>
    <row r="203" spans="1:38" ht="15" customHeight="1" x14ac:dyDescent="0.3">
      <c r="A203" s="63" t="s">
        <v>82</v>
      </c>
      <c r="B203" s="581"/>
      <c r="C203" s="581"/>
      <c r="D203" s="581"/>
      <c r="E203" s="581"/>
      <c r="F203" s="581"/>
      <c r="G203" s="581"/>
      <c r="H203" s="581"/>
      <c r="I203" s="114"/>
      <c r="J203" s="600"/>
      <c r="K203" s="600"/>
      <c r="L203" s="600"/>
      <c r="M203" s="600"/>
      <c r="N203" s="600"/>
      <c r="O203" s="600"/>
      <c r="P203" s="600"/>
      <c r="Q203" s="43"/>
      <c r="R203" s="576"/>
      <c r="S203" s="576"/>
      <c r="T203" s="576"/>
      <c r="U203" s="576"/>
      <c r="V203" s="576"/>
      <c r="W203" s="576"/>
      <c r="X203" s="576"/>
      <c r="Y203" s="114"/>
      <c r="Z203" s="581"/>
      <c r="AA203" s="581"/>
      <c r="AB203" s="581"/>
      <c r="AC203" s="581"/>
      <c r="AD203" s="581"/>
      <c r="AE203" s="581"/>
      <c r="AF203" s="581"/>
      <c r="AG203" s="581"/>
      <c r="AH203" s="581"/>
      <c r="AI203" s="119"/>
      <c r="AJ203" s="114"/>
      <c r="AK203" s="554">
        <v>0</v>
      </c>
      <c r="AL203" s="204"/>
    </row>
    <row r="204" spans="1:38" ht="15" customHeight="1" x14ac:dyDescent="0.35">
      <c r="A204" s="195"/>
      <c r="B204" s="530"/>
      <c r="C204" s="530"/>
      <c r="D204" s="530"/>
      <c r="E204" s="530"/>
      <c r="F204" s="530"/>
      <c r="G204" s="530"/>
      <c r="H204" s="530"/>
      <c r="I204" s="610"/>
      <c r="J204" s="531"/>
      <c r="K204" s="531"/>
      <c r="L204" s="531"/>
      <c r="M204" s="531"/>
      <c r="N204" s="531"/>
      <c r="O204" s="531"/>
      <c r="P204" s="531"/>
      <c r="Q204" s="47"/>
      <c r="R204" s="530"/>
      <c r="S204" s="530"/>
      <c r="T204" s="530"/>
      <c r="U204" s="530"/>
      <c r="V204" s="530"/>
      <c r="W204" s="530"/>
      <c r="X204" s="530"/>
      <c r="Y204" s="609"/>
      <c r="Z204" s="530"/>
      <c r="AA204" s="530"/>
      <c r="AB204" s="530"/>
      <c r="AC204" s="530"/>
      <c r="AD204" s="530"/>
      <c r="AE204" s="530"/>
      <c r="AF204" s="530"/>
      <c r="AG204" s="530"/>
      <c r="AH204" s="530"/>
      <c r="AI204" s="124"/>
      <c r="AJ204" s="609"/>
      <c r="AK204" s="561">
        <v>0</v>
      </c>
      <c r="AL204" s="292"/>
    </row>
    <row r="205" spans="1:38" ht="14.25" customHeight="1" thickBot="1" x14ac:dyDescent="0.3">
      <c r="A205" s="63"/>
      <c r="B205" s="584"/>
      <c r="C205" s="584"/>
      <c r="D205" s="584"/>
      <c r="E205" s="584"/>
      <c r="F205" s="584"/>
      <c r="G205" s="584"/>
      <c r="H205" s="584"/>
      <c r="I205" s="114"/>
      <c r="J205" s="601"/>
      <c r="K205" s="601"/>
      <c r="L205" s="601"/>
      <c r="M205" s="601"/>
      <c r="N205" s="601"/>
      <c r="O205" s="601"/>
      <c r="P205" s="601"/>
      <c r="Q205" s="43"/>
      <c r="R205" s="589"/>
      <c r="S205" s="589"/>
      <c r="T205" s="589"/>
      <c r="U205" s="589"/>
      <c r="V205" s="589"/>
      <c r="W205" s="589"/>
      <c r="X205" s="589"/>
      <c r="Y205" s="114"/>
      <c r="Z205" s="584"/>
      <c r="AA205" s="584"/>
      <c r="AB205" s="584"/>
      <c r="AC205" s="584"/>
      <c r="AD205" s="584"/>
      <c r="AE205" s="584"/>
      <c r="AF205" s="584"/>
      <c r="AG205" s="584"/>
      <c r="AH205" s="584"/>
      <c r="AI205" s="132"/>
      <c r="AJ205" s="114"/>
      <c r="AK205" s="117"/>
      <c r="AL205" s="350"/>
    </row>
    <row r="206" spans="1:38" ht="21" customHeight="1" x14ac:dyDescent="0.35">
      <c r="A206" s="485" t="s">
        <v>2</v>
      </c>
      <c r="B206" s="488">
        <f t="shared" ref="B206:G206" si="16">SUM(B202:B205)</f>
        <v>0</v>
      </c>
      <c r="C206" s="488">
        <f t="shared" si="16"/>
        <v>0</v>
      </c>
      <c r="D206" s="488">
        <f t="shared" si="16"/>
        <v>0</v>
      </c>
      <c r="E206" s="488">
        <f t="shared" si="16"/>
        <v>0</v>
      </c>
      <c r="F206" s="488">
        <f t="shared" si="16"/>
        <v>0</v>
      </c>
      <c r="G206" s="488">
        <f t="shared" si="16"/>
        <v>0</v>
      </c>
      <c r="H206" s="488">
        <f>SUM(H202:H205)</f>
        <v>0</v>
      </c>
      <c r="I206" s="497">
        <f>SUM(B206:H206)</f>
        <v>0</v>
      </c>
      <c r="J206" s="488">
        <f t="shared" ref="J206:P206" si="17">SUM(J202:J205)</f>
        <v>0</v>
      </c>
      <c r="K206" s="488">
        <f t="shared" si="17"/>
        <v>0</v>
      </c>
      <c r="L206" s="488">
        <f t="shared" si="17"/>
        <v>0</v>
      </c>
      <c r="M206" s="488">
        <f t="shared" si="17"/>
        <v>0</v>
      </c>
      <c r="N206" s="488">
        <f t="shared" si="17"/>
        <v>0</v>
      </c>
      <c r="O206" s="488">
        <f t="shared" si="17"/>
        <v>0</v>
      </c>
      <c r="P206" s="488">
        <f t="shared" si="17"/>
        <v>0</v>
      </c>
      <c r="Q206" s="497">
        <f>SUM(J206:P206)</f>
        <v>0</v>
      </c>
      <c r="R206" s="488">
        <f t="shared" ref="R206:X206" si="18">SUM(R202:R205)</f>
        <v>0</v>
      </c>
      <c r="S206" s="488">
        <f t="shared" si="18"/>
        <v>0</v>
      </c>
      <c r="T206" s="488">
        <f t="shared" si="18"/>
        <v>0</v>
      </c>
      <c r="U206" s="488">
        <f t="shared" si="18"/>
        <v>0</v>
      </c>
      <c r="V206" s="488">
        <f t="shared" si="18"/>
        <v>0</v>
      </c>
      <c r="W206" s="488">
        <f t="shared" si="18"/>
        <v>0</v>
      </c>
      <c r="X206" s="488">
        <f t="shared" si="18"/>
        <v>0</v>
      </c>
      <c r="Y206" s="497">
        <f>SUM(R206:X206)</f>
        <v>0</v>
      </c>
      <c r="Z206" s="488">
        <f t="shared" ref="Z206:AE206" si="19">SUM(Z202:Z205)</f>
        <v>0</v>
      </c>
      <c r="AA206" s="488">
        <f t="shared" si="19"/>
        <v>0</v>
      </c>
      <c r="AB206" s="488">
        <f t="shared" si="19"/>
        <v>0</v>
      </c>
      <c r="AC206" s="488">
        <f t="shared" si="19"/>
        <v>0</v>
      </c>
      <c r="AD206" s="488">
        <f t="shared" si="19"/>
        <v>0</v>
      </c>
      <c r="AE206" s="488">
        <f t="shared" si="19"/>
        <v>0</v>
      </c>
      <c r="AF206" s="488">
        <f>SUM(AF202:AF205)</f>
        <v>0</v>
      </c>
      <c r="AG206" s="488">
        <f>SUM(AG202:AG205)</f>
        <v>0</v>
      </c>
      <c r="AH206" s="488">
        <f>SUM(AH202:AH205)</f>
        <v>0</v>
      </c>
      <c r="AI206" s="488"/>
      <c r="AJ206" s="498"/>
      <c r="AK206" s="499"/>
      <c r="AL206" s="500"/>
    </row>
    <row r="207" spans="1:38" ht="16.5" thickBot="1" x14ac:dyDescent="0.3">
      <c r="A207" s="264"/>
      <c r="B207" s="265" t="s">
        <v>274</v>
      </c>
      <c r="C207" s="265" t="s">
        <v>275</v>
      </c>
      <c r="D207" s="265" t="s">
        <v>274</v>
      </c>
      <c r="E207" s="265" t="s">
        <v>274</v>
      </c>
      <c r="F207" s="265" t="s">
        <v>274</v>
      </c>
      <c r="G207" s="265" t="s">
        <v>274</v>
      </c>
      <c r="H207" s="265" t="s">
        <v>274</v>
      </c>
      <c r="I207" s="56"/>
      <c r="J207" s="265" t="s">
        <v>274</v>
      </c>
      <c r="K207" s="265" t="s">
        <v>274</v>
      </c>
      <c r="L207" s="265" t="s">
        <v>274</v>
      </c>
      <c r="M207" s="265" t="s">
        <v>274</v>
      </c>
      <c r="N207" s="265" t="s">
        <v>274</v>
      </c>
      <c r="O207" s="265" t="s">
        <v>274</v>
      </c>
      <c r="P207" s="265" t="s">
        <v>274</v>
      </c>
      <c r="Q207" s="56"/>
      <c r="R207" s="265" t="s">
        <v>274</v>
      </c>
      <c r="S207" s="265" t="s">
        <v>274</v>
      </c>
      <c r="T207" s="265" t="s">
        <v>274</v>
      </c>
      <c r="U207" s="265" t="s">
        <v>274</v>
      </c>
      <c r="V207" s="265" t="s">
        <v>274</v>
      </c>
      <c r="W207" s="265" t="s">
        <v>274</v>
      </c>
      <c r="X207" s="265" t="s">
        <v>274</v>
      </c>
      <c r="Y207" s="56"/>
      <c r="Z207" s="265" t="s">
        <v>274</v>
      </c>
      <c r="AA207" s="265" t="s">
        <v>274</v>
      </c>
      <c r="AB207" s="265" t="s">
        <v>274</v>
      </c>
      <c r="AC207" s="265" t="s">
        <v>274</v>
      </c>
      <c r="AD207" s="265" t="s">
        <v>274</v>
      </c>
      <c r="AE207" s="265" t="s">
        <v>274</v>
      </c>
      <c r="AF207" s="265" t="s">
        <v>274</v>
      </c>
      <c r="AG207" s="265" t="s">
        <v>274</v>
      </c>
      <c r="AH207" s="265" t="s">
        <v>274</v>
      </c>
      <c r="AI207" s="265" t="s">
        <v>274</v>
      </c>
      <c r="AJ207" s="56"/>
      <c r="AK207" s="353"/>
      <c r="AL207" s="354"/>
    </row>
    <row r="208" spans="1:38" ht="24" thickBot="1" x14ac:dyDescent="0.4">
      <c r="A208" s="294" t="s">
        <v>109</v>
      </c>
      <c r="B208" s="295"/>
      <c r="C208" s="295"/>
      <c r="D208" s="295"/>
      <c r="E208" s="295"/>
      <c r="F208" s="295"/>
      <c r="G208" s="296"/>
      <c r="H208" s="297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8"/>
      <c r="AA208" s="298"/>
      <c r="AB208" s="298"/>
      <c r="AC208" s="298"/>
      <c r="AD208" s="298"/>
      <c r="AE208" s="298"/>
      <c r="AF208" s="298"/>
      <c r="AG208" s="298"/>
      <c r="AH208" s="298"/>
      <c r="AI208" s="298"/>
      <c r="AJ208" s="299"/>
      <c r="AK208" s="300"/>
      <c r="AL208" s="301"/>
    </row>
    <row r="209" spans="1:38" ht="16.5" thickBot="1" x14ac:dyDescent="0.3">
      <c r="A209" s="464" t="s">
        <v>20</v>
      </c>
      <c r="B209" s="465">
        <v>1</v>
      </c>
      <c r="C209" s="465">
        <v>2</v>
      </c>
      <c r="D209" s="465">
        <v>3</v>
      </c>
      <c r="E209" s="465">
        <v>4</v>
      </c>
      <c r="F209" s="465">
        <v>5</v>
      </c>
      <c r="G209" s="465">
        <v>6</v>
      </c>
      <c r="H209" s="465">
        <v>7</v>
      </c>
      <c r="I209" s="466" t="s">
        <v>6</v>
      </c>
      <c r="J209" s="465">
        <v>8</v>
      </c>
      <c r="K209" s="465">
        <v>9</v>
      </c>
      <c r="L209" s="465">
        <v>10</v>
      </c>
      <c r="M209" s="465">
        <v>11</v>
      </c>
      <c r="N209" s="465">
        <v>12</v>
      </c>
      <c r="O209" s="465">
        <v>13</v>
      </c>
      <c r="P209" s="465">
        <v>14</v>
      </c>
      <c r="Q209" s="466" t="s">
        <v>6</v>
      </c>
      <c r="R209" s="465">
        <v>15</v>
      </c>
      <c r="S209" s="465">
        <v>16</v>
      </c>
      <c r="T209" s="465">
        <v>17</v>
      </c>
      <c r="U209" s="465">
        <v>18</v>
      </c>
      <c r="V209" s="465">
        <v>19</v>
      </c>
      <c r="W209" s="465">
        <v>20</v>
      </c>
      <c r="X209" s="465">
        <v>21</v>
      </c>
      <c r="Y209" s="466" t="s">
        <v>6</v>
      </c>
      <c r="Z209" s="465">
        <v>22</v>
      </c>
      <c r="AA209" s="465">
        <v>23</v>
      </c>
      <c r="AB209" s="465">
        <v>24</v>
      </c>
      <c r="AC209" s="465">
        <v>25</v>
      </c>
      <c r="AD209" s="465">
        <v>26</v>
      </c>
      <c r="AE209" s="465">
        <v>27</v>
      </c>
      <c r="AF209" s="465">
        <v>28</v>
      </c>
      <c r="AG209" s="465">
        <v>29</v>
      </c>
      <c r="AH209" s="465">
        <v>30</v>
      </c>
      <c r="AI209" s="465">
        <v>31</v>
      </c>
      <c r="AJ209" s="467" t="s">
        <v>6</v>
      </c>
      <c r="AK209" s="468" t="s">
        <v>0</v>
      </c>
      <c r="AL209" s="469" t="s">
        <v>42</v>
      </c>
    </row>
    <row r="210" spans="1:38" x14ac:dyDescent="0.25">
      <c r="A210" s="302" t="s">
        <v>63</v>
      </c>
      <c r="B210" s="577">
        <v>0</v>
      </c>
      <c r="C210" s="577">
        <v>0</v>
      </c>
      <c r="D210" s="577">
        <v>0</v>
      </c>
      <c r="E210" s="527">
        <v>29.9</v>
      </c>
      <c r="F210" s="577">
        <v>0</v>
      </c>
      <c r="G210" s="577">
        <v>0</v>
      </c>
      <c r="H210" s="577">
        <v>0</v>
      </c>
      <c r="I210" s="304"/>
      <c r="J210" s="577">
        <v>0</v>
      </c>
      <c r="K210" s="303">
        <v>19.239999999999998</v>
      </c>
      <c r="L210" s="577">
        <v>0</v>
      </c>
      <c r="M210" s="577">
        <v>0</v>
      </c>
      <c r="N210" s="577">
        <v>0</v>
      </c>
      <c r="O210" s="577">
        <v>0</v>
      </c>
      <c r="P210" s="577">
        <v>0</v>
      </c>
      <c r="Q210" s="304"/>
      <c r="R210" s="575">
        <v>0</v>
      </c>
      <c r="S210" s="575">
        <v>0</v>
      </c>
      <c r="T210" s="303">
        <v>27.45</v>
      </c>
      <c r="U210" s="303">
        <v>0</v>
      </c>
      <c r="V210" s="303">
        <v>0</v>
      </c>
      <c r="W210" s="412">
        <v>0</v>
      </c>
      <c r="X210" s="412">
        <v>0</v>
      </c>
      <c r="Y210" s="304"/>
      <c r="Z210" s="577">
        <v>0</v>
      </c>
      <c r="AA210" s="303">
        <v>30.16</v>
      </c>
      <c r="AB210" s="577">
        <v>0</v>
      </c>
      <c r="AC210" s="577">
        <v>0</v>
      </c>
      <c r="AD210" s="577">
        <v>0</v>
      </c>
      <c r="AE210" s="577">
        <v>0</v>
      </c>
      <c r="AF210" s="577">
        <v>0</v>
      </c>
      <c r="AG210" s="303">
        <v>30.54</v>
      </c>
      <c r="AH210" s="577">
        <v>0</v>
      </c>
      <c r="AI210" s="303">
        <v>0</v>
      </c>
      <c r="AJ210" s="305"/>
      <c r="AK210" s="184"/>
      <c r="AL210" s="207"/>
    </row>
    <row r="211" spans="1:38" x14ac:dyDescent="0.25">
      <c r="A211" s="65" t="s">
        <v>64</v>
      </c>
      <c r="B211" s="594"/>
      <c r="C211" s="594"/>
      <c r="D211" s="594"/>
      <c r="E211" s="528">
        <v>43.52</v>
      </c>
      <c r="F211" s="594"/>
      <c r="G211" s="594"/>
      <c r="H211" s="594"/>
      <c r="I211" s="37"/>
      <c r="J211" s="537"/>
      <c r="K211" s="537"/>
      <c r="L211" s="537"/>
      <c r="M211" s="537"/>
      <c r="N211" s="537"/>
      <c r="O211" s="161">
        <v>34.94</v>
      </c>
      <c r="P211" s="537"/>
      <c r="Q211" s="37"/>
      <c r="R211" s="537"/>
      <c r="S211" s="537"/>
      <c r="T211" s="537"/>
      <c r="U211" s="530"/>
      <c r="V211" s="537"/>
      <c r="W211" s="597"/>
      <c r="X211" s="597"/>
      <c r="Y211" s="111"/>
      <c r="Z211" s="118">
        <v>36.64</v>
      </c>
      <c r="AA211" s="537"/>
      <c r="AB211" s="530"/>
      <c r="AC211" s="530"/>
      <c r="AD211" s="530"/>
      <c r="AE211" s="537"/>
      <c r="AF211" s="537"/>
      <c r="AG211" s="118">
        <v>38.42</v>
      </c>
      <c r="AH211" s="594"/>
      <c r="AI211" s="118"/>
      <c r="AJ211" s="37"/>
      <c r="AK211" s="38"/>
      <c r="AL211" s="197"/>
    </row>
    <row r="212" spans="1:38" x14ac:dyDescent="0.25">
      <c r="A212" s="65" t="s">
        <v>77</v>
      </c>
      <c r="B212" s="594"/>
      <c r="C212" s="594"/>
      <c r="D212" s="594"/>
      <c r="E212" s="528">
        <v>34.630000000000003</v>
      </c>
      <c r="F212" s="594"/>
      <c r="G212" s="594"/>
      <c r="H212" s="594"/>
      <c r="I212" s="37"/>
      <c r="J212" s="537"/>
      <c r="K212" s="537"/>
      <c r="L212" s="537"/>
      <c r="M212" s="537"/>
      <c r="N212" s="537"/>
      <c r="O212" s="161">
        <v>34.01</v>
      </c>
      <c r="P212" s="537"/>
      <c r="Q212" s="37"/>
      <c r="R212" s="537"/>
      <c r="S212" s="537"/>
      <c r="T212" s="537"/>
      <c r="U212" s="537"/>
      <c r="V212" s="118">
        <v>39.28</v>
      </c>
      <c r="W212" s="597"/>
      <c r="X212" s="597"/>
      <c r="Y212" s="37"/>
      <c r="Z212" s="537"/>
      <c r="AA212" s="537"/>
      <c r="AB212" s="530"/>
      <c r="AC212" s="530"/>
      <c r="AD212" s="57">
        <v>40</v>
      </c>
      <c r="AE212" s="537"/>
      <c r="AF212" s="537"/>
      <c r="AG212" s="537"/>
      <c r="AH212" s="594"/>
      <c r="AI212" s="118">
        <v>25.33</v>
      </c>
      <c r="AJ212" s="37"/>
      <c r="AK212" s="38"/>
      <c r="AL212" s="197"/>
    </row>
    <row r="213" spans="1:38" x14ac:dyDescent="0.25">
      <c r="A213" s="65" t="s">
        <v>65</v>
      </c>
      <c r="B213" s="594"/>
      <c r="C213" s="594"/>
      <c r="D213" s="594"/>
      <c r="E213" s="611"/>
      <c r="F213" s="594"/>
      <c r="G213" s="594"/>
      <c r="H213" s="531"/>
      <c r="I213" s="111"/>
      <c r="J213" s="537"/>
      <c r="K213" s="118">
        <v>41.22</v>
      </c>
      <c r="L213" s="537"/>
      <c r="M213" s="537"/>
      <c r="N213" s="537"/>
      <c r="O213" s="161">
        <v>39.270000000000003</v>
      </c>
      <c r="P213" s="537"/>
      <c r="Q213" s="37"/>
      <c r="R213" s="530"/>
      <c r="S213" s="118">
        <v>30.14</v>
      </c>
      <c r="T213" s="537"/>
      <c r="U213" s="537"/>
      <c r="V213" s="537"/>
      <c r="W213" s="597"/>
      <c r="X213" s="597"/>
      <c r="Y213" s="37"/>
      <c r="Z213" s="537"/>
      <c r="AA213" s="537"/>
      <c r="AB213" s="530"/>
      <c r="AC213" s="530"/>
      <c r="AD213" s="530"/>
      <c r="AE213" s="537"/>
      <c r="AF213" s="1">
        <v>40</v>
      </c>
      <c r="AG213" s="537"/>
      <c r="AH213" s="594"/>
      <c r="AI213" s="118"/>
      <c r="AJ213" s="47"/>
      <c r="AK213" s="48"/>
      <c r="AL213" s="197"/>
    </row>
    <row r="214" spans="1:38" x14ac:dyDescent="0.25">
      <c r="A214" s="65" t="s">
        <v>66</v>
      </c>
      <c r="B214" s="594"/>
      <c r="C214" s="594"/>
      <c r="D214" s="594"/>
      <c r="E214" s="611"/>
      <c r="F214" s="594"/>
      <c r="G214" s="594"/>
      <c r="H214" s="594"/>
      <c r="I214" s="111"/>
      <c r="J214" s="537"/>
      <c r="K214" s="537"/>
      <c r="L214" s="537"/>
      <c r="M214" s="537"/>
      <c r="N214" s="537"/>
      <c r="O214" s="537"/>
      <c r="P214" s="537"/>
      <c r="Q214" s="111"/>
      <c r="R214" s="537"/>
      <c r="S214" s="537"/>
      <c r="T214" s="537"/>
      <c r="U214" s="537"/>
      <c r="V214" s="537"/>
      <c r="W214" s="597"/>
      <c r="X214" s="597"/>
      <c r="Y214" s="111"/>
      <c r="Z214" s="537"/>
      <c r="AA214" s="537"/>
      <c r="AB214" s="530"/>
      <c r="AC214" s="530"/>
      <c r="AD214" s="530"/>
      <c r="AE214" s="537"/>
      <c r="AF214" s="530"/>
      <c r="AG214" s="537"/>
      <c r="AH214" s="594"/>
      <c r="AI214" s="118"/>
      <c r="AJ214" s="37"/>
      <c r="AK214" s="38"/>
      <c r="AL214" s="197"/>
    </row>
    <row r="215" spans="1:38" x14ac:dyDescent="0.25">
      <c r="A215" s="65" t="s">
        <v>67</v>
      </c>
      <c r="B215" s="118">
        <v>33.25</v>
      </c>
      <c r="C215" s="537"/>
      <c r="D215" s="537"/>
      <c r="E215" s="611"/>
      <c r="F215" s="530"/>
      <c r="G215" s="1">
        <v>20</v>
      </c>
      <c r="H215" s="537"/>
      <c r="I215" s="37"/>
      <c r="J215" s="118">
        <v>39.58</v>
      </c>
      <c r="K215" s="530"/>
      <c r="L215" s="537"/>
      <c r="M215" s="537"/>
      <c r="N215" s="537"/>
      <c r="O215" s="530"/>
      <c r="P215" s="57">
        <v>30</v>
      </c>
      <c r="Q215" s="37"/>
      <c r="R215" s="537"/>
      <c r="S215" s="537"/>
      <c r="T215" s="118">
        <v>32.090000000000003</v>
      </c>
      <c r="U215" s="537"/>
      <c r="V215" s="537"/>
      <c r="W215" s="597"/>
      <c r="X215" s="597"/>
      <c r="Y215" s="37"/>
      <c r="Z215" s="118">
        <v>36.21</v>
      </c>
      <c r="AA215" s="537"/>
      <c r="AB215" s="530"/>
      <c r="AC215" s="530"/>
      <c r="AD215" s="57">
        <v>32.479999999999997</v>
      </c>
      <c r="AE215" s="537"/>
      <c r="AF215" s="530"/>
      <c r="AG215" s="530"/>
      <c r="AH215" s="594"/>
      <c r="AI215" s="118">
        <v>34.82</v>
      </c>
      <c r="AJ215" s="37"/>
      <c r="AK215" s="38"/>
      <c r="AL215" s="197"/>
    </row>
    <row r="216" spans="1:38" x14ac:dyDescent="0.25">
      <c r="A216" s="65" t="s">
        <v>68</v>
      </c>
      <c r="B216" s="537"/>
      <c r="C216" s="537"/>
      <c r="D216" s="537"/>
      <c r="E216" s="611"/>
      <c r="F216" s="537"/>
      <c r="G216" s="537"/>
      <c r="H216" s="537"/>
      <c r="I216" s="111"/>
      <c r="J216" s="537"/>
      <c r="K216" s="537"/>
      <c r="L216" s="537"/>
      <c r="M216" s="537"/>
      <c r="N216" s="537"/>
      <c r="O216" s="530"/>
      <c r="P216" s="537"/>
      <c r="Q216" s="111"/>
      <c r="R216" s="537"/>
      <c r="S216" s="537"/>
      <c r="T216" s="537"/>
      <c r="U216" s="537"/>
      <c r="V216" s="537"/>
      <c r="W216" s="414">
        <v>40</v>
      </c>
      <c r="X216" s="597"/>
      <c r="Y216" s="37"/>
      <c r="Z216" s="537"/>
      <c r="AA216" s="537"/>
      <c r="AB216" s="530"/>
      <c r="AC216" s="530"/>
      <c r="AD216" s="530"/>
      <c r="AE216" s="537"/>
      <c r="AF216" s="530"/>
      <c r="AG216" s="537"/>
      <c r="AH216" s="594"/>
      <c r="AI216" s="118"/>
      <c r="AJ216" s="37"/>
      <c r="AK216" s="38"/>
      <c r="AL216" s="197"/>
    </row>
    <row r="217" spans="1:38" x14ac:dyDescent="0.25">
      <c r="A217" s="65" t="s">
        <v>78</v>
      </c>
      <c r="B217" s="537"/>
      <c r="C217" s="537"/>
      <c r="D217" s="537"/>
      <c r="E217" s="611"/>
      <c r="F217" s="537"/>
      <c r="G217" s="537"/>
      <c r="H217" s="537"/>
      <c r="I217" s="111"/>
      <c r="J217" s="537"/>
      <c r="K217" s="537"/>
      <c r="L217" s="537"/>
      <c r="M217" s="537"/>
      <c r="N217" s="537"/>
      <c r="O217" s="537"/>
      <c r="P217" s="537"/>
      <c r="Q217" s="111"/>
      <c r="R217" s="537"/>
      <c r="S217" s="537"/>
      <c r="T217" s="537"/>
      <c r="U217" s="537"/>
      <c r="V217" s="537"/>
      <c r="W217" s="597"/>
      <c r="X217" s="597"/>
      <c r="Y217" s="111"/>
      <c r="Z217" s="537"/>
      <c r="AA217" s="537"/>
      <c r="AB217" s="530"/>
      <c r="AC217" s="530"/>
      <c r="AD217" s="530"/>
      <c r="AE217" s="537"/>
      <c r="AF217" s="530"/>
      <c r="AG217" s="537"/>
      <c r="AH217" s="594"/>
      <c r="AI217" s="118"/>
      <c r="AJ217" s="37"/>
      <c r="AK217" s="38"/>
      <c r="AL217" s="197"/>
    </row>
    <row r="218" spans="1:38" x14ac:dyDescent="0.25">
      <c r="A218" s="65" t="s">
        <v>69</v>
      </c>
      <c r="B218" s="537"/>
      <c r="C218" s="537"/>
      <c r="D218" s="537"/>
      <c r="E218" s="611"/>
      <c r="F218" s="537"/>
      <c r="G218" s="537"/>
      <c r="H218" s="537"/>
      <c r="I218" s="111"/>
      <c r="J218" s="537"/>
      <c r="K218" s="118">
        <v>32.869999999999997</v>
      </c>
      <c r="L218" s="537"/>
      <c r="M218" s="537"/>
      <c r="N218" s="537"/>
      <c r="O218" s="537"/>
      <c r="P218" s="537"/>
      <c r="Q218" s="37"/>
      <c r="R218" s="537"/>
      <c r="S218" s="537"/>
      <c r="T218" s="537"/>
      <c r="U218" s="537"/>
      <c r="V218" s="537"/>
      <c r="W218" s="597"/>
      <c r="X218" s="597"/>
      <c r="Y218" s="111"/>
      <c r="Z218" s="537"/>
      <c r="AA218" s="537"/>
      <c r="AB218" s="530"/>
      <c r="AC218" s="530"/>
      <c r="AD218" s="57">
        <v>38.92</v>
      </c>
      <c r="AE218" s="537"/>
      <c r="AF218" s="530"/>
      <c r="AG218" s="537"/>
      <c r="AH218" s="594"/>
      <c r="AI218" s="118"/>
      <c r="AJ218" s="37"/>
      <c r="AK218" s="38"/>
      <c r="AL218" s="197"/>
    </row>
    <row r="219" spans="1:38" x14ac:dyDescent="0.25">
      <c r="A219" s="65" t="s">
        <v>70</v>
      </c>
      <c r="B219" s="118">
        <v>29.62</v>
      </c>
      <c r="C219" s="537"/>
      <c r="D219" s="537"/>
      <c r="E219" s="611"/>
      <c r="F219" s="537"/>
      <c r="G219" s="1">
        <v>30</v>
      </c>
      <c r="H219" s="537"/>
      <c r="I219" s="37"/>
      <c r="J219" s="1">
        <v>24.9</v>
      </c>
      <c r="K219" s="537"/>
      <c r="L219" s="537"/>
      <c r="M219" s="537"/>
      <c r="N219" s="537"/>
      <c r="O219" s="537"/>
      <c r="P219" s="57">
        <v>30</v>
      </c>
      <c r="Q219" s="37"/>
      <c r="R219" s="537"/>
      <c r="S219" s="537"/>
      <c r="T219" s="537"/>
      <c r="U219" s="118">
        <v>31.58</v>
      </c>
      <c r="V219" s="537"/>
      <c r="W219" s="597"/>
      <c r="X219" s="597"/>
      <c r="Y219" s="37"/>
      <c r="Z219" s="537"/>
      <c r="AA219" s="1">
        <v>40</v>
      </c>
      <c r="AB219" s="530"/>
      <c r="AC219" s="530"/>
      <c r="AD219" s="530"/>
      <c r="AE219" s="537"/>
      <c r="AF219" s="1">
        <v>40</v>
      </c>
      <c r="AG219" s="537"/>
      <c r="AH219" s="594"/>
      <c r="AI219" s="118"/>
      <c r="AJ219" s="37"/>
      <c r="AK219" s="38"/>
      <c r="AL219" s="197"/>
    </row>
    <row r="220" spans="1:38" x14ac:dyDescent="0.25">
      <c r="A220" s="65" t="s">
        <v>71</v>
      </c>
      <c r="B220" s="537"/>
      <c r="C220" s="1">
        <v>40</v>
      </c>
      <c r="D220" s="537"/>
      <c r="E220" s="611"/>
      <c r="F220" s="530"/>
      <c r="G220" s="537"/>
      <c r="H220" s="537"/>
      <c r="I220" s="37"/>
      <c r="J220" s="118">
        <v>38.549999999999997</v>
      </c>
      <c r="K220" s="537"/>
      <c r="L220" s="537"/>
      <c r="M220" s="530"/>
      <c r="N220" s="537"/>
      <c r="O220" s="537"/>
      <c r="P220" s="537"/>
      <c r="Q220" s="37"/>
      <c r="R220" s="1">
        <v>30</v>
      </c>
      <c r="S220" s="537"/>
      <c r="T220" s="537"/>
      <c r="U220" s="537"/>
      <c r="V220" s="537"/>
      <c r="W220" s="597"/>
      <c r="X220" s="414">
        <v>35.08</v>
      </c>
      <c r="Y220" s="37"/>
      <c r="Z220" s="537"/>
      <c r="AA220" s="537"/>
      <c r="AB220" s="57">
        <v>40</v>
      </c>
      <c r="AC220" s="530"/>
      <c r="AD220" s="530"/>
      <c r="AE220" s="537"/>
      <c r="AF220" s="1">
        <v>40</v>
      </c>
      <c r="AG220" s="537"/>
      <c r="AH220" s="594"/>
      <c r="AI220" s="118"/>
      <c r="AJ220" s="37"/>
      <c r="AK220" s="38"/>
      <c r="AL220" s="197"/>
    </row>
    <row r="221" spans="1:38" x14ac:dyDescent="0.25">
      <c r="A221" s="65" t="s">
        <v>72</v>
      </c>
      <c r="B221" s="537"/>
      <c r="C221" s="537"/>
      <c r="D221" s="537"/>
      <c r="E221" s="528">
        <v>48.78</v>
      </c>
      <c r="F221" s="537"/>
      <c r="G221" s="537"/>
      <c r="H221" s="537"/>
      <c r="I221" s="37"/>
      <c r="J221" s="537"/>
      <c r="K221" s="537"/>
      <c r="L221" s="118">
        <v>37.409999999999997</v>
      </c>
      <c r="M221" s="537"/>
      <c r="N221" s="582"/>
      <c r="O221" s="537"/>
      <c r="P221" s="537"/>
      <c r="Q221" s="37"/>
      <c r="R221" s="537"/>
      <c r="S221" s="537"/>
      <c r="T221" s="1">
        <v>40</v>
      </c>
      <c r="U221" s="537"/>
      <c r="V221" s="530"/>
      <c r="W221" s="597"/>
      <c r="X221" s="597"/>
      <c r="Y221" s="37"/>
      <c r="Z221" s="537"/>
      <c r="AA221" s="537"/>
      <c r="AB221" s="57">
        <v>23.29</v>
      </c>
      <c r="AC221" s="57">
        <v>18.350000000000001</v>
      </c>
      <c r="AD221" s="530"/>
      <c r="AE221" s="537"/>
      <c r="AF221" s="530"/>
      <c r="AG221" s="537"/>
      <c r="AH221" s="594"/>
      <c r="AI221" s="118"/>
      <c r="AJ221" s="37"/>
      <c r="AK221" s="38"/>
      <c r="AL221" s="197"/>
    </row>
    <row r="222" spans="1:38" x14ac:dyDescent="0.25">
      <c r="A222" s="65" t="s">
        <v>73</v>
      </c>
      <c r="B222" s="537"/>
      <c r="C222" s="537"/>
      <c r="D222" s="537"/>
      <c r="E222" s="611"/>
      <c r="F222" s="530"/>
      <c r="G222" s="537"/>
      <c r="H222" s="537"/>
      <c r="I222" s="111"/>
      <c r="J222" s="537"/>
      <c r="K222" s="1">
        <v>40</v>
      </c>
      <c r="L222" s="537"/>
      <c r="M222" s="537"/>
      <c r="N222" s="537"/>
      <c r="O222" s="537"/>
      <c r="P222" s="537"/>
      <c r="Q222" s="37"/>
      <c r="R222" s="537"/>
      <c r="S222" s="537"/>
      <c r="T222" s="537"/>
      <c r="U222" s="537"/>
      <c r="V222" s="1">
        <v>40</v>
      </c>
      <c r="W222" s="597"/>
      <c r="X222" s="597"/>
      <c r="Y222" s="37"/>
      <c r="Z222" s="537"/>
      <c r="AA222" s="530"/>
      <c r="AB222" s="530"/>
      <c r="AC222" s="530"/>
      <c r="AD222" s="530"/>
      <c r="AE222" s="537"/>
      <c r="AF222" s="1">
        <v>40</v>
      </c>
      <c r="AG222" s="537"/>
      <c r="AH222" s="594"/>
      <c r="AI222" s="118"/>
      <c r="AJ222" s="37"/>
      <c r="AK222" s="38"/>
      <c r="AL222" s="197"/>
    </row>
    <row r="223" spans="1:38" x14ac:dyDescent="0.25">
      <c r="A223" s="65" t="s">
        <v>74</v>
      </c>
      <c r="B223" s="118">
        <v>34.76</v>
      </c>
      <c r="C223" s="537"/>
      <c r="D223" s="537"/>
      <c r="E223" s="528">
        <v>35.520000000000003</v>
      </c>
      <c r="F223" s="537"/>
      <c r="G223" s="530"/>
      <c r="H223" s="118">
        <v>27.63</v>
      </c>
      <c r="I223" s="37"/>
      <c r="J223" s="537"/>
      <c r="K223" s="118">
        <v>17.559999999999999</v>
      </c>
      <c r="L223" s="537"/>
      <c r="M223" s="530"/>
      <c r="N223" s="1">
        <v>31</v>
      </c>
      <c r="O223" s="537"/>
      <c r="P223" s="537"/>
      <c r="Q223" s="37"/>
      <c r="R223" s="537"/>
      <c r="S223" s="1">
        <v>32.5</v>
      </c>
      <c r="T223" s="537"/>
      <c r="U223" s="537"/>
      <c r="V223" s="537"/>
      <c r="W223" s="414">
        <v>40</v>
      </c>
      <c r="X223" s="597"/>
      <c r="Y223" s="37"/>
      <c r="Z223" s="118">
        <v>23.32</v>
      </c>
      <c r="AA223" s="530"/>
      <c r="AB223" s="530"/>
      <c r="AC223" s="530"/>
      <c r="AD223" s="530"/>
      <c r="AE223" s="118">
        <v>29.16</v>
      </c>
      <c r="AF223" s="530"/>
      <c r="AG223" s="537"/>
      <c r="AH223" s="594"/>
      <c r="AI223" s="1">
        <v>40</v>
      </c>
      <c r="AJ223" s="37"/>
      <c r="AK223" s="38"/>
      <c r="AL223" s="197"/>
    </row>
    <row r="224" spans="1:38" x14ac:dyDescent="0.25">
      <c r="A224" s="65" t="s">
        <v>76</v>
      </c>
      <c r="B224" s="537"/>
      <c r="C224" s="537"/>
      <c r="D224" s="537"/>
      <c r="E224" s="611"/>
      <c r="F224" s="537"/>
      <c r="G224" s="537"/>
      <c r="H224" s="1">
        <v>40</v>
      </c>
      <c r="I224" s="37"/>
      <c r="J224" s="537"/>
      <c r="K224" s="118">
        <v>26.49</v>
      </c>
      <c r="L224" s="537"/>
      <c r="M224" s="537"/>
      <c r="N224" s="530"/>
      <c r="O224" s="537"/>
      <c r="P224" s="57">
        <v>40</v>
      </c>
      <c r="Q224" s="37"/>
      <c r="R224" s="537"/>
      <c r="S224" s="537"/>
      <c r="T224" s="118">
        <v>34.49</v>
      </c>
      <c r="U224" s="537"/>
      <c r="V224" s="537"/>
      <c r="W224" s="597"/>
      <c r="X224" s="414">
        <v>40</v>
      </c>
      <c r="Y224" s="37"/>
      <c r="Z224" s="537"/>
      <c r="AA224" s="537"/>
      <c r="AB224" s="57">
        <v>30.6</v>
      </c>
      <c r="AC224" s="530"/>
      <c r="AD224" s="57">
        <v>24.95</v>
      </c>
      <c r="AE224" s="537"/>
      <c r="AF224" s="530"/>
      <c r="AG224" s="537"/>
      <c r="AH224" s="594"/>
      <c r="AI224" s="118"/>
      <c r="AJ224" s="37"/>
      <c r="AK224" s="38"/>
      <c r="AL224" s="197"/>
    </row>
    <row r="225" spans="1:38" x14ac:dyDescent="0.25">
      <c r="A225" s="65" t="s">
        <v>75</v>
      </c>
      <c r="B225" s="537"/>
      <c r="C225" s="530"/>
      <c r="D225" s="537"/>
      <c r="E225" s="611"/>
      <c r="F225" s="537"/>
      <c r="G225" s="537"/>
      <c r="H225" s="537"/>
      <c r="I225" s="111"/>
      <c r="J225" s="537"/>
      <c r="K225" s="1">
        <v>40</v>
      </c>
      <c r="L225" s="530"/>
      <c r="M225" s="537"/>
      <c r="N225" s="537"/>
      <c r="O225" s="537"/>
      <c r="P225" s="537"/>
      <c r="Q225" s="37"/>
      <c r="R225" s="537"/>
      <c r="S225" s="537"/>
      <c r="T225" s="537"/>
      <c r="U225" s="537"/>
      <c r="V225" s="537"/>
      <c r="W225" s="597"/>
      <c r="X225" s="597"/>
      <c r="Y225" s="111"/>
      <c r="Z225" s="1">
        <v>40</v>
      </c>
      <c r="AA225" s="537"/>
      <c r="AB225" s="530"/>
      <c r="AC225" s="530"/>
      <c r="AD225" s="530"/>
      <c r="AE225" s="537"/>
      <c r="AF225" s="537"/>
      <c r="AG225" s="537"/>
      <c r="AH225" s="594"/>
      <c r="AI225" s="118"/>
      <c r="AJ225" s="37"/>
      <c r="AK225" s="38"/>
      <c r="AL225" s="197"/>
    </row>
    <row r="226" spans="1:38" x14ac:dyDescent="0.25">
      <c r="A226" s="65" t="s">
        <v>49</v>
      </c>
      <c r="B226" s="537"/>
      <c r="C226" s="537"/>
      <c r="D226" s="537"/>
      <c r="E226" s="611"/>
      <c r="F226" s="537"/>
      <c r="G226" s="537"/>
      <c r="H226" s="537"/>
      <c r="I226" s="111"/>
      <c r="J226" s="537"/>
      <c r="K226" s="537"/>
      <c r="L226" s="537"/>
      <c r="M226" s="537"/>
      <c r="N226" s="537"/>
      <c r="O226" s="537"/>
      <c r="P226" s="537"/>
      <c r="Q226" s="111"/>
      <c r="R226" s="537"/>
      <c r="S226" s="537"/>
      <c r="T226" s="537"/>
      <c r="U226" s="537"/>
      <c r="V226" s="537"/>
      <c r="W226" s="597"/>
      <c r="X226" s="597"/>
      <c r="Y226" s="111"/>
      <c r="Z226" s="537"/>
      <c r="AA226" s="537"/>
      <c r="AB226" s="530"/>
      <c r="AC226" s="530"/>
      <c r="AD226" s="530"/>
      <c r="AE226" s="537"/>
      <c r="AF226" s="537"/>
      <c r="AG226" s="537"/>
      <c r="AH226" s="594"/>
      <c r="AI226" s="118"/>
      <c r="AJ226" s="37"/>
      <c r="AK226" s="38"/>
      <c r="AL226" s="197"/>
    </row>
    <row r="227" spans="1:38" x14ac:dyDescent="0.25">
      <c r="A227" s="65" t="s">
        <v>23</v>
      </c>
      <c r="B227" s="537"/>
      <c r="C227" s="537"/>
      <c r="D227" s="537"/>
      <c r="E227" s="611"/>
      <c r="F227" s="537"/>
      <c r="G227" s="537"/>
      <c r="H227" s="537"/>
      <c r="I227" s="111"/>
      <c r="J227" s="537"/>
      <c r="K227" s="537"/>
      <c r="L227" s="537"/>
      <c r="M227" s="537"/>
      <c r="N227" s="537"/>
      <c r="O227" s="537"/>
      <c r="P227" s="537"/>
      <c r="Q227" s="111"/>
      <c r="R227" s="537"/>
      <c r="S227" s="537"/>
      <c r="T227" s="537"/>
      <c r="U227" s="537"/>
      <c r="V227" s="537"/>
      <c r="W227" s="597"/>
      <c r="X227" s="597"/>
      <c r="Y227" s="111"/>
      <c r="Z227" s="537"/>
      <c r="AA227" s="537"/>
      <c r="AB227" s="530"/>
      <c r="AC227" s="530"/>
      <c r="AD227" s="530"/>
      <c r="AE227" s="537"/>
      <c r="AF227" s="537"/>
      <c r="AG227" s="537"/>
      <c r="AH227" s="594"/>
      <c r="AI227" s="118"/>
      <c r="AJ227" s="37"/>
      <c r="AK227" s="38"/>
      <c r="AL227" s="197"/>
    </row>
    <row r="228" spans="1:38" x14ac:dyDescent="0.25">
      <c r="A228" s="65" t="s">
        <v>50</v>
      </c>
      <c r="B228" s="537"/>
      <c r="C228" s="537"/>
      <c r="D228" s="537"/>
      <c r="E228" s="611"/>
      <c r="F228" s="530"/>
      <c r="G228" s="537"/>
      <c r="H228" s="537"/>
      <c r="I228" s="111"/>
      <c r="J228" s="537"/>
      <c r="K228" s="537"/>
      <c r="L228" s="537"/>
      <c r="M228" s="537"/>
      <c r="N228" s="537"/>
      <c r="O228" s="537"/>
      <c r="P228" s="537"/>
      <c r="Q228" s="111"/>
      <c r="R228" s="537"/>
      <c r="S228" s="537"/>
      <c r="T228" s="537"/>
      <c r="U228" s="537"/>
      <c r="V228" s="537"/>
      <c r="W228" s="597"/>
      <c r="X228" s="597"/>
      <c r="Y228" s="111"/>
      <c r="Z228" s="537"/>
      <c r="AA228" s="537"/>
      <c r="AB228" s="530"/>
      <c r="AC228" s="530"/>
      <c r="AD228" s="530"/>
      <c r="AE228" s="537"/>
      <c r="AF228" s="537"/>
      <c r="AG228" s="537"/>
      <c r="AH228" s="594"/>
      <c r="AI228" s="118"/>
      <c r="AJ228" s="37"/>
      <c r="AK228" s="38"/>
      <c r="AL228" s="197"/>
    </row>
    <row r="229" spans="1:38" x14ac:dyDescent="0.25">
      <c r="A229" s="65" t="s">
        <v>51</v>
      </c>
      <c r="B229" s="537"/>
      <c r="C229" s="537"/>
      <c r="D229" s="537"/>
      <c r="E229" s="611"/>
      <c r="F229" s="537"/>
      <c r="G229" s="537"/>
      <c r="H229" s="537"/>
      <c r="I229" s="111"/>
      <c r="J229" s="537"/>
      <c r="K229" s="537"/>
      <c r="L229" s="537"/>
      <c r="M229" s="537"/>
      <c r="N229" s="537"/>
      <c r="O229" s="537"/>
      <c r="P229" s="537"/>
      <c r="Q229" s="111"/>
      <c r="R229" s="537"/>
      <c r="S229" s="537"/>
      <c r="T229" s="537"/>
      <c r="U229" s="537"/>
      <c r="V229" s="537"/>
      <c r="W229" s="597"/>
      <c r="X229" s="597"/>
      <c r="Y229" s="111"/>
      <c r="Z229" s="537"/>
      <c r="AA229" s="1">
        <v>40</v>
      </c>
      <c r="AB229" s="530"/>
      <c r="AC229" s="530"/>
      <c r="AD229" s="530"/>
      <c r="AE229" s="537"/>
      <c r="AF229" s="537"/>
      <c r="AG229" s="537"/>
      <c r="AH229" s="594"/>
      <c r="AI229" s="118"/>
      <c r="AJ229" s="37"/>
      <c r="AK229" s="38"/>
      <c r="AL229" s="197"/>
    </row>
    <row r="230" spans="1:38" x14ac:dyDescent="0.25">
      <c r="A230" s="65" t="s">
        <v>52</v>
      </c>
      <c r="B230" s="537"/>
      <c r="C230" s="537"/>
      <c r="D230" s="537"/>
      <c r="E230" s="611"/>
      <c r="F230" s="537"/>
      <c r="G230" s="537"/>
      <c r="H230" s="537"/>
      <c r="I230" s="111"/>
      <c r="J230" s="537"/>
      <c r="K230" s="537"/>
      <c r="L230" s="537"/>
      <c r="M230" s="537"/>
      <c r="N230" s="537"/>
      <c r="O230" s="537"/>
      <c r="P230" s="537"/>
      <c r="Q230" s="111"/>
      <c r="R230" s="537"/>
      <c r="S230" s="118">
        <v>38.46</v>
      </c>
      <c r="T230" s="537"/>
      <c r="U230" s="537"/>
      <c r="V230" s="537"/>
      <c r="W230" s="597"/>
      <c r="X230" s="597"/>
      <c r="Y230" s="37"/>
      <c r="Z230" s="537"/>
      <c r="AA230" s="537"/>
      <c r="AB230" s="530"/>
      <c r="AC230" s="530"/>
      <c r="AD230" s="530"/>
      <c r="AE230" s="537"/>
      <c r="AF230" s="537"/>
      <c r="AG230" s="537"/>
      <c r="AH230" s="118">
        <v>32.619999999999997</v>
      </c>
      <c r="AI230" s="118"/>
      <c r="AJ230" s="37"/>
      <c r="AK230" s="38"/>
      <c r="AL230" s="197"/>
    </row>
    <row r="231" spans="1:38" x14ac:dyDescent="0.25">
      <c r="A231" s="65" t="s">
        <v>53</v>
      </c>
      <c r="B231" s="537"/>
      <c r="C231" s="537"/>
      <c r="D231" s="537"/>
      <c r="E231" s="611"/>
      <c r="F231" s="537"/>
      <c r="G231" s="537"/>
      <c r="H231" s="537"/>
      <c r="I231" s="111"/>
      <c r="J231" s="118">
        <v>83.42</v>
      </c>
      <c r="K231" s="537"/>
      <c r="L231" s="537"/>
      <c r="M231" s="537"/>
      <c r="N231" s="537"/>
      <c r="O231" s="537"/>
      <c r="P231" s="537"/>
      <c r="Q231" s="37"/>
      <c r="R231" s="537"/>
      <c r="S231" s="537"/>
      <c r="T231" s="537"/>
      <c r="U231" s="537"/>
      <c r="V231" s="537"/>
      <c r="W231" s="597"/>
      <c r="X231" s="597"/>
      <c r="Y231" s="111"/>
      <c r="Z231" s="537"/>
      <c r="AA231" s="537"/>
      <c r="AB231" s="530"/>
      <c r="AC231" s="57">
        <v>39.9</v>
      </c>
      <c r="AD231" s="530"/>
      <c r="AE231" s="537"/>
      <c r="AF231" s="537"/>
      <c r="AG231" s="537"/>
      <c r="AH231" s="537"/>
      <c r="AI231" s="118"/>
      <c r="AJ231" s="37"/>
      <c r="AK231" s="38"/>
      <c r="AL231" s="197"/>
    </row>
    <row r="232" spans="1:38" x14ac:dyDescent="0.25">
      <c r="A232" s="65" t="s">
        <v>315</v>
      </c>
      <c r="B232" s="537"/>
      <c r="C232" s="537"/>
      <c r="D232" s="537"/>
      <c r="E232" s="611"/>
      <c r="F232" s="537"/>
      <c r="G232" s="537"/>
      <c r="H232" s="537"/>
      <c r="I232" s="111"/>
      <c r="J232" s="537"/>
      <c r="K232" s="537"/>
      <c r="L232" s="537"/>
      <c r="M232" s="537"/>
      <c r="N232" s="537"/>
      <c r="O232" s="57">
        <v>70</v>
      </c>
      <c r="P232" s="537"/>
      <c r="Q232" s="37"/>
      <c r="R232" s="537"/>
      <c r="S232" s="537"/>
      <c r="T232" s="537"/>
      <c r="U232" s="537"/>
      <c r="V232" s="537"/>
      <c r="W232" s="597"/>
      <c r="X232" s="597"/>
      <c r="Y232" s="111"/>
      <c r="Z232" s="537"/>
      <c r="AA232" s="537"/>
      <c r="AB232" s="530"/>
      <c r="AC232" s="530"/>
      <c r="AD232" s="530"/>
      <c r="AE232" s="537"/>
      <c r="AF232" s="537"/>
      <c r="AG232" s="537"/>
      <c r="AH232" s="537"/>
      <c r="AI232" s="118"/>
      <c r="AJ232" s="37"/>
      <c r="AK232" s="38"/>
      <c r="AL232" s="197"/>
    </row>
    <row r="233" spans="1:38" ht="15" customHeight="1" x14ac:dyDescent="0.25">
      <c r="A233" s="65" t="s">
        <v>98</v>
      </c>
      <c r="B233" s="537"/>
      <c r="C233" s="537"/>
      <c r="D233" s="537"/>
      <c r="E233" s="528">
        <v>66.150000000000006</v>
      </c>
      <c r="F233" s="537"/>
      <c r="G233" s="537"/>
      <c r="H233" s="537"/>
      <c r="I233" s="37"/>
      <c r="J233" s="537"/>
      <c r="K233" s="537"/>
      <c r="L233" s="537"/>
      <c r="M233" s="537"/>
      <c r="N233" s="537"/>
      <c r="O233" s="161"/>
      <c r="P233" s="537"/>
      <c r="Q233" s="37"/>
      <c r="R233" s="537"/>
      <c r="S233" s="537"/>
      <c r="T233" s="537"/>
      <c r="U233" s="537"/>
      <c r="V233" s="537"/>
      <c r="W233" s="597"/>
      <c r="X233" s="597"/>
      <c r="Y233" s="111"/>
      <c r="Z233" s="537"/>
      <c r="AA233" s="537"/>
      <c r="AB233" s="530"/>
      <c r="AC233" s="530"/>
      <c r="AD233" s="57">
        <v>66.03</v>
      </c>
      <c r="AE233" s="537"/>
      <c r="AF233" s="537"/>
      <c r="AG233" s="537"/>
      <c r="AH233" s="537"/>
      <c r="AI233" s="118"/>
      <c r="AJ233" s="37"/>
      <c r="AK233" s="38"/>
      <c r="AL233" s="197"/>
    </row>
    <row r="234" spans="1:38" ht="15" customHeight="1" x14ac:dyDescent="0.3">
      <c r="A234" s="65" t="s">
        <v>83</v>
      </c>
      <c r="B234" s="152">
        <v>16.68</v>
      </c>
      <c r="C234" s="152">
        <v>11.88</v>
      </c>
      <c r="D234" s="153">
        <v>14.8</v>
      </c>
      <c r="E234" s="612"/>
      <c r="F234" s="152">
        <v>26.83</v>
      </c>
      <c r="G234" s="153">
        <v>16.489999999999998</v>
      </c>
      <c r="H234" s="152">
        <v>14.14</v>
      </c>
      <c r="I234" s="269"/>
      <c r="J234" s="581"/>
      <c r="K234" s="153">
        <v>28.7</v>
      </c>
      <c r="L234" s="152">
        <v>16.670000000000002</v>
      </c>
      <c r="M234" s="581"/>
      <c r="N234" s="581"/>
      <c r="O234" s="171">
        <v>36.14</v>
      </c>
      <c r="P234" s="171">
        <v>21.45</v>
      </c>
      <c r="Q234" s="269"/>
      <c r="R234" s="581"/>
      <c r="S234" s="152">
        <v>21.69</v>
      </c>
      <c r="T234" s="581"/>
      <c r="U234" s="153">
        <v>29.3</v>
      </c>
      <c r="V234" s="581"/>
      <c r="W234" s="415">
        <v>23.87</v>
      </c>
      <c r="X234" s="598"/>
      <c r="Y234" s="269"/>
      <c r="Z234" s="581"/>
      <c r="AA234" s="152">
        <v>39.31</v>
      </c>
      <c r="AB234" s="576"/>
      <c r="AC234" s="175">
        <v>32.200000000000003</v>
      </c>
      <c r="AD234" s="175">
        <v>17.579999999999998</v>
      </c>
      <c r="AE234" s="581"/>
      <c r="AF234" s="152">
        <v>28.28</v>
      </c>
      <c r="AG234" s="581"/>
      <c r="AH234" s="581"/>
      <c r="AI234" s="268"/>
      <c r="AJ234" s="269"/>
      <c r="AK234" s="271"/>
      <c r="AL234" s="204"/>
    </row>
    <row r="235" spans="1:38" x14ac:dyDescent="0.25">
      <c r="A235" s="65" t="s">
        <v>84</v>
      </c>
      <c r="B235" s="587"/>
      <c r="C235" s="242">
        <v>26.75</v>
      </c>
      <c r="D235" s="587"/>
      <c r="E235" s="529">
        <v>24.54</v>
      </c>
      <c r="F235" s="588"/>
      <c r="G235" s="240">
        <v>36.29</v>
      </c>
      <c r="H235" s="583"/>
      <c r="I235" s="49"/>
      <c r="J235" s="240">
        <v>28.99</v>
      </c>
      <c r="K235" s="583"/>
      <c r="L235" s="240">
        <v>30.78</v>
      </c>
      <c r="M235" s="583"/>
      <c r="N235" s="588"/>
      <c r="O235" s="583"/>
      <c r="P235" s="240">
        <v>20.04</v>
      </c>
      <c r="Q235" s="49"/>
      <c r="R235" s="583"/>
      <c r="S235" s="242">
        <v>23.12</v>
      </c>
      <c r="T235" s="583"/>
      <c r="U235" s="240">
        <v>32.049999999999997</v>
      </c>
      <c r="V235" s="583"/>
      <c r="W235" s="417">
        <v>33.06</v>
      </c>
      <c r="X235" s="597"/>
      <c r="Y235" s="49"/>
      <c r="Z235" s="240">
        <v>26.55</v>
      </c>
      <c r="AA235" s="583"/>
      <c r="AB235" s="242">
        <v>21.51</v>
      </c>
      <c r="AC235" s="587"/>
      <c r="AD235" s="242">
        <v>28.13</v>
      </c>
      <c r="AE235" s="583"/>
      <c r="AF235" s="240">
        <v>30.25</v>
      </c>
      <c r="AG235" s="582"/>
      <c r="AH235" s="240">
        <v>28.71</v>
      </c>
      <c r="AI235" s="247">
        <v>34.1</v>
      </c>
      <c r="AJ235" s="49"/>
      <c r="AK235" s="133"/>
      <c r="AL235" s="197"/>
    </row>
    <row r="236" spans="1:38" x14ac:dyDescent="0.25">
      <c r="A236" s="65" t="s">
        <v>85</v>
      </c>
      <c r="B236" s="587"/>
      <c r="C236" s="587"/>
      <c r="D236" s="587"/>
      <c r="E236" s="611"/>
      <c r="F236" s="583"/>
      <c r="G236" s="583"/>
      <c r="H236" s="240">
        <v>34.96</v>
      </c>
      <c r="I236" s="49"/>
      <c r="J236" s="582"/>
      <c r="K236" s="583"/>
      <c r="L236" s="582"/>
      <c r="M236" s="583"/>
      <c r="N236" s="583"/>
      <c r="O236" s="583"/>
      <c r="P236" s="240">
        <v>31.04</v>
      </c>
      <c r="Q236" s="49"/>
      <c r="R236" s="582"/>
      <c r="S236" s="583"/>
      <c r="T236" s="583"/>
      <c r="U236" s="583"/>
      <c r="V236" s="582"/>
      <c r="W236" s="597"/>
      <c r="X236" s="597"/>
      <c r="Y236" s="605"/>
      <c r="Z236" s="583"/>
      <c r="AA236" s="240">
        <v>24.05</v>
      </c>
      <c r="AB236" s="588"/>
      <c r="AC236" s="587"/>
      <c r="AD236" s="588"/>
      <c r="AE236" s="583"/>
      <c r="AF236" s="583"/>
      <c r="AG236" s="240">
        <v>29.34</v>
      </c>
      <c r="AH236" s="583"/>
      <c r="AI236" s="247"/>
      <c r="AJ236" s="49"/>
      <c r="AK236" s="133"/>
      <c r="AL236" s="197"/>
    </row>
    <row r="237" spans="1:38" ht="15" customHeight="1" x14ac:dyDescent="0.3">
      <c r="A237" s="65" t="s">
        <v>62</v>
      </c>
      <c r="B237" s="583"/>
      <c r="C237" s="583"/>
      <c r="D237" s="582"/>
      <c r="E237" s="611"/>
      <c r="F237" s="583"/>
      <c r="G237" s="583"/>
      <c r="H237" s="583"/>
      <c r="I237" s="617"/>
      <c r="J237" s="445">
        <v>40</v>
      </c>
      <c r="K237" s="583"/>
      <c r="L237" s="583"/>
      <c r="M237" s="583"/>
      <c r="N237" s="583"/>
      <c r="O237" s="583"/>
      <c r="P237" s="583"/>
      <c r="Q237" s="244"/>
      <c r="R237" s="445">
        <v>30</v>
      </c>
      <c r="S237" s="583"/>
      <c r="T237" s="583"/>
      <c r="U237" s="583"/>
      <c r="V237" s="582"/>
      <c r="W237" s="597"/>
      <c r="X237" s="597"/>
      <c r="Y237" s="244"/>
      <c r="Z237" s="583"/>
      <c r="AA237" s="337">
        <v>32.82</v>
      </c>
      <c r="AB237" s="587"/>
      <c r="AC237" s="588"/>
      <c r="AD237" s="588"/>
      <c r="AE237" s="583"/>
      <c r="AF237" s="583"/>
      <c r="AG237" s="582"/>
      <c r="AH237" s="583"/>
      <c r="AI237" s="445">
        <v>30</v>
      </c>
      <c r="AJ237" s="244"/>
      <c r="AK237" s="170"/>
      <c r="AL237" s="197"/>
    </row>
    <row r="238" spans="1:38" ht="15" customHeight="1" x14ac:dyDescent="0.35">
      <c r="A238" s="65" t="s">
        <v>61</v>
      </c>
      <c r="B238" s="12">
        <v>40</v>
      </c>
      <c r="C238" s="537"/>
      <c r="D238" s="537"/>
      <c r="E238" s="611"/>
      <c r="F238" s="12">
        <v>40</v>
      </c>
      <c r="G238" s="537"/>
      <c r="H238" s="530"/>
      <c r="I238" s="289"/>
      <c r="J238" s="537"/>
      <c r="K238" s="131">
        <v>40.03</v>
      </c>
      <c r="L238" s="530"/>
      <c r="M238" s="537"/>
      <c r="N238" s="537"/>
      <c r="O238" s="135">
        <v>40</v>
      </c>
      <c r="P238" s="155">
        <v>23.37</v>
      </c>
      <c r="Q238" s="289"/>
      <c r="R238" s="537"/>
      <c r="S238" s="537"/>
      <c r="T238" s="131">
        <v>31.18</v>
      </c>
      <c r="U238" s="537"/>
      <c r="V238" s="131">
        <v>26.39</v>
      </c>
      <c r="W238" s="597"/>
      <c r="X238" s="417">
        <v>28.92</v>
      </c>
      <c r="Y238" s="289"/>
      <c r="Z238" s="537"/>
      <c r="AA238" s="537"/>
      <c r="AB238" s="135">
        <v>32.630000000000003</v>
      </c>
      <c r="AC238" s="530"/>
      <c r="AD238" s="242">
        <v>28.75</v>
      </c>
      <c r="AE238" s="537"/>
      <c r="AF238" s="131">
        <v>31.35</v>
      </c>
      <c r="AG238" s="582"/>
      <c r="AH238" s="570">
        <v>26.75</v>
      </c>
      <c r="AI238" s="365"/>
      <c r="AJ238" s="289"/>
      <c r="AK238" s="255"/>
      <c r="AL238" s="292"/>
    </row>
    <row r="239" spans="1:38" x14ac:dyDescent="0.25">
      <c r="A239" s="66" t="s">
        <v>86</v>
      </c>
      <c r="B239" s="584"/>
      <c r="C239" s="584"/>
      <c r="D239" s="584"/>
      <c r="E239" s="612"/>
      <c r="F239" s="338">
        <v>29.05</v>
      </c>
      <c r="G239" s="584"/>
      <c r="H239" s="584"/>
      <c r="I239" s="290"/>
      <c r="J239" s="584"/>
      <c r="K239" s="584"/>
      <c r="L239" s="585"/>
      <c r="M239" s="584"/>
      <c r="N239" s="584"/>
      <c r="O239" s="584"/>
      <c r="P239" s="338">
        <v>33.46</v>
      </c>
      <c r="Q239" s="290"/>
      <c r="R239" s="584"/>
      <c r="S239" s="584"/>
      <c r="T239" s="584"/>
      <c r="U239" s="584"/>
      <c r="V239" s="288"/>
      <c r="W239" s="598"/>
      <c r="X239" s="415">
        <v>28.47</v>
      </c>
      <c r="Y239" s="290"/>
      <c r="Z239" s="584"/>
      <c r="AA239" s="584"/>
      <c r="AB239" s="367">
        <v>17.68</v>
      </c>
      <c r="AC239" s="589"/>
      <c r="AD239" s="586"/>
      <c r="AE239" s="584"/>
      <c r="AF239" s="585"/>
      <c r="AG239" s="585"/>
      <c r="AH239" s="584"/>
      <c r="AI239" s="288"/>
      <c r="AJ239" s="290"/>
      <c r="AK239" s="291"/>
      <c r="AL239" s="204"/>
    </row>
    <row r="240" spans="1:38" x14ac:dyDescent="0.25">
      <c r="A240" s="514" t="s">
        <v>87</v>
      </c>
      <c r="B240" s="589"/>
      <c r="C240" s="589"/>
      <c r="D240" s="589"/>
      <c r="E240" s="612"/>
      <c r="F240" s="338">
        <v>34.47</v>
      </c>
      <c r="G240" s="584"/>
      <c r="H240" s="584"/>
      <c r="I240" s="290"/>
      <c r="J240" s="585"/>
      <c r="K240" s="584"/>
      <c r="L240" s="584"/>
      <c r="M240" s="584"/>
      <c r="N240" s="584"/>
      <c r="O240" s="584"/>
      <c r="P240" s="584"/>
      <c r="Q240" s="604"/>
      <c r="R240" s="584"/>
      <c r="S240" s="584"/>
      <c r="T240" s="584"/>
      <c r="U240" s="584"/>
      <c r="V240" s="338">
        <v>31.66</v>
      </c>
      <c r="W240" s="598"/>
      <c r="X240" s="598"/>
      <c r="Y240" s="290"/>
      <c r="Z240" s="584"/>
      <c r="AA240" s="584"/>
      <c r="AB240" s="589"/>
      <c r="AC240" s="589"/>
      <c r="AD240" s="586"/>
      <c r="AE240" s="584"/>
      <c r="AF240" s="584"/>
      <c r="AG240" s="367">
        <v>39.200000000000003</v>
      </c>
      <c r="AH240" s="584"/>
      <c r="AI240" s="332"/>
      <c r="AJ240" s="290"/>
      <c r="AK240" s="46"/>
      <c r="AL240" s="204"/>
    </row>
    <row r="241" spans="1:38" ht="15" customHeight="1" x14ac:dyDescent="0.25">
      <c r="A241" s="514" t="s">
        <v>99</v>
      </c>
      <c r="B241" s="589"/>
      <c r="C241" s="589"/>
      <c r="D241" s="589"/>
      <c r="E241" s="612"/>
      <c r="F241" s="584"/>
      <c r="G241" s="584"/>
      <c r="H241" s="584"/>
      <c r="I241" s="604"/>
      <c r="J241" s="585"/>
      <c r="K241" s="584"/>
      <c r="L241" s="584"/>
      <c r="M241" s="584"/>
      <c r="N241" s="584"/>
      <c r="O241" s="584"/>
      <c r="P241" s="584"/>
      <c r="Q241" s="604"/>
      <c r="R241" s="584"/>
      <c r="S241" s="584"/>
      <c r="T241" s="584"/>
      <c r="U241" s="584"/>
      <c r="V241" s="584"/>
      <c r="W241" s="598"/>
      <c r="X241" s="598"/>
      <c r="Y241" s="604"/>
      <c r="Z241" s="584"/>
      <c r="AA241" s="584"/>
      <c r="AB241" s="589"/>
      <c r="AC241" s="589"/>
      <c r="AD241" s="586"/>
      <c r="AE241" s="584"/>
      <c r="AF241" s="584"/>
      <c r="AG241" s="586"/>
      <c r="AH241" s="584"/>
      <c r="AI241" s="332"/>
      <c r="AJ241" s="290"/>
      <c r="AK241" s="46"/>
      <c r="AL241" s="204"/>
    </row>
    <row r="242" spans="1:38" ht="15" customHeight="1" x14ac:dyDescent="0.3">
      <c r="A242" s="515" t="s">
        <v>91</v>
      </c>
      <c r="B242" s="589"/>
      <c r="C242" s="589"/>
      <c r="D242" s="589"/>
      <c r="E242" s="612"/>
      <c r="F242" s="584"/>
      <c r="G242" s="584"/>
      <c r="H242" s="338">
        <v>36.729999999999997</v>
      </c>
      <c r="I242" s="290"/>
      <c r="J242" s="585"/>
      <c r="K242" s="586"/>
      <c r="L242" s="584"/>
      <c r="M242" s="584"/>
      <c r="N242" s="585"/>
      <c r="O242" s="584"/>
      <c r="P242" s="338">
        <v>38.81</v>
      </c>
      <c r="Q242" s="290"/>
      <c r="R242" s="584"/>
      <c r="S242" s="584"/>
      <c r="T242" s="584"/>
      <c r="U242" s="584"/>
      <c r="V242" s="584"/>
      <c r="W242" s="598"/>
      <c r="X242" s="598"/>
      <c r="Y242" s="604"/>
      <c r="Z242" s="338">
        <v>34.369999999999997</v>
      </c>
      <c r="AA242" s="584"/>
      <c r="AB242" s="586"/>
      <c r="AC242" s="589"/>
      <c r="AD242" s="586"/>
      <c r="AE242" s="584"/>
      <c r="AF242" s="338">
        <v>39.72</v>
      </c>
      <c r="AG242" s="584"/>
      <c r="AH242" s="584"/>
      <c r="AI242" s="332"/>
      <c r="AJ242" s="290"/>
      <c r="AK242" s="342"/>
      <c r="AL242" s="204"/>
    </row>
    <row r="243" spans="1:38" ht="15" customHeight="1" x14ac:dyDescent="0.3">
      <c r="A243" s="66" t="s">
        <v>35</v>
      </c>
      <c r="B243" s="587"/>
      <c r="C243" s="587"/>
      <c r="D243" s="587"/>
      <c r="E243" s="611"/>
      <c r="F243" s="588"/>
      <c r="G243" s="583"/>
      <c r="H243" s="583"/>
      <c r="I243" s="605"/>
      <c r="J243" s="582"/>
      <c r="K243" s="583"/>
      <c r="L243" s="583"/>
      <c r="M243" s="583"/>
      <c r="N243" s="583"/>
      <c r="O243" s="583"/>
      <c r="P243" s="583"/>
      <c r="Q243" s="605"/>
      <c r="R243" s="583"/>
      <c r="S243" s="583"/>
      <c r="T243" s="583"/>
      <c r="U243" s="583"/>
      <c r="V243" s="583"/>
      <c r="W243" s="597"/>
      <c r="X243" s="597"/>
      <c r="Y243" s="605"/>
      <c r="Z243" s="583"/>
      <c r="AA243" s="583"/>
      <c r="AB243" s="587"/>
      <c r="AC243" s="587"/>
      <c r="AD243" s="588"/>
      <c r="AE243" s="583"/>
      <c r="AF243" s="583"/>
      <c r="AG243" s="583"/>
      <c r="AH243" s="583"/>
      <c r="AI243" s="134"/>
      <c r="AJ243" s="49"/>
      <c r="AK243" s="378"/>
      <c r="AL243" s="309"/>
    </row>
    <row r="244" spans="1:38" ht="15" customHeight="1" x14ac:dyDescent="0.3">
      <c r="A244" s="514" t="s">
        <v>22</v>
      </c>
      <c r="B244" s="242">
        <v>23.1</v>
      </c>
      <c r="C244" s="587"/>
      <c r="D244" s="587"/>
      <c r="E244" s="529">
        <v>23.99</v>
      </c>
      <c r="F244" s="588"/>
      <c r="G244" s="583"/>
      <c r="H244" s="583"/>
      <c r="I244" s="49"/>
      <c r="J244" s="588"/>
      <c r="K244" s="583"/>
      <c r="L244" s="583"/>
      <c r="M244" s="583"/>
      <c r="N244" s="583"/>
      <c r="O244" s="240">
        <v>30.45</v>
      </c>
      <c r="P244" s="583"/>
      <c r="Q244" s="49"/>
      <c r="R244" s="583"/>
      <c r="S244" s="242">
        <v>25.3</v>
      </c>
      <c r="T244" s="583"/>
      <c r="U244" s="242">
        <v>14.92</v>
      </c>
      <c r="V244" s="583"/>
      <c r="W244" s="597"/>
      <c r="X244" s="417">
        <v>26.42</v>
      </c>
      <c r="Y244" s="49"/>
      <c r="Z244" s="588"/>
      <c r="AA244" s="583"/>
      <c r="AB244" s="242">
        <v>25.39</v>
      </c>
      <c r="AC244" s="587"/>
      <c r="AD244" s="587"/>
      <c r="AE244" s="242">
        <v>22.54</v>
      </c>
      <c r="AF244" s="583"/>
      <c r="AG244" s="583"/>
      <c r="AH244" s="619">
        <v>21.37</v>
      </c>
      <c r="AI244" s="134"/>
      <c r="AJ244" s="49"/>
      <c r="AK244" s="378"/>
      <c r="AL244" s="309"/>
    </row>
    <row r="245" spans="1:38" x14ac:dyDescent="0.25">
      <c r="A245" s="514" t="s">
        <v>88</v>
      </c>
      <c r="B245" s="583"/>
      <c r="C245" s="583"/>
      <c r="D245" s="588"/>
      <c r="E245" s="611"/>
      <c r="F245" s="588"/>
      <c r="G245" s="583"/>
      <c r="H245" s="583"/>
      <c r="I245" s="614"/>
      <c r="J245" s="588"/>
      <c r="K245" s="583"/>
      <c r="L245" s="587"/>
      <c r="M245" s="583"/>
      <c r="N245" s="583"/>
      <c r="O245" s="583"/>
      <c r="P245" s="583"/>
      <c r="Q245" s="370"/>
      <c r="R245" s="583"/>
      <c r="S245" s="583"/>
      <c r="T245" s="583"/>
      <c r="U245" s="583"/>
      <c r="V245" s="583"/>
      <c r="W245" s="597"/>
      <c r="X245" s="597"/>
      <c r="Y245" s="370"/>
      <c r="Z245" s="583"/>
      <c r="AA245" s="583"/>
      <c r="AB245" s="587"/>
      <c r="AC245" s="587"/>
      <c r="AD245" s="587"/>
      <c r="AE245" s="583"/>
      <c r="AF245" s="583"/>
      <c r="AG245" s="583"/>
      <c r="AH245" s="583"/>
      <c r="AI245" s="112"/>
      <c r="AJ245" s="516"/>
      <c r="AK245" s="333"/>
      <c r="AL245" s="309"/>
    </row>
    <row r="246" spans="1:38" ht="18.75" x14ac:dyDescent="0.3">
      <c r="A246" s="514" t="s">
        <v>38</v>
      </c>
      <c r="B246" s="581"/>
      <c r="C246" s="581"/>
      <c r="D246" s="581"/>
      <c r="E246" s="612"/>
      <c r="F246" s="581"/>
      <c r="G246" s="581"/>
      <c r="H246" s="581"/>
      <c r="I246" s="606"/>
      <c r="J246" s="581"/>
      <c r="K246" s="581"/>
      <c r="L246" s="581"/>
      <c r="M246" s="581"/>
      <c r="N246" s="581"/>
      <c r="O246" s="581"/>
      <c r="P246" s="581"/>
      <c r="Q246" s="606"/>
      <c r="R246" s="581"/>
      <c r="S246" s="581"/>
      <c r="T246" s="581"/>
      <c r="U246" s="581"/>
      <c r="V246" s="581"/>
      <c r="W246" s="598"/>
      <c r="X246" s="598"/>
      <c r="Y246" s="606"/>
      <c r="Z246" s="581"/>
      <c r="AA246" s="581"/>
      <c r="AB246" s="576"/>
      <c r="AC246" s="576"/>
      <c r="AD246" s="576"/>
      <c r="AE246" s="581"/>
      <c r="AF246" s="581"/>
      <c r="AG246" s="581"/>
      <c r="AH246" s="581"/>
      <c r="AI246" s="152"/>
      <c r="AJ246" s="357"/>
      <c r="AK246" s="541">
        <v>964.46</v>
      </c>
      <c r="AL246" s="359"/>
    </row>
    <row r="247" spans="1:38" ht="18.75" x14ac:dyDescent="0.3">
      <c r="A247" s="514" t="s">
        <v>21</v>
      </c>
      <c r="B247" s="581"/>
      <c r="C247" s="581"/>
      <c r="D247" s="581"/>
      <c r="E247" s="612"/>
      <c r="F247" s="581"/>
      <c r="G247" s="581"/>
      <c r="H247" s="581"/>
      <c r="I247" s="606"/>
      <c r="J247" s="581"/>
      <c r="K247" s="581"/>
      <c r="L247" s="581"/>
      <c r="M247" s="581"/>
      <c r="N247" s="581"/>
      <c r="O247" s="581"/>
      <c r="P247" s="581"/>
      <c r="Q247" s="606"/>
      <c r="R247" s="581"/>
      <c r="S247" s="581"/>
      <c r="T247" s="581"/>
      <c r="U247" s="581"/>
      <c r="V247" s="581"/>
      <c r="W247" s="598"/>
      <c r="X247" s="598"/>
      <c r="Y247" s="606"/>
      <c r="Z247" s="581"/>
      <c r="AA247" s="581"/>
      <c r="AB247" s="576"/>
      <c r="AC247" s="576"/>
      <c r="AD247" s="576"/>
      <c r="AE247" s="581"/>
      <c r="AF247" s="581"/>
      <c r="AG247" s="581"/>
      <c r="AH247" s="581"/>
      <c r="AI247" s="152"/>
      <c r="AJ247" s="357"/>
      <c r="AK247" s="541">
        <v>1273.58</v>
      </c>
      <c r="AL247" s="359"/>
    </row>
    <row r="248" spans="1:38" ht="18.75" x14ac:dyDescent="0.3">
      <c r="A248" s="66" t="s">
        <v>100</v>
      </c>
      <c r="B248" s="586"/>
      <c r="C248" s="586"/>
      <c r="D248" s="586"/>
      <c r="E248" s="598"/>
      <c r="F248" s="586"/>
      <c r="G248" s="586"/>
      <c r="H248" s="586"/>
      <c r="I248" s="615"/>
      <c r="J248" s="586"/>
      <c r="K248" s="586"/>
      <c r="L248" s="586"/>
      <c r="M248" s="586"/>
      <c r="N248" s="586"/>
      <c r="O248" s="586"/>
      <c r="P248" s="586"/>
      <c r="Q248" s="604"/>
      <c r="R248" s="586"/>
      <c r="S248" s="584"/>
      <c r="T248" s="585"/>
      <c r="U248" s="584"/>
      <c r="V248" s="584"/>
      <c r="W248" s="598"/>
      <c r="X248" s="598"/>
      <c r="Y248" s="604"/>
      <c r="Z248" s="584"/>
      <c r="AA248" s="584"/>
      <c r="AB248" s="589"/>
      <c r="AC248" s="589"/>
      <c r="AD248" s="589"/>
      <c r="AE248" s="584"/>
      <c r="AF248" s="338">
        <v>65.91</v>
      </c>
      <c r="AG248" s="584"/>
      <c r="AH248" s="584"/>
      <c r="AI248" s="288"/>
      <c r="AJ248" s="290"/>
      <c r="AK248" s="553">
        <v>937.42</v>
      </c>
      <c r="AL248" s="204"/>
    </row>
    <row r="249" spans="1:38" ht="15.75" x14ac:dyDescent="0.25">
      <c r="A249" s="66" t="s">
        <v>101</v>
      </c>
      <c r="B249" s="588"/>
      <c r="C249" s="588"/>
      <c r="D249" s="588"/>
      <c r="E249" s="597"/>
      <c r="F249" s="588"/>
      <c r="G249" s="588"/>
      <c r="H249" s="588"/>
      <c r="I249" s="616"/>
      <c r="J249" s="588"/>
      <c r="K249" s="588"/>
      <c r="L249" s="588"/>
      <c r="M249" s="588"/>
      <c r="N249" s="588"/>
      <c r="O249" s="588"/>
      <c r="P249" s="242">
        <v>63.19</v>
      </c>
      <c r="Q249" s="410"/>
      <c r="R249" s="588"/>
      <c r="S249" s="582"/>
      <c r="T249" s="583"/>
      <c r="U249" s="583"/>
      <c r="V249" s="583"/>
      <c r="W249" s="597"/>
      <c r="X249" s="597"/>
      <c r="Y249" s="605"/>
      <c r="Z249" s="583"/>
      <c r="AA249" s="582"/>
      <c r="AB249" s="587"/>
      <c r="AC249" s="587"/>
      <c r="AD249" s="587"/>
      <c r="AE249" s="583"/>
      <c r="AF249" s="582"/>
      <c r="AG249" s="583"/>
      <c r="AH249" s="583"/>
      <c r="AI249" s="134"/>
      <c r="AJ249" s="49"/>
      <c r="AK249" s="133"/>
      <c r="AL249" s="197"/>
    </row>
    <row r="250" spans="1:38" ht="15" customHeight="1" thickBot="1" x14ac:dyDescent="0.35">
      <c r="A250" s="66"/>
      <c r="B250" s="591"/>
      <c r="C250" s="591"/>
      <c r="D250" s="591"/>
      <c r="E250" s="613"/>
      <c r="F250" s="591"/>
      <c r="G250" s="591"/>
      <c r="H250" s="591"/>
      <c r="I250" s="607"/>
      <c r="J250" s="591"/>
      <c r="K250" s="591"/>
      <c r="L250" s="591"/>
      <c r="M250" s="591"/>
      <c r="N250" s="591"/>
      <c r="O250" s="591"/>
      <c r="P250" s="591"/>
      <c r="Q250" s="607"/>
      <c r="R250" s="591"/>
      <c r="S250" s="591"/>
      <c r="T250" s="591"/>
      <c r="U250" s="591"/>
      <c r="V250" s="591"/>
      <c r="W250" s="599"/>
      <c r="X250" s="599"/>
      <c r="Y250" s="607"/>
      <c r="Z250" s="591"/>
      <c r="AA250" s="591"/>
      <c r="AB250" s="590"/>
      <c r="AC250" s="590"/>
      <c r="AD250" s="590"/>
      <c r="AE250" s="591"/>
      <c r="AF250" s="591"/>
      <c r="AG250" s="591"/>
      <c r="AH250" s="591"/>
      <c r="AI250" s="396"/>
      <c r="AJ250" s="334"/>
      <c r="AK250" s="397"/>
      <c r="AL250" s="228"/>
    </row>
    <row r="251" spans="1:38" ht="18.75" x14ac:dyDescent="0.3">
      <c r="A251" s="485" t="s">
        <v>2</v>
      </c>
      <c r="B251" s="491">
        <f t="shared" ref="B251:G251" si="20">SUM(B210:B250)</f>
        <v>177.41</v>
      </c>
      <c r="C251" s="491">
        <f t="shared" si="20"/>
        <v>78.63</v>
      </c>
      <c r="D251" s="491">
        <f t="shared" si="20"/>
        <v>14.8</v>
      </c>
      <c r="E251" s="494">
        <f t="shared" si="20"/>
        <v>307.03000000000003</v>
      </c>
      <c r="F251" s="491">
        <f t="shared" si="20"/>
        <v>130.35</v>
      </c>
      <c r="G251" s="491">
        <f t="shared" si="20"/>
        <v>102.78</v>
      </c>
      <c r="H251" s="491">
        <f>SUM(H210:H250)</f>
        <v>153.45999999999998</v>
      </c>
      <c r="I251" s="492">
        <f>SUM(B251:H251)</f>
        <v>964.46</v>
      </c>
      <c r="J251" s="491">
        <f t="shared" ref="J251:O251" si="21">SUM(J210:J250)</f>
        <v>255.44</v>
      </c>
      <c r="K251" s="491">
        <f t="shared" si="21"/>
        <v>286.11</v>
      </c>
      <c r="L251" s="491">
        <f t="shared" si="21"/>
        <v>84.86</v>
      </c>
      <c r="M251" s="491">
        <f t="shared" si="21"/>
        <v>0</v>
      </c>
      <c r="N251" s="491">
        <f t="shared" si="21"/>
        <v>31</v>
      </c>
      <c r="O251" s="491">
        <f t="shared" si="21"/>
        <v>284.81</v>
      </c>
      <c r="P251" s="491">
        <f>SUM(P210:P250)</f>
        <v>331.36</v>
      </c>
      <c r="Q251" s="493">
        <f>SUM(J251:P251)</f>
        <v>1273.58</v>
      </c>
      <c r="R251" s="491">
        <f t="shared" ref="R251:W251" si="22">SUM(R210:R250)</f>
        <v>60</v>
      </c>
      <c r="S251" s="491">
        <f t="shared" si="22"/>
        <v>171.21</v>
      </c>
      <c r="T251" s="491">
        <f t="shared" si="22"/>
        <v>165.21</v>
      </c>
      <c r="U251" s="491">
        <f t="shared" si="22"/>
        <v>107.85</v>
      </c>
      <c r="V251" s="491">
        <f t="shared" si="22"/>
        <v>137.33000000000001</v>
      </c>
      <c r="W251" s="494">
        <f t="shared" si="22"/>
        <v>136.93</v>
      </c>
      <c r="X251" s="494">
        <f>SUM(X210:X250)</f>
        <v>158.88999999999999</v>
      </c>
      <c r="Y251" s="492">
        <f>SUM(R251:X251)</f>
        <v>937.42</v>
      </c>
      <c r="Z251" s="491">
        <f t="shared" ref="Z251:AE251" si="23">SUM(Z210:Z250)</f>
        <v>197.09</v>
      </c>
      <c r="AA251" s="491">
        <f t="shared" si="23"/>
        <v>206.34</v>
      </c>
      <c r="AB251" s="491">
        <f t="shared" si="23"/>
        <v>191.10000000000002</v>
      </c>
      <c r="AC251" s="491">
        <f t="shared" si="23"/>
        <v>90.45</v>
      </c>
      <c r="AD251" s="491">
        <f t="shared" si="23"/>
        <v>276.83999999999997</v>
      </c>
      <c r="AE251" s="491">
        <f t="shared" si="23"/>
        <v>51.7</v>
      </c>
      <c r="AF251" s="491">
        <f>SUM(AF210:AF250)</f>
        <v>355.51</v>
      </c>
      <c r="AG251" s="491">
        <f>SUM(AG210:AG250)</f>
        <v>137.5</v>
      </c>
      <c r="AH251" s="491">
        <f>SUM(AH210:AH250)</f>
        <v>109.45</v>
      </c>
      <c r="AI251" s="623">
        <f>SUM(AI210:AI250)</f>
        <v>164.25</v>
      </c>
      <c r="AJ251" s="495"/>
      <c r="AK251" s="496"/>
      <c r="AL251" s="490"/>
    </row>
    <row r="252" spans="1:38" ht="19.5" thickBot="1" x14ac:dyDescent="0.35">
      <c r="A252" s="272"/>
      <c r="B252" s="265" t="s">
        <v>293</v>
      </c>
      <c r="C252" s="265" t="s">
        <v>277</v>
      </c>
      <c r="D252" s="265" t="s">
        <v>295</v>
      </c>
      <c r="E252" s="265" t="s">
        <v>296</v>
      </c>
      <c r="F252" s="265" t="s">
        <v>298</v>
      </c>
      <c r="G252" s="265" t="s">
        <v>300</v>
      </c>
      <c r="H252" s="265" t="s">
        <v>276</v>
      </c>
      <c r="I252" s="334"/>
      <c r="J252" s="265" t="s">
        <v>284</v>
      </c>
      <c r="K252" s="265" t="s">
        <v>279</v>
      </c>
      <c r="L252" s="265" t="s">
        <v>282</v>
      </c>
      <c r="M252" s="265" t="s">
        <v>313</v>
      </c>
      <c r="N252" s="265" t="s">
        <v>314</v>
      </c>
      <c r="O252" s="265" t="s">
        <v>281</v>
      </c>
      <c r="P252" s="265" t="s">
        <v>283</v>
      </c>
      <c r="Q252" s="334"/>
      <c r="R252" s="265" t="s">
        <v>325</v>
      </c>
      <c r="S252" s="265" t="s">
        <v>284</v>
      </c>
      <c r="T252" s="265" t="s">
        <v>278</v>
      </c>
      <c r="U252" s="265" t="s">
        <v>280</v>
      </c>
      <c r="V252" s="265" t="s">
        <v>280</v>
      </c>
      <c r="W252" s="265" t="s">
        <v>280</v>
      </c>
      <c r="X252" s="265" t="s">
        <v>278</v>
      </c>
      <c r="Y252" s="334"/>
      <c r="Z252" s="265" t="s">
        <v>284</v>
      </c>
      <c r="AA252" s="265" t="s">
        <v>284</v>
      </c>
      <c r="AB252" s="265" t="s">
        <v>281</v>
      </c>
      <c r="AC252" s="265" t="s">
        <v>282</v>
      </c>
      <c r="AD252" s="265" t="s">
        <v>332</v>
      </c>
      <c r="AE252" s="265" t="s">
        <v>325</v>
      </c>
      <c r="AF252" s="265" t="s">
        <v>279</v>
      </c>
      <c r="AG252" s="265" t="s">
        <v>280</v>
      </c>
      <c r="AH252" s="265" t="s">
        <v>280</v>
      </c>
      <c r="AI252" s="265" t="s">
        <v>278</v>
      </c>
      <c r="AJ252" s="334"/>
      <c r="AK252" s="273"/>
      <c r="AL252" s="228"/>
    </row>
    <row r="253" spans="1:38" ht="24" thickBot="1" x14ac:dyDescent="0.4">
      <c r="A253" s="294" t="s">
        <v>110</v>
      </c>
      <c r="B253" s="295"/>
      <c r="C253" s="295"/>
      <c r="D253" s="295"/>
      <c r="E253" s="295"/>
      <c r="F253" s="295"/>
      <c r="G253" s="296"/>
      <c r="H253" s="296"/>
      <c r="I253" s="296"/>
      <c r="J253" s="296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  <c r="AD253" s="296"/>
      <c r="AE253" s="296"/>
      <c r="AF253" s="296"/>
      <c r="AG253" s="296"/>
      <c r="AH253" s="296"/>
      <c r="AI253" s="296"/>
      <c r="AJ253" s="301"/>
      <c r="AK253" s="462"/>
      <c r="AL253" s="301"/>
    </row>
    <row r="254" spans="1:38" ht="16.5" thickBot="1" x14ac:dyDescent="0.3">
      <c r="A254" s="511" t="s">
        <v>2</v>
      </c>
      <c r="B254" s="465">
        <v>1</v>
      </c>
      <c r="C254" s="465">
        <v>2</v>
      </c>
      <c r="D254" s="465">
        <v>3</v>
      </c>
      <c r="E254" s="465">
        <v>4</v>
      </c>
      <c r="F254" s="465">
        <v>5</v>
      </c>
      <c r="G254" s="465">
        <v>6</v>
      </c>
      <c r="H254" s="465">
        <v>7</v>
      </c>
      <c r="I254" s="466" t="s">
        <v>6</v>
      </c>
      <c r="J254" s="465">
        <v>8</v>
      </c>
      <c r="K254" s="465">
        <v>9</v>
      </c>
      <c r="L254" s="465">
        <v>10</v>
      </c>
      <c r="M254" s="465">
        <v>11</v>
      </c>
      <c r="N254" s="465">
        <v>12</v>
      </c>
      <c r="O254" s="465">
        <v>13</v>
      </c>
      <c r="P254" s="465">
        <v>14</v>
      </c>
      <c r="Q254" s="466" t="s">
        <v>6</v>
      </c>
      <c r="R254" s="465">
        <v>15</v>
      </c>
      <c r="S254" s="465">
        <v>16</v>
      </c>
      <c r="T254" s="465">
        <v>17</v>
      </c>
      <c r="U254" s="465">
        <v>18</v>
      </c>
      <c r="V254" s="465">
        <v>19</v>
      </c>
      <c r="W254" s="465">
        <v>20</v>
      </c>
      <c r="X254" s="465">
        <v>21</v>
      </c>
      <c r="Y254" s="466" t="s">
        <v>6</v>
      </c>
      <c r="Z254" s="465">
        <v>22</v>
      </c>
      <c r="AA254" s="465">
        <v>23</v>
      </c>
      <c r="AB254" s="465">
        <v>24</v>
      </c>
      <c r="AC254" s="465">
        <v>25</v>
      </c>
      <c r="AD254" s="465">
        <v>26</v>
      </c>
      <c r="AE254" s="465">
        <v>27</v>
      </c>
      <c r="AF254" s="465">
        <v>28</v>
      </c>
      <c r="AG254" s="465">
        <v>29</v>
      </c>
      <c r="AH254" s="465">
        <v>30</v>
      </c>
      <c r="AI254" s="465">
        <v>31</v>
      </c>
      <c r="AJ254" s="467" t="s">
        <v>6</v>
      </c>
      <c r="AK254" s="468" t="s">
        <v>0</v>
      </c>
      <c r="AL254" s="469" t="s">
        <v>42</v>
      </c>
    </row>
    <row r="255" spans="1:38" ht="15" customHeight="1" x14ac:dyDescent="0.3">
      <c r="A255" s="61" t="s">
        <v>57</v>
      </c>
      <c r="B255" s="303">
        <v>50</v>
      </c>
      <c r="C255" s="303">
        <v>50</v>
      </c>
      <c r="D255" s="303">
        <v>50</v>
      </c>
      <c r="E255" s="303">
        <v>44.95</v>
      </c>
      <c r="F255" s="303">
        <v>50</v>
      </c>
      <c r="G255" s="303">
        <v>50</v>
      </c>
      <c r="H255" s="303">
        <v>50</v>
      </c>
      <c r="I255" s="304"/>
      <c r="J255" s="303">
        <v>50</v>
      </c>
      <c r="K255" s="303">
        <v>50</v>
      </c>
      <c r="L255" s="303">
        <v>50</v>
      </c>
      <c r="M255" s="303">
        <v>50</v>
      </c>
      <c r="N255" s="551">
        <v>53</v>
      </c>
      <c r="O255" s="303">
        <v>50</v>
      </c>
      <c r="P255" s="303">
        <v>50</v>
      </c>
      <c r="Q255" s="304"/>
      <c r="R255" s="303">
        <v>50</v>
      </c>
      <c r="S255" s="303">
        <v>45.79</v>
      </c>
      <c r="T255" s="411">
        <v>50</v>
      </c>
      <c r="U255" s="303">
        <v>47.91</v>
      </c>
      <c r="V255" s="303">
        <v>48.84</v>
      </c>
      <c r="W255" s="303">
        <v>50</v>
      </c>
      <c r="X255" s="303">
        <v>50</v>
      </c>
      <c r="Y255" s="304"/>
      <c r="Z255" s="303">
        <v>50</v>
      </c>
      <c r="AA255" s="303">
        <v>44.86</v>
      </c>
      <c r="AB255" s="303">
        <v>50</v>
      </c>
      <c r="AC255" s="577">
        <v>0</v>
      </c>
      <c r="AD255" s="303">
        <v>50</v>
      </c>
      <c r="AE255" s="303">
        <v>50</v>
      </c>
      <c r="AF255" s="303">
        <v>50</v>
      </c>
      <c r="AG255" s="303">
        <v>50</v>
      </c>
      <c r="AH255" s="303">
        <v>43.16</v>
      </c>
      <c r="AI255" s="510">
        <v>50</v>
      </c>
      <c r="AJ255" s="304"/>
      <c r="AK255" s="540">
        <v>1008.38</v>
      </c>
      <c r="AL255" s="207"/>
    </row>
    <row r="256" spans="1:38" ht="15" customHeight="1" x14ac:dyDescent="0.3">
      <c r="A256" s="11" t="s">
        <v>58</v>
      </c>
      <c r="B256" s="1">
        <v>47.3</v>
      </c>
      <c r="C256" s="1">
        <v>50</v>
      </c>
      <c r="D256" s="1">
        <v>49.19</v>
      </c>
      <c r="E256" s="1">
        <v>50</v>
      </c>
      <c r="F256" s="1">
        <v>45.14</v>
      </c>
      <c r="G256" s="1">
        <v>50</v>
      </c>
      <c r="H256" s="1">
        <v>50</v>
      </c>
      <c r="I256" s="37"/>
      <c r="J256" s="1">
        <v>50</v>
      </c>
      <c r="K256" s="1">
        <v>45.72</v>
      </c>
      <c r="L256" s="1">
        <v>45.74</v>
      </c>
      <c r="M256" s="1">
        <v>44.73</v>
      </c>
      <c r="N256" s="1">
        <v>47</v>
      </c>
      <c r="O256" s="1">
        <v>41.34</v>
      </c>
      <c r="P256" s="1">
        <v>46.81</v>
      </c>
      <c r="Q256" s="37"/>
      <c r="R256" s="1">
        <v>43.4</v>
      </c>
      <c r="S256" s="1">
        <v>40.01</v>
      </c>
      <c r="T256" s="57">
        <v>50</v>
      </c>
      <c r="U256" s="1">
        <v>50</v>
      </c>
      <c r="V256" s="1">
        <v>46.51</v>
      </c>
      <c r="W256" s="1">
        <v>50</v>
      </c>
      <c r="X256" s="1">
        <v>50</v>
      </c>
      <c r="Y256" s="37"/>
      <c r="Z256" s="1">
        <v>47.73</v>
      </c>
      <c r="AA256" s="1">
        <v>50</v>
      </c>
      <c r="AB256" s="1">
        <v>50</v>
      </c>
      <c r="AC256" s="1">
        <v>50</v>
      </c>
      <c r="AD256" s="118">
        <v>40.07</v>
      </c>
      <c r="AE256" s="1">
        <v>50</v>
      </c>
      <c r="AF256" s="1">
        <v>47.84</v>
      </c>
      <c r="AG256" s="1">
        <v>50</v>
      </c>
      <c r="AH256" s="1">
        <v>50</v>
      </c>
      <c r="AI256" s="564">
        <v>37.32</v>
      </c>
      <c r="AJ256" s="37"/>
      <c r="AK256" s="538">
        <v>1020.97</v>
      </c>
      <c r="AL256" s="197"/>
    </row>
    <row r="257" spans="1:38" ht="15" customHeight="1" x14ac:dyDescent="0.3">
      <c r="A257" s="62" t="s">
        <v>59</v>
      </c>
      <c r="B257" s="123">
        <v>50</v>
      </c>
      <c r="C257" s="123">
        <v>44.61</v>
      </c>
      <c r="D257" s="123">
        <v>33.520000000000003</v>
      </c>
      <c r="E257" s="123">
        <v>50</v>
      </c>
      <c r="F257" s="123">
        <v>50</v>
      </c>
      <c r="G257" s="123">
        <v>45.92</v>
      </c>
      <c r="H257" s="123">
        <v>47.75</v>
      </c>
      <c r="I257" s="43"/>
      <c r="J257" s="178">
        <v>50</v>
      </c>
      <c r="K257" s="123">
        <v>50</v>
      </c>
      <c r="L257" s="123">
        <v>50</v>
      </c>
      <c r="M257" s="123">
        <v>50</v>
      </c>
      <c r="N257" s="550">
        <v>62</v>
      </c>
      <c r="O257" s="123">
        <v>37.619999999999997</v>
      </c>
      <c r="P257" s="123">
        <v>47.01</v>
      </c>
      <c r="Q257" s="43"/>
      <c r="R257" s="123">
        <v>50</v>
      </c>
      <c r="S257" s="123">
        <v>50</v>
      </c>
      <c r="T257" s="178">
        <v>50</v>
      </c>
      <c r="U257" s="123">
        <v>42.09</v>
      </c>
      <c r="V257" s="123">
        <v>50</v>
      </c>
      <c r="W257" s="123">
        <v>50</v>
      </c>
      <c r="X257" s="123">
        <v>46.78</v>
      </c>
      <c r="Y257" s="43"/>
      <c r="Z257" s="123">
        <v>41.67</v>
      </c>
      <c r="AA257" s="123">
        <v>50</v>
      </c>
      <c r="AB257" s="123">
        <v>36.44</v>
      </c>
      <c r="AC257" s="123">
        <v>50</v>
      </c>
      <c r="AD257" s="119">
        <v>34.99</v>
      </c>
      <c r="AE257" s="596">
        <v>0</v>
      </c>
      <c r="AF257" s="123">
        <v>49.58</v>
      </c>
      <c r="AG257" s="123">
        <v>41.58</v>
      </c>
      <c r="AH257" s="119">
        <v>38.71</v>
      </c>
      <c r="AI257" s="565">
        <v>44.35</v>
      </c>
      <c r="AJ257" s="43"/>
      <c r="AK257" s="560">
        <v>1011.33</v>
      </c>
      <c r="AL257" s="204"/>
    </row>
    <row r="258" spans="1:38" ht="15" customHeight="1" thickBot="1" x14ac:dyDescent="0.35">
      <c r="A258" s="349"/>
      <c r="B258" s="274"/>
      <c r="C258" s="274"/>
      <c r="D258" s="274"/>
      <c r="E258" s="274"/>
      <c r="F258" s="274"/>
      <c r="G258" s="275"/>
      <c r="H258" s="275"/>
      <c r="I258" s="269"/>
      <c r="J258" s="270"/>
      <c r="K258" s="268"/>
      <c r="L258" s="275"/>
      <c r="M258" s="268"/>
      <c r="N258" s="275"/>
      <c r="O258" s="268"/>
      <c r="P258" s="275"/>
      <c r="Q258" s="269"/>
      <c r="R258" s="153"/>
      <c r="S258" s="275"/>
      <c r="T258" s="239"/>
      <c r="U258" s="268"/>
      <c r="V258" s="275"/>
      <c r="W258" s="275"/>
      <c r="X258" s="268"/>
      <c r="Y258" s="269"/>
      <c r="Z258" s="275"/>
      <c r="AA258" s="153"/>
      <c r="AB258" s="268"/>
      <c r="AC258" s="275"/>
      <c r="AD258" s="268"/>
      <c r="AE258" s="275"/>
      <c r="AF258" s="275"/>
      <c r="AG258" s="275"/>
      <c r="AH258" s="268"/>
      <c r="AI258" s="268"/>
      <c r="AJ258" s="269"/>
      <c r="AK258" s="271"/>
      <c r="AL258" s="204"/>
    </row>
    <row r="259" spans="1:38" ht="18.75" x14ac:dyDescent="0.3">
      <c r="A259" s="485" t="s">
        <v>2</v>
      </c>
      <c r="B259" s="486">
        <f t="shared" ref="B259:G259" si="24">SUM(B255:B258)</f>
        <v>147.30000000000001</v>
      </c>
      <c r="C259" s="486">
        <f t="shared" si="24"/>
        <v>144.61000000000001</v>
      </c>
      <c r="D259" s="486">
        <f t="shared" si="24"/>
        <v>132.71</v>
      </c>
      <c r="E259" s="486">
        <f t="shared" si="24"/>
        <v>144.94999999999999</v>
      </c>
      <c r="F259" s="486">
        <f t="shared" si="24"/>
        <v>145.13999999999999</v>
      </c>
      <c r="G259" s="486">
        <f t="shared" si="24"/>
        <v>145.92000000000002</v>
      </c>
      <c r="H259" s="486">
        <f>SUM(H255:H258)</f>
        <v>147.75</v>
      </c>
      <c r="I259" s="487">
        <f>SUM(B259:H259)</f>
        <v>1008.3799999999999</v>
      </c>
      <c r="J259" s="486">
        <f t="shared" ref="J259:O259" si="25">SUM(J255:J258)</f>
        <v>150</v>
      </c>
      <c r="K259" s="486">
        <f t="shared" si="25"/>
        <v>145.72</v>
      </c>
      <c r="L259" s="486">
        <f t="shared" si="25"/>
        <v>145.74</v>
      </c>
      <c r="M259" s="486">
        <f t="shared" si="25"/>
        <v>144.72999999999999</v>
      </c>
      <c r="N259" s="486">
        <f t="shared" si="25"/>
        <v>162</v>
      </c>
      <c r="O259" s="486">
        <f t="shared" si="25"/>
        <v>128.96</v>
      </c>
      <c r="P259" s="486">
        <f>SUM(P255:P258)</f>
        <v>143.82</v>
      </c>
      <c r="Q259" s="487">
        <f>SUM(J259:P259)</f>
        <v>1020.97</v>
      </c>
      <c r="R259" s="486">
        <f t="shared" ref="R259:W259" si="26">SUM(R255:R258)</f>
        <v>143.4</v>
      </c>
      <c r="S259" s="486">
        <f t="shared" si="26"/>
        <v>135.80000000000001</v>
      </c>
      <c r="T259" s="488">
        <f t="shared" si="26"/>
        <v>150</v>
      </c>
      <c r="U259" s="486">
        <f t="shared" si="26"/>
        <v>140</v>
      </c>
      <c r="V259" s="486">
        <f t="shared" si="26"/>
        <v>145.35</v>
      </c>
      <c r="W259" s="486">
        <f t="shared" si="26"/>
        <v>150</v>
      </c>
      <c r="X259" s="486">
        <f>SUM(X255:X258)</f>
        <v>146.78</v>
      </c>
      <c r="Y259" s="487">
        <f>SUM(R259:X259)</f>
        <v>1011.33</v>
      </c>
      <c r="Z259" s="486">
        <f t="shared" ref="Z259:AE259" si="27">SUM(Z255:Z258)</f>
        <v>139.39999999999998</v>
      </c>
      <c r="AA259" s="486">
        <f t="shared" si="27"/>
        <v>144.86000000000001</v>
      </c>
      <c r="AB259" s="486">
        <f t="shared" si="27"/>
        <v>136.44</v>
      </c>
      <c r="AC259" s="486">
        <f t="shared" si="27"/>
        <v>100</v>
      </c>
      <c r="AD259" s="486">
        <f t="shared" si="27"/>
        <v>125.06</v>
      </c>
      <c r="AE259" s="486">
        <f t="shared" si="27"/>
        <v>100</v>
      </c>
      <c r="AF259" s="486">
        <f>SUM(AF255:AF258)</f>
        <v>147.42000000000002</v>
      </c>
      <c r="AG259" s="486">
        <f>SUM(AG255:AG258)</f>
        <v>141.57999999999998</v>
      </c>
      <c r="AH259" s="486">
        <f>SUM(AH255:AH258)</f>
        <v>131.87</v>
      </c>
      <c r="AI259" s="486">
        <f>SUM(AI255:AI258)</f>
        <v>131.66999999999999</v>
      </c>
      <c r="AJ259" s="489"/>
      <c r="AK259" s="489"/>
      <c r="AL259" s="490"/>
    </row>
    <row r="260" spans="1:38" ht="15.75" thickBot="1" x14ac:dyDescent="0.3">
      <c r="A260" s="264"/>
      <c r="B260" s="265" t="s">
        <v>285</v>
      </c>
      <c r="C260" s="265" t="s">
        <v>285</v>
      </c>
      <c r="D260" s="265" t="s">
        <v>285</v>
      </c>
      <c r="E260" s="265" t="s">
        <v>285</v>
      </c>
      <c r="F260" s="265" t="s">
        <v>285</v>
      </c>
      <c r="G260" s="265" t="s">
        <v>285</v>
      </c>
      <c r="H260" s="265" t="s">
        <v>285</v>
      </c>
      <c r="I260" s="361"/>
      <c r="J260" s="265" t="s">
        <v>285</v>
      </c>
      <c r="K260" s="265" t="s">
        <v>285</v>
      </c>
      <c r="L260" s="265" t="s">
        <v>285</v>
      </c>
      <c r="M260" s="265" t="s">
        <v>285</v>
      </c>
      <c r="N260" s="265" t="s">
        <v>285</v>
      </c>
      <c r="O260" s="265" t="s">
        <v>285</v>
      </c>
      <c r="P260" s="265" t="s">
        <v>285</v>
      </c>
      <c r="Q260" s="361"/>
      <c r="R260" s="265" t="s">
        <v>285</v>
      </c>
      <c r="S260" s="265" t="s">
        <v>285</v>
      </c>
      <c r="T260" s="265" t="s">
        <v>285</v>
      </c>
      <c r="U260" s="265" t="s">
        <v>285</v>
      </c>
      <c r="V260" s="265" t="s">
        <v>285</v>
      </c>
      <c r="W260" s="265" t="s">
        <v>285</v>
      </c>
      <c r="X260" s="265" t="s">
        <v>285</v>
      </c>
      <c r="Y260" s="361"/>
      <c r="Z260" s="265" t="s">
        <v>285</v>
      </c>
      <c r="AA260" s="265" t="s">
        <v>285</v>
      </c>
      <c r="AB260" s="265" t="s">
        <v>285</v>
      </c>
      <c r="AC260" s="265" t="s">
        <v>331</v>
      </c>
      <c r="AD260" s="265" t="s">
        <v>285</v>
      </c>
      <c r="AE260" s="265" t="s">
        <v>331</v>
      </c>
      <c r="AF260" s="265" t="s">
        <v>285</v>
      </c>
      <c r="AG260" s="265" t="s">
        <v>285</v>
      </c>
      <c r="AH260" s="265" t="s">
        <v>285</v>
      </c>
      <c r="AI260" s="265" t="s">
        <v>285</v>
      </c>
      <c r="AJ260" s="361"/>
      <c r="AK260" s="362"/>
      <c r="AL260" s="363"/>
    </row>
    <row r="261" spans="1:38" ht="24" thickBot="1" x14ac:dyDescent="0.4">
      <c r="A261" s="252" t="s">
        <v>111</v>
      </c>
      <c r="B261" s="258"/>
      <c r="C261" s="258"/>
      <c r="D261" s="258"/>
      <c r="E261" s="258"/>
      <c r="F261" s="258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254"/>
      <c r="AG261" s="254"/>
      <c r="AH261" s="254"/>
      <c r="AI261" s="254"/>
      <c r="AJ261" s="260"/>
      <c r="AK261" s="261"/>
      <c r="AL261" s="260"/>
    </row>
    <row r="262" spans="1:38" ht="15" customHeight="1" x14ac:dyDescent="0.3">
      <c r="A262" s="11" t="s">
        <v>54</v>
      </c>
      <c r="B262" s="1">
        <v>33.79</v>
      </c>
      <c r="C262" s="1">
        <v>28.99</v>
      </c>
      <c r="D262" s="1">
        <v>37.82</v>
      </c>
      <c r="E262" s="1">
        <v>32.57</v>
      </c>
      <c r="F262" s="1">
        <v>40</v>
      </c>
      <c r="G262" s="1">
        <v>37.78</v>
      </c>
      <c r="H262" s="1">
        <v>33.26</v>
      </c>
      <c r="I262" s="37"/>
      <c r="J262" s="118">
        <v>34.090000000000003</v>
      </c>
      <c r="K262" s="118">
        <v>37.35</v>
      </c>
      <c r="L262" s="1">
        <v>36.43</v>
      </c>
      <c r="M262" s="1">
        <v>40</v>
      </c>
      <c r="N262" s="1">
        <v>36</v>
      </c>
      <c r="O262" s="118">
        <v>29.51</v>
      </c>
      <c r="P262" s="1">
        <v>24.68</v>
      </c>
      <c r="Q262" s="37"/>
      <c r="R262" s="1">
        <v>32.43</v>
      </c>
      <c r="S262" s="1">
        <v>30.67</v>
      </c>
      <c r="T262" s="1">
        <v>40</v>
      </c>
      <c r="U262" s="1">
        <v>33.200000000000003</v>
      </c>
      <c r="V262" s="1">
        <v>32.69</v>
      </c>
      <c r="W262" s="1">
        <v>35.409999999999997</v>
      </c>
      <c r="X262" s="1">
        <v>30.27</v>
      </c>
      <c r="Y262" s="37"/>
      <c r="Z262" s="1">
        <v>32.43</v>
      </c>
      <c r="AA262" s="1">
        <v>27.48</v>
      </c>
      <c r="AB262" s="1">
        <v>31.68</v>
      </c>
      <c r="AC262" s="1">
        <v>34.75</v>
      </c>
      <c r="AD262" s="1">
        <v>40</v>
      </c>
      <c r="AE262" s="1">
        <v>40</v>
      </c>
      <c r="AF262" s="1">
        <v>35.25</v>
      </c>
      <c r="AG262" s="1">
        <v>40</v>
      </c>
      <c r="AH262" s="1">
        <v>31.37</v>
      </c>
      <c r="AI262" s="55">
        <v>33.29</v>
      </c>
      <c r="AJ262" s="37"/>
      <c r="AK262" s="539">
        <v>719.31</v>
      </c>
      <c r="AL262" s="197"/>
    </row>
    <row r="263" spans="1:38" ht="15" customHeight="1" x14ac:dyDescent="0.3">
      <c r="A263" s="11" t="s">
        <v>55</v>
      </c>
      <c r="B263" s="1">
        <v>29.21</v>
      </c>
      <c r="C263" s="1">
        <v>32.659999999999997</v>
      </c>
      <c r="D263" s="1">
        <v>34.64</v>
      </c>
      <c r="E263" s="1">
        <v>31.93</v>
      </c>
      <c r="F263" s="1">
        <v>30.15</v>
      </c>
      <c r="G263" s="1">
        <v>35.07</v>
      </c>
      <c r="H263" s="1">
        <v>35.159999999999997</v>
      </c>
      <c r="I263" s="37"/>
      <c r="J263" s="1">
        <v>40</v>
      </c>
      <c r="K263" s="118">
        <v>34.44</v>
      </c>
      <c r="L263" s="1">
        <v>40</v>
      </c>
      <c r="M263" s="118">
        <v>23.11</v>
      </c>
      <c r="N263" s="1">
        <v>30</v>
      </c>
      <c r="O263" s="1">
        <v>26.67</v>
      </c>
      <c r="P263" s="1">
        <v>36.25</v>
      </c>
      <c r="Q263" s="37"/>
      <c r="R263" s="1">
        <v>32.340000000000003</v>
      </c>
      <c r="S263" s="1">
        <v>28.36</v>
      </c>
      <c r="T263" s="1">
        <v>31.85</v>
      </c>
      <c r="U263" s="1">
        <v>37.74</v>
      </c>
      <c r="V263" s="1">
        <v>40</v>
      </c>
      <c r="W263" s="1">
        <v>25.77</v>
      </c>
      <c r="X263" s="1">
        <v>32.51</v>
      </c>
      <c r="Y263" s="37"/>
      <c r="Z263" s="1">
        <v>31.17</v>
      </c>
      <c r="AA263" s="1">
        <v>28.97</v>
      </c>
      <c r="AB263" s="1">
        <v>26.9</v>
      </c>
      <c r="AC263" s="1">
        <v>37.24</v>
      </c>
      <c r="AD263" s="1">
        <v>42.11</v>
      </c>
      <c r="AE263" s="1">
        <v>31.59</v>
      </c>
      <c r="AF263" s="1">
        <v>26.34</v>
      </c>
      <c r="AG263" s="1">
        <v>40</v>
      </c>
      <c r="AH263" s="1">
        <v>32.58</v>
      </c>
      <c r="AI263" s="55">
        <v>27.93</v>
      </c>
      <c r="AJ263" s="37"/>
      <c r="AK263" s="539">
        <v>722.21</v>
      </c>
      <c r="AL263" s="197"/>
    </row>
    <row r="264" spans="1:38" ht="15" customHeight="1" x14ac:dyDescent="0.3">
      <c r="A264" s="62" t="s">
        <v>56</v>
      </c>
      <c r="B264" s="123">
        <v>34.369999999999997</v>
      </c>
      <c r="C264" s="123">
        <v>37</v>
      </c>
      <c r="D264" s="123">
        <v>31.94</v>
      </c>
      <c r="E264" s="123">
        <v>40</v>
      </c>
      <c r="F264" s="123">
        <v>37.46</v>
      </c>
      <c r="G264" s="123">
        <v>33.96</v>
      </c>
      <c r="H264" s="123">
        <v>31.55</v>
      </c>
      <c r="I264" s="43"/>
      <c r="J264" s="119">
        <v>29.83</v>
      </c>
      <c r="K264" s="123">
        <v>40</v>
      </c>
      <c r="L264" s="123">
        <v>39.869999999999997</v>
      </c>
      <c r="M264" s="119">
        <v>34.99</v>
      </c>
      <c r="N264" s="123">
        <v>49</v>
      </c>
      <c r="O264" s="119">
        <v>27.55</v>
      </c>
      <c r="P264" s="123">
        <v>32.44</v>
      </c>
      <c r="Q264" s="43"/>
      <c r="R264" s="123">
        <v>31.19</v>
      </c>
      <c r="S264" s="123">
        <v>32.69</v>
      </c>
      <c r="T264" s="123">
        <v>31.7</v>
      </c>
      <c r="U264" s="123">
        <v>28.23</v>
      </c>
      <c r="V264" s="123">
        <v>40</v>
      </c>
      <c r="W264" s="123">
        <v>34.880000000000003</v>
      </c>
      <c r="X264" s="123">
        <v>31.27</v>
      </c>
      <c r="Y264" s="43"/>
      <c r="Z264" s="123">
        <v>33.46</v>
      </c>
      <c r="AA264" s="123">
        <v>33.81</v>
      </c>
      <c r="AB264" s="123">
        <v>33.049999999999997</v>
      </c>
      <c r="AC264" s="123">
        <v>37.89</v>
      </c>
      <c r="AD264" s="123">
        <v>33.69</v>
      </c>
      <c r="AE264" s="123">
        <v>39.979999999999997</v>
      </c>
      <c r="AF264" s="123">
        <v>40</v>
      </c>
      <c r="AG264" s="123">
        <v>40</v>
      </c>
      <c r="AH264" s="123">
        <v>31.55</v>
      </c>
      <c r="AI264" s="566">
        <v>29.51</v>
      </c>
      <c r="AJ264" s="43"/>
      <c r="AK264" s="554">
        <v>693.2</v>
      </c>
      <c r="AL264" s="204"/>
    </row>
    <row r="265" spans="1:38" ht="14.25" customHeight="1" x14ac:dyDescent="0.25">
      <c r="A265" s="67"/>
      <c r="B265" s="124"/>
      <c r="C265" s="124"/>
      <c r="D265" s="124"/>
      <c r="E265" s="124"/>
      <c r="F265" s="124"/>
      <c r="G265" s="124"/>
      <c r="H265" s="124"/>
      <c r="I265" s="47"/>
      <c r="J265" s="124"/>
      <c r="K265" s="124"/>
      <c r="L265" s="124"/>
      <c r="M265" s="124"/>
      <c r="N265" s="124"/>
      <c r="O265" s="124"/>
      <c r="P265" s="124"/>
      <c r="Q265" s="47"/>
      <c r="R265" s="124"/>
      <c r="S265" s="124"/>
      <c r="T265" s="124"/>
      <c r="U265" s="124"/>
      <c r="V265" s="124"/>
      <c r="W265" s="124"/>
      <c r="X265" s="124"/>
      <c r="Y265" s="47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37"/>
      <c r="AK265" s="3"/>
      <c r="AL265" s="197"/>
    </row>
    <row r="266" spans="1:38" ht="18.75" x14ac:dyDescent="0.3">
      <c r="A266" s="479" t="s">
        <v>2</v>
      </c>
      <c r="B266" s="480">
        <f t="shared" ref="B266:G266" si="28">SUM(B262:B265)</f>
        <v>97.37</v>
      </c>
      <c r="C266" s="480">
        <f t="shared" si="28"/>
        <v>98.649999999999991</v>
      </c>
      <c r="D266" s="480">
        <f t="shared" si="28"/>
        <v>104.4</v>
      </c>
      <c r="E266" s="480">
        <f t="shared" si="28"/>
        <v>104.5</v>
      </c>
      <c r="F266" s="480">
        <f t="shared" si="28"/>
        <v>107.61000000000001</v>
      </c>
      <c r="G266" s="480">
        <f t="shared" si="28"/>
        <v>106.81</v>
      </c>
      <c r="H266" s="480">
        <f>SUM(H262:H265)</f>
        <v>99.969999999999985</v>
      </c>
      <c r="I266" s="481">
        <f>SUM(B266:H266)</f>
        <v>719.31</v>
      </c>
      <c r="J266" s="480">
        <f t="shared" ref="J266:O266" si="29">SUM(J262:J265)</f>
        <v>103.92</v>
      </c>
      <c r="K266" s="482">
        <f t="shared" si="29"/>
        <v>111.78999999999999</v>
      </c>
      <c r="L266" s="480">
        <f t="shared" si="29"/>
        <v>116.30000000000001</v>
      </c>
      <c r="M266" s="480">
        <f t="shared" si="29"/>
        <v>98.1</v>
      </c>
      <c r="N266" s="480">
        <f t="shared" si="29"/>
        <v>115</v>
      </c>
      <c r="O266" s="482">
        <f t="shared" si="29"/>
        <v>83.73</v>
      </c>
      <c r="P266" s="480">
        <f>SUM(P262:P265)</f>
        <v>93.37</v>
      </c>
      <c r="Q266" s="481">
        <f>SUM(J266:P266)</f>
        <v>722.21</v>
      </c>
      <c r="R266" s="480">
        <f t="shared" ref="R266:W266" si="30">SUM(R262:R265)</f>
        <v>95.960000000000008</v>
      </c>
      <c r="S266" s="480">
        <f t="shared" si="30"/>
        <v>91.72</v>
      </c>
      <c r="T266" s="480">
        <f t="shared" si="30"/>
        <v>103.55</v>
      </c>
      <c r="U266" s="480">
        <f t="shared" si="30"/>
        <v>99.17</v>
      </c>
      <c r="V266" s="480">
        <f t="shared" si="30"/>
        <v>112.69</v>
      </c>
      <c r="W266" s="480">
        <f t="shared" si="30"/>
        <v>96.06</v>
      </c>
      <c r="X266" s="480">
        <f>SUM(X262:X265)</f>
        <v>94.05</v>
      </c>
      <c r="Y266" s="481">
        <f>SUM(R266:X266)</f>
        <v>693.2</v>
      </c>
      <c r="Z266" s="480">
        <f t="shared" ref="Z266:AE266" si="31">SUM(Z262:Z265)</f>
        <v>97.06</v>
      </c>
      <c r="AA266" s="480">
        <f t="shared" si="31"/>
        <v>90.26</v>
      </c>
      <c r="AB266" s="480">
        <f t="shared" si="31"/>
        <v>91.63</v>
      </c>
      <c r="AC266" s="480">
        <f t="shared" si="31"/>
        <v>109.88000000000001</v>
      </c>
      <c r="AD266" s="480">
        <f t="shared" si="31"/>
        <v>115.8</v>
      </c>
      <c r="AE266" s="480">
        <f t="shared" si="31"/>
        <v>111.57</v>
      </c>
      <c r="AF266" s="480">
        <f>SUM(AF262:AF265)</f>
        <v>101.59</v>
      </c>
      <c r="AG266" s="480">
        <f>SUM(AG262:AG265)</f>
        <v>120</v>
      </c>
      <c r="AH266" s="480">
        <f>SUM(AH262:AH265)</f>
        <v>95.5</v>
      </c>
      <c r="AI266" s="480">
        <f>SUM(AI262:AI265)</f>
        <v>90.73</v>
      </c>
      <c r="AJ266" s="483"/>
      <c r="AK266" s="483"/>
      <c r="AL266" s="484"/>
    </row>
    <row r="267" spans="1:38" ht="15.75" thickBot="1" x14ac:dyDescent="0.3">
      <c r="A267" s="364"/>
      <c r="B267" s="265" t="s">
        <v>285</v>
      </c>
      <c r="C267" s="265" t="s">
        <v>285</v>
      </c>
      <c r="D267" s="265" t="s">
        <v>285</v>
      </c>
      <c r="E267" s="265" t="s">
        <v>285</v>
      </c>
      <c r="F267" s="265" t="s">
        <v>285</v>
      </c>
      <c r="G267" s="265" t="s">
        <v>285</v>
      </c>
      <c r="H267" s="265" t="s">
        <v>285</v>
      </c>
      <c r="I267" s="361"/>
      <c r="J267" s="265" t="s">
        <v>285</v>
      </c>
      <c r="K267" s="265" t="s">
        <v>285</v>
      </c>
      <c r="L267" s="265" t="s">
        <v>285</v>
      </c>
      <c r="M267" s="265" t="s">
        <v>285</v>
      </c>
      <c r="N267" s="265" t="s">
        <v>285</v>
      </c>
      <c r="O267" s="265" t="s">
        <v>285</v>
      </c>
      <c r="P267" s="265" t="s">
        <v>285</v>
      </c>
      <c r="Q267" s="361"/>
      <c r="R267" s="265" t="s">
        <v>285</v>
      </c>
      <c r="S267" s="265" t="s">
        <v>285</v>
      </c>
      <c r="T267" s="265" t="s">
        <v>285</v>
      </c>
      <c r="U267" s="265" t="s">
        <v>285</v>
      </c>
      <c r="V267" s="265" t="s">
        <v>285</v>
      </c>
      <c r="W267" s="265" t="s">
        <v>285</v>
      </c>
      <c r="X267" s="265" t="s">
        <v>285</v>
      </c>
      <c r="Y267" s="361"/>
      <c r="Z267" s="265" t="s">
        <v>285</v>
      </c>
      <c r="AA267" s="265" t="s">
        <v>285</v>
      </c>
      <c r="AB267" s="265" t="s">
        <v>285</v>
      </c>
      <c r="AC267" s="265" t="s">
        <v>285</v>
      </c>
      <c r="AD267" s="265" t="s">
        <v>285</v>
      </c>
      <c r="AE267" s="265" t="s">
        <v>285</v>
      </c>
      <c r="AF267" s="265" t="s">
        <v>285</v>
      </c>
      <c r="AG267" s="265" t="s">
        <v>285</v>
      </c>
      <c r="AH267" s="265" t="s">
        <v>285</v>
      </c>
      <c r="AI267" s="265" t="s">
        <v>285</v>
      </c>
      <c r="AJ267" s="361"/>
      <c r="AK267" s="362"/>
      <c r="AL267" s="363"/>
    </row>
    <row r="268" spans="1:38" ht="24" thickBot="1" x14ac:dyDescent="0.4">
      <c r="A268" s="512" t="s">
        <v>112</v>
      </c>
      <c r="B268" s="295"/>
      <c r="C268" s="295"/>
      <c r="D268" s="295"/>
      <c r="E268" s="295"/>
      <c r="F268" s="295"/>
      <c r="G268" s="296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301"/>
      <c r="AK268" s="462"/>
      <c r="AL268" s="301"/>
    </row>
    <row r="269" spans="1:38" ht="16.5" thickBot="1" x14ac:dyDescent="0.3">
      <c r="A269" s="464" t="s">
        <v>24</v>
      </c>
      <c r="B269" s="465">
        <v>1</v>
      </c>
      <c r="C269" s="465">
        <v>2</v>
      </c>
      <c r="D269" s="465">
        <v>3</v>
      </c>
      <c r="E269" s="465">
        <v>4</v>
      </c>
      <c r="F269" s="465">
        <v>5</v>
      </c>
      <c r="G269" s="465">
        <v>6</v>
      </c>
      <c r="H269" s="465">
        <v>7</v>
      </c>
      <c r="I269" s="466" t="s">
        <v>6</v>
      </c>
      <c r="J269" s="465">
        <v>8</v>
      </c>
      <c r="K269" s="465">
        <v>9</v>
      </c>
      <c r="L269" s="465">
        <v>10</v>
      </c>
      <c r="M269" s="465">
        <v>11</v>
      </c>
      <c r="N269" s="465">
        <v>12</v>
      </c>
      <c r="O269" s="465">
        <v>13</v>
      </c>
      <c r="P269" s="465">
        <v>14</v>
      </c>
      <c r="Q269" s="466" t="s">
        <v>6</v>
      </c>
      <c r="R269" s="465">
        <v>15</v>
      </c>
      <c r="S269" s="465">
        <v>16</v>
      </c>
      <c r="T269" s="465">
        <v>17</v>
      </c>
      <c r="U269" s="465">
        <v>18</v>
      </c>
      <c r="V269" s="465">
        <v>19</v>
      </c>
      <c r="W269" s="465">
        <v>20</v>
      </c>
      <c r="X269" s="465">
        <v>21</v>
      </c>
      <c r="Y269" s="466" t="s">
        <v>6</v>
      </c>
      <c r="Z269" s="465">
        <v>22</v>
      </c>
      <c r="AA269" s="465">
        <v>23</v>
      </c>
      <c r="AB269" s="465">
        <v>24</v>
      </c>
      <c r="AC269" s="465">
        <v>25</v>
      </c>
      <c r="AD269" s="465">
        <v>26</v>
      </c>
      <c r="AE269" s="465">
        <v>27</v>
      </c>
      <c r="AF269" s="465">
        <v>28</v>
      </c>
      <c r="AG269" s="465">
        <v>29</v>
      </c>
      <c r="AH269" s="465">
        <v>30</v>
      </c>
      <c r="AI269" s="465">
        <v>31</v>
      </c>
      <c r="AJ269" s="467" t="s">
        <v>6</v>
      </c>
      <c r="AK269" s="468" t="s">
        <v>0</v>
      </c>
      <c r="AL269" s="469" t="s">
        <v>42</v>
      </c>
    </row>
    <row r="270" spans="1:38" x14ac:dyDescent="0.25">
      <c r="A270" s="61" t="s">
        <v>92</v>
      </c>
      <c r="B270" s="577">
        <v>0</v>
      </c>
      <c r="C270" s="577">
        <v>0</v>
      </c>
      <c r="D270" s="577">
        <v>0</v>
      </c>
      <c r="E270" s="577">
        <v>0</v>
      </c>
      <c r="F270" s="577">
        <v>0</v>
      </c>
      <c r="G270" s="577">
        <v>0</v>
      </c>
      <c r="H270" s="577">
        <v>0</v>
      </c>
      <c r="I270" s="602"/>
      <c r="J270" s="577">
        <v>0</v>
      </c>
      <c r="K270" s="577">
        <v>0</v>
      </c>
      <c r="L270" s="577">
        <v>0</v>
      </c>
      <c r="M270" s="577">
        <v>0</v>
      </c>
      <c r="N270" s="577">
        <v>0</v>
      </c>
      <c r="O270" s="577">
        <v>0</v>
      </c>
      <c r="P270" s="577">
        <v>0</v>
      </c>
      <c r="Q270" s="602"/>
      <c r="R270" s="577">
        <v>0</v>
      </c>
      <c r="S270" s="577">
        <v>0</v>
      </c>
      <c r="T270" s="577">
        <v>0</v>
      </c>
      <c r="U270" s="577">
        <v>0</v>
      </c>
      <c r="V270" s="577">
        <v>0</v>
      </c>
      <c r="W270" s="577">
        <v>0</v>
      </c>
      <c r="X270" s="577">
        <v>0</v>
      </c>
      <c r="Y270" s="602"/>
      <c r="Z270" s="577">
        <v>0</v>
      </c>
      <c r="AA270" s="577">
        <v>0</v>
      </c>
      <c r="AB270" s="577">
        <v>0</v>
      </c>
      <c r="AC270" s="577">
        <v>0</v>
      </c>
      <c r="AD270" s="577">
        <v>0</v>
      </c>
      <c r="AE270" s="577">
        <v>0</v>
      </c>
      <c r="AF270" s="577">
        <v>0</v>
      </c>
      <c r="AG270" s="577">
        <v>0</v>
      </c>
      <c r="AH270" s="577">
        <v>0</v>
      </c>
      <c r="AI270" s="513">
        <v>0</v>
      </c>
      <c r="AJ270" s="304"/>
      <c r="AK270" s="184"/>
      <c r="AL270" s="207"/>
    </row>
    <row r="271" spans="1:38" ht="15" customHeight="1" x14ac:dyDescent="0.3">
      <c r="A271" s="11" t="s">
        <v>94</v>
      </c>
      <c r="B271" s="594"/>
      <c r="C271" s="594"/>
      <c r="D271" s="594"/>
      <c r="E271" s="594"/>
      <c r="F271" s="594"/>
      <c r="G271" s="594"/>
      <c r="H271" s="594"/>
      <c r="I271" s="111"/>
      <c r="J271" s="594"/>
      <c r="K271" s="594"/>
      <c r="L271" s="594"/>
      <c r="M271" s="594"/>
      <c r="N271" s="594"/>
      <c r="O271" s="594"/>
      <c r="P271" s="594"/>
      <c r="Q271" s="111"/>
      <c r="R271" s="594"/>
      <c r="S271" s="531"/>
      <c r="T271" s="531"/>
      <c r="U271" s="594"/>
      <c r="V271" s="594"/>
      <c r="W271" s="594"/>
      <c r="X271" s="594"/>
      <c r="Y271" s="111"/>
      <c r="Z271" s="594"/>
      <c r="AA271" s="594"/>
      <c r="AB271" s="594"/>
      <c r="AC271" s="594"/>
      <c r="AD271" s="594"/>
      <c r="AE271" s="594"/>
      <c r="AF271" s="594"/>
      <c r="AG271" s="594"/>
      <c r="AH271" s="537"/>
      <c r="AI271" s="60"/>
      <c r="AJ271" s="37"/>
      <c r="AK271" s="340"/>
      <c r="AL271" s="197"/>
    </row>
    <row r="272" spans="1:38" ht="15" customHeight="1" x14ac:dyDescent="0.3">
      <c r="A272" s="11" t="s">
        <v>95</v>
      </c>
      <c r="B272" s="594"/>
      <c r="C272" s="594"/>
      <c r="D272" s="594"/>
      <c r="E272" s="594"/>
      <c r="F272" s="594"/>
      <c r="G272" s="594"/>
      <c r="H272" s="594"/>
      <c r="I272" s="111"/>
      <c r="J272" s="594"/>
      <c r="K272" s="594"/>
      <c r="L272" s="594"/>
      <c r="M272" s="594"/>
      <c r="N272" s="594"/>
      <c r="O272" s="594"/>
      <c r="P272" s="594"/>
      <c r="Q272" s="111"/>
      <c r="R272" s="594"/>
      <c r="S272" s="594"/>
      <c r="T272" s="594"/>
      <c r="U272" s="594"/>
      <c r="V272" s="531"/>
      <c r="W272" s="594"/>
      <c r="X272" s="594"/>
      <c r="Y272" s="111"/>
      <c r="Z272" s="594"/>
      <c r="AA272" s="594"/>
      <c r="AB272" s="594"/>
      <c r="AC272" s="594"/>
      <c r="AD272" s="594"/>
      <c r="AE272" s="594"/>
      <c r="AF272" s="594"/>
      <c r="AG272" s="594"/>
      <c r="AH272" s="537"/>
      <c r="AI272" s="60"/>
      <c r="AJ272" s="37"/>
      <c r="AK272" s="340"/>
      <c r="AL272" s="197"/>
    </row>
    <row r="273" spans="1:40" ht="15" customHeight="1" x14ac:dyDescent="0.3">
      <c r="A273" s="11" t="s">
        <v>96</v>
      </c>
      <c r="B273" s="594"/>
      <c r="C273" s="594"/>
      <c r="D273" s="594"/>
      <c r="E273" s="594"/>
      <c r="F273" s="594"/>
      <c r="G273" s="594"/>
      <c r="H273" s="594"/>
      <c r="I273" s="111"/>
      <c r="J273" s="594"/>
      <c r="K273" s="594"/>
      <c r="L273" s="594"/>
      <c r="M273" s="594"/>
      <c r="N273" s="594"/>
      <c r="O273" s="594"/>
      <c r="P273" s="594"/>
      <c r="Q273" s="111"/>
      <c r="R273" s="594"/>
      <c r="S273" s="594"/>
      <c r="T273" s="594"/>
      <c r="U273" s="594"/>
      <c r="V273" s="594"/>
      <c r="W273" s="594"/>
      <c r="X273" s="594"/>
      <c r="Y273" s="111"/>
      <c r="Z273" s="594"/>
      <c r="AA273" s="594"/>
      <c r="AB273" s="594"/>
      <c r="AC273" s="594"/>
      <c r="AD273" s="594"/>
      <c r="AE273" s="594"/>
      <c r="AF273" s="594"/>
      <c r="AG273" s="594"/>
      <c r="AH273" s="537"/>
      <c r="AI273" s="60"/>
      <c r="AJ273" s="37"/>
      <c r="AK273" s="538">
        <v>1000</v>
      </c>
      <c r="AL273" s="197"/>
    </row>
    <row r="274" spans="1:40" ht="18.75" x14ac:dyDescent="0.3">
      <c r="A274" s="11" t="s">
        <v>97</v>
      </c>
      <c r="B274" s="124"/>
      <c r="C274" s="124"/>
      <c r="D274" s="124"/>
      <c r="E274" s="124"/>
      <c r="F274" s="124"/>
      <c r="G274" s="124"/>
      <c r="H274" s="135">
        <v>1000</v>
      </c>
      <c r="I274" s="111"/>
      <c r="J274" s="531"/>
      <c r="K274" s="531"/>
      <c r="L274" s="531"/>
      <c r="M274" s="531"/>
      <c r="N274" s="531"/>
      <c r="O274" s="531"/>
      <c r="P274" s="531"/>
      <c r="Q274" s="111"/>
      <c r="R274" s="531"/>
      <c r="S274" s="531"/>
      <c r="T274" s="531"/>
      <c r="U274" s="531"/>
      <c r="V274" s="531"/>
      <c r="W274" s="531"/>
      <c r="X274" s="531"/>
      <c r="Y274" s="111"/>
      <c r="Z274" s="531"/>
      <c r="AA274" s="531"/>
      <c r="AB274" s="531"/>
      <c r="AC274" s="531"/>
      <c r="AD274" s="531"/>
      <c r="AE274" s="531"/>
      <c r="AF274" s="531"/>
      <c r="AG274" s="531"/>
      <c r="AH274" s="530"/>
      <c r="AI274" s="125"/>
      <c r="AJ274" s="37"/>
      <c r="AK274" s="538">
        <v>0</v>
      </c>
      <c r="AL274" s="197"/>
    </row>
    <row r="275" spans="1:40" ht="18.75" x14ac:dyDescent="0.3">
      <c r="A275" s="62" t="s">
        <v>93</v>
      </c>
      <c r="B275" s="576"/>
      <c r="C275" s="576"/>
      <c r="D275" s="576"/>
      <c r="E275" s="576"/>
      <c r="F275" s="576"/>
      <c r="G275" s="576"/>
      <c r="H275" s="576"/>
      <c r="I275" s="114"/>
      <c r="J275" s="596"/>
      <c r="K275" s="596"/>
      <c r="L275" s="596"/>
      <c r="M275" s="596"/>
      <c r="N275" s="596"/>
      <c r="O275" s="596"/>
      <c r="P275" s="596"/>
      <c r="Q275" s="114"/>
      <c r="R275" s="596"/>
      <c r="S275" s="596"/>
      <c r="T275" s="596"/>
      <c r="U275" s="596"/>
      <c r="V275" s="596"/>
      <c r="W275" s="596"/>
      <c r="X275" s="596"/>
      <c r="Y275" s="114"/>
      <c r="Z275" s="596"/>
      <c r="AA275" s="596"/>
      <c r="AB275" s="596"/>
      <c r="AC275" s="596"/>
      <c r="AD275" s="596"/>
      <c r="AE275" s="596"/>
      <c r="AF275" s="596"/>
      <c r="AG275" s="596"/>
      <c r="AH275" s="576"/>
      <c r="AI275" s="246"/>
      <c r="AJ275" s="43"/>
      <c r="AK275" s="559">
        <v>0</v>
      </c>
      <c r="AL275" s="204"/>
    </row>
    <row r="276" spans="1:40" ht="16.5" thickBot="1" x14ac:dyDescent="0.3">
      <c r="A276" s="63" t="s">
        <v>60</v>
      </c>
      <c r="B276" s="576"/>
      <c r="C276" s="576"/>
      <c r="D276" s="576"/>
      <c r="E276" s="576"/>
      <c r="F276" s="576"/>
      <c r="G276" s="576"/>
      <c r="H276" s="576"/>
      <c r="I276" s="603"/>
      <c r="J276" s="596"/>
      <c r="K276" s="596"/>
      <c r="L276" s="596"/>
      <c r="M276" s="596"/>
      <c r="N276" s="596"/>
      <c r="O276" s="596"/>
      <c r="P276" s="596"/>
      <c r="Q276" s="603"/>
      <c r="R276" s="596"/>
      <c r="S276" s="596"/>
      <c r="T276" s="596"/>
      <c r="U276" s="596"/>
      <c r="V276" s="596"/>
      <c r="W276" s="596"/>
      <c r="X276" s="596"/>
      <c r="Y276" s="114"/>
      <c r="Z276" s="596"/>
      <c r="AA276" s="596"/>
      <c r="AB276" s="596"/>
      <c r="AC276" s="596"/>
      <c r="AD276" s="596"/>
      <c r="AE276" s="596"/>
      <c r="AF276" s="596"/>
      <c r="AG276" s="596"/>
      <c r="AH276" s="576"/>
      <c r="AI276" s="245"/>
      <c r="AJ276" s="43"/>
      <c r="AK276" s="293"/>
      <c r="AL276" s="204"/>
    </row>
    <row r="277" spans="1:40" ht="15" customHeight="1" x14ac:dyDescent="0.3">
      <c r="A277" s="472" t="s">
        <v>2</v>
      </c>
      <c r="B277" s="475">
        <f t="shared" ref="B277:G277" si="32">SUM(B270:B276)</f>
        <v>0</v>
      </c>
      <c r="C277" s="475">
        <f t="shared" si="32"/>
        <v>0</v>
      </c>
      <c r="D277" s="475">
        <f t="shared" si="32"/>
        <v>0</v>
      </c>
      <c r="E277" s="475">
        <f t="shared" si="32"/>
        <v>0</v>
      </c>
      <c r="F277" s="475">
        <f t="shared" si="32"/>
        <v>0</v>
      </c>
      <c r="G277" s="475">
        <f t="shared" si="32"/>
        <v>0</v>
      </c>
      <c r="H277" s="475">
        <f>SUM(H270:H276)</f>
        <v>1000</v>
      </c>
      <c r="I277" s="521">
        <f>SUM(B277:H277)</f>
        <v>1000</v>
      </c>
      <c r="J277" s="475">
        <f t="shared" ref="J277:P277" si="33">SUM(J270:J276)</f>
        <v>0</v>
      </c>
      <c r="K277" s="475">
        <f t="shared" si="33"/>
        <v>0</v>
      </c>
      <c r="L277" s="475">
        <f t="shared" si="33"/>
        <v>0</v>
      </c>
      <c r="M277" s="475">
        <f t="shared" si="33"/>
        <v>0</v>
      </c>
      <c r="N277" s="475">
        <f t="shared" si="33"/>
        <v>0</v>
      </c>
      <c r="O277" s="475">
        <f t="shared" si="33"/>
        <v>0</v>
      </c>
      <c r="P277" s="475">
        <f t="shared" si="33"/>
        <v>0</v>
      </c>
      <c r="Q277" s="521">
        <f>SUM(J277:P277)</f>
        <v>0</v>
      </c>
      <c r="R277" s="475">
        <f t="shared" ref="R277:X277" si="34">SUM(R270:R276)</f>
        <v>0</v>
      </c>
      <c r="S277" s="475">
        <f t="shared" si="34"/>
        <v>0</v>
      </c>
      <c r="T277" s="475">
        <f t="shared" si="34"/>
        <v>0</v>
      </c>
      <c r="U277" s="475">
        <f t="shared" si="34"/>
        <v>0</v>
      </c>
      <c r="V277" s="475">
        <f t="shared" si="34"/>
        <v>0</v>
      </c>
      <c r="W277" s="475">
        <f t="shared" si="34"/>
        <v>0</v>
      </c>
      <c r="X277" s="475">
        <f t="shared" si="34"/>
        <v>0</v>
      </c>
      <c r="Y277" s="521">
        <f>SUM(R277:X277)</f>
        <v>0</v>
      </c>
      <c r="Z277" s="475">
        <f t="shared" ref="Z277:AI277" si="35">SUM(Z270:Z276)</f>
        <v>0</v>
      </c>
      <c r="AA277" s="475">
        <f t="shared" si="35"/>
        <v>0</v>
      </c>
      <c r="AB277" s="475">
        <f t="shared" si="35"/>
        <v>0</v>
      </c>
      <c r="AC277" s="475">
        <f t="shared" si="35"/>
        <v>0</v>
      </c>
      <c r="AD277" s="475">
        <f t="shared" si="35"/>
        <v>0</v>
      </c>
      <c r="AE277" s="475">
        <f t="shared" si="35"/>
        <v>0</v>
      </c>
      <c r="AF277" s="475">
        <f t="shared" si="35"/>
        <v>0</v>
      </c>
      <c r="AG277" s="475">
        <f t="shared" si="35"/>
        <v>0</v>
      </c>
      <c r="AH277" s="475">
        <f t="shared" si="35"/>
        <v>0</v>
      </c>
      <c r="AI277" s="475">
        <f t="shared" si="35"/>
        <v>0</v>
      </c>
      <c r="AJ277" s="522"/>
      <c r="AK277" s="522"/>
      <c r="AL277" s="478"/>
    </row>
    <row r="278" spans="1:40" ht="15" customHeight="1" thickBot="1" x14ac:dyDescent="0.45">
      <c r="A278" s="523"/>
      <c r="B278" s="265" t="s">
        <v>294</v>
      </c>
      <c r="C278" s="265" t="s">
        <v>294</v>
      </c>
      <c r="D278" s="265" t="s">
        <v>294</v>
      </c>
      <c r="E278" s="265" t="s">
        <v>294</v>
      </c>
      <c r="F278" s="265" t="s">
        <v>294</v>
      </c>
      <c r="G278" s="265" t="s">
        <v>294</v>
      </c>
      <c r="H278" s="265" t="s">
        <v>267</v>
      </c>
      <c r="I278" s="526"/>
      <c r="J278" s="265" t="s">
        <v>294</v>
      </c>
      <c r="K278" s="265" t="s">
        <v>294</v>
      </c>
      <c r="L278" s="265" t="s">
        <v>294</v>
      </c>
      <c r="M278" s="265" t="s">
        <v>294</v>
      </c>
      <c r="N278" s="265" t="s">
        <v>294</v>
      </c>
      <c r="O278" s="265" t="s">
        <v>294</v>
      </c>
      <c r="P278" s="265" t="s">
        <v>294</v>
      </c>
      <c r="Q278" s="526"/>
      <c r="R278" s="265" t="s">
        <v>294</v>
      </c>
      <c r="S278" s="265" t="s">
        <v>294</v>
      </c>
      <c r="T278" s="265" t="s">
        <v>294</v>
      </c>
      <c r="U278" s="265" t="s">
        <v>294</v>
      </c>
      <c r="V278" s="265" t="s">
        <v>294</v>
      </c>
      <c r="W278" s="265" t="s">
        <v>294</v>
      </c>
      <c r="X278" s="265" t="s">
        <v>294</v>
      </c>
      <c r="Y278" s="526"/>
      <c r="Z278" s="265" t="s">
        <v>294</v>
      </c>
      <c r="AA278" s="265" t="s">
        <v>294</v>
      </c>
      <c r="AB278" s="265" t="s">
        <v>294</v>
      </c>
      <c r="AC278" s="265" t="s">
        <v>294</v>
      </c>
      <c r="AD278" s="265" t="s">
        <v>294</v>
      </c>
      <c r="AE278" s="265" t="s">
        <v>294</v>
      </c>
      <c r="AF278" s="265" t="s">
        <v>294</v>
      </c>
      <c r="AG278" s="265" t="s">
        <v>294</v>
      </c>
      <c r="AH278" s="265" t="s">
        <v>294</v>
      </c>
      <c r="AI278" s="265" t="s">
        <v>294</v>
      </c>
      <c r="AJ278" s="526"/>
      <c r="AK278" s="524"/>
      <c r="AL278" s="525"/>
    </row>
    <row r="279" spans="1:40" ht="27" thickBot="1" x14ac:dyDescent="0.45">
      <c r="A279" s="518" t="s">
        <v>286</v>
      </c>
      <c r="B279" s="519"/>
      <c r="C279" s="519"/>
      <c r="D279" s="519"/>
      <c r="E279" s="519"/>
      <c r="F279" s="519"/>
      <c r="G279" s="519"/>
      <c r="H279" s="519"/>
      <c r="I279" s="519"/>
      <c r="J279" s="519"/>
      <c r="K279" s="519"/>
      <c r="L279" s="519"/>
      <c r="M279" s="519"/>
      <c r="N279" s="519"/>
      <c r="O279" s="519"/>
      <c r="P279" s="519"/>
      <c r="Q279" s="519"/>
      <c r="R279" s="519"/>
      <c r="S279" s="519"/>
      <c r="T279" s="519"/>
      <c r="U279" s="519"/>
      <c r="V279" s="519"/>
      <c r="W279" s="519"/>
      <c r="X279" s="519"/>
      <c r="Y279" s="519"/>
      <c r="Z279" s="519"/>
      <c r="AA279" s="519"/>
      <c r="AB279" s="519"/>
      <c r="AC279" s="519"/>
      <c r="AD279" s="519"/>
      <c r="AE279" s="519"/>
      <c r="AF279" s="519"/>
      <c r="AG279" s="519"/>
      <c r="AH279" s="519"/>
      <c r="AI279" s="519"/>
      <c r="AJ279" s="519"/>
      <c r="AK279" s="519"/>
      <c r="AL279" s="520"/>
    </row>
    <row r="280" spans="1:40" ht="16.5" thickBot="1" x14ac:dyDescent="0.3">
      <c r="A280" s="464" t="s">
        <v>8</v>
      </c>
      <c r="B280" s="465">
        <v>1</v>
      </c>
      <c r="C280" s="465">
        <v>2</v>
      </c>
      <c r="D280" s="465">
        <v>3</v>
      </c>
      <c r="E280" s="465">
        <v>4</v>
      </c>
      <c r="F280" s="465">
        <v>5</v>
      </c>
      <c r="G280" s="465">
        <v>6</v>
      </c>
      <c r="H280" s="465">
        <v>7</v>
      </c>
      <c r="I280" s="466" t="s">
        <v>6</v>
      </c>
      <c r="J280" s="465">
        <v>8</v>
      </c>
      <c r="K280" s="465">
        <v>9</v>
      </c>
      <c r="L280" s="465">
        <v>10</v>
      </c>
      <c r="M280" s="465">
        <v>11</v>
      </c>
      <c r="N280" s="465">
        <v>12</v>
      </c>
      <c r="O280" s="465">
        <v>13</v>
      </c>
      <c r="P280" s="465">
        <v>14</v>
      </c>
      <c r="Q280" s="466" t="s">
        <v>6</v>
      </c>
      <c r="R280" s="465">
        <v>15</v>
      </c>
      <c r="S280" s="465">
        <v>16</v>
      </c>
      <c r="T280" s="465">
        <v>17</v>
      </c>
      <c r="U280" s="465">
        <v>18</v>
      </c>
      <c r="V280" s="465">
        <v>19</v>
      </c>
      <c r="W280" s="465">
        <v>20</v>
      </c>
      <c r="X280" s="465">
        <v>21</v>
      </c>
      <c r="Y280" s="466" t="s">
        <v>6</v>
      </c>
      <c r="Z280" s="465">
        <v>22</v>
      </c>
      <c r="AA280" s="465">
        <v>23</v>
      </c>
      <c r="AB280" s="465">
        <v>24</v>
      </c>
      <c r="AC280" s="465">
        <v>25</v>
      </c>
      <c r="AD280" s="465">
        <v>26</v>
      </c>
      <c r="AE280" s="465">
        <v>27</v>
      </c>
      <c r="AF280" s="465">
        <v>28</v>
      </c>
      <c r="AG280" s="465">
        <v>29</v>
      </c>
      <c r="AH280" s="465">
        <v>30</v>
      </c>
      <c r="AI280" s="465">
        <v>31</v>
      </c>
      <c r="AJ280" s="467" t="s">
        <v>6</v>
      </c>
      <c r="AK280" s="563" t="s">
        <v>328</v>
      </c>
      <c r="AL280" s="469" t="s">
        <v>42</v>
      </c>
    </row>
    <row r="281" spans="1:40" x14ac:dyDescent="0.25">
      <c r="A281" s="61" t="s">
        <v>25</v>
      </c>
      <c r="B281" s="303">
        <v>9451</v>
      </c>
      <c r="C281" s="303">
        <v>11029</v>
      </c>
      <c r="D281" s="303">
        <v>13700</v>
      </c>
      <c r="E281" s="303">
        <v>10548</v>
      </c>
      <c r="F281" s="303">
        <v>14243</v>
      </c>
      <c r="G281" s="303">
        <v>12165</v>
      </c>
      <c r="H281" s="313">
        <v>14217</v>
      </c>
      <c r="I281" s="304"/>
      <c r="J281" s="303">
        <v>13841</v>
      </c>
      <c r="K281" s="303">
        <v>11683</v>
      </c>
      <c r="L281" s="303">
        <v>9906</v>
      </c>
      <c r="M281" s="303">
        <v>9624</v>
      </c>
      <c r="N281" s="303">
        <v>9861</v>
      </c>
      <c r="O281" s="303">
        <v>10065</v>
      </c>
      <c r="P281" s="303">
        <v>10327</v>
      </c>
      <c r="Q281" s="305"/>
      <c r="R281" s="303">
        <v>11395</v>
      </c>
      <c r="S281" s="303">
        <v>9913</v>
      </c>
      <c r="T281" s="303">
        <v>11959</v>
      </c>
      <c r="U281" s="303">
        <v>10185</v>
      </c>
      <c r="V281" s="303">
        <v>11642</v>
      </c>
      <c r="W281" s="303">
        <v>12112</v>
      </c>
      <c r="X281" s="303">
        <v>10070</v>
      </c>
      <c r="Y281" s="305"/>
      <c r="Z281" s="303">
        <v>11292</v>
      </c>
      <c r="AA281" s="303">
        <v>13037</v>
      </c>
      <c r="AB281" s="303">
        <v>13234</v>
      </c>
      <c r="AC281" s="303">
        <v>13040</v>
      </c>
      <c r="AD281" s="303">
        <v>11871</v>
      </c>
      <c r="AE281" s="303">
        <v>10955</v>
      </c>
      <c r="AF281" s="303">
        <v>13612</v>
      </c>
      <c r="AG281" s="303">
        <v>12694</v>
      </c>
      <c r="AH281" s="303">
        <v>11140</v>
      </c>
      <c r="AI281" s="303">
        <v>11838</v>
      </c>
      <c r="AJ281" s="305"/>
      <c r="AK281" s="314"/>
      <c r="AL281" s="315"/>
    </row>
    <row r="282" spans="1:40" ht="15" customHeight="1" x14ac:dyDescent="0.25">
      <c r="A282" s="11" t="s">
        <v>36</v>
      </c>
      <c r="B282" s="1">
        <v>6278.79</v>
      </c>
      <c r="C282" s="1">
        <v>5728.84</v>
      </c>
      <c r="D282" s="1">
        <v>6385.22</v>
      </c>
      <c r="E282" s="1">
        <v>6466.51</v>
      </c>
      <c r="F282" s="1">
        <v>4687.9399999999996</v>
      </c>
      <c r="G282" s="118">
        <v>5420.98</v>
      </c>
      <c r="H282" s="173">
        <v>6297.7</v>
      </c>
      <c r="I282" s="36"/>
      <c r="J282" s="173">
        <v>5555.41</v>
      </c>
      <c r="K282" s="1">
        <v>6308.92</v>
      </c>
      <c r="L282" s="1">
        <v>5774.46</v>
      </c>
      <c r="M282" s="1">
        <v>6076.01</v>
      </c>
      <c r="N282" s="1">
        <v>6244</v>
      </c>
      <c r="O282" s="1">
        <v>5421.59</v>
      </c>
      <c r="P282" s="1">
        <v>6152.48</v>
      </c>
      <c r="Q282" s="37"/>
      <c r="R282" s="1">
        <v>6477.59</v>
      </c>
      <c r="S282" s="1">
        <v>4628.82</v>
      </c>
      <c r="T282" s="1">
        <v>3591.37</v>
      </c>
      <c r="U282" s="1">
        <v>5163.8900000000003</v>
      </c>
      <c r="V282" s="1">
        <v>4821.8</v>
      </c>
      <c r="W282" s="1">
        <v>6462.88</v>
      </c>
      <c r="X282" s="1">
        <v>6080.72</v>
      </c>
      <c r="Y282" s="37"/>
      <c r="Z282" s="1">
        <v>5952.38</v>
      </c>
      <c r="AA282" s="1">
        <v>6356</v>
      </c>
      <c r="AB282" s="1">
        <v>5503.59</v>
      </c>
      <c r="AC282" s="1">
        <v>6033.24</v>
      </c>
      <c r="AD282" s="1">
        <v>5949.76</v>
      </c>
      <c r="AE282" s="1">
        <v>6280.68</v>
      </c>
      <c r="AF282" s="118">
        <v>5942.91</v>
      </c>
      <c r="AG282" s="1">
        <v>5833.89</v>
      </c>
      <c r="AH282" s="1">
        <v>5865.96</v>
      </c>
      <c r="AI282" s="1">
        <v>6008.87</v>
      </c>
      <c r="AJ282" s="37"/>
      <c r="AK282" s="236">
        <f>SUM(B282:AJ282)</f>
        <v>179753.19999999998</v>
      </c>
      <c r="AL282" s="223">
        <v>169576.78</v>
      </c>
    </row>
    <row r="283" spans="1:40" ht="15.75" x14ac:dyDescent="0.25">
      <c r="A283" s="11" t="s">
        <v>46</v>
      </c>
      <c r="B283" s="1">
        <v>188.66</v>
      </c>
      <c r="C283" s="1">
        <v>157.74</v>
      </c>
      <c r="D283" s="1">
        <v>131.19</v>
      </c>
      <c r="E283" s="1">
        <v>81.03</v>
      </c>
      <c r="F283" s="118">
        <v>73.83</v>
      </c>
      <c r="G283" s="1">
        <v>132.11000000000001</v>
      </c>
      <c r="H283" s="173">
        <v>152.08000000000001</v>
      </c>
      <c r="I283" s="36"/>
      <c r="J283" s="1">
        <v>318.31</v>
      </c>
      <c r="K283" s="1">
        <v>212.04</v>
      </c>
      <c r="L283" s="1">
        <v>278.14999999999998</v>
      </c>
      <c r="M283" s="1">
        <v>186.63</v>
      </c>
      <c r="N283" s="1">
        <v>74</v>
      </c>
      <c r="O283" s="1">
        <v>68.5</v>
      </c>
      <c r="P283" s="118">
        <v>212.51</v>
      </c>
      <c r="Q283" s="37"/>
      <c r="R283" s="1">
        <v>138.63</v>
      </c>
      <c r="S283" s="1">
        <v>136.16999999999999</v>
      </c>
      <c r="T283" s="1">
        <v>106.7</v>
      </c>
      <c r="U283" s="1">
        <v>98.45</v>
      </c>
      <c r="V283" s="1">
        <v>132.58000000000001</v>
      </c>
      <c r="W283" s="1">
        <v>176.88</v>
      </c>
      <c r="X283" s="1">
        <v>332.33</v>
      </c>
      <c r="Y283" s="37"/>
      <c r="Z283" s="1">
        <v>172.34</v>
      </c>
      <c r="AA283" s="1">
        <v>134.29</v>
      </c>
      <c r="AB283" s="1">
        <v>216.69</v>
      </c>
      <c r="AC283" s="1">
        <v>234.58</v>
      </c>
      <c r="AD283" s="1">
        <v>202.96</v>
      </c>
      <c r="AE283" s="1">
        <v>150.54</v>
      </c>
      <c r="AF283" s="1">
        <v>69.37</v>
      </c>
      <c r="AG283" s="1">
        <v>86</v>
      </c>
      <c r="AH283" s="1">
        <v>0</v>
      </c>
      <c r="AI283" s="1">
        <v>63.35</v>
      </c>
      <c r="AJ283" s="37"/>
      <c r="AK283" s="237"/>
      <c r="AL283" s="223"/>
    </row>
    <row r="284" spans="1:40" ht="15" customHeight="1" x14ac:dyDescent="0.3">
      <c r="A284" s="11" t="s">
        <v>47</v>
      </c>
      <c r="B284" s="1">
        <v>300</v>
      </c>
      <c r="C284" s="1">
        <v>85.43</v>
      </c>
      <c r="D284" s="1">
        <v>147.68</v>
      </c>
      <c r="E284" s="1">
        <v>263</v>
      </c>
      <c r="F284" s="118">
        <v>127.52</v>
      </c>
      <c r="G284" s="1">
        <v>112.96</v>
      </c>
      <c r="H284" s="173">
        <v>0</v>
      </c>
      <c r="I284" s="36"/>
      <c r="J284" s="1">
        <v>119.1</v>
      </c>
      <c r="K284" s="1">
        <v>216.38</v>
      </c>
      <c r="L284" s="1">
        <v>149.38</v>
      </c>
      <c r="M284" s="1">
        <v>130.44</v>
      </c>
      <c r="N284" s="1">
        <v>183</v>
      </c>
      <c r="O284" s="1">
        <v>131.08000000000001</v>
      </c>
      <c r="P284" s="1">
        <v>300</v>
      </c>
      <c r="Q284" s="37"/>
      <c r="R284" s="1">
        <v>250.22</v>
      </c>
      <c r="S284" s="1">
        <v>133.94999999999999</v>
      </c>
      <c r="T284" s="1">
        <v>95.63</v>
      </c>
      <c r="U284" s="1">
        <v>63.3</v>
      </c>
      <c r="V284" s="1">
        <v>55.86</v>
      </c>
      <c r="W284" s="1">
        <v>146.22</v>
      </c>
      <c r="X284" s="1">
        <v>207.24</v>
      </c>
      <c r="Y284" s="37"/>
      <c r="Z284" s="1">
        <v>264.16000000000003</v>
      </c>
      <c r="AA284" s="1">
        <v>131.51</v>
      </c>
      <c r="AB284" s="1">
        <v>230.19</v>
      </c>
      <c r="AC284" s="1">
        <v>232.5</v>
      </c>
      <c r="AD284" s="1">
        <v>322.61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37"/>
      <c r="AK284" s="238"/>
      <c r="AL284" s="223"/>
    </row>
    <row r="285" spans="1:40" ht="15" customHeight="1" x14ac:dyDescent="0.3">
      <c r="A285" s="11" t="s">
        <v>48</v>
      </c>
      <c r="B285" s="1">
        <v>23.76</v>
      </c>
      <c r="C285" s="1">
        <v>11.41</v>
      </c>
      <c r="D285" s="1">
        <v>0</v>
      </c>
      <c r="E285" s="1">
        <v>80.98</v>
      </c>
      <c r="F285" s="1">
        <v>51.76</v>
      </c>
      <c r="G285" s="1">
        <v>0</v>
      </c>
      <c r="H285" s="173">
        <v>26.46</v>
      </c>
      <c r="I285" s="36"/>
      <c r="J285" s="1">
        <v>26.26</v>
      </c>
      <c r="K285" s="1">
        <v>0</v>
      </c>
      <c r="L285" s="1">
        <v>25.71</v>
      </c>
      <c r="M285" s="1">
        <v>44.31</v>
      </c>
      <c r="N285" s="1">
        <v>0</v>
      </c>
      <c r="O285" s="1">
        <v>0</v>
      </c>
      <c r="P285" s="118">
        <v>89.98</v>
      </c>
      <c r="Q285" s="37"/>
      <c r="R285" s="1">
        <v>39.03</v>
      </c>
      <c r="S285" s="1">
        <v>69.260000000000005</v>
      </c>
      <c r="T285" s="1">
        <v>26.94</v>
      </c>
      <c r="U285" s="1">
        <v>0</v>
      </c>
      <c r="V285" s="1">
        <v>65.739999999999995</v>
      </c>
      <c r="W285" s="1">
        <v>53.94</v>
      </c>
      <c r="X285" s="1">
        <v>51.27</v>
      </c>
      <c r="Y285" s="37"/>
      <c r="Z285" s="1">
        <v>22.73</v>
      </c>
      <c r="AA285" s="1">
        <v>62.74</v>
      </c>
      <c r="AB285" s="1">
        <v>20.99</v>
      </c>
      <c r="AC285" s="1">
        <v>25.64</v>
      </c>
      <c r="AD285" s="1">
        <v>75.23</v>
      </c>
      <c r="AE285" s="1">
        <v>29.47</v>
      </c>
      <c r="AF285" s="1">
        <v>74.97</v>
      </c>
      <c r="AG285" s="1">
        <v>24</v>
      </c>
      <c r="AH285" s="1">
        <v>33.270000000000003</v>
      </c>
      <c r="AI285" s="1">
        <v>0</v>
      </c>
      <c r="AJ285" s="37"/>
      <c r="AK285" s="238"/>
      <c r="AL285" s="223"/>
    </row>
    <row r="286" spans="1:40" ht="15" customHeight="1" x14ac:dyDescent="0.3">
      <c r="A286" s="11" t="s">
        <v>37</v>
      </c>
      <c r="B286" s="1">
        <v>177.41</v>
      </c>
      <c r="C286" s="1">
        <v>78.63</v>
      </c>
      <c r="D286" s="1">
        <v>14.8</v>
      </c>
      <c r="E286" s="1">
        <v>307.02999999999997</v>
      </c>
      <c r="F286" s="118">
        <v>130.35</v>
      </c>
      <c r="G286" s="1">
        <v>102.78</v>
      </c>
      <c r="H286" s="173">
        <v>153.46</v>
      </c>
      <c r="I286" s="36"/>
      <c r="J286" s="1">
        <v>255.44</v>
      </c>
      <c r="K286" s="1">
        <v>286.11</v>
      </c>
      <c r="L286" s="1">
        <v>84.86</v>
      </c>
      <c r="M286" s="1">
        <v>0</v>
      </c>
      <c r="N286" s="1">
        <v>31</v>
      </c>
      <c r="O286" s="1">
        <v>284.81</v>
      </c>
      <c r="P286" s="118">
        <v>331.36</v>
      </c>
      <c r="Q286" s="37"/>
      <c r="R286" s="1">
        <v>60</v>
      </c>
      <c r="S286" s="1">
        <v>171.21</v>
      </c>
      <c r="T286" s="1">
        <v>165.21</v>
      </c>
      <c r="U286" s="1">
        <v>107.85</v>
      </c>
      <c r="V286" s="1">
        <v>137.33000000000001</v>
      </c>
      <c r="W286" s="1">
        <v>136.93</v>
      </c>
      <c r="X286" s="1">
        <v>158.88999999999999</v>
      </c>
      <c r="Y286" s="37"/>
      <c r="Z286" s="1">
        <v>197.09</v>
      </c>
      <c r="AA286" s="1">
        <v>206.34</v>
      </c>
      <c r="AB286" s="1">
        <v>191.1</v>
      </c>
      <c r="AC286" s="1">
        <v>90.45</v>
      </c>
      <c r="AD286" s="1">
        <v>276.83999999999997</v>
      </c>
      <c r="AE286" s="1">
        <v>51.7</v>
      </c>
      <c r="AF286" s="1">
        <v>355.51</v>
      </c>
      <c r="AG286" s="1">
        <v>137.5</v>
      </c>
      <c r="AH286" s="1">
        <v>109.45</v>
      </c>
      <c r="AI286" s="1">
        <v>164.25</v>
      </c>
      <c r="AJ286" s="37"/>
      <c r="AK286" s="238">
        <v>132458.73000000001</v>
      </c>
      <c r="AL286" s="223"/>
      <c r="AN286" s="167"/>
    </row>
    <row r="287" spans="1:40" ht="15" customHeight="1" x14ac:dyDescent="0.3">
      <c r="A287" s="11" t="s">
        <v>26</v>
      </c>
      <c r="B287" s="1">
        <v>147.30000000000001</v>
      </c>
      <c r="C287" s="1">
        <v>144.61000000000001</v>
      </c>
      <c r="D287" s="1">
        <v>132.71</v>
      </c>
      <c r="E287" s="1">
        <v>144.94999999999999</v>
      </c>
      <c r="F287" s="1">
        <v>145.13999999999999</v>
      </c>
      <c r="G287" s="118">
        <v>145.91999999999999</v>
      </c>
      <c r="H287" s="173">
        <v>147.75</v>
      </c>
      <c r="I287" s="36"/>
      <c r="J287" s="1">
        <v>150</v>
      </c>
      <c r="K287" s="1">
        <v>145.72</v>
      </c>
      <c r="L287" s="1">
        <v>145.74</v>
      </c>
      <c r="M287" s="1">
        <v>144.72999999999999</v>
      </c>
      <c r="N287" s="1">
        <v>162</v>
      </c>
      <c r="O287" s="1">
        <v>128.96</v>
      </c>
      <c r="P287" s="1">
        <v>143.82</v>
      </c>
      <c r="Q287" s="37"/>
      <c r="R287" s="1">
        <v>143.4</v>
      </c>
      <c r="S287" s="1">
        <v>135.80000000000001</v>
      </c>
      <c r="T287" s="1">
        <v>150</v>
      </c>
      <c r="U287" s="1">
        <v>140</v>
      </c>
      <c r="V287" s="1">
        <v>145.35</v>
      </c>
      <c r="W287" s="1">
        <v>150</v>
      </c>
      <c r="X287" s="1">
        <v>146.78</v>
      </c>
      <c r="Y287" s="37"/>
      <c r="Z287" s="1">
        <v>139.4</v>
      </c>
      <c r="AA287" s="1">
        <v>144.86000000000001</v>
      </c>
      <c r="AB287" s="1">
        <v>136.44</v>
      </c>
      <c r="AC287" s="1">
        <v>100</v>
      </c>
      <c r="AD287" s="1">
        <v>125.06</v>
      </c>
      <c r="AE287" s="1">
        <v>100</v>
      </c>
      <c r="AF287" s="1">
        <v>147.41999999999999</v>
      </c>
      <c r="AG287" s="1">
        <v>141.58000000000001</v>
      </c>
      <c r="AH287" s="1">
        <v>131.87</v>
      </c>
      <c r="AI287" s="1">
        <v>131.66999999999999</v>
      </c>
      <c r="AJ287" s="37"/>
      <c r="AK287" s="555">
        <v>122622.41</v>
      </c>
      <c r="AL287" s="223"/>
      <c r="AN287" s="180"/>
    </row>
    <row r="288" spans="1:40" ht="15" customHeight="1" x14ac:dyDescent="0.3">
      <c r="A288" s="11" t="s">
        <v>27</v>
      </c>
      <c r="B288" s="1">
        <v>97.37</v>
      </c>
      <c r="C288" s="1">
        <v>98.65</v>
      </c>
      <c r="D288" s="1">
        <v>104.4</v>
      </c>
      <c r="E288" s="1">
        <v>104.5</v>
      </c>
      <c r="F288" s="1">
        <v>107.61</v>
      </c>
      <c r="G288" s="118">
        <v>106.81</v>
      </c>
      <c r="H288" s="211">
        <v>99.97</v>
      </c>
      <c r="I288" s="36"/>
      <c r="J288" s="1">
        <v>103.92</v>
      </c>
      <c r="K288" s="1">
        <v>111.79</v>
      </c>
      <c r="L288" s="1">
        <v>116.3</v>
      </c>
      <c r="M288" s="1">
        <v>98.1</v>
      </c>
      <c r="N288" s="1">
        <v>115</v>
      </c>
      <c r="O288" s="1">
        <v>83.73</v>
      </c>
      <c r="P288" s="1">
        <v>93.37</v>
      </c>
      <c r="Q288" s="37"/>
      <c r="R288" s="118">
        <v>95.96</v>
      </c>
      <c r="S288" s="1">
        <v>91.72</v>
      </c>
      <c r="T288" s="118">
        <v>103.55</v>
      </c>
      <c r="U288" s="1">
        <v>99.17</v>
      </c>
      <c r="V288" s="1">
        <v>112.69</v>
      </c>
      <c r="W288" s="1">
        <v>96.06</v>
      </c>
      <c r="X288" s="1">
        <v>94.05</v>
      </c>
      <c r="Y288" s="37"/>
      <c r="Z288" s="1">
        <v>97.06</v>
      </c>
      <c r="AA288" s="1">
        <v>90.26</v>
      </c>
      <c r="AB288" s="1">
        <v>91.63</v>
      </c>
      <c r="AC288" s="1">
        <v>109.88</v>
      </c>
      <c r="AD288" s="1">
        <v>115.8</v>
      </c>
      <c r="AE288" s="118">
        <v>111.57</v>
      </c>
      <c r="AF288" s="1">
        <v>101.59</v>
      </c>
      <c r="AG288" s="1">
        <v>120</v>
      </c>
      <c r="AH288" s="1">
        <v>95.5</v>
      </c>
      <c r="AI288" s="1">
        <v>90.73</v>
      </c>
      <c r="AJ288" s="37"/>
      <c r="AK288" s="555">
        <v>119525.36</v>
      </c>
      <c r="AL288" s="223"/>
      <c r="AN288" s="180"/>
    </row>
    <row r="289" spans="1:40" ht="15" customHeight="1" x14ac:dyDescent="0.3">
      <c r="A289" s="62" t="s">
        <v>89</v>
      </c>
      <c r="B289" s="123">
        <v>0</v>
      </c>
      <c r="C289" s="123">
        <v>0</v>
      </c>
      <c r="D289" s="123">
        <v>0</v>
      </c>
      <c r="E289" s="123">
        <v>0</v>
      </c>
      <c r="F289" s="123">
        <v>0</v>
      </c>
      <c r="G289" s="123">
        <v>0</v>
      </c>
      <c r="H289" s="213">
        <v>0</v>
      </c>
      <c r="I289" s="126"/>
      <c r="J289" s="123">
        <v>0</v>
      </c>
      <c r="K289" s="123">
        <v>0</v>
      </c>
      <c r="L289" s="123">
        <v>0</v>
      </c>
      <c r="M289" s="123">
        <v>0</v>
      </c>
      <c r="N289" s="123">
        <v>0</v>
      </c>
      <c r="O289" s="123">
        <v>0</v>
      </c>
      <c r="P289" s="123">
        <v>0</v>
      </c>
      <c r="Q289" s="43"/>
      <c r="R289" s="123">
        <v>0</v>
      </c>
      <c r="S289" s="123">
        <v>0</v>
      </c>
      <c r="T289" s="123">
        <v>0</v>
      </c>
      <c r="U289" s="123">
        <v>0</v>
      </c>
      <c r="V289" s="123">
        <v>0</v>
      </c>
      <c r="W289" s="123">
        <v>0</v>
      </c>
      <c r="X289" s="123">
        <v>0</v>
      </c>
      <c r="Y289" s="43"/>
      <c r="Z289" s="123">
        <v>0</v>
      </c>
      <c r="AA289" s="123">
        <v>0</v>
      </c>
      <c r="AB289" s="123">
        <v>0</v>
      </c>
      <c r="AC289" s="123">
        <v>0</v>
      </c>
      <c r="AD289" s="123">
        <v>0</v>
      </c>
      <c r="AE289" s="123">
        <v>0</v>
      </c>
      <c r="AF289" s="123">
        <v>0</v>
      </c>
      <c r="AG289" s="123">
        <v>0</v>
      </c>
      <c r="AH289" s="123">
        <v>0</v>
      </c>
      <c r="AI289" s="123">
        <v>0</v>
      </c>
      <c r="AJ289" s="43"/>
      <c r="AK289" s="239">
        <v>189422.96</v>
      </c>
      <c r="AL289" s="229"/>
      <c r="AN289" s="180"/>
    </row>
    <row r="290" spans="1:40" ht="15" customHeight="1" thickBot="1" x14ac:dyDescent="0.35">
      <c r="A290" s="62" t="s">
        <v>28</v>
      </c>
      <c r="B290" s="123">
        <v>0</v>
      </c>
      <c r="C290" s="123">
        <v>0</v>
      </c>
      <c r="D290" s="123">
        <v>0</v>
      </c>
      <c r="E290" s="123">
        <v>0</v>
      </c>
      <c r="F290" s="123">
        <v>0</v>
      </c>
      <c r="G290" s="123">
        <v>0</v>
      </c>
      <c r="H290" s="213">
        <v>1000</v>
      </c>
      <c r="I290" s="126"/>
      <c r="J290" s="123">
        <v>0</v>
      </c>
      <c r="K290" s="123">
        <v>0</v>
      </c>
      <c r="L290" s="123">
        <v>0</v>
      </c>
      <c r="M290" s="123">
        <v>0</v>
      </c>
      <c r="N290" s="123">
        <v>0</v>
      </c>
      <c r="O290" s="123">
        <v>0</v>
      </c>
      <c r="P290" s="123">
        <v>0</v>
      </c>
      <c r="Q290" s="43"/>
      <c r="R290" s="123">
        <v>0</v>
      </c>
      <c r="S290" s="123">
        <v>0</v>
      </c>
      <c r="T290" s="123">
        <v>0</v>
      </c>
      <c r="U290" s="123">
        <v>0</v>
      </c>
      <c r="V290" s="123">
        <v>0</v>
      </c>
      <c r="W290" s="123">
        <v>0</v>
      </c>
      <c r="X290" s="123">
        <v>0</v>
      </c>
      <c r="Y290" s="43"/>
      <c r="Z290" s="123">
        <v>0</v>
      </c>
      <c r="AA290" s="123">
        <v>0</v>
      </c>
      <c r="AB290" s="123">
        <v>0</v>
      </c>
      <c r="AC290" s="123">
        <v>0</v>
      </c>
      <c r="AD290" s="123">
        <v>0</v>
      </c>
      <c r="AE290" s="123">
        <v>0</v>
      </c>
      <c r="AF290" s="123">
        <v>0</v>
      </c>
      <c r="AG290" s="123">
        <v>0</v>
      </c>
      <c r="AH290" s="123">
        <v>0</v>
      </c>
      <c r="AI290" s="123">
        <v>0</v>
      </c>
      <c r="AJ290" s="43"/>
      <c r="AK290" s="239"/>
      <c r="AL290" s="229"/>
      <c r="AN290" s="180"/>
    </row>
    <row r="291" spans="1:40" ht="18.75" x14ac:dyDescent="0.3">
      <c r="A291" s="472" t="s">
        <v>2</v>
      </c>
      <c r="B291" s="473">
        <f t="shared" ref="B291:G291" si="36">SUM(B281:B290)</f>
        <v>16664.29</v>
      </c>
      <c r="C291" s="473">
        <f t="shared" si="36"/>
        <v>17334.310000000005</v>
      </c>
      <c r="D291" s="473">
        <f t="shared" si="36"/>
        <v>20616</v>
      </c>
      <c r="E291" s="473">
        <f t="shared" si="36"/>
        <v>17996</v>
      </c>
      <c r="F291" s="473">
        <f t="shared" si="36"/>
        <v>19567.149999999998</v>
      </c>
      <c r="G291" s="473">
        <f t="shared" si="36"/>
        <v>18186.559999999998</v>
      </c>
      <c r="H291" s="474">
        <f>SUM(H281:H290)</f>
        <v>22094.420000000002</v>
      </c>
      <c r="I291" s="473">
        <f>SUM(B291:H291)</f>
        <v>132458.73000000001</v>
      </c>
      <c r="J291" s="475">
        <f t="shared" ref="J291:O291" si="37">SUM(J281:J290)</f>
        <v>20369.439999999995</v>
      </c>
      <c r="K291" s="475">
        <f t="shared" si="37"/>
        <v>18963.960000000003</v>
      </c>
      <c r="L291" s="475">
        <f t="shared" si="37"/>
        <v>16480.599999999999</v>
      </c>
      <c r="M291" s="475">
        <f t="shared" si="37"/>
        <v>16304.22</v>
      </c>
      <c r="N291" s="475">
        <f t="shared" si="37"/>
        <v>16670</v>
      </c>
      <c r="O291" s="475">
        <f t="shared" si="37"/>
        <v>16183.669999999998</v>
      </c>
      <c r="P291" s="475">
        <f>SUM(P281:P290)</f>
        <v>17650.519999999997</v>
      </c>
      <c r="Q291" s="473">
        <f>SUM(J291:P291)</f>
        <v>122622.40999999997</v>
      </c>
      <c r="R291" s="476">
        <f t="shared" ref="R291:W291" si="38">SUM(R281:R290)</f>
        <v>18599.830000000002</v>
      </c>
      <c r="S291" s="476">
        <f t="shared" si="38"/>
        <v>15279.929999999998</v>
      </c>
      <c r="T291" s="476">
        <f t="shared" si="38"/>
        <v>16198.399999999998</v>
      </c>
      <c r="U291" s="476">
        <f t="shared" si="38"/>
        <v>15857.66</v>
      </c>
      <c r="V291" s="476">
        <f t="shared" si="38"/>
        <v>17113.350000000002</v>
      </c>
      <c r="W291" s="476">
        <f t="shared" si="38"/>
        <v>19334.910000000003</v>
      </c>
      <c r="X291" s="476">
        <f>SUM(X281:X290)</f>
        <v>17141.280000000002</v>
      </c>
      <c r="Y291" s="473">
        <f>SUM(R291:X291)</f>
        <v>119525.36000000002</v>
      </c>
      <c r="Z291" s="476">
        <f t="shared" ref="Z291:AE291" si="39">SUM(Z281:Z290)</f>
        <v>18137.160000000003</v>
      </c>
      <c r="AA291" s="476">
        <f t="shared" si="39"/>
        <v>20163</v>
      </c>
      <c r="AB291" s="476">
        <f t="shared" si="39"/>
        <v>19624.629999999997</v>
      </c>
      <c r="AC291" s="476">
        <f t="shared" si="39"/>
        <v>19866.29</v>
      </c>
      <c r="AD291" s="476">
        <f t="shared" si="39"/>
        <v>18939.260000000002</v>
      </c>
      <c r="AE291" s="476">
        <f t="shared" si="39"/>
        <v>17678.960000000003</v>
      </c>
      <c r="AF291" s="476">
        <f>SUM(AF281:AF290)</f>
        <v>20303.769999999997</v>
      </c>
      <c r="AG291" s="476">
        <f>SUM(AG281:AG290)</f>
        <v>19036.97</v>
      </c>
      <c r="AH291" s="476">
        <f>SUM(AH281:AH290)</f>
        <v>17376.05</v>
      </c>
      <c r="AI291" s="476">
        <f>SUM(AI281:AI290)</f>
        <v>18296.869999999995</v>
      </c>
      <c r="AJ291" s="473">
        <f>SUM(Z291:AI291)</f>
        <v>189422.96</v>
      </c>
      <c r="AK291" s="477">
        <f>SUM(AK286:AK290)</f>
        <v>564029.46</v>
      </c>
      <c r="AL291" s="478"/>
      <c r="AN291" s="180"/>
    </row>
    <row r="292" spans="1:40" ht="15.75" thickBot="1" x14ac:dyDescent="0.3">
      <c r="A292" s="224"/>
      <c r="B292" s="335"/>
      <c r="C292" s="225"/>
      <c r="D292" s="225"/>
      <c r="E292" s="227"/>
      <c r="F292" s="225"/>
      <c r="G292" s="225"/>
      <c r="H292" s="225"/>
      <c r="I292" s="56"/>
      <c r="J292" s="225"/>
      <c r="K292" s="225"/>
      <c r="L292" s="225"/>
      <c r="M292" s="225"/>
      <c r="N292" s="225"/>
      <c r="O292" s="225"/>
      <c r="P292" s="225"/>
      <c r="Q292" s="56"/>
      <c r="R292" s="225"/>
      <c r="S292" s="225"/>
      <c r="T292" s="225"/>
      <c r="U292" s="225"/>
      <c r="V292" s="225"/>
      <c r="W292" s="225"/>
      <c r="X292" s="225"/>
      <c r="Y292" s="56"/>
      <c r="Z292" s="226"/>
      <c r="AA292" s="225"/>
      <c r="AB292" s="227"/>
      <c r="AC292" s="225"/>
      <c r="AD292" s="225"/>
      <c r="AE292" s="225"/>
      <c r="AF292" s="225"/>
      <c r="AG292" s="225"/>
      <c r="AH292" s="225"/>
      <c r="AI292" s="225"/>
      <c r="AJ292" s="56"/>
      <c r="AK292" s="225"/>
      <c r="AL292" s="228"/>
      <c r="AN292" s="180"/>
    </row>
    <row r="293" spans="1:40" x14ac:dyDescent="0.25">
      <c r="B293" s="517"/>
      <c r="C293" s="517"/>
      <c r="AN293" s="180"/>
    </row>
    <row r="294" spans="1:40" x14ac:dyDescent="0.25">
      <c r="J294" s="13"/>
      <c r="N294" s="13"/>
      <c r="AN294" s="180"/>
    </row>
    <row r="295" spans="1:40" x14ac:dyDescent="0.25">
      <c r="C295" s="180"/>
      <c r="H295" s="535"/>
      <c r="P295" s="180"/>
      <c r="AB295" s="13"/>
      <c r="AN295" s="180"/>
    </row>
    <row r="296" spans="1:40" x14ac:dyDescent="0.25">
      <c r="C296" s="180"/>
      <c r="H296" s="535"/>
      <c r="P296" s="181"/>
      <c r="AN296" s="166"/>
    </row>
    <row r="297" spans="1:40" x14ac:dyDescent="0.25">
      <c r="C297" s="180"/>
      <c r="H297" s="535"/>
      <c r="P297" s="180"/>
    </row>
    <row r="298" spans="1:40" x14ac:dyDescent="0.25">
      <c r="C298" s="13"/>
      <c r="H298" s="535"/>
      <c r="P298" s="181"/>
    </row>
    <row r="299" spans="1:40" x14ac:dyDescent="0.25">
      <c r="H299" s="535"/>
      <c r="P299" s="181"/>
    </row>
    <row r="300" spans="1:40" x14ac:dyDescent="0.25">
      <c r="H300" s="535"/>
      <c r="P300" s="180"/>
    </row>
    <row r="301" spans="1:40" x14ac:dyDescent="0.25">
      <c r="H301" s="536"/>
      <c r="P301" s="180"/>
    </row>
    <row r="302" spans="1:40" x14ac:dyDescent="0.25">
      <c r="H302" s="535"/>
      <c r="P302" s="180"/>
    </row>
    <row r="303" spans="1:40" x14ac:dyDescent="0.25">
      <c r="H303" s="166"/>
      <c r="P303" s="180"/>
    </row>
    <row r="304" spans="1:40" x14ac:dyDescent="0.25">
      <c r="P304" s="166"/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12"/>
  <sheetViews>
    <sheetView topLeftCell="A273" workbookViewId="0">
      <selection activeCell="AL283" sqref="AL283"/>
    </sheetView>
  </sheetViews>
  <sheetFormatPr defaultRowHeight="15" x14ac:dyDescent="0.25"/>
  <cols>
    <col min="1" max="1" width="17.42578125" customWidth="1"/>
    <col min="2" max="2" width="1.28515625" customWidth="1"/>
    <col min="3" max="4" width="1.42578125" customWidth="1"/>
    <col min="5" max="5" width="1.7109375" customWidth="1"/>
    <col min="6" max="6" width="1.5703125" customWidth="1"/>
    <col min="7" max="8" width="1.7109375" customWidth="1"/>
    <col min="9" max="9" width="11.28515625" customWidth="1"/>
    <col min="10" max="10" width="1.7109375" customWidth="1"/>
    <col min="11" max="11" width="1.5703125" customWidth="1"/>
    <col min="12" max="12" width="2" customWidth="1"/>
    <col min="13" max="13" width="1.42578125" customWidth="1"/>
    <col min="14" max="14" width="1.5703125" customWidth="1"/>
    <col min="15" max="15" width="1.85546875" customWidth="1"/>
    <col min="16" max="16" width="1.5703125" customWidth="1"/>
    <col min="17" max="17" width="11" customWidth="1"/>
    <col min="18" max="18" width="1.42578125" customWidth="1"/>
    <col min="19" max="19" width="1.7109375" customWidth="1"/>
    <col min="20" max="20" width="1.5703125" customWidth="1"/>
    <col min="21" max="21" width="1.7109375" customWidth="1"/>
    <col min="22" max="23" width="1.85546875" customWidth="1"/>
    <col min="24" max="24" width="1.5703125" customWidth="1"/>
    <col min="25" max="25" width="11" customWidth="1"/>
    <col min="26" max="32" width="9.28515625" customWidth="1"/>
    <col min="33" max="34" width="0.7109375" customWidth="1"/>
    <col min="35" max="35" width="0.85546875" customWidth="1"/>
    <col min="36" max="36" width="11" customWidth="1"/>
    <col min="37" max="37" width="13.7109375" customWidth="1"/>
    <col min="38" max="38" width="22.140625" customWidth="1"/>
  </cols>
  <sheetData>
    <row r="1" spans="1:38" ht="24" thickBot="1" x14ac:dyDescent="0.4">
      <c r="A1" s="636" t="s">
        <v>113</v>
      </c>
      <c r="B1" s="637"/>
      <c r="C1" s="637"/>
      <c r="D1" s="637"/>
      <c r="E1" s="637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251"/>
    </row>
    <row r="2" spans="1:38" ht="16.5" thickBot="1" x14ac:dyDescent="0.3">
      <c r="A2" s="319" t="s">
        <v>3</v>
      </c>
      <c r="B2" s="328">
        <v>1</v>
      </c>
      <c r="C2" s="328">
        <v>2</v>
      </c>
      <c r="D2" s="328">
        <v>3</v>
      </c>
      <c r="E2" s="328">
        <v>4</v>
      </c>
      <c r="F2" s="328">
        <v>5</v>
      </c>
      <c r="G2" s="328">
        <v>6</v>
      </c>
      <c r="H2" s="328">
        <v>7</v>
      </c>
      <c r="I2" s="328">
        <v>7</v>
      </c>
      <c r="J2" s="328">
        <v>8</v>
      </c>
      <c r="K2" s="328">
        <v>9</v>
      </c>
      <c r="L2" s="328">
        <v>10</v>
      </c>
      <c r="M2" s="328">
        <v>11</v>
      </c>
      <c r="N2" s="328">
        <v>12</v>
      </c>
      <c r="O2" s="328">
        <v>13</v>
      </c>
      <c r="P2" s="328">
        <v>14</v>
      </c>
      <c r="Q2" s="629" t="s">
        <v>338</v>
      </c>
      <c r="R2" s="328">
        <v>15</v>
      </c>
      <c r="S2" s="328">
        <v>16</v>
      </c>
      <c r="T2" s="328">
        <v>17</v>
      </c>
      <c r="U2" s="328">
        <v>18</v>
      </c>
      <c r="V2" s="328">
        <v>19</v>
      </c>
      <c r="W2" s="328">
        <v>20</v>
      </c>
      <c r="X2" s="328">
        <v>21</v>
      </c>
      <c r="Y2" s="629" t="s">
        <v>338</v>
      </c>
      <c r="Z2" s="328">
        <v>22</v>
      </c>
      <c r="AA2" s="328">
        <v>23</v>
      </c>
      <c r="AB2" s="328">
        <v>24</v>
      </c>
      <c r="AC2" s="328">
        <v>25</v>
      </c>
      <c r="AD2" s="328">
        <v>26</v>
      </c>
      <c r="AE2" s="328">
        <v>27</v>
      </c>
      <c r="AF2" s="328">
        <v>28</v>
      </c>
      <c r="AG2" s="328">
        <v>29</v>
      </c>
      <c r="AH2" s="328">
        <v>30</v>
      </c>
      <c r="AI2" s="328">
        <v>31</v>
      </c>
      <c r="AJ2" s="629" t="s">
        <v>338</v>
      </c>
      <c r="AK2" s="630" t="s">
        <v>339</v>
      </c>
      <c r="AL2" s="631" t="s">
        <v>42</v>
      </c>
    </row>
    <row r="3" spans="1:38" x14ac:dyDescent="0.25">
      <c r="A3" s="61">
        <v>1</v>
      </c>
      <c r="B3" s="639">
        <v>351</v>
      </c>
      <c r="C3" s="639">
        <v>350</v>
      </c>
      <c r="D3" s="639">
        <v>350</v>
      </c>
      <c r="E3" s="639">
        <v>335</v>
      </c>
      <c r="F3" s="639">
        <v>350</v>
      </c>
      <c r="G3" s="639">
        <v>351</v>
      </c>
      <c r="H3" s="639">
        <v>350</v>
      </c>
      <c r="I3" s="640"/>
      <c r="J3" s="639">
        <v>349.9</v>
      </c>
      <c r="K3" s="639">
        <v>349.9</v>
      </c>
      <c r="L3" s="639">
        <v>349.9</v>
      </c>
      <c r="M3" s="639">
        <v>349.9</v>
      </c>
      <c r="N3" s="639">
        <v>431.1</v>
      </c>
      <c r="O3" s="639">
        <v>299.39999999999998</v>
      </c>
      <c r="P3" s="639">
        <v>351</v>
      </c>
      <c r="Q3" s="641"/>
      <c r="R3" s="639">
        <v>351</v>
      </c>
      <c r="S3" s="639">
        <v>350</v>
      </c>
      <c r="T3" s="639">
        <v>350</v>
      </c>
      <c r="U3" s="639">
        <v>350</v>
      </c>
      <c r="V3" s="639">
        <v>311</v>
      </c>
      <c r="W3" s="639">
        <v>351</v>
      </c>
      <c r="X3" s="639">
        <v>350</v>
      </c>
      <c r="Y3" s="304"/>
      <c r="Z3" s="639">
        <v>343</v>
      </c>
      <c r="AA3" s="639">
        <v>350</v>
      </c>
      <c r="AB3" s="639">
        <v>350</v>
      </c>
      <c r="AC3" s="639">
        <v>349</v>
      </c>
      <c r="AD3" s="639">
        <v>252</v>
      </c>
      <c r="AE3" s="639" t="s">
        <v>289</v>
      </c>
      <c r="AF3" s="639">
        <v>199</v>
      </c>
      <c r="AG3" s="639"/>
      <c r="AH3" s="639"/>
      <c r="AI3" s="639"/>
      <c r="AJ3" s="304"/>
      <c r="AK3" s="642"/>
      <c r="AL3" s="643" t="s">
        <v>253</v>
      </c>
    </row>
    <row r="4" spans="1:38" x14ac:dyDescent="0.25">
      <c r="A4" s="11">
        <v>2</v>
      </c>
      <c r="B4" s="106">
        <v>350</v>
      </c>
      <c r="C4" s="106" t="s">
        <v>289</v>
      </c>
      <c r="D4" s="106">
        <v>250</v>
      </c>
      <c r="E4" s="106">
        <v>350</v>
      </c>
      <c r="F4" s="106">
        <v>348</v>
      </c>
      <c r="G4" s="106">
        <v>350</v>
      </c>
      <c r="H4" s="106">
        <v>300</v>
      </c>
      <c r="I4" s="37"/>
      <c r="J4" s="106">
        <v>350</v>
      </c>
      <c r="K4" s="106">
        <v>350</v>
      </c>
      <c r="L4" s="106">
        <v>349.9</v>
      </c>
      <c r="M4" s="106">
        <v>349.9</v>
      </c>
      <c r="N4" s="106">
        <v>400.2</v>
      </c>
      <c r="O4" s="106">
        <v>299.89999999999998</v>
      </c>
      <c r="P4" s="106">
        <v>300</v>
      </c>
      <c r="Q4" s="37"/>
      <c r="R4" s="106">
        <v>161</v>
      </c>
      <c r="S4" s="106">
        <v>347</v>
      </c>
      <c r="T4" s="106">
        <v>350</v>
      </c>
      <c r="U4" s="106">
        <v>350</v>
      </c>
      <c r="V4" s="106">
        <v>349</v>
      </c>
      <c r="W4" s="106">
        <v>351</v>
      </c>
      <c r="X4" s="106">
        <v>200</v>
      </c>
      <c r="Y4" s="37"/>
      <c r="Z4" s="106">
        <v>334</v>
      </c>
      <c r="AA4" s="106">
        <v>350</v>
      </c>
      <c r="AB4" s="106">
        <v>350</v>
      </c>
      <c r="AC4" s="106">
        <v>350</v>
      </c>
      <c r="AD4" s="106">
        <v>350</v>
      </c>
      <c r="AE4" s="106">
        <v>351</v>
      </c>
      <c r="AF4" s="106">
        <v>349</v>
      </c>
      <c r="AG4" s="106"/>
      <c r="AH4" s="106"/>
      <c r="AI4" s="106"/>
      <c r="AJ4" s="37"/>
      <c r="AK4" s="38"/>
      <c r="AL4" s="172" t="s">
        <v>254</v>
      </c>
    </row>
    <row r="5" spans="1:38" x14ac:dyDescent="0.25">
      <c r="A5" s="11">
        <v>3</v>
      </c>
      <c r="B5" s="106">
        <v>350</v>
      </c>
      <c r="C5" s="106">
        <v>350</v>
      </c>
      <c r="D5" s="106">
        <v>350</v>
      </c>
      <c r="E5" s="106">
        <v>350</v>
      </c>
      <c r="F5" s="106">
        <v>350</v>
      </c>
      <c r="G5" s="106">
        <v>350</v>
      </c>
      <c r="H5" s="106">
        <v>349</v>
      </c>
      <c r="I5" s="37"/>
      <c r="J5" s="106">
        <v>350</v>
      </c>
      <c r="K5" s="106">
        <v>350</v>
      </c>
      <c r="L5" s="106">
        <v>136.6</v>
      </c>
      <c r="M5" s="106">
        <v>350</v>
      </c>
      <c r="N5" s="106">
        <v>599.9</v>
      </c>
      <c r="O5" s="106">
        <v>200.6</v>
      </c>
      <c r="P5" s="106">
        <v>350</v>
      </c>
      <c r="Q5" s="37"/>
      <c r="R5" s="106">
        <v>349</v>
      </c>
      <c r="S5" s="106">
        <v>349</v>
      </c>
      <c r="T5" s="106">
        <v>349</v>
      </c>
      <c r="U5" s="106">
        <v>349</v>
      </c>
      <c r="V5" s="106">
        <v>349</v>
      </c>
      <c r="W5" s="106">
        <v>350</v>
      </c>
      <c r="X5" s="106">
        <v>350</v>
      </c>
      <c r="Y5" s="37"/>
      <c r="Z5" s="106">
        <v>349</v>
      </c>
      <c r="AA5" s="106">
        <v>349</v>
      </c>
      <c r="AB5" s="106">
        <v>349</v>
      </c>
      <c r="AC5" s="106">
        <v>349</v>
      </c>
      <c r="AD5" s="106">
        <v>349</v>
      </c>
      <c r="AE5" s="106">
        <v>350</v>
      </c>
      <c r="AF5" s="106">
        <v>348</v>
      </c>
      <c r="AG5" s="106"/>
      <c r="AH5" s="106"/>
      <c r="AI5" s="106"/>
      <c r="AJ5" s="37"/>
      <c r="AK5" s="38"/>
      <c r="AL5" s="172" t="s">
        <v>255</v>
      </c>
    </row>
    <row r="6" spans="1:38" x14ac:dyDescent="0.25">
      <c r="A6" s="11">
        <v>4</v>
      </c>
      <c r="B6" s="106">
        <v>350</v>
      </c>
      <c r="C6" s="106">
        <v>350</v>
      </c>
      <c r="D6" s="106">
        <v>350</v>
      </c>
      <c r="E6" s="106">
        <v>350</v>
      </c>
      <c r="F6" s="106">
        <v>350</v>
      </c>
      <c r="G6" s="106">
        <v>350</v>
      </c>
      <c r="H6" s="106">
        <v>350</v>
      </c>
      <c r="I6" s="37"/>
      <c r="J6" s="106">
        <v>350</v>
      </c>
      <c r="K6" s="106">
        <v>350</v>
      </c>
      <c r="L6" s="106">
        <v>350</v>
      </c>
      <c r="M6" s="106">
        <v>349.9</v>
      </c>
      <c r="N6" s="106">
        <v>501.6</v>
      </c>
      <c r="O6" s="106">
        <v>199.9</v>
      </c>
      <c r="P6" s="106">
        <v>350</v>
      </c>
      <c r="Q6" s="37"/>
      <c r="R6" s="106">
        <v>345</v>
      </c>
      <c r="S6" s="106">
        <v>350</v>
      </c>
      <c r="T6" s="106">
        <v>349</v>
      </c>
      <c r="U6" s="106">
        <v>349</v>
      </c>
      <c r="V6" s="106">
        <v>350</v>
      </c>
      <c r="W6" s="106">
        <v>350</v>
      </c>
      <c r="X6" s="106">
        <v>350</v>
      </c>
      <c r="Y6" s="37"/>
      <c r="Z6" s="106">
        <v>350</v>
      </c>
      <c r="AA6" s="106">
        <v>349</v>
      </c>
      <c r="AB6" s="106">
        <v>350</v>
      </c>
      <c r="AC6" s="106">
        <v>349</v>
      </c>
      <c r="AD6" s="106">
        <v>349</v>
      </c>
      <c r="AE6" s="106">
        <v>350</v>
      </c>
      <c r="AF6" s="106">
        <v>350</v>
      </c>
      <c r="AG6" s="106"/>
      <c r="AH6" s="106"/>
      <c r="AI6" s="106"/>
      <c r="AJ6" s="37"/>
      <c r="AK6" s="38"/>
      <c r="AL6" s="172" t="s">
        <v>372</v>
      </c>
    </row>
    <row r="7" spans="1:38" x14ac:dyDescent="0.25">
      <c r="A7" s="11">
        <v>5</v>
      </c>
      <c r="B7" s="106" t="s">
        <v>289</v>
      </c>
      <c r="C7" s="106" t="s">
        <v>289</v>
      </c>
      <c r="D7" s="106" t="s">
        <v>289</v>
      </c>
      <c r="E7" s="106" t="s">
        <v>289</v>
      </c>
      <c r="F7" s="106" t="s">
        <v>289</v>
      </c>
      <c r="G7" s="106" t="s">
        <v>289</v>
      </c>
      <c r="H7" s="106" t="s">
        <v>289</v>
      </c>
      <c r="I7" s="37"/>
      <c r="J7" s="106" t="s">
        <v>289</v>
      </c>
      <c r="K7" s="106" t="s">
        <v>289</v>
      </c>
      <c r="L7" s="106" t="s">
        <v>289</v>
      </c>
      <c r="M7" s="106" t="s">
        <v>289</v>
      </c>
      <c r="N7" s="106" t="s">
        <v>289</v>
      </c>
      <c r="O7" s="106" t="s">
        <v>289</v>
      </c>
      <c r="P7" s="106" t="s">
        <v>289</v>
      </c>
      <c r="Q7" s="37"/>
      <c r="R7" s="106" t="s">
        <v>289</v>
      </c>
      <c r="S7" s="106" t="s">
        <v>289</v>
      </c>
      <c r="T7" s="106" t="s">
        <v>289</v>
      </c>
      <c r="U7" s="106" t="s">
        <v>289</v>
      </c>
      <c r="V7" s="106" t="s">
        <v>289</v>
      </c>
      <c r="W7" s="106" t="s">
        <v>289</v>
      </c>
      <c r="X7" s="106" t="s">
        <v>289</v>
      </c>
      <c r="Y7" s="37"/>
      <c r="Z7" s="106" t="s">
        <v>289</v>
      </c>
      <c r="AA7" s="106" t="s">
        <v>289</v>
      </c>
      <c r="AB7" s="106" t="s">
        <v>289</v>
      </c>
      <c r="AC7" s="106" t="s">
        <v>289</v>
      </c>
      <c r="AD7" s="106" t="s">
        <v>289</v>
      </c>
      <c r="AE7" s="106" t="s">
        <v>289</v>
      </c>
      <c r="AF7" s="106" t="s">
        <v>289</v>
      </c>
      <c r="AG7" s="106"/>
      <c r="AH7" s="106"/>
      <c r="AI7" s="106"/>
      <c r="AJ7" s="37"/>
      <c r="AK7" s="38"/>
      <c r="AL7" s="172" t="s">
        <v>257</v>
      </c>
    </row>
    <row r="8" spans="1:38" x14ac:dyDescent="0.25">
      <c r="A8" s="11">
        <v>6</v>
      </c>
      <c r="B8" s="106">
        <v>323</v>
      </c>
      <c r="C8" s="106">
        <v>300</v>
      </c>
      <c r="D8" s="106">
        <v>300</v>
      </c>
      <c r="E8" s="106">
        <v>350</v>
      </c>
      <c r="F8" s="106">
        <v>350</v>
      </c>
      <c r="G8" s="106">
        <v>350</v>
      </c>
      <c r="H8" s="106">
        <v>351</v>
      </c>
      <c r="I8" s="37"/>
      <c r="J8" s="106">
        <v>349.9</v>
      </c>
      <c r="K8" s="106">
        <v>349.9</v>
      </c>
      <c r="L8" s="106">
        <v>350</v>
      </c>
      <c r="M8" s="106">
        <v>350</v>
      </c>
      <c r="N8" s="106">
        <v>550.1</v>
      </c>
      <c r="O8" s="106">
        <v>200</v>
      </c>
      <c r="P8" s="106">
        <v>350</v>
      </c>
      <c r="Q8" s="37"/>
      <c r="R8" s="106">
        <v>231</v>
      </c>
      <c r="S8" s="106">
        <v>350</v>
      </c>
      <c r="T8" s="106">
        <v>350</v>
      </c>
      <c r="U8" s="106">
        <v>349</v>
      </c>
      <c r="V8" s="106">
        <v>349</v>
      </c>
      <c r="W8" s="106">
        <v>351</v>
      </c>
      <c r="X8" s="106">
        <v>350</v>
      </c>
      <c r="Y8" s="37"/>
      <c r="Z8" s="106">
        <v>341</v>
      </c>
      <c r="AA8" s="106">
        <v>350</v>
      </c>
      <c r="AB8" s="106">
        <v>350</v>
      </c>
      <c r="AC8" s="106">
        <v>349</v>
      </c>
      <c r="AD8" s="106">
        <v>349</v>
      </c>
      <c r="AE8" s="106">
        <v>350</v>
      </c>
      <c r="AF8" s="106">
        <v>347</v>
      </c>
      <c r="AG8" s="106"/>
      <c r="AH8" s="106"/>
      <c r="AI8" s="106"/>
      <c r="AJ8" s="37"/>
      <c r="AK8" s="38"/>
      <c r="AL8" s="176"/>
    </row>
    <row r="9" spans="1:38" x14ac:dyDescent="0.25">
      <c r="A9" s="11">
        <v>7</v>
      </c>
      <c r="B9" s="547" t="s">
        <v>290</v>
      </c>
      <c r="C9" s="547" t="s">
        <v>290</v>
      </c>
      <c r="D9" s="547" t="s">
        <v>290</v>
      </c>
      <c r="E9" s="547" t="s">
        <v>290</v>
      </c>
      <c r="F9" s="547" t="s">
        <v>290</v>
      </c>
      <c r="G9" s="547" t="s">
        <v>290</v>
      </c>
      <c r="H9" s="547" t="s">
        <v>290</v>
      </c>
      <c r="I9" s="111"/>
      <c r="J9" s="546" t="s">
        <v>290</v>
      </c>
      <c r="K9" s="547" t="s">
        <v>290</v>
      </c>
      <c r="L9" s="547" t="s">
        <v>290</v>
      </c>
      <c r="M9" s="547" t="s">
        <v>290</v>
      </c>
      <c r="N9" s="547" t="s">
        <v>290</v>
      </c>
      <c r="O9" s="547" t="s">
        <v>290</v>
      </c>
      <c r="P9" s="547" t="s">
        <v>290</v>
      </c>
      <c r="Q9" s="111"/>
      <c r="R9" s="546" t="s">
        <v>290</v>
      </c>
      <c r="S9" s="546" t="s">
        <v>290</v>
      </c>
      <c r="T9" s="546" t="s">
        <v>290</v>
      </c>
      <c r="U9" s="546" t="s">
        <v>290</v>
      </c>
      <c r="V9" s="546" t="s">
        <v>290</v>
      </c>
      <c r="W9" s="546" t="s">
        <v>290</v>
      </c>
      <c r="X9" s="546" t="s">
        <v>290</v>
      </c>
      <c r="Y9" s="614"/>
      <c r="Z9" s="546" t="s">
        <v>290</v>
      </c>
      <c r="AA9" s="547" t="s">
        <v>290</v>
      </c>
      <c r="AB9" s="547" t="s">
        <v>290</v>
      </c>
      <c r="AC9" s="547" t="s">
        <v>290</v>
      </c>
      <c r="AD9" s="547" t="s">
        <v>290</v>
      </c>
      <c r="AE9" s="547" t="s">
        <v>290</v>
      </c>
      <c r="AF9" s="547" t="s">
        <v>290</v>
      </c>
      <c r="AG9" s="547" t="s">
        <v>290</v>
      </c>
      <c r="AH9" s="547" t="s">
        <v>290</v>
      </c>
      <c r="AI9" s="547" t="s">
        <v>290</v>
      </c>
      <c r="AJ9" s="614"/>
      <c r="AK9" s="38"/>
      <c r="AL9" s="197"/>
    </row>
    <row r="10" spans="1:38" x14ac:dyDescent="0.25">
      <c r="A10" s="11">
        <v>8</v>
      </c>
      <c r="B10" s="106">
        <v>354</v>
      </c>
      <c r="C10" s="106">
        <v>400</v>
      </c>
      <c r="D10" s="106">
        <v>400</v>
      </c>
      <c r="E10" s="106">
        <v>400</v>
      </c>
      <c r="F10" s="106">
        <v>350</v>
      </c>
      <c r="G10" s="106">
        <v>400</v>
      </c>
      <c r="H10" s="106">
        <v>400</v>
      </c>
      <c r="I10" s="37"/>
      <c r="J10" s="106">
        <v>374.8</v>
      </c>
      <c r="K10" s="106">
        <v>400.1</v>
      </c>
      <c r="L10" s="106">
        <v>370.3</v>
      </c>
      <c r="M10" s="106">
        <v>392.3</v>
      </c>
      <c r="N10" s="106">
        <v>451.1</v>
      </c>
      <c r="O10" s="106">
        <v>200</v>
      </c>
      <c r="P10" s="106">
        <v>227</v>
      </c>
      <c r="Q10" s="37"/>
      <c r="R10" s="106">
        <v>294</v>
      </c>
      <c r="S10" s="106">
        <v>349</v>
      </c>
      <c r="T10" s="106">
        <v>350</v>
      </c>
      <c r="U10" s="106">
        <v>200</v>
      </c>
      <c r="V10" s="106">
        <v>203</v>
      </c>
      <c r="W10" s="106">
        <v>400</v>
      </c>
      <c r="X10" s="106" t="s">
        <v>289</v>
      </c>
      <c r="Y10" s="37"/>
      <c r="Z10" s="106" t="s">
        <v>289</v>
      </c>
      <c r="AA10" s="106" t="s">
        <v>289</v>
      </c>
      <c r="AB10" s="106" t="s">
        <v>289</v>
      </c>
      <c r="AC10" s="106">
        <v>387</v>
      </c>
      <c r="AD10" s="106">
        <v>350</v>
      </c>
      <c r="AE10" s="106">
        <v>351</v>
      </c>
      <c r="AF10" s="106">
        <v>337</v>
      </c>
      <c r="AG10" s="106"/>
      <c r="AH10" s="106"/>
      <c r="AI10" s="106"/>
      <c r="AJ10" s="37"/>
      <c r="AK10" s="38"/>
      <c r="AL10" s="176"/>
    </row>
    <row r="11" spans="1:38" x14ac:dyDescent="0.25">
      <c r="A11" s="11">
        <v>9</v>
      </c>
      <c r="B11" s="106" t="s">
        <v>289</v>
      </c>
      <c r="C11" s="106" t="s">
        <v>289</v>
      </c>
      <c r="D11" s="106" t="s">
        <v>289</v>
      </c>
      <c r="E11" s="106" t="s">
        <v>289</v>
      </c>
      <c r="F11" s="106" t="s">
        <v>289</v>
      </c>
      <c r="G11" s="106" t="s">
        <v>289</v>
      </c>
      <c r="H11" s="106" t="s">
        <v>289</v>
      </c>
      <c r="I11" s="37"/>
      <c r="J11" s="106" t="s">
        <v>289</v>
      </c>
      <c r="K11" s="106" t="s">
        <v>289</v>
      </c>
      <c r="L11" s="106" t="s">
        <v>289</v>
      </c>
      <c r="M11" s="106" t="s">
        <v>289</v>
      </c>
      <c r="N11" s="106" t="s">
        <v>289</v>
      </c>
      <c r="O11" s="106" t="s">
        <v>289</v>
      </c>
      <c r="P11" s="106" t="s">
        <v>289</v>
      </c>
      <c r="Q11" s="37"/>
      <c r="R11" s="106" t="s">
        <v>289</v>
      </c>
      <c r="S11" s="106" t="s">
        <v>289</v>
      </c>
      <c r="T11" s="106" t="s">
        <v>289</v>
      </c>
      <c r="U11" s="106" t="s">
        <v>289</v>
      </c>
      <c r="V11" s="106" t="s">
        <v>289</v>
      </c>
      <c r="W11" s="106" t="s">
        <v>289</v>
      </c>
      <c r="X11" s="106" t="s">
        <v>289</v>
      </c>
      <c r="Y11" s="37"/>
      <c r="Z11" s="106" t="s">
        <v>289</v>
      </c>
      <c r="AA11" s="106" t="s">
        <v>289</v>
      </c>
      <c r="AB11" s="106" t="s">
        <v>289</v>
      </c>
      <c r="AC11" s="106" t="s">
        <v>289</v>
      </c>
      <c r="AD11" s="106" t="s">
        <v>289</v>
      </c>
      <c r="AE11" s="106" t="s">
        <v>289</v>
      </c>
      <c r="AF11" s="106" t="s">
        <v>289</v>
      </c>
      <c r="AG11" s="106"/>
      <c r="AH11" s="106"/>
      <c r="AI11" s="106"/>
      <c r="AJ11" s="37"/>
      <c r="AK11" s="38"/>
      <c r="AL11" s="176"/>
    </row>
    <row r="12" spans="1:38" x14ac:dyDescent="0.25">
      <c r="A12" s="11">
        <v>10</v>
      </c>
      <c r="B12" s="106">
        <v>400</v>
      </c>
      <c r="C12" s="106">
        <v>100</v>
      </c>
      <c r="D12" s="106">
        <v>400</v>
      </c>
      <c r="E12" s="106">
        <v>400</v>
      </c>
      <c r="F12" s="106">
        <v>400</v>
      </c>
      <c r="G12" s="106">
        <v>400</v>
      </c>
      <c r="H12" s="106">
        <v>400</v>
      </c>
      <c r="I12" s="37"/>
      <c r="J12" s="106">
        <v>397.3</v>
      </c>
      <c r="K12" s="106">
        <v>399.9</v>
      </c>
      <c r="L12" s="106">
        <v>400</v>
      </c>
      <c r="M12" s="106">
        <v>399.9</v>
      </c>
      <c r="N12" s="106">
        <v>599.9</v>
      </c>
      <c r="O12" s="106">
        <v>199.9</v>
      </c>
      <c r="P12" s="106">
        <v>400</v>
      </c>
      <c r="Q12" s="37"/>
      <c r="R12" s="106">
        <v>349</v>
      </c>
      <c r="S12" s="106">
        <v>400</v>
      </c>
      <c r="T12" s="106">
        <v>401</v>
      </c>
      <c r="U12" s="106">
        <v>350</v>
      </c>
      <c r="V12" s="106">
        <v>399</v>
      </c>
      <c r="W12" s="106">
        <v>372</v>
      </c>
      <c r="X12" s="106">
        <v>150</v>
      </c>
      <c r="Y12" s="37"/>
      <c r="Z12" s="106">
        <v>400</v>
      </c>
      <c r="AA12" s="106">
        <v>400</v>
      </c>
      <c r="AB12" s="106">
        <v>399</v>
      </c>
      <c r="AC12" s="106">
        <v>400</v>
      </c>
      <c r="AD12" s="106">
        <v>400</v>
      </c>
      <c r="AE12" s="106">
        <v>400</v>
      </c>
      <c r="AF12" s="106">
        <v>399</v>
      </c>
      <c r="AG12" s="106"/>
      <c r="AH12" s="106"/>
      <c r="AI12" s="106"/>
      <c r="AJ12" s="37"/>
      <c r="AK12" s="38"/>
      <c r="AL12" s="176"/>
    </row>
    <row r="13" spans="1:38" x14ac:dyDescent="0.25">
      <c r="A13" s="11">
        <v>11</v>
      </c>
      <c r="B13" s="106">
        <v>400</v>
      </c>
      <c r="C13" s="106">
        <v>400</v>
      </c>
      <c r="D13" s="106">
        <v>400</v>
      </c>
      <c r="E13" s="106">
        <v>400</v>
      </c>
      <c r="F13" s="106">
        <v>400</v>
      </c>
      <c r="G13" s="106">
        <v>400</v>
      </c>
      <c r="H13" s="106">
        <v>400</v>
      </c>
      <c r="I13" s="37"/>
      <c r="J13" s="106">
        <v>399.9</v>
      </c>
      <c r="K13" s="106">
        <v>344.6</v>
      </c>
      <c r="L13" s="106">
        <v>399.9</v>
      </c>
      <c r="M13" s="106">
        <v>400</v>
      </c>
      <c r="N13" s="106">
        <v>600</v>
      </c>
      <c r="O13" s="106">
        <v>199.9</v>
      </c>
      <c r="P13" s="106">
        <v>401</v>
      </c>
      <c r="Q13" s="37"/>
      <c r="R13" s="106">
        <v>400</v>
      </c>
      <c r="S13" s="106">
        <v>402</v>
      </c>
      <c r="T13" s="106">
        <v>400</v>
      </c>
      <c r="U13" s="106">
        <v>400</v>
      </c>
      <c r="V13" s="106">
        <v>399</v>
      </c>
      <c r="W13" s="106">
        <v>400</v>
      </c>
      <c r="X13" s="106">
        <v>400</v>
      </c>
      <c r="Y13" s="37"/>
      <c r="Z13" s="106">
        <v>400</v>
      </c>
      <c r="AA13" s="106">
        <v>400</v>
      </c>
      <c r="AB13" s="106">
        <v>400</v>
      </c>
      <c r="AC13" s="106">
        <v>399</v>
      </c>
      <c r="AD13" s="106">
        <v>400</v>
      </c>
      <c r="AE13" s="106">
        <v>400</v>
      </c>
      <c r="AF13" s="106">
        <v>399</v>
      </c>
      <c r="AG13" s="106"/>
      <c r="AH13" s="106"/>
      <c r="AI13" s="106"/>
      <c r="AJ13" s="37"/>
      <c r="AK13" s="38"/>
      <c r="AL13" s="197"/>
    </row>
    <row r="14" spans="1:38" x14ac:dyDescent="0.25">
      <c r="A14" s="11">
        <v>12</v>
      </c>
      <c r="B14" s="106" t="s">
        <v>289</v>
      </c>
      <c r="C14" s="106" t="s">
        <v>289</v>
      </c>
      <c r="D14" s="106" t="s">
        <v>289</v>
      </c>
      <c r="E14" s="106" t="s">
        <v>289</v>
      </c>
      <c r="F14" s="106" t="s">
        <v>289</v>
      </c>
      <c r="G14" s="106" t="s">
        <v>289</v>
      </c>
      <c r="H14" s="106" t="s">
        <v>289</v>
      </c>
      <c r="I14" s="37"/>
      <c r="J14" s="106" t="s">
        <v>289</v>
      </c>
      <c r="K14" s="106" t="s">
        <v>289</v>
      </c>
      <c r="L14" s="106" t="s">
        <v>289</v>
      </c>
      <c r="M14" s="106" t="s">
        <v>289</v>
      </c>
      <c r="N14" s="106" t="s">
        <v>289</v>
      </c>
      <c r="O14" s="106" t="s">
        <v>289</v>
      </c>
      <c r="P14" s="106" t="s">
        <v>289</v>
      </c>
      <c r="Q14" s="37"/>
      <c r="R14" s="106" t="s">
        <v>289</v>
      </c>
      <c r="S14" s="106" t="s">
        <v>289</v>
      </c>
      <c r="T14" s="106" t="s">
        <v>289</v>
      </c>
      <c r="U14" s="106" t="s">
        <v>289</v>
      </c>
      <c r="V14" s="106" t="s">
        <v>289</v>
      </c>
      <c r="W14" s="106" t="s">
        <v>289</v>
      </c>
      <c r="X14" s="106" t="s">
        <v>289</v>
      </c>
      <c r="Y14" s="37"/>
      <c r="Z14" s="106" t="s">
        <v>289</v>
      </c>
      <c r="AA14" s="106" t="s">
        <v>289</v>
      </c>
      <c r="AB14" s="106" t="s">
        <v>289</v>
      </c>
      <c r="AC14" s="106" t="s">
        <v>289</v>
      </c>
      <c r="AD14" s="106" t="s">
        <v>289</v>
      </c>
      <c r="AE14" s="106" t="s">
        <v>289</v>
      </c>
      <c r="AF14" s="106" t="s">
        <v>289</v>
      </c>
      <c r="AG14" s="106"/>
      <c r="AH14" s="106"/>
      <c r="AI14" s="106"/>
      <c r="AJ14" s="37"/>
      <c r="AK14" s="38"/>
      <c r="AL14" s="197"/>
    </row>
    <row r="15" spans="1:38" x14ac:dyDescent="0.25">
      <c r="A15" s="11">
        <v>13</v>
      </c>
      <c r="B15" s="106">
        <v>400</v>
      </c>
      <c r="C15" s="106">
        <v>400</v>
      </c>
      <c r="D15" s="106">
        <v>354</v>
      </c>
      <c r="E15" s="106">
        <v>400</v>
      </c>
      <c r="F15" s="106">
        <v>400</v>
      </c>
      <c r="G15" s="106">
        <v>400</v>
      </c>
      <c r="H15" s="106">
        <v>401</v>
      </c>
      <c r="I15" s="37"/>
      <c r="J15" s="106">
        <v>399.9</v>
      </c>
      <c r="K15" s="106">
        <v>399.9</v>
      </c>
      <c r="L15" s="106">
        <v>399.9</v>
      </c>
      <c r="M15" s="106">
        <v>399.9</v>
      </c>
      <c r="N15" s="106">
        <v>109.3</v>
      </c>
      <c r="O15" s="106">
        <v>297.39999999999998</v>
      </c>
      <c r="P15" s="106">
        <v>399</v>
      </c>
      <c r="Q15" s="37"/>
      <c r="R15" s="106">
        <v>350</v>
      </c>
      <c r="S15" s="106">
        <v>382</v>
      </c>
      <c r="T15" s="106" t="s">
        <v>289</v>
      </c>
      <c r="U15" s="106">
        <v>57</v>
      </c>
      <c r="V15" s="106" t="s">
        <v>289</v>
      </c>
      <c r="W15" s="106">
        <v>356</v>
      </c>
      <c r="X15" s="106">
        <v>400</v>
      </c>
      <c r="Y15" s="37"/>
      <c r="Z15" s="106">
        <v>366</v>
      </c>
      <c r="AA15" s="106">
        <v>386</v>
      </c>
      <c r="AB15" s="106">
        <v>400</v>
      </c>
      <c r="AC15" s="106">
        <v>376</v>
      </c>
      <c r="AD15" s="106">
        <v>349</v>
      </c>
      <c r="AE15" s="106">
        <v>258</v>
      </c>
      <c r="AF15" s="106">
        <v>399</v>
      </c>
      <c r="AG15" s="106"/>
      <c r="AH15" s="106"/>
      <c r="AI15" s="106"/>
      <c r="AJ15" s="37"/>
      <c r="AK15" s="38"/>
      <c r="AL15" s="197"/>
    </row>
    <row r="16" spans="1:38" x14ac:dyDescent="0.25">
      <c r="A16" s="11">
        <v>14</v>
      </c>
      <c r="B16" s="106">
        <v>400</v>
      </c>
      <c r="C16" s="106" t="s">
        <v>289</v>
      </c>
      <c r="D16" s="106">
        <v>350</v>
      </c>
      <c r="E16" s="106">
        <v>400</v>
      </c>
      <c r="F16" s="106">
        <v>400</v>
      </c>
      <c r="G16" s="106">
        <v>400</v>
      </c>
      <c r="H16" s="106">
        <v>400</v>
      </c>
      <c r="I16" s="37"/>
      <c r="J16" s="106">
        <v>199.7</v>
      </c>
      <c r="K16" s="106">
        <v>399.9</v>
      </c>
      <c r="L16" s="106">
        <v>399.9</v>
      </c>
      <c r="M16" s="106">
        <v>399.9</v>
      </c>
      <c r="N16" s="106">
        <v>241.1</v>
      </c>
      <c r="O16" s="106">
        <v>299.89999999999998</v>
      </c>
      <c r="P16" s="106">
        <v>300</v>
      </c>
      <c r="Q16" s="37"/>
      <c r="R16" s="106">
        <v>401</v>
      </c>
      <c r="S16" s="106">
        <v>398</v>
      </c>
      <c r="T16" s="106">
        <v>399</v>
      </c>
      <c r="U16" s="106">
        <v>250</v>
      </c>
      <c r="V16" s="106">
        <v>399</v>
      </c>
      <c r="W16" s="106">
        <v>400</v>
      </c>
      <c r="X16" s="106">
        <v>400</v>
      </c>
      <c r="Y16" s="37"/>
      <c r="Z16" s="106">
        <v>351</v>
      </c>
      <c r="AA16" s="106">
        <v>400</v>
      </c>
      <c r="AB16" s="106">
        <v>400</v>
      </c>
      <c r="AC16" s="106">
        <v>400</v>
      </c>
      <c r="AD16" s="106">
        <v>399</v>
      </c>
      <c r="AE16" s="106">
        <v>400</v>
      </c>
      <c r="AF16" s="106">
        <v>400</v>
      </c>
      <c r="AG16" s="106"/>
      <c r="AH16" s="106"/>
      <c r="AI16" s="106"/>
      <c r="AJ16" s="37"/>
      <c r="AK16" s="38"/>
      <c r="AL16" s="197"/>
    </row>
    <row r="17" spans="1:38" x14ac:dyDescent="0.25">
      <c r="A17" s="11">
        <v>15</v>
      </c>
      <c r="B17" s="106">
        <v>394</v>
      </c>
      <c r="C17" s="106">
        <v>400</v>
      </c>
      <c r="D17" s="106">
        <v>400</v>
      </c>
      <c r="E17" s="106">
        <v>400</v>
      </c>
      <c r="F17" s="106">
        <v>400</v>
      </c>
      <c r="G17" s="106">
        <v>400</v>
      </c>
      <c r="H17" s="106">
        <v>401</v>
      </c>
      <c r="I17" s="37"/>
      <c r="J17" s="106">
        <v>400</v>
      </c>
      <c r="K17" s="106">
        <v>399.9</v>
      </c>
      <c r="L17" s="106">
        <v>399.9</v>
      </c>
      <c r="M17" s="106">
        <v>399.9</v>
      </c>
      <c r="N17" s="106">
        <v>599.9</v>
      </c>
      <c r="O17" s="106">
        <v>99.9</v>
      </c>
      <c r="P17" s="106">
        <v>401</v>
      </c>
      <c r="Q17" s="37"/>
      <c r="R17" s="106">
        <v>388</v>
      </c>
      <c r="S17" s="106">
        <v>388</v>
      </c>
      <c r="T17" s="106">
        <v>333</v>
      </c>
      <c r="U17" s="106">
        <v>400</v>
      </c>
      <c r="V17" s="106">
        <v>400</v>
      </c>
      <c r="W17" s="106">
        <v>400</v>
      </c>
      <c r="X17" s="106">
        <v>400</v>
      </c>
      <c r="Y17" s="37"/>
      <c r="Z17" s="106">
        <v>360</v>
      </c>
      <c r="AA17" s="106">
        <v>400</v>
      </c>
      <c r="AB17" s="106">
        <v>401</v>
      </c>
      <c r="AC17" s="106">
        <v>400</v>
      </c>
      <c r="AD17" s="106">
        <v>401</v>
      </c>
      <c r="AE17" s="106">
        <v>341</v>
      </c>
      <c r="AF17" s="106">
        <v>399</v>
      </c>
      <c r="AG17" s="106"/>
      <c r="AH17" s="106"/>
      <c r="AI17" s="106"/>
      <c r="AJ17" s="37"/>
      <c r="AK17" s="38"/>
      <c r="AL17" s="197"/>
    </row>
    <row r="18" spans="1:38" x14ac:dyDescent="0.25">
      <c r="A18" s="11">
        <v>16</v>
      </c>
      <c r="B18" s="546" t="s">
        <v>291</v>
      </c>
      <c r="C18" s="546" t="s">
        <v>291</v>
      </c>
      <c r="D18" s="546" t="s">
        <v>291</v>
      </c>
      <c r="E18" s="546" t="s">
        <v>291</v>
      </c>
      <c r="F18" s="546" t="s">
        <v>291</v>
      </c>
      <c r="G18" s="546" t="s">
        <v>291</v>
      </c>
      <c r="H18" s="546" t="s">
        <v>291</v>
      </c>
      <c r="I18" s="39"/>
      <c r="J18" s="546" t="s">
        <v>291</v>
      </c>
      <c r="K18" s="546" t="s">
        <v>291</v>
      </c>
      <c r="L18" s="546" t="s">
        <v>291</v>
      </c>
      <c r="M18" s="546" t="s">
        <v>291</v>
      </c>
      <c r="N18" s="546" t="s">
        <v>291</v>
      </c>
      <c r="O18" s="546" t="s">
        <v>291</v>
      </c>
      <c r="P18" s="546" t="s">
        <v>291</v>
      </c>
      <c r="Q18" s="681"/>
      <c r="R18" s="546" t="s">
        <v>291</v>
      </c>
      <c r="S18" s="546" t="s">
        <v>291</v>
      </c>
      <c r="T18" s="546" t="s">
        <v>291</v>
      </c>
      <c r="U18" s="546" t="s">
        <v>291</v>
      </c>
      <c r="V18" s="546" t="s">
        <v>291</v>
      </c>
      <c r="W18" s="546" t="s">
        <v>291</v>
      </c>
      <c r="X18" s="546" t="s">
        <v>291</v>
      </c>
      <c r="Y18" s="681"/>
      <c r="Z18" s="546" t="s">
        <v>291</v>
      </c>
      <c r="AA18" s="546" t="s">
        <v>291</v>
      </c>
      <c r="AB18" s="546" t="s">
        <v>291</v>
      </c>
      <c r="AC18" s="546" t="s">
        <v>291</v>
      </c>
      <c r="AD18" s="546" t="s">
        <v>291</v>
      </c>
      <c r="AE18" s="546" t="s">
        <v>291</v>
      </c>
      <c r="AF18" s="546" t="s">
        <v>291</v>
      </c>
      <c r="AG18" s="546" t="s">
        <v>291</v>
      </c>
      <c r="AH18" s="546" t="s">
        <v>291</v>
      </c>
      <c r="AI18" s="546" t="s">
        <v>291</v>
      </c>
      <c r="AJ18" s="681"/>
      <c r="AK18" s="41"/>
      <c r="AL18" s="202"/>
    </row>
    <row r="19" spans="1:38" x14ac:dyDescent="0.25">
      <c r="A19" s="11">
        <v>17</v>
      </c>
      <c r="B19" s="106">
        <v>392</v>
      </c>
      <c r="C19" s="106" t="s">
        <v>289</v>
      </c>
      <c r="D19" s="106">
        <v>400</v>
      </c>
      <c r="E19" s="106">
        <v>400</v>
      </c>
      <c r="F19" s="106">
        <v>400</v>
      </c>
      <c r="G19" s="106">
        <v>400</v>
      </c>
      <c r="H19" s="106">
        <v>400</v>
      </c>
      <c r="I19" s="37"/>
      <c r="J19" s="106">
        <v>330.7</v>
      </c>
      <c r="K19" s="106">
        <v>378.9</v>
      </c>
      <c r="L19" s="106">
        <v>399.9</v>
      </c>
      <c r="M19" s="106">
        <v>399.9</v>
      </c>
      <c r="N19" s="106">
        <v>399.9</v>
      </c>
      <c r="O19" s="106">
        <v>399.9</v>
      </c>
      <c r="P19" s="106">
        <v>400</v>
      </c>
      <c r="Q19" s="37"/>
      <c r="R19" s="106">
        <v>400</v>
      </c>
      <c r="S19" s="106">
        <v>399</v>
      </c>
      <c r="T19" s="106">
        <v>400</v>
      </c>
      <c r="U19" s="106">
        <v>400</v>
      </c>
      <c r="V19" s="106">
        <v>401</v>
      </c>
      <c r="W19" s="106">
        <v>400</v>
      </c>
      <c r="X19" s="106">
        <v>400</v>
      </c>
      <c r="Y19" s="37"/>
      <c r="Z19" s="106">
        <v>400</v>
      </c>
      <c r="AA19" s="106">
        <v>400</v>
      </c>
      <c r="AB19" s="106">
        <v>400</v>
      </c>
      <c r="AC19" s="106">
        <v>400</v>
      </c>
      <c r="AD19" s="106" t="s">
        <v>289</v>
      </c>
      <c r="AE19" s="106" t="s">
        <v>289</v>
      </c>
      <c r="AF19" s="106">
        <v>400</v>
      </c>
      <c r="AG19" s="106"/>
      <c r="AH19" s="106"/>
      <c r="AI19" s="106"/>
      <c r="AJ19" s="37"/>
      <c r="AK19" s="38"/>
      <c r="AL19" s="197"/>
    </row>
    <row r="20" spans="1:38" x14ac:dyDescent="0.25">
      <c r="A20" s="11">
        <v>18</v>
      </c>
      <c r="B20" s="106" t="s">
        <v>289</v>
      </c>
      <c r="C20" s="106" t="s">
        <v>289</v>
      </c>
      <c r="D20" s="106" t="s">
        <v>289</v>
      </c>
      <c r="E20" s="106" t="s">
        <v>289</v>
      </c>
      <c r="F20" s="106" t="s">
        <v>289</v>
      </c>
      <c r="G20" s="106" t="s">
        <v>289</v>
      </c>
      <c r="H20" s="106" t="s">
        <v>289</v>
      </c>
      <c r="I20" s="37"/>
      <c r="J20" s="106" t="s">
        <v>289</v>
      </c>
      <c r="K20" s="106" t="s">
        <v>289</v>
      </c>
      <c r="L20" s="106" t="s">
        <v>289</v>
      </c>
      <c r="M20" s="106" t="s">
        <v>289</v>
      </c>
      <c r="N20" s="106" t="s">
        <v>289</v>
      </c>
      <c r="O20" s="106" t="s">
        <v>289</v>
      </c>
      <c r="P20" s="106" t="s">
        <v>289</v>
      </c>
      <c r="Q20" s="37"/>
      <c r="R20" s="106" t="s">
        <v>289</v>
      </c>
      <c r="S20" s="106" t="s">
        <v>289</v>
      </c>
      <c r="T20" s="106" t="s">
        <v>289</v>
      </c>
      <c r="U20" s="106" t="s">
        <v>289</v>
      </c>
      <c r="V20" s="106" t="s">
        <v>289</v>
      </c>
      <c r="W20" s="106" t="s">
        <v>289</v>
      </c>
      <c r="X20" s="106" t="s">
        <v>289</v>
      </c>
      <c r="Y20" s="37"/>
      <c r="Z20" s="106" t="s">
        <v>289</v>
      </c>
      <c r="AA20" s="106" t="s">
        <v>289</v>
      </c>
      <c r="AB20" s="106" t="s">
        <v>289</v>
      </c>
      <c r="AC20" s="106" t="s">
        <v>289</v>
      </c>
      <c r="AD20" s="106" t="s">
        <v>289</v>
      </c>
      <c r="AE20" s="106" t="s">
        <v>289</v>
      </c>
      <c r="AF20" s="106" t="s">
        <v>289</v>
      </c>
      <c r="AG20" s="106"/>
      <c r="AH20" s="106"/>
      <c r="AI20" s="106"/>
      <c r="AJ20" s="37"/>
      <c r="AK20" s="38"/>
      <c r="AL20" s="197"/>
    </row>
    <row r="21" spans="1:38" x14ac:dyDescent="0.25">
      <c r="A21" s="11">
        <v>19</v>
      </c>
      <c r="B21" s="106" t="s">
        <v>289</v>
      </c>
      <c r="C21" s="106" t="s">
        <v>289</v>
      </c>
      <c r="D21" s="106" t="s">
        <v>289</v>
      </c>
      <c r="E21" s="106" t="s">
        <v>289</v>
      </c>
      <c r="F21" s="106" t="s">
        <v>289</v>
      </c>
      <c r="G21" s="106" t="s">
        <v>289</v>
      </c>
      <c r="H21" s="106" t="s">
        <v>289</v>
      </c>
      <c r="I21" s="37"/>
      <c r="J21" s="106" t="s">
        <v>289</v>
      </c>
      <c r="K21" s="106" t="s">
        <v>289</v>
      </c>
      <c r="L21" s="106" t="s">
        <v>289</v>
      </c>
      <c r="M21" s="106" t="s">
        <v>289</v>
      </c>
      <c r="N21" s="106" t="s">
        <v>289</v>
      </c>
      <c r="O21" s="106" t="s">
        <v>289</v>
      </c>
      <c r="P21" s="106" t="s">
        <v>289</v>
      </c>
      <c r="Q21" s="37"/>
      <c r="R21" s="106" t="s">
        <v>289</v>
      </c>
      <c r="S21" s="106" t="s">
        <v>289</v>
      </c>
      <c r="T21" s="106" t="s">
        <v>289</v>
      </c>
      <c r="U21" s="106" t="s">
        <v>289</v>
      </c>
      <c r="V21" s="106" t="s">
        <v>289</v>
      </c>
      <c r="W21" s="106" t="s">
        <v>289</v>
      </c>
      <c r="X21" s="106" t="s">
        <v>289</v>
      </c>
      <c r="Y21" s="37"/>
      <c r="Z21" s="106" t="s">
        <v>289</v>
      </c>
      <c r="AA21" s="106" t="s">
        <v>289</v>
      </c>
      <c r="AB21" s="106" t="s">
        <v>289</v>
      </c>
      <c r="AC21" s="106" t="s">
        <v>289</v>
      </c>
      <c r="AD21" s="106" t="s">
        <v>289</v>
      </c>
      <c r="AE21" s="106" t="s">
        <v>289</v>
      </c>
      <c r="AF21" s="106" t="s">
        <v>289</v>
      </c>
      <c r="AG21" s="106"/>
      <c r="AH21" s="106"/>
      <c r="AI21" s="106"/>
      <c r="AJ21" s="37"/>
      <c r="AK21" s="38"/>
      <c r="AL21" s="197"/>
    </row>
    <row r="22" spans="1:38" x14ac:dyDescent="0.25">
      <c r="A22" s="11">
        <v>20</v>
      </c>
      <c r="B22" s="106">
        <v>400</v>
      </c>
      <c r="C22" s="106" t="s">
        <v>289</v>
      </c>
      <c r="D22" s="106">
        <v>400</v>
      </c>
      <c r="E22" s="106" t="s">
        <v>289</v>
      </c>
      <c r="F22" s="106" t="s">
        <v>289</v>
      </c>
      <c r="G22" s="106" t="s">
        <v>289</v>
      </c>
      <c r="H22" s="106" t="s">
        <v>289</v>
      </c>
      <c r="I22" s="37"/>
      <c r="J22" s="106">
        <v>370.8</v>
      </c>
      <c r="K22" s="106">
        <v>399.8</v>
      </c>
      <c r="L22" s="106">
        <v>400</v>
      </c>
      <c r="M22" s="106">
        <v>399.9</v>
      </c>
      <c r="N22" s="106">
        <v>487.1</v>
      </c>
      <c r="O22" s="106">
        <v>299.89999999999998</v>
      </c>
      <c r="P22" s="106">
        <v>401</v>
      </c>
      <c r="Q22" s="37"/>
      <c r="R22" s="106">
        <v>400</v>
      </c>
      <c r="S22" s="106">
        <v>400</v>
      </c>
      <c r="T22" s="106">
        <v>386</v>
      </c>
      <c r="U22" s="106">
        <v>400</v>
      </c>
      <c r="V22" s="106">
        <v>400</v>
      </c>
      <c r="W22" s="106">
        <v>400</v>
      </c>
      <c r="X22" s="106">
        <v>401</v>
      </c>
      <c r="Y22" s="37"/>
      <c r="Z22" s="106">
        <v>400</v>
      </c>
      <c r="AA22" s="106">
        <v>400</v>
      </c>
      <c r="AB22" s="106">
        <v>401</v>
      </c>
      <c r="AC22" s="106">
        <v>393</v>
      </c>
      <c r="AD22" s="106">
        <v>399</v>
      </c>
      <c r="AE22" s="106">
        <v>400</v>
      </c>
      <c r="AF22" s="106">
        <v>400</v>
      </c>
      <c r="AG22" s="106"/>
      <c r="AH22" s="106"/>
      <c r="AI22" s="106"/>
      <c r="AJ22" s="37"/>
      <c r="AK22" s="38"/>
      <c r="AL22" s="197"/>
    </row>
    <row r="23" spans="1:38" x14ac:dyDescent="0.25">
      <c r="A23" s="11">
        <v>21</v>
      </c>
      <c r="B23" s="675"/>
      <c r="C23" s="675"/>
      <c r="D23" s="675"/>
      <c r="E23" s="675"/>
      <c r="F23" s="675"/>
      <c r="G23" s="675"/>
      <c r="H23" s="675"/>
      <c r="I23" s="678" t="s">
        <v>369</v>
      </c>
      <c r="J23" s="675"/>
      <c r="K23" s="676"/>
      <c r="L23" s="676"/>
      <c r="M23" s="676"/>
      <c r="N23" s="676"/>
      <c r="O23" s="676"/>
      <c r="P23" s="676"/>
      <c r="Q23" s="678" t="s">
        <v>369</v>
      </c>
      <c r="R23" s="677"/>
      <c r="S23" s="677"/>
      <c r="T23" s="677"/>
      <c r="U23" s="677"/>
      <c r="V23" s="677"/>
      <c r="W23" s="677"/>
      <c r="X23" s="677"/>
      <c r="Y23" s="678" t="s">
        <v>369</v>
      </c>
      <c r="Z23" s="677"/>
      <c r="AA23" s="677"/>
      <c r="AB23" s="677"/>
      <c r="AC23" s="677"/>
      <c r="AD23" s="677"/>
      <c r="AE23" s="677"/>
      <c r="AF23" s="677"/>
      <c r="AG23" s="677"/>
      <c r="AH23" s="677"/>
      <c r="AI23" s="677"/>
      <c r="AJ23" s="678" t="s">
        <v>369</v>
      </c>
      <c r="AK23" s="38"/>
      <c r="AL23" s="197"/>
    </row>
    <row r="24" spans="1:38" x14ac:dyDescent="0.25">
      <c r="A24" s="11">
        <v>22</v>
      </c>
      <c r="B24" s="106" t="s">
        <v>289</v>
      </c>
      <c r="C24" s="106" t="s">
        <v>289</v>
      </c>
      <c r="D24" s="106" t="s">
        <v>289</v>
      </c>
      <c r="E24" s="106" t="s">
        <v>289</v>
      </c>
      <c r="F24" s="106" t="s">
        <v>289</v>
      </c>
      <c r="G24" s="106" t="s">
        <v>289</v>
      </c>
      <c r="H24" s="106" t="s">
        <v>289</v>
      </c>
      <c r="I24" s="37"/>
      <c r="J24" s="106" t="s">
        <v>289</v>
      </c>
      <c r="K24" s="106" t="s">
        <v>289</v>
      </c>
      <c r="L24" s="106" t="s">
        <v>289</v>
      </c>
      <c r="M24" s="106" t="s">
        <v>289</v>
      </c>
      <c r="N24" s="106" t="s">
        <v>289</v>
      </c>
      <c r="O24" s="106" t="s">
        <v>289</v>
      </c>
      <c r="P24" s="106" t="s">
        <v>290</v>
      </c>
      <c r="Q24" s="37"/>
      <c r="R24" s="106" t="s">
        <v>289</v>
      </c>
      <c r="S24" s="106" t="s">
        <v>289</v>
      </c>
      <c r="T24" s="106" t="s">
        <v>289</v>
      </c>
      <c r="U24" s="106" t="s">
        <v>289</v>
      </c>
      <c r="V24" s="106" t="s">
        <v>289</v>
      </c>
      <c r="W24" s="106" t="s">
        <v>289</v>
      </c>
      <c r="X24" s="106" t="s">
        <v>289</v>
      </c>
      <c r="Y24" s="37"/>
      <c r="Z24" s="106" t="s">
        <v>289</v>
      </c>
      <c r="AA24" s="106" t="s">
        <v>289</v>
      </c>
      <c r="AB24" s="106" t="s">
        <v>289</v>
      </c>
      <c r="AC24" s="106" t="s">
        <v>289</v>
      </c>
      <c r="AD24" s="106" t="s">
        <v>289</v>
      </c>
      <c r="AE24" s="106" t="s">
        <v>289</v>
      </c>
      <c r="AF24" s="106" t="s">
        <v>289</v>
      </c>
      <c r="AG24" s="106"/>
      <c r="AH24" s="106"/>
      <c r="AI24" s="106"/>
      <c r="AJ24" s="37"/>
      <c r="AK24" s="38"/>
      <c r="AL24" s="197"/>
    </row>
    <row r="25" spans="1:38" x14ac:dyDescent="0.25">
      <c r="A25" s="11">
        <v>23</v>
      </c>
      <c r="B25" s="675"/>
      <c r="C25" s="675"/>
      <c r="D25" s="675"/>
      <c r="E25" s="675"/>
      <c r="F25" s="675"/>
      <c r="G25" s="675"/>
      <c r="H25" s="675"/>
      <c r="I25" s="678" t="s">
        <v>369</v>
      </c>
      <c r="J25" s="677"/>
      <c r="K25" s="676"/>
      <c r="L25" s="676"/>
      <c r="M25" s="676"/>
      <c r="N25" s="676"/>
      <c r="O25" s="676"/>
      <c r="P25" s="676"/>
      <c r="Q25" s="678" t="s">
        <v>369</v>
      </c>
      <c r="R25" s="677"/>
      <c r="S25" s="677"/>
      <c r="T25" s="677"/>
      <c r="U25" s="677"/>
      <c r="V25" s="677"/>
      <c r="W25" s="677"/>
      <c r="X25" s="677"/>
      <c r="Y25" s="678" t="s">
        <v>369</v>
      </c>
      <c r="Z25" s="677"/>
      <c r="AA25" s="677"/>
      <c r="AB25" s="677"/>
      <c r="AC25" s="677"/>
      <c r="AD25" s="677"/>
      <c r="AE25" s="677"/>
      <c r="AF25" s="677"/>
      <c r="AG25" s="677"/>
      <c r="AH25" s="677"/>
      <c r="AI25" s="677"/>
      <c r="AJ25" s="678" t="s">
        <v>369</v>
      </c>
      <c r="AK25" s="38"/>
      <c r="AL25" s="197"/>
    </row>
    <row r="26" spans="1:38" x14ac:dyDescent="0.25">
      <c r="A26" s="11">
        <v>24</v>
      </c>
      <c r="B26" s="675"/>
      <c r="C26" s="675"/>
      <c r="D26" s="675"/>
      <c r="E26" s="675"/>
      <c r="F26" s="675"/>
      <c r="G26" s="675"/>
      <c r="H26" s="675"/>
      <c r="I26" s="678" t="s">
        <v>369</v>
      </c>
      <c r="J26" s="677"/>
      <c r="K26" s="676"/>
      <c r="L26" s="676"/>
      <c r="M26" s="676"/>
      <c r="N26" s="676"/>
      <c r="O26" s="676"/>
      <c r="P26" s="676"/>
      <c r="Q26" s="678" t="s">
        <v>369</v>
      </c>
      <c r="R26" s="677"/>
      <c r="S26" s="677"/>
      <c r="T26" s="677"/>
      <c r="U26" s="677"/>
      <c r="V26" s="677"/>
      <c r="W26" s="677"/>
      <c r="X26" s="677"/>
      <c r="Y26" s="678" t="s">
        <v>369</v>
      </c>
      <c r="Z26" s="677"/>
      <c r="AA26" s="677"/>
      <c r="AB26" s="677"/>
      <c r="AC26" s="677"/>
      <c r="AD26" s="677"/>
      <c r="AE26" s="677"/>
      <c r="AF26" s="677"/>
      <c r="AG26" s="677"/>
      <c r="AH26" s="677"/>
      <c r="AI26" s="677"/>
      <c r="AJ26" s="678" t="s">
        <v>369</v>
      </c>
      <c r="AK26" s="38"/>
      <c r="AL26" s="197"/>
    </row>
    <row r="27" spans="1:38" x14ac:dyDescent="0.25">
      <c r="A27" s="11">
        <v>25</v>
      </c>
      <c r="B27" s="675"/>
      <c r="C27" s="675"/>
      <c r="D27" s="675"/>
      <c r="E27" s="675"/>
      <c r="F27" s="675"/>
      <c r="G27" s="675"/>
      <c r="H27" s="675"/>
      <c r="I27" s="678" t="s">
        <v>369</v>
      </c>
      <c r="J27" s="677"/>
      <c r="K27" s="676"/>
      <c r="L27" s="676"/>
      <c r="M27" s="676"/>
      <c r="N27" s="676"/>
      <c r="O27" s="676"/>
      <c r="P27" s="676"/>
      <c r="Q27" s="678" t="s">
        <v>369</v>
      </c>
      <c r="R27" s="677"/>
      <c r="S27" s="677"/>
      <c r="T27" s="677"/>
      <c r="U27" s="677"/>
      <c r="V27" s="677"/>
      <c r="W27" s="677"/>
      <c r="X27" s="677"/>
      <c r="Y27" s="678" t="s">
        <v>369</v>
      </c>
      <c r="Z27" s="677"/>
      <c r="AA27" s="677"/>
      <c r="AB27" s="677"/>
      <c r="AC27" s="677"/>
      <c r="AD27" s="677"/>
      <c r="AE27" s="677"/>
      <c r="AF27" s="677"/>
      <c r="AG27" s="677"/>
      <c r="AH27" s="677"/>
      <c r="AI27" s="677"/>
      <c r="AJ27" s="678" t="s">
        <v>369</v>
      </c>
      <c r="AK27" s="38"/>
      <c r="AL27" s="197"/>
    </row>
    <row r="28" spans="1:38" x14ac:dyDescent="0.25">
      <c r="A28" s="11">
        <v>26</v>
      </c>
      <c r="B28" s="547" t="s">
        <v>290</v>
      </c>
      <c r="C28" s="547" t="s">
        <v>290</v>
      </c>
      <c r="D28" s="547" t="s">
        <v>290</v>
      </c>
      <c r="E28" s="547" t="s">
        <v>290</v>
      </c>
      <c r="F28" s="547" t="s">
        <v>290</v>
      </c>
      <c r="G28" s="547" t="s">
        <v>290</v>
      </c>
      <c r="H28" s="547" t="s">
        <v>290</v>
      </c>
      <c r="I28" s="111"/>
      <c r="J28" s="546" t="s">
        <v>290</v>
      </c>
      <c r="K28" s="547" t="s">
        <v>290</v>
      </c>
      <c r="L28" s="547" t="s">
        <v>290</v>
      </c>
      <c r="M28" s="547" t="s">
        <v>290</v>
      </c>
      <c r="N28" s="547" t="s">
        <v>290</v>
      </c>
      <c r="O28" s="547" t="s">
        <v>290</v>
      </c>
      <c r="P28" s="547" t="s">
        <v>290</v>
      </c>
      <c r="Q28" s="111"/>
      <c r="R28" s="546" t="s">
        <v>290</v>
      </c>
      <c r="S28" s="546" t="s">
        <v>290</v>
      </c>
      <c r="T28" s="546" t="s">
        <v>290</v>
      </c>
      <c r="U28" s="546" t="s">
        <v>290</v>
      </c>
      <c r="V28" s="546" t="s">
        <v>290</v>
      </c>
      <c r="W28" s="546" t="s">
        <v>290</v>
      </c>
      <c r="X28" s="546" t="s">
        <v>290</v>
      </c>
      <c r="Y28" s="614"/>
      <c r="Z28" s="546" t="s">
        <v>290</v>
      </c>
      <c r="AA28" s="547" t="s">
        <v>290</v>
      </c>
      <c r="AB28" s="547" t="s">
        <v>290</v>
      </c>
      <c r="AC28" s="547" t="s">
        <v>290</v>
      </c>
      <c r="AD28" s="547" t="s">
        <v>290</v>
      </c>
      <c r="AE28" s="547" t="s">
        <v>290</v>
      </c>
      <c r="AF28" s="547" t="s">
        <v>290</v>
      </c>
      <c r="AG28" s="547" t="s">
        <v>290</v>
      </c>
      <c r="AH28" s="547" t="s">
        <v>290</v>
      </c>
      <c r="AI28" s="547" t="s">
        <v>290</v>
      </c>
      <c r="AJ28" s="614"/>
      <c r="AK28" s="38"/>
      <c r="AL28" s="197"/>
    </row>
    <row r="29" spans="1:38" x14ac:dyDescent="0.25">
      <c r="A29" s="11">
        <v>27</v>
      </c>
      <c r="B29" s="106">
        <v>350</v>
      </c>
      <c r="C29" s="106">
        <v>350</v>
      </c>
      <c r="D29" s="106">
        <v>350</v>
      </c>
      <c r="E29" s="106">
        <v>200</v>
      </c>
      <c r="F29" s="106">
        <v>350</v>
      </c>
      <c r="G29" s="106">
        <v>350</v>
      </c>
      <c r="H29" s="106">
        <v>350</v>
      </c>
      <c r="I29" s="37"/>
      <c r="J29" s="106">
        <v>349.9</v>
      </c>
      <c r="K29" s="106">
        <v>350</v>
      </c>
      <c r="L29" s="106">
        <v>350</v>
      </c>
      <c r="M29" s="106">
        <v>347.7</v>
      </c>
      <c r="N29" s="106">
        <v>400</v>
      </c>
      <c r="O29" s="106">
        <v>299.89999999999998</v>
      </c>
      <c r="P29" s="106">
        <v>349</v>
      </c>
      <c r="Q29" s="37"/>
      <c r="R29" s="106">
        <v>200</v>
      </c>
      <c r="S29" s="106">
        <v>350</v>
      </c>
      <c r="T29" s="106">
        <v>350</v>
      </c>
      <c r="U29" s="106">
        <v>350</v>
      </c>
      <c r="V29" s="106">
        <v>350</v>
      </c>
      <c r="W29" s="106">
        <v>350</v>
      </c>
      <c r="X29" s="106">
        <v>250</v>
      </c>
      <c r="Y29" s="37"/>
      <c r="Z29" s="106">
        <v>346</v>
      </c>
      <c r="AA29" s="106">
        <v>351</v>
      </c>
      <c r="AB29" s="106">
        <v>350</v>
      </c>
      <c r="AC29" s="106">
        <v>350</v>
      </c>
      <c r="AD29" s="106">
        <v>350</v>
      </c>
      <c r="AE29" s="106">
        <v>300</v>
      </c>
      <c r="AF29" s="106">
        <v>350</v>
      </c>
      <c r="AG29" s="106"/>
      <c r="AH29" s="106"/>
      <c r="AI29" s="106"/>
      <c r="AJ29" s="37"/>
      <c r="AK29" s="38"/>
      <c r="AL29" s="197"/>
    </row>
    <row r="30" spans="1:38" x14ac:dyDescent="0.25">
      <c r="A30" s="11">
        <v>28</v>
      </c>
      <c r="B30" s="106">
        <v>300</v>
      </c>
      <c r="C30" s="106">
        <v>248</v>
      </c>
      <c r="D30" s="106">
        <v>350</v>
      </c>
      <c r="E30" s="106">
        <v>350</v>
      </c>
      <c r="F30" s="106">
        <v>250</v>
      </c>
      <c r="G30" s="106">
        <v>350</v>
      </c>
      <c r="H30" s="106">
        <v>351</v>
      </c>
      <c r="I30" s="37"/>
      <c r="J30" s="106">
        <v>349.9</v>
      </c>
      <c r="K30" s="106">
        <v>351.2</v>
      </c>
      <c r="L30" s="106">
        <v>349.9</v>
      </c>
      <c r="M30" s="106">
        <v>349.1</v>
      </c>
      <c r="N30" s="106">
        <v>399.9</v>
      </c>
      <c r="O30" s="106">
        <v>399.9</v>
      </c>
      <c r="P30" s="106">
        <v>251</v>
      </c>
      <c r="Q30" s="37"/>
      <c r="R30" s="106">
        <v>197</v>
      </c>
      <c r="S30" s="106">
        <v>349</v>
      </c>
      <c r="T30" s="106">
        <v>350</v>
      </c>
      <c r="U30" s="106">
        <v>300</v>
      </c>
      <c r="V30" s="106">
        <v>350</v>
      </c>
      <c r="W30" s="106">
        <v>300</v>
      </c>
      <c r="X30" s="106">
        <v>281</v>
      </c>
      <c r="Y30" s="37"/>
      <c r="Z30" s="106">
        <v>350</v>
      </c>
      <c r="AA30" s="106">
        <v>349</v>
      </c>
      <c r="AB30" s="106">
        <v>350</v>
      </c>
      <c r="AC30" s="106">
        <v>350</v>
      </c>
      <c r="AD30" s="106">
        <v>349</v>
      </c>
      <c r="AE30" s="106">
        <v>350</v>
      </c>
      <c r="AF30" s="106">
        <v>350</v>
      </c>
      <c r="AG30" s="106"/>
      <c r="AH30" s="106"/>
      <c r="AI30" s="106"/>
      <c r="AJ30" s="37"/>
      <c r="AK30" s="38"/>
      <c r="AL30" s="197"/>
    </row>
    <row r="31" spans="1:38" x14ac:dyDescent="0.25">
      <c r="A31" s="11">
        <v>29</v>
      </c>
      <c r="B31" s="547" t="s">
        <v>290</v>
      </c>
      <c r="C31" s="547" t="s">
        <v>290</v>
      </c>
      <c r="D31" s="547" t="s">
        <v>290</v>
      </c>
      <c r="E31" s="547" t="s">
        <v>290</v>
      </c>
      <c r="F31" s="547" t="s">
        <v>290</v>
      </c>
      <c r="G31" s="547" t="s">
        <v>290</v>
      </c>
      <c r="H31" s="547" t="s">
        <v>290</v>
      </c>
      <c r="I31" s="111"/>
      <c r="J31" s="546" t="s">
        <v>290</v>
      </c>
      <c r="K31" s="547" t="s">
        <v>290</v>
      </c>
      <c r="L31" s="547" t="s">
        <v>290</v>
      </c>
      <c r="M31" s="547" t="s">
        <v>290</v>
      </c>
      <c r="N31" s="547" t="s">
        <v>290</v>
      </c>
      <c r="O31" s="547" t="s">
        <v>290</v>
      </c>
      <c r="P31" s="547" t="s">
        <v>290</v>
      </c>
      <c r="Q31" s="111"/>
      <c r="R31" s="546" t="s">
        <v>290</v>
      </c>
      <c r="S31" s="546" t="s">
        <v>290</v>
      </c>
      <c r="T31" s="546" t="s">
        <v>290</v>
      </c>
      <c r="U31" s="546" t="s">
        <v>290</v>
      </c>
      <c r="V31" s="546" t="s">
        <v>290</v>
      </c>
      <c r="W31" s="546" t="s">
        <v>290</v>
      </c>
      <c r="X31" s="546" t="s">
        <v>290</v>
      </c>
      <c r="Y31" s="614"/>
      <c r="Z31" s="546" t="s">
        <v>290</v>
      </c>
      <c r="AA31" s="547" t="s">
        <v>290</v>
      </c>
      <c r="AB31" s="547" t="s">
        <v>290</v>
      </c>
      <c r="AC31" s="547" t="s">
        <v>290</v>
      </c>
      <c r="AD31" s="547" t="s">
        <v>290</v>
      </c>
      <c r="AE31" s="547" t="s">
        <v>290</v>
      </c>
      <c r="AF31" s="547" t="s">
        <v>290</v>
      </c>
      <c r="AG31" s="547" t="s">
        <v>290</v>
      </c>
      <c r="AH31" s="547" t="s">
        <v>290</v>
      </c>
      <c r="AI31" s="547" t="s">
        <v>290</v>
      </c>
      <c r="AJ31" s="614"/>
      <c r="AK31" s="38"/>
      <c r="AL31" s="197"/>
    </row>
    <row r="32" spans="1:38" x14ac:dyDescent="0.25">
      <c r="A32" s="11">
        <v>30</v>
      </c>
      <c r="B32" s="106">
        <v>350</v>
      </c>
      <c r="C32" s="106">
        <v>300</v>
      </c>
      <c r="D32" s="106">
        <v>350</v>
      </c>
      <c r="E32" s="106">
        <v>350</v>
      </c>
      <c r="F32" s="106">
        <v>200</v>
      </c>
      <c r="G32" s="106">
        <v>350</v>
      </c>
      <c r="H32" s="106">
        <v>300</v>
      </c>
      <c r="I32" s="37"/>
      <c r="J32" s="106">
        <v>350</v>
      </c>
      <c r="K32" s="106">
        <v>350.1</v>
      </c>
      <c r="L32" s="106">
        <v>349.9</v>
      </c>
      <c r="M32" s="106">
        <v>349.9</v>
      </c>
      <c r="N32" s="106">
        <v>371.9</v>
      </c>
      <c r="O32" s="106">
        <v>399.9</v>
      </c>
      <c r="P32" s="106">
        <v>300</v>
      </c>
      <c r="Q32" s="37"/>
      <c r="R32" s="106">
        <v>250</v>
      </c>
      <c r="S32" s="106">
        <v>349</v>
      </c>
      <c r="T32" s="106">
        <v>350</v>
      </c>
      <c r="U32" s="106">
        <v>349</v>
      </c>
      <c r="V32" s="106">
        <v>300</v>
      </c>
      <c r="W32" s="106">
        <v>350</v>
      </c>
      <c r="X32" s="106">
        <v>250</v>
      </c>
      <c r="Y32" s="37"/>
      <c r="Z32" s="106">
        <v>250</v>
      </c>
      <c r="AA32" s="106">
        <v>350</v>
      </c>
      <c r="AB32" s="106">
        <v>301</v>
      </c>
      <c r="AC32" s="106">
        <v>350</v>
      </c>
      <c r="AD32" s="106" t="s">
        <v>289</v>
      </c>
      <c r="AE32" s="106" t="s">
        <v>289</v>
      </c>
      <c r="AF32" s="106" t="s">
        <v>289</v>
      </c>
      <c r="AG32" s="106"/>
      <c r="AH32" s="106"/>
      <c r="AI32" s="106"/>
      <c r="AJ32" s="37"/>
      <c r="AK32" s="38"/>
      <c r="AL32" s="197"/>
    </row>
    <row r="33" spans="1:38" x14ac:dyDescent="0.25">
      <c r="A33" s="11">
        <v>31</v>
      </c>
      <c r="B33" s="106">
        <v>236</v>
      </c>
      <c r="C33" s="106">
        <v>350</v>
      </c>
      <c r="D33" s="106">
        <v>350</v>
      </c>
      <c r="E33" s="106">
        <v>350</v>
      </c>
      <c r="F33" s="106">
        <v>350</v>
      </c>
      <c r="G33" s="106">
        <v>350</v>
      </c>
      <c r="H33" s="106">
        <v>351</v>
      </c>
      <c r="I33" s="37"/>
      <c r="J33" s="106">
        <v>349.9</v>
      </c>
      <c r="K33" s="106">
        <v>349.9</v>
      </c>
      <c r="L33" s="106">
        <v>350</v>
      </c>
      <c r="M33" s="106">
        <v>350.2</v>
      </c>
      <c r="N33" s="106">
        <v>349.9</v>
      </c>
      <c r="O33" s="106">
        <v>349.9</v>
      </c>
      <c r="P33" s="106">
        <v>351</v>
      </c>
      <c r="Q33" s="37"/>
      <c r="R33" s="106">
        <v>350</v>
      </c>
      <c r="S33" s="106">
        <v>350</v>
      </c>
      <c r="T33" s="106">
        <v>350</v>
      </c>
      <c r="U33" s="106">
        <v>350</v>
      </c>
      <c r="V33" s="106">
        <v>349</v>
      </c>
      <c r="W33" s="106">
        <v>350</v>
      </c>
      <c r="X33" s="106">
        <v>350</v>
      </c>
      <c r="Y33" s="37"/>
      <c r="Z33" s="106">
        <v>350</v>
      </c>
      <c r="AA33" s="106">
        <v>349</v>
      </c>
      <c r="AB33" s="106">
        <v>332</v>
      </c>
      <c r="AC33" s="106">
        <v>349</v>
      </c>
      <c r="AD33" s="106">
        <v>350</v>
      </c>
      <c r="AE33" s="106">
        <v>300</v>
      </c>
      <c r="AF33" s="106">
        <v>264</v>
      </c>
      <c r="AG33" s="106"/>
      <c r="AH33" s="106"/>
      <c r="AI33" s="106"/>
      <c r="AJ33" s="37"/>
      <c r="AK33" s="38"/>
      <c r="AL33" s="197"/>
    </row>
    <row r="34" spans="1:38" x14ac:dyDescent="0.25">
      <c r="A34" s="11">
        <v>32</v>
      </c>
      <c r="B34" s="106">
        <v>300</v>
      </c>
      <c r="C34" s="106">
        <v>250</v>
      </c>
      <c r="D34" s="106">
        <v>250</v>
      </c>
      <c r="E34" s="106">
        <v>350</v>
      </c>
      <c r="F34" s="106">
        <v>350</v>
      </c>
      <c r="G34" s="106">
        <v>350</v>
      </c>
      <c r="H34" s="106">
        <v>350</v>
      </c>
      <c r="I34" s="37"/>
      <c r="J34" s="106">
        <v>349.9</v>
      </c>
      <c r="K34" s="106">
        <v>349.9</v>
      </c>
      <c r="L34" s="106">
        <v>349.9</v>
      </c>
      <c r="M34" s="106">
        <v>349.9</v>
      </c>
      <c r="N34" s="106">
        <v>499.9</v>
      </c>
      <c r="O34" s="106">
        <v>249.9</v>
      </c>
      <c r="P34" s="106">
        <v>351</v>
      </c>
      <c r="Q34" s="37"/>
      <c r="R34" s="106">
        <v>300</v>
      </c>
      <c r="S34" s="106">
        <v>347</v>
      </c>
      <c r="T34" s="106">
        <v>350</v>
      </c>
      <c r="U34" s="106">
        <v>349</v>
      </c>
      <c r="V34" s="106">
        <v>350</v>
      </c>
      <c r="W34" s="106">
        <v>350</v>
      </c>
      <c r="X34" s="106">
        <v>350</v>
      </c>
      <c r="Y34" s="37"/>
      <c r="Z34" s="106">
        <v>350</v>
      </c>
      <c r="AA34" s="106">
        <v>349</v>
      </c>
      <c r="AB34" s="106">
        <v>351</v>
      </c>
      <c r="AC34" s="106">
        <v>349</v>
      </c>
      <c r="AD34" s="106">
        <v>349</v>
      </c>
      <c r="AE34" s="106">
        <v>308</v>
      </c>
      <c r="AF34" s="106">
        <v>350</v>
      </c>
      <c r="AG34" s="106"/>
      <c r="AH34" s="106"/>
      <c r="AI34" s="106"/>
      <c r="AJ34" s="37"/>
      <c r="AK34" s="38"/>
      <c r="AL34" s="197"/>
    </row>
    <row r="35" spans="1:38" x14ac:dyDescent="0.25">
      <c r="A35" s="11">
        <v>33</v>
      </c>
      <c r="B35" s="106">
        <v>350</v>
      </c>
      <c r="C35" s="106">
        <v>350</v>
      </c>
      <c r="D35" s="106">
        <v>350</v>
      </c>
      <c r="E35" s="106">
        <v>350</v>
      </c>
      <c r="F35" s="106">
        <v>323</v>
      </c>
      <c r="G35" s="106">
        <v>350</v>
      </c>
      <c r="H35" s="106">
        <v>301</v>
      </c>
      <c r="I35" s="37"/>
      <c r="J35" s="106">
        <v>348.6</v>
      </c>
      <c r="K35" s="106">
        <v>349.9</v>
      </c>
      <c r="L35" s="106">
        <v>349.9</v>
      </c>
      <c r="M35" s="106">
        <v>350</v>
      </c>
      <c r="N35" s="106">
        <v>550.20000000000005</v>
      </c>
      <c r="O35" s="106">
        <v>299.89999999999998</v>
      </c>
      <c r="P35" s="106">
        <v>301</v>
      </c>
      <c r="Q35" s="37"/>
      <c r="R35" s="106">
        <v>350</v>
      </c>
      <c r="S35" s="106">
        <v>349</v>
      </c>
      <c r="T35" s="106">
        <v>350</v>
      </c>
      <c r="U35" s="106">
        <v>330</v>
      </c>
      <c r="V35" s="106">
        <v>344</v>
      </c>
      <c r="W35" s="106">
        <v>351</v>
      </c>
      <c r="X35" s="106">
        <v>300</v>
      </c>
      <c r="Y35" s="37"/>
      <c r="Z35" s="106">
        <v>350</v>
      </c>
      <c r="AA35" s="106">
        <v>350</v>
      </c>
      <c r="AB35" s="106">
        <v>349</v>
      </c>
      <c r="AC35" s="106">
        <v>348</v>
      </c>
      <c r="AD35" s="106">
        <v>350</v>
      </c>
      <c r="AE35" s="106">
        <v>300</v>
      </c>
      <c r="AF35" s="106">
        <v>274</v>
      </c>
      <c r="AG35" s="106"/>
      <c r="AH35" s="106"/>
      <c r="AI35" s="106"/>
      <c r="AJ35" s="37"/>
      <c r="AK35" s="38"/>
      <c r="AL35" s="197"/>
    </row>
    <row r="36" spans="1:38" x14ac:dyDescent="0.25">
      <c r="A36" s="11">
        <v>34</v>
      </c>
      <c r="B36" s="106">
        <v>227</v>
      </c>
      <c r="C36" s="106">
        <v>350</v>
      </c>
      <c r="D36" s="106">
        <v>250</v>
      </c>
      <c r="E36" s="106">
        <v>350</v>
      </c>
      <c r="F36" s="106">
        <v>350</v>
      </c>
      <c r="G36" s="106">
        <v>350</v>
      </c>
      <c r="H36" s="106">
        <v>250</v>
      </c>
      <c r="I36" s="37"/>
      <c r="J36" s="106">
        <v>349.9</v>
      </c>
      <c r="K36" s="106">
        <v>357.9</v>
      </c>
      <c r="L36" s="106">
        <v>349.9</v>
      </c>
      <c r="M36" s="106">
        <v>349.9</v>
      </c>
      <c r="N36" s="106">
        <v>350</v>
      </c>
      <c r="O36" s="106">
        <v>345.6</v>
      </c>
      <c r="P36" s="106">
        <v>250</v>
      </c>
      <c r="Q36" s="37"/>
      <c r="R36" s="106">
        <v>250</v>
      </c>
      <c r="S36" s="106">
        <v>348</v>
      </c>
      <c r="T36" s="106">
        <v>350</v>
      </c>
      <c r="U36" s="106">
        <v>349</v>
      </c>
      <c r="V36" s="106">
        <v>350</v>
      </c>
      <c r="W36" s="106">
        <v>350</v>
      </c>
      <c r="X36" s="106">
        <v>150</v>
      </c>
      <c r="Y36" s="37"/>
      <c r="Z36" s="106">
        <v>350</v>
      </c>
      <c r="AA36" s="106">
        <v>350</v>
      </c>
      <c r="AB36" s="106" t="s">
        <v>289</v>
      </c>
      <c r="AC36" s="106">
        <v>349</v>
      </c>
      <c r="AD36" s="106">
        <v>350</v>
      </c>
      <c r="AE36" s="106">
        <v>300</v>
      </c>
      <c r="AF36" s="106">
        <v>350</v>
      </c>
      <c r="AG36" s="106"/>
      <c r="AH36" s="106"/>
      <c r="AI36" s="106"/>
      <c r="AJ36" s="37"/>
      <c r="AK36" s="38"/>
      <c r="AL36" s="197"/>
    </row>
    <row r="37" spans="1:38" x14ac:dyDescent="0.25">
      <c r="A37" s="11">
        <v>35</v>
      </c>
      <c r="B37" s="106" t="s">
        <v>289</v>
      </c>
      <c r="C37" s="106" t="s">
        <v>289</v>
      </c>
      <c r="D37" s="106" t="s">
        <v>289</v>
      </c>
      <c r="E37" s="106" t="s">
        <v>289</v>
      </c>
      <c r="F37" s="106" t="s">
        <v>289</v>
      </c>
      <c r="G37" s="106" t="s">
        <v>289</v>
      </c>
      <c r="H37" s="106" t="s">
        <v>289</v>
      </c>
      <c r="I37" s="37"/>
      <c r="J37" s="106" t="s">
        <v>289</v>
      </c>
      <c r="K37" s="106" t="s">
        <v>289</v>
      </c>
      <c r="L37" s="106" t="s">
        <v>289</v>
      </c>
      <c r="M37" s="106" t="s">
        <v>289</v>
      </c>
      <c r="N37" s="106" t="s">
        <v>289</v>
      </c>
      <c r="O37" s="106" t="s">
        <v>289</v>
      </c>
      <c r="P37" s="106" t="s">
        <v>289</v>
      </c>
      <c r="Q37" s="37"/>
      <c r="R37" s="106" t="s">
        <v>289</v>
      </c>
      <c r="S37" s="106" t="s">
        <v>289</v>
      </c>
      <c r="T37" s="106" t="s">
        <v>289</v>
      </c>
      <c r="U37" s="106" t="s">
        <v>289</v>
      </c>
      <c r="V37" s="106" t="s">
        <v>289</v>
      </c>
      <c r="W37" s="106" t="s">
        <v>289</v>
      </c>
      <c r="X37" s="106" t="s">
        <v>289</v>
      </c>
      <c r="Y37" s="37"/>
      <c r="Z37" s="106" t="s">
        <v>289</v>
      </c>
      <c r="AA37" s="106" t="s">
        <v>289</v>
      </c>
      <c r="AB37" s="106" t="s">
        <v>289</v>
      </c>
      <c r="AC37" s="106" t="s">
        <v>289</v>
      </c>
      <c r="AD37" s="106" t="s">
        <v>289</v>
      </c>
      <c r="AE37" s="106" t="s">
        <v>289</v>
      </c>
      <c r="AF37" s="106" t="s">
        <v>289</v>
      </c>
      <c r="AG37" s="106"/>
      <c r="AH37" s="106"/>
      <c r="AI37" s="106"/>
      <c r="AJ37" s="37"/>
      <c r="AK37" s="38"/>
      <c r="AL37" s="197"/>
    </row>
    <row r="38" spans="1:38" x14ac:dyDescent="0.25">
      <c r="A38" s="11">
        <v>36</v>
      </c>
      <c r="B38" s="547" t="s">
        <v>290</v>
      </c>
      <c r="C38" s="547" t="s">
        <v>290</v>
      </c>
      <c r="D38" s="547" t="s">
        <v>290</v>
      </c>
      <c r="E38" s="547" t="s">
        <v>290</v>
      </c>
      <c r="F38" s="547" t="s">
        <v>290</v>
      </c>
      <c r="G38" s="547" t="s">
        <v>290</v>
      </c>
      <c r="H38" s="547" t="s">
        <v>290</v>
      </c>
      <c r="I38" s="111"/>
      <c r="J38" s="546" t="s">
        <v>290</v>
      </c>
      <c r="K38" s="547" t="s">
        <v>290</v>
      </c>
      <c r="L38" s="547" t="s">
        <v>290</v>
      </c>
      <c r="M38" s="547" t="s">
        <v>290</v>
      </c>
      <c r="N38" s="547" t="s">
        <v>290</v>
      </c>
      <c r="O38" s="547" t="s">
        <v>290</v>
      </c>
      <c r="P38" s="547" t="s">
        <v>290</v>
      </c>
      <c r="Q38" s="111"/>
      <c r="R38" s="546" t="s">
        <v>290</v>
      </c>
      <c r="S38" s="546" t="s">
        <v>290</v>
      </c>
      <c r="T38" s="546" t="s">
        <v>290</v>
      </c>
      <c r="U38" s="546" t="s">
        <v>290</v>
      </c>
      <c r="V38" s="546" t="s">
        <v>290</v>
      </c>
      <c r="W38" s="546" t="s">
        <v>290</v>
      </c>
      <c r="X38" s="546" t="s">
        <v>290</v>
      </c>
      <c r="Y38" s="614"/>
      <c r="Z38" s="546" t="s">
        <v>290</v>
      </c>
      <c r="AA38" s="547" t="s">
        <v>290</v>
      </c>
      <c r="AB38" s="547" t="s">
        <v>290</v>
      </c>
      <c r="AC38" s="547" t="s">
        <v>290</v>
      </c>
      <c r="AD38" s="547" t="s">
        <v>290</v>
      </c>
      <c r="AE38" s="547" t="s">
        <v>290</v>
      </c>
      <c r="AF38" s="547" t="s">
        <v>290</v>
      </c>
      <c r="AG38" s="547" t="s">
        <v>290</v>
      </c>
      <c r="AH38" s="547" t="s">
        <v>290</v>
      </c>
      <c r="AI38" s="547" t="s">
        <v>290</v>
      </c>
      <c r="AJ38" s="111"/>
      <c r="AK38" s="38"/>
      <c r="AL38" s="197"/>
    </row>
    <row r="39" spans="1:38" x14ac:dyDescent="0.25">
      <c r="A39" s="11">
        <v>37</v>
      </c>
      <c r="B39" s="106">
        <v>294</v>
      </c>
      <c r="C39" s="106" t="s">
        <v>289</v>
      </c>
      <c r="D39" s="106">
        <v>294</v>
      </c>
      <c r="E39" s="106">
        <v>350</v>
      </c>
      <c r="F39" s="106">
        <v>349</v>
      </c>
      <c r="G39" s="106">
        <v>351</v>
      </c>
      <c r="H39" s="106">
        <v>349.9</v>
      </c>
      <c r="I39" s="37"/>
      <c r="J39" s="106">
        <v>349.9</v>
      </c>
      <c r="K39" s="106">
        <v>349.9</v>
      </c>
      <c r="L39" s="106">
        <v>350</v>
      </c>
      <c r="M39" s="106">
        <v>349.9</v>
      </c>
      <c r="N39" s="106">
        <v>350</v>
      </c>
      <c r="O39" s="106">
        <v>349.9</v>
      </c>
      <c r="P39" s="106">
        <v>350</v>
      </c>
      <c r="Q39" s="37"/>
      <c r="R39" s="106">
        <v>350</v>
      </c>
      <c r="S39" s="106">
        <v>350</v>
      </c>
      <c r="T39" s="106">
        <v>349</v>
      </c>
      <c r="U39" s="106">
        <v>349</v>
      </c>
      <c r="V39" s="106">
        <v>350</v>
      </c>
      <c r="W39" s="106">
        <v>209</v>
      </c>
      <c r="X39" s="106">
        <v>270</v>
      </c>
      <c r="Y39" s="37"/>
      <c r="Z39" s="106">
        <v>349</v>
      </c>
      <c r="AA39" s="106">
        <v>350</v>
      </c>
      <c r="AB39" s="106">
        <v>350</v>
      </c>
      <c r="AC39" s="106">
        <v>350</v>
      </c>
      <c r="AD39" s="106">
        <v>242</v>
      </c>
      <c r="AE39" s="106">
        <v>300</v>
      </c>
      <c r="AF39" s="106">
        <v>345</v>
      </c>
      <c r="AG39" s="106"/>
      <c r="AH39" s="106"/>
      <c r="AI39" s="106"/>
      <c r="AJ39" s="37"/>
      <c r="AK39" s="38"/>
      <c r="AL39" s="197"/>
    </row>
    <row r="40" spans="1:38" x14ac:dyDescent="0.25">
      <c r="A40" s="11">
        <v>38</v>
      </c>
      <c r="B40" s="106" t="s">
        <v>289</v>
      </c>
      <c r="C40" s="106" t="s">
        <v>289</v>
      </c>
      <c r="D40" s="106" t="s">
        <v>289</v>
      </c>
      <c r="E40" s="106" t="s">
        <v>289</v>
      </c>
      <c r="F40" s="106" t="s">
        <v>289</v>
      </c>
      <c r="G40" s="106" t="s">
        <v>289</v>
      </c>
      <c r="H40" s="106" t="s">
        <v>289</v>
      </c>
      <c r="I40" s="37"/>
      <c r="J40" s="106" t="s">
        <v>289</v>
      </c>
      <c r="K40" s="106" t="s">
        <v>289</v>
      </c>
      <c r="L40" s="106" t="s">
        <v>289</v>
      </c>
      <c r="M40" s="106" t="s">
        <v>289</v>
      </c>
      <c r="N40" s="106" t="s">
        <v>289</v>
      </c>
      <c r="O40" s="106" t="s">
        <v>289</v>
      </c>
      <c r="P40" s="106" t="s">
        <v>289</v>
      </c>
      <c r="Q40" s="37"/>
      <c r="R40" s="106" t="s">
        <v>289</v>
      </c>
      <c r="S40" s="106" t="s">
        <v>289</v>
      </c>
      <c r="T40" s="106" t="s">
        <v>289</v>
      </c>
      <c r="U40" s="106" t="s">
        <v>289</v>
      </c>
      <c r="V40" s="106" t="s">
        <v>289</v>
      </c>
      <c r="W40" s="106" t="s">
        <v>289</v>
      </c>
      <c r="X40" s="106" t="s">
        <v>289</v>
      </c>
      <c r="Y40" s="37"/>
      <c r="Z40" s="106" t="s">
        <v>289</v>
      </c>
      <c r="AA40" s="106" t="s">
        <v>289</v>
      </c>
      <c r="AB40" s="106" t="s">
        <v>289</v>
      </c>
      <c r="AC40" s="106" t="s">
        <v>289</v>
      </c>
      <c r="AD40" s="106" t="s">
        <v>289</v>
      </c>
      <c r="AE40" s="106" t="s">
        <v>289</v>
      </c>
      <c r="AF40" s="106" t="s">
        <v>289</v>
      </c>
      <c r="AG40" s="106"/>
      <c r="AH40" s="106"/>
      <c r="AI40" s="106"/>
      <c r="AJ40" s="37"/>
      <c r="AK40" s="38"/>
      <c r="AL40" s="197"/>
    </row>
    <row r="41" spans="1:38" x14ac:dyDescent="0.25">
      <c r="A41" s="11">
        <v>39</v>
      </c>
      <c r="B41" s="106" t="s">
        <v>289</v>
      </c>
      <c r="C41" s="106" t="s">
        <v>289</v>
      </c>
      <c r="D41" s="106" t="s">
        <v>289</v>
      </c>
      <c r="E41" s="106">
        <v>350</v>
      </c>
      <c r="F41" s="106">
        <v>350</v>
      </c>
      <c r="G41" s="106">
        <v>350</v>
      </c>
      <c r="H41" s="106">
        <v>350</v>
      </c>
      <c r="I41" s="37"/>
      <c r="J41" s="116" t="s">
        <v>289</v>
      </c>
      <c r="K41" s="116">
        <v>349.9</v>
      </c>
      <c r="L41" s="106">
        <v>350</v>
      </c>
      <c r="M41" s="106">
        <v>349.8</v>
      </c>
      <c r="N41" s="106">
        <v>399.9</v>
      </c>
      <c r="O41" s="106">
        <v>200</v>
      </c>
      <c r="P41" s="106">
        <v>301</v>
      </c>
      <c r="Q41" s="37"/>
      <c r="R41" s="106">
        <v>350</v>
      </c>
      <c r="S41" s="106">
        <v>350</v>
      </c>
      <c r="T41" s="106">
        <v>350</v>
      </c>
      <c r="U41" s="106">
        <v>349</v>
      </c>
      <c r="V41" s="106">
        <v>350</v>
      </c>
      <c r="W41" s="106">
        <v>300</v>
      </c>
      <c r="X41" s="106">
        <v>300</v>
      </c>
      <c r="Y41" s="37"/>
      <c r="Z41" s="106" t="s">
        <v>289</v>
      </c>
      <c r="AA41" s="106">
        <v>351</v>
      </c>
      <c r="AB41" s="106">
        <v>351</v>
      </c>
      <c r="AC41" s="106">
        <v>351</v>
      </c>
      <c r="AD41" s="106">
        <v>350</v>
      </c>
      <c r="AE41" s="106">
        <v>300</v>
      </c>
      <c r="AF41" s="106">
        <v>350</v>
      </c>
      <c r="AG41" s="106"/>
      <c r="AH41" s="106"/>
      <c r="AI41" s="106"/>
      <c r="AJ41" s="37"/>
      <c r="AK41" s="38"/>
      <c r="AL41" s="197"/>
    </row>
    <row r="42" spans="1:38" x14ac:dyDescent="0.25">
      <c r="A42" s="11">
        <v>40</v>
      </c>
      <c r="B42" s="106">
        <v>250</v>
      </c>
      <c r="C42" s="106">
        <v>199</v>
      </c>
      <c r="D42" s="106">
        <v>350</v>
      </c>
      <c r="E42" s="106">
        <v>350</v>
      </c>
      <c r="F42" s="106">
        <v>250</v>
      </c>
      <c r="G42" s="106">
        <v>350</v>
      </c>
      <c r="H42" s="106">
        <v>298</v>
      </c>
      <c r="I42" s="37"/>
      <c r="J42" s="106">
        <v>349.9</v>
      </c>
      <c r="K42" s="106">
        <v>349.8</v>
      </c>
      <c r="L42" s="106">
        <v>257</v>
      </c>
      <c r="M42" s="106">
        <v>349.9</v>
      </c>
      <c r="N42" s="106">
        <v>199.9</v>
      </c>
      <c r="O42" s="106">
        <v>199.9</v>
      </c>
      <c r="P42" s="106">
        <v>315</v>
      </c>
      <c r="Q42" s="37"/>
      <c r="R42" s="106" t="s">
        <v>289</v>
      </c>
      <c r="S42" s="106">
        <v>350</v>
      </c>
      <c r="T42" s="106" t="s">
        <v>289</v>
      </c>
      <c r="U42" s="106" t="s">
        <v>289</v>
      </c>
      <c r="V42" s="106">
        <v>351</v>
      </c>
      <c r="W42" s="106">
        <v>351</v>
      </c>
      <c r="X42" s="106">
        <v>350</v>
      </c>
      <c r="Y42" s="37"/>
      <c r="Z42" s="106">
        <v>302</v>
      </c>
      <c r="AA42" s="106">
        <v>351</v>
      </c>
      <c r="AB42" s="106">
        <v>350</v>
      </c>
      <c r="AC42" s="106">
        <v>300</v>
      </c>
      <c r="AD42" s="106">
        <v>349</v>
      </c>
      <c r="AE42" s="106">
        <v>152</v>
      </c>
      <c r="AF42" s="106">
        <v>349</v>
      </c>
      <c r="AG42" s="106"/>
      <c r="AH42" s="106"/>
      <c r="AI42" s="106"/>
      <c r="AJ42" s="37"/>
      <c r="AK42" s="38"/>
      <c r="AL42" s="197"/>
    </row>
    <row r="43" spans="1:38" x14ac:dyDescent="0.25">
      <c r="A43" s="11">
        <v>41</v>
      </c>
      <c r="B43" s="106">
        <v>350</v>
      </c>
      <c r="C43" s="106">
        <v>350</v>
      </c>
      <c r="D43" s="106">
        <v>350</v>
      </c>
      <c r="E43" s="106">
        <v>350</v>
      </c>
      <c r="F43" s="106">
        <v>350</v>
      </c>
      <c r="G43" s="106">
        <v>350</v>
      </c>
      <c r="H43" s="106">
        <v>351</v>
      </c>
      <c r="I43" s="37"/>
      <c r="J43" s="106">
        <v>349.9</v>
      </c>
      <c r="K43" s="106">
        <v>349.9</v>
      </c>
      <c r="L43" s="106">
        <v>349.9</v>
      </c>
      <c r="M43" s="106">
        <v>299.8</v>
      </c>
      <c r="N43" s="106">
        <v>400</v>
      </c>
      <c r="O43" s="106">
        <v>299.89999999999998</v>
      </c>
      <c r="P43" s="106">
        <v>302</v>
      </c>
      <c r="Q43" s="37"/>
      <c r="R43" s="106">
        <v>251</v>
      </c>
      <c r="S43" s="106">
        <v>350</v>
      </c>
      <c r="T43" s="106">
        <v>350</v>
      </c>
      <c r="U43" s="106">
        <v>349</v>
      </c>
      <c r="V43" s="106">
        <v>350</v>
      </c>
      <c r="W43" s="106">
        <v>351</v>
      </c>
      <c r="X43" s="106">
        <v>300</v>
      </c>
      <c r="Y43" s="37"/>
      <c r="Z43" s="106">
        <v>350</v>
      </c>
      <c r="AA43" s="106">
        <v>351</v>
      </c>
      <c r="AB43" s="106">
        <v>349</v>
      </c>
      <c r="AC43" s="106">
        <v>350</v>
      </c>
      <c r="AD43" s="106">
        <v>349</v>
      </c>
      <c r="AE43" s="106">
        <v>351</v>
      </c>
      <c r="AF43" s="106">
        <v>350</v>
      </c>
      <c r="AG43" s="106"/>
      <c r="AH43" s="106"/>
      <c r="AI43" s="106"/>
      <c r="AJ43" s="37"/>
      <c r="AK43" s="38"/>
      <c r="AL43" s="197"/>
    </row>
    <row r="44" spans="1:38" x14ac:dyDescent="0.25">
      <c r="A44" s="11">
        <v>42</v>
      </c>
      <c r="B44" s="547" t="s">
        <v>290</v>
      </c>
      <c r="C44" s="547" t="s">
        <v>290</v>
      </c>
      <c r="D44" s="547" t="s">
        <v>290</v>
      </c>
      <c r="E44" s="547" t="s">
        <v>290</v>
      </c>
      <c r="F44" s="547" t="s">
        <v>290</v>
      </c>
      <c r="G44" s="547" t="s">
        <v>290</v>
      </c>
      <c r="H44" s="547" t="s">
        <v>290</v>
      </c>
      <c r="I44" s="111"/>
      <c r="J44" s="546" t="s">
        <v>290</v>
      </c>
      <c r="K44" s="547" t="s">
        <v>290</v>
      </c>
      <c r="L44" s="547" t="s">
        <v>290</v>
      </c>
      <c r="M44" s="547" t="s">
        <v>290</v>
      </c>
      <c r="N44" s="547" t="s">
        <v>290</v>
      </c>
      <c r="O44" s="547" t="s">
        <v>290</v>
      </c>
      <c r="P44" s="547" t="s">
        <v>290</v>
      </c>
      <c r="Q44" s="111"/>
      <c r="R44" s="546" t="s">
        <v>290</v>
      </c>
      <c r="S44" s="546" t="s">
        <v>290</v>
      </c>
      <c r="T44" s="546" t="s">
        <v>290</v>
      </c>
      <c r="U44" s="546" t="s">
        <v>290</v>
      </c>
      <c r="V44" s="546" t="s">
        <v>290</v>
      </c>
      <c r="W44" s="546" t="s">
        <v>290</v>
      </c>
      <c r="X44" s="546" t="s">
        <v>290</v>
      </c>
      <c r="Y44" s="614"/>
      <c r="Z44" s="546" t="s">
        <v>290</v>
      </c>
      <c r="AA44" s="547" t="s">
        <v>290</v>
      </c>
      <c r="AB44" s="547" t="s">
        <v>290</v>
      </c>
      <c r="AC44" s="547" t="s">
        <v>290</v>
      </c>
      <c r="AD44" s="547" t="s">
        <v>290</v>
      </c>
      <c r="AE44" s="547" t="s">
        <v>290</v>
      </c>
      <c r="AF44" s="547" t="s">
        <v>290</v>
      </c>
      <c r="AG44" s="547" t="s">
        <v>290</v>
      </c>
      <c r="AH44" s="547" t="s">
        <v>290</v>
      </c>
      <c r="AI44" s="547" t="s">
        <v>290</v>
      </c>
      <c r="AJ44" s="111"/>
      <c r="AK44" s="38"/>
      <c r="AL44" s="197"/>
    </row>
    <row r="45" spans="1:38" x14ac:dyDescent="0.25">
      <c r="A45" s="11">
        <v>43</v>
      </c>
      <c r="B45" s="106" t="s">
        <v>289</v>
      </c>
      <c r="C45" s="106" t="s">
        <v>289</v>
      </c>
      <c r="D45" s="106" t="s">
        <v>289</v>
      </c>
      <c r="E45" s="106" t="s">
        <v>289</v>
      </c>
      <c r="F45" s="106" t="s">
        <v>289</v>
      </c>
      <c r="G45" s="106" t="s">
        <v>289</v>
      </c>
      <c r="H45" s="106" t="s">
        <v>289</v>
      </c>
      <c r="I45" s="37"/>
      <c r="J45" s="106" t="s">
        <v>289</v>
      </c>
      <c r="K45" s="106" t="s">
        <v>289</v>
      </c>
      <c r="L45" s="106" t="s">
        <v>289</v>
      </c>
      <c r="M45" s="106" t="s">
        <v>289</v>
      </c>
      <c r="N45" s="106" t="s">
        <v>289</v>
      </c>
      <c r="O45" s="106" t="s">
        <v>289</v>
      </c>
      <c r="P45" s="106" t="s">
        <v>289</v>
      </c>
      <c r="Q45" s="37"/>
      <c r="R45" s="106" t="s">
        <v>289</v>
      </c>
      <c r="S45" s="106" t="s">
        <v>289</v>
      </c>
      <c r="T45" s="106" t="s">
        <v>289</v>
      </c>
      <c r="U45" s="106" t="s">
        <v>289</v>
      </c>
      <c r="V45" s="106" t="s">
        <v>289</v>
      </c>
      <c r="W45" s="106" t="s">
        <v>289</v>
      </c>
      <c r="X45" s="106" t="s">
        <v>289</v>
      </c>
      <c r="Y45" s="37"/>
      <c r="Z45" s="106" t="s">
        <v>289</v>
      </c>
      <c r="AA45" s="106" t="s">
        <v>289</v>
      </c>
      <c r="AB45" s="106" t="s">
        <v>289</v>
      </c>
      <c r="AC45" s="106" t="s">
        <v>289</v>
      </c>
      <c r="AD45" s="106" t="s">
        <v>289</v>
      </c>
      <c r="AE45" s="106" t="s">
        <v>289</v>
      </c>
      <c r="AF45" s="106" t="s">
        <v>289</v>
      </c>
      <c r="AG45" s="106"/>
      <c r="AH45" s="106"/>
      <c r="AI45" s="106"/>
      <c r="AJ45" s="37"/>
      <c r="AK45" s="38"/>
      <c r="AL45" s="197"/>
    </row>
    <row r="46" spans="1:38" x14ac:dyDescent="0.25">
      <c r="A46" s="11">
        <v>44</v>
      </c>
      <c r="B46" s="106" t="s">
        <v>289</v>
      </c>
      <c r="C46" s="106" t="s">
        <v>289</v>
      </c>
      <c r="D46" s="106" t="s">
        <v>289</v>
      </c>
      <c r="E46" s="106" t="s">
        <v>289</v>
      </c>
      <c r="F46" s="106" t="s">
        <v>289</v>
      </c>
      <c r="G46" s="106" t="s">
        <v>289</v>
      </c>
      <c r="H46" s="106" t="s">
        <v>289</v>
      </c>
      <c r="I46" s="37"/>
      <c r="J46" s="106" t="s">
        <v>289</v>
      </c>
      <c r="K46" s="106" t="s">
        <v>289</v>
      </c>
      <c r="L46" s="106" t="s">
        <v>289</v>
      </c>
      <c r="M46" s="106" t="s">
        <v>289</v>
      </c>
      <c r="N46" s="106" t="s">
        <v>289</v>
      </c>
      <c r="O46" s="106" t="s">
        <v>289</v>
      </c>
      <c r="P46" s="106" t="s">
        <v>289</v>
      </c>
      <c r="Q46" s="37"/>
      <c r="R46" s="106" t="s">
        <v>289</v>
      </c>
      <c r="S46" s="106" t="s">
        <v>289</v>
      </c>
      <c r="T46" s="106" t="s">
        <v>289</v>
      </c>
      <c r="U46" s="106" t="s">
        <v>289</v>
      </c>
      <c r="V46" s="106" t="s">
        <v>289</v>
      </c>
      <c r="W46" s="106" t="s">
        <v>289</v>
      </c>
      <c r="X46" s="106" t="s">
        <v>289</v>
      </c>
      <c r="Y46" s="37"/>
      <c r="Z46" s="106" t="s">
        <v>289</v>
      </c>
      <c r="AA46" s="106" t="s">
        <v>289</v>
      </c>
      <c r="AB46" s="106" t="s">
        <v>289</v>
      </c>
      <c r="AC46" s="106" t="s">
        <v>289</v>
      </c>
      <c r="AD46" s="106" t="s">
        <v>289</v>
      </c>
      <c r="AE46" s="106" t="s">
        <v>289</v>
      </c>
      <c r="AF46" s="106" t="s">
        <v>289</v>
      </c>
      <c r="AG46" s="106"/>
      <c r="AH46" s="106"/>
      <c r="AI46" s="106"/>
      <c r="AJ46" s="37"/>
      <c r="AK46" s="38"/>
      <c r="AL46" s="197"/>
    </row>
    <row r="47" spans="1:38" x14ac:dyDescent="0.25">
      <c r="A47" s="11">
        <v>45</v>
      </c>
      <c r="B47" s="106">
        <v>301</v>
      </c>
      <c r="C47" s="106">
        <v>285</v>
      </c>
      <c r="D47" s="106">
        <v>350</v>
      </c>
      <c r="E47" s="106">
        <v>322</v>
      </c>
      <c r="F47" s="106">
        <v>350</v>
      </c>
      <c r="G47" s="106">
        <v>348</v>
      </c>
      <c r="H47" s="106">
        <v>350</v>
      </c>
      <c r="I47" s="37"/>
      <c r="J47" s="106">
        <v>309.39999999999998</v>
      </c>
      <c r="K47" s="106">
        <v>349.9</v>
      </c>
      <c r="L47" s="106">
        <v>350</v>
      </c>
      <c r="M47" s="106">
        <v>297.60000000000002</v>
      </c>
      <c r="N47" s="106">
        <v>449.8</v>
      </c>
      <c r="O47" s="106">
        <v>199.9</v>
      </c>
      <c r="P47" s="106">
        <v>350</v>
      </c>
      <c r="Q47" s="37"/>
      <c r="R47" s="106">
        <v>349</v>
      </c>
      <c r="S47" s="106">
        <v>337</v>
      </c>
      <c r="T47" s="106">
        <v>300</v>
      </c>
      <c r="U47" s="106">
        <v>348</v>
      </c>
      <c r="V47" s="106">
        <v>349</v>
      </c>
      <c r="W47" s="106">
        <v>294</v>
      </c>
      <c r="X47" s="106">
        <v>350</v>
      </c>
      <c r="Y47" s="37"/>
      <c r="Z47" s="106">
        <v>350</v>
      </c>
      <c r="AA47" s="106">
        <v>350</v>
      </c>
      <c r="AB47" s="106">
        <v>350</v>
      </c>
      <c r="AC47" s="106">
        <v>350</v>
      </c>
      <c r="AD47" s="106">
        <v>349</v>
      </c>
      <c r="AE47" s="106">
        <v>343</v>
      </c>
      <c r="AF47" s="106">
        <v>301</v>
      </c>
      <c r="AG47" s="106"/>
      <c r="AH47" s="106"/>
      <c r="AI47" s="106"/>
      <c r="AJ47" s="37"/>
      <c r="AK47" s="38"/>
      <c r="AL47" s="197"/>
    </row>
    <row r="48" spans="1:38" x14ac:dyDescent="0.25">
      <c r="A48" s="11">
        <v>46</v>
      </c>
      <c r="B48" s="106">
        <v>350</v>
      </c>
      <c r="C48" s="106">
        <v>350</v>
      </c>
      <c r="D48" s="106">
        <v>350</v>
      </c>
      <c r="E48" s="106">
        <v>350</v>
      </c>
      <c r="F48" s="106">
        <v>350</v>
      </c>
      <c r="G48" s="106">
        <v>350</v>
      </c>
      <c r="H48" s="106">
        <v>351</v>
      </c>
      <c r="I48" s="37"/>
      <c r="J48" s="106">
        <v>349.3</v>
      </c>
      <c r="K48" s="106">
        <v>349.9</v>
      </c>
      <c r="L48" s="106">
        <v>349.9</v>
      </c>
      <c r="M48" s="106">
        <v>349.9</v>
      </c>
      <c r="N48" s="106">
        <v>599.9</v>
      </c>
      <c r="O48" s="106">
        <v>199.9</v>
      </c>
      <c r="P48" s="106">
        <v>350</v>
      </c>
      <c r="Q48" s="37"/>
      <c r="R48" s="106">
        <v>350</v>
      </c>
      <c r="S48" s="106">
        <v>347</v>
      </c>
      <c r="T48" s="106">
        <v>350</v>
      </c>
      <c r="U48" s="106">
        <v>350</v>
      </c>
      <c r="V48" s="106">
        <v>350</v>
      </c>
      <c r="W48" s="106">
        <v>351</v>
      </c>
      <c r="X48" s="106">
        <v>350</v>
      </c>
      <c r="Y48" s="37"/>
      <c r="Z48" s="106">
        <v>350</v>
      </c>
      <c r="AA48" s="106">
        <v>349</v>
      </c>
      <c r="AB48" s="106">
        <v>350</v>
      </c>
      <c r="AC48" s="106">
        <v>318</v>
      </c>
      <c r="AD48" s="106">
        <v>322</v>
      </c>
      <c r="AE48" s="106">
        <v>270</v>
      </c>
      <c r="AF48" s="106">
        <v>300</v>
      </c>
      <c r="AG48" s="106"/>
      <c r="AH48" s="106"/>
      <c r="AI48" s="106"/>
      <c r="AJ48" s="37"/>
      <c r="AK48" s="38"/>
      <c r="AL48" s="197"/>
    </row>
    <row r="49" spans="1:38" x14ac:dyDescent="0.25">
      <c r="A49" s="11">
        <v>47</v>
      </c>
      <c r="B49" s="106">
        <v>300</v>
      </c>
      <c r="C49" s="106">
        <v>346</v>
      </c>
      <c r="D49" s="106">
        <v>319</v>
      </c>
      <c r="E49" s="106">
        <v>350</v>
      </c>
      <c r="F49" s="106">
        <v>352</v>
      </c>
      <c r="G49" s="106">
        <v>350</v>
      </c>
      <c r="H49" s="106">
        <v>350</v>
      </c>
      <c r="I49" s="37"/>
      <c r="J49" s="106">
        <v>338</v>
      </c>
      <c r="K49" s="106">
        <v>349.9</v>
      </c>
      <c r="L49" s="106">
        <v>349.9</v>
      </c>
      <c r="M49" s="106">
        <v>278</v>
      </c>
      <c r="N49" s="106">
        <v>384.8</v>
      </c>
      <c r="O49" s="106">
        <v>349.9</v>
      </c>
      <c r="P49" s="106">
        <v>351</v>
      </c>
      <c r="Q49" s="37"/>
      <c r="R49" s="106">
        <v>292</v>
      </c>
      <c r="S49" s="106">
        <v>350</v>
      </c>
      <c r="T49" s="106">
        <v>350</v>
      </c>
      <c r="U49" s="106">
        <v>349</v>
      </c>
      <c r="V49" s="106">
        <v>349</v>
      </c>
      <c r="W49" s="106">
        <v>269</v>
      </c>
      <c r="X49" s="106">
        <v>250</v>
      </c>
      <c r="Y49" s="37"/>
      <c r="Z49" s="106">
        <v>350</v>
      </c>
      <c r="AA49" s="106">
        <v>348</v>
      </c>
      <c r="AB49" s="106">
        <v>350</v>
      </c>
      <c r="AC49" s="106">
        <v>349</v>
      </c>
      <c r="AD49" s="106">
        <v>331</v>
      </c>
      <c r="AE49" s="106">
        <v>264</v>
      </c>
      <c r="AF49" s="106">
        <v>350</v>
      </c>
      <c r="AG49" s="106"/>
      <c r="AH49" s="106"/>
      <c r="AI49" s="106"/>
      <c r="AJ49" s="37"/>
      <c r="AK49" s="38"/>
      <c r="AL49" s="197"/>
    </row>
    <row r="50" spans="1:38" x14ac:dyDescent="0.25">
      <c r="A50" s="11">
        <v>48</v>
      </c>
      <c r="B50" s="106">
        <v>246</v>
      </c>
      <c r="C50" s="106">
        <v>318</v>
      </c>
      <c r="D50" s="106">
        <v>301</v>
      </c>
      <c r="E50" s="106">
        <v>350</v>
      </c>
      <c r="F50" s="106">
        <v>340</v>
      </c>
      <c r="G50" s="106">
        <v>278</v>
      </c>
      <c r="H50" s="106">
        <v>350</v>
      </c>
      <c r="I50" s="37"/>
      <c r="J50" s="106">
        <v>331.5</v>
      </c>
      <c r="K50" s="106">
        <v>342.6</v>
      </c>
      <c r="L50" s="106">
        <v>350</v>
      </c>
      <c r="M50" s="106">
        <v>349.8</v>
      </c>
      <c r="N50" s="106">
        <v>400.7</v>
      </c>
      <c r="O50" s="106">
        <v>250.1</v>
      </c>
      <c r="P50" s="106">
        <v>350</v>
      </c>
      <c r="Q50" s="37"/>
      <c r="R50" s="106">
        <v>300</v>
      </c>
      <c r="S50" s="106">
        <v>350</v>
      </c>
      <c r="T50" s="106">
        <v>350</v>
      </c>
      <c r="U50" s="106">
        <v>300</v>
      </c>
      <c r="V50" s="106">
        <v>349</v>
      </c>
      <c r="W50" s="106">
        <v>333</v>
      </c>
      <c r="X50" s="106">
        <v>160</v>
      </c>
      <c r="Y50" s="37"/>
      <c r="Z50" s="106">
        <v>350</v>
      </c>
      <c r="AA50" s="106">
        <v>292</v>
      </c>
      <c r="AB50" s="106">
        <v>348</v>
      </c>
      <c r="AC50" s="106">
        <v>300</v>
      </c>
      <c r="AD50" s="106">
        <v>340</v>
      </c>
      <c r="AE50" s="106">
        <v>231</v>
      </c>
      <c r="AF50" s="106">
        <v>267</v>
      </c>
      <c r="AG50" s="106"/>
      <c r="AH50" s="106"/>
      <c r="AI50" s="106"/>
      <c r="AJ50" s="37"/>
      <c r="AK50" s="38"/>
      <c r="AL50" s="197"/>
    </row>
    <row r="51" spans="1:38" x14ac:dyDescent="0.25">
      <c r="A51" s="11">
        <v>49</v>
      </c>
      <c r="B51" s="106">
        <v>350</v>
      </c>
      <c r="C51" s="106">
        <v>291</v>
      </c>
      <c r="D51" s="106">
        <v>350</v>
      </c>
      <c r="E51" s="106">
        <v>350</v>
      </c>
      <c r="F51" s="106">
        <v>337</v>
      </c>
      <c r="G51" s="106">
        <v>266</v>
      </c>
      <c r="H51" s="106">
        <v>250</v>
      </c>
      <c r="I51" s="37"/>
      <c r="J51" s="106">
        <v>349.9</v>
      </c>
      <c r="K51" s="106">
        <v>325.3</v>
      </c>
      <c r="L51" s="106">
        <v>267.8</v>
      </c>
      <c r="M51" s="106">
        <v>349.9</v>
      </c>
      <c r="N51" s="106">
        <v>550.6</v>
      </c>
      <c r="O51" s="106">
        <v>100.1</v>
      </c>
      <c r="P51" s="106">
        <v>350</v>
      </c>
      <c r="Q51" s="37"/>
      <c r="R51" s="106">
        <v>350</v>
      </c>
      <c r="S51" s="106">
        <v>350</v>
      </c>
      <c r="T51" s="106">
        <v>200</v>
      </c>
      <c r="U51" s="106">
        <v>350</v>
      </c>
      <c r="V51" s="106">
        <v>251</v>
      </c>
      <c r="W51" s="106">
        <v>350</v>
      </c>
      <c r="X51" s="106">
        <v>283</v>
      </c>
      <c r="Y51" s="37"/>
      <c r="Z51" s="106">
        <v>350</v>
      </c>
      <c r="AA51" s="106">
        <v>349</v>
      </c>
      <c r="AB51" s="106">
        <v>350</v>
      </c>
      <c r="AC51" s="106">
        <v>300</v>
      </c>
      <c r="AD51" s="106">
        <v>300</v>
      </c>
      <c r="AE51" s="106">
        <v>300</v>
      </c>
      <c r="AF51" s="106">
        <v>250</v>
      </c>
      <c r="AG51" s="106"/>
      <c r="AH51" s="106"/>
      <c r="AI51" s="106"/>
      <c r="AJ51" s="37"/>
      <c r="AK51" s="38"/>
      <c r="AL51" s="197"/>
    </row>
    <row r="52" spans="1:38" x14ac:dyDescent="0.25">
      <c r="A52" s="11">
        <v>50</v>
      </c>
      <c r="B52" s="106">
        <v>226</v>
      </c>
      <c r="C52" s="106">
        <v>205</v>
      </c>
      <c r="D52" s="106">
        <v>200</v>
      </c>
      <c r="E52" s="106">
        <v>350</v>
      </c>
      <c r="F52" s="106">
        <v>350</v>
      </c>
      <c r="G52" s="106">
        <v>350</v>
      </c>
      <c r="H52" s="106">
        <v>349</v>
      </c>
      <c r="I52" s="37"/>
      <c r="J52" s="106">
        <v>350</v>
      </c>
      <c r="K52" s="106">
        <v>220.3</v>
      </c>
      <c r="L52" s="106">
        <v>345.6</v>
      </c>
      <c r="M52" s="106">
        <v>200</v>
      </c>
      <c r="N52" s="106">
        <v>436</v>
      </c>
      <c r="O52" s="106">
        <v>199.6</v>
      </c>
      <c r="P52" s="106">
        <v>247</v>
      </c>
      <c r="Q52" s="37"/>
      <c r="R52" s="106">
        <v>242</v>
      </c>
      <c r="S52" s="106">
        <v>270</v>
      </c>
      <c r="T52" s="106">
        <v>300</v>
      </c>
      <c r="U52" s="106">
        <v>350</v>
      </c>
      <c r="V52" s="106">
        <v>349</v>
      </c>
      <c r="W52" s="106">
        <v>350</v>
      </c>
      <c r="X52" s="106">
        <v>281</v>
      </c>
      <c r="Y52" s="37"/>
      <c r="Z52" s="106">
        <v>349</v>
      </c>
      <c r="AA52" s="106">
        <v>305</v>
      </c>
      <c r="AB52" s="106">
        <v>300</v>
      </c>
      <c r="AC52" s="106">
        <v>351</v>
      </c>
      <c r="AD52" s="106">
        <v>238</v>
      </c>
      <c r="AE52" s="106">
        <v>234</v>
      </c>
      <c r="AF52" s="106">
        <v>350</v>
      </c>
      <c r="AG52" s="106"/>
      <c r="AH52" s="106"/>
      <c r="AI52" s="106"/>
      <c r="AJ52" s="37"/>
      <c r="AK52" s="38"/>
      <c r="AL52" s="197"/>
    </row>
    <row r="53" spans="1:38" x14ac:dyDescent="0.25">
      <c r="A53" s="11">
        <v>51</v>
      </c>
      <c r="B53" s="106">
        <v>340</v>
      </c>
      <c r="C53" s="106">
        <v>178</v>
      </c>
      <c r="D53" s="106">
        <v>250</v>
      </c>
      <c r="E53" s="106">
        <v>250</v>
      </c>
      <c r="F53" s="106">
        <v>350</v>
      </c>
      <c r="G53" s="106">
        <v>250</v>
      </c>
      <c r="H53" s="106">
        <v>299</v>
      </c>
      <c r="I53" s="37"/>
      <c r="J53" s="106">
        <v>199.5</v>
      </c>
      <c r="K53" s="106">
        <v>349.9</v>
      </c>
      <c r="L53" s="106">
        <v>349.9</v>
      </c>
      <c r="M53" s="106">
        <v>349.9</v>
      </c>
      <c r="N53" s="106">
        <v>399.9</v>
      </c>
      <c r="O53" s="106">
        <v>390.8</v>
      </c>
      <c r="P53" s="106">
        <v>301</v>
      </c>
      <c r="Q53" s="37"/>
      <c r="R53" s="106">
        <v>250</v>
      </c>
      <c r="S53" s="106">
        <v>350</v>
      </c>
      <c r="T53" s="106">
        <v>351</v>
      </c>
      <c r="U53" s="106">
        <v>351</v>
      </c>
      <c r="V53" s="106">
        <v>336</v>
      </c>
      <c r="W53" s="106">
        <v>301</v>
      </c>
      <c r="X53" s="106">
        <v>300</v>
      </c>
      <c r="Y53" s="37"/>
      <c r="Z53" s="106">
        <v>350</v>
      </c>
      <c r="AA53" s="106">
        <v>349</v>
      </c>
      <c r="AB53" s="106">
        <v>300</v>
      </c>
      <c r="AC53" s="106">
        <v>350</v>
      </c>
      <c r="AD53" s="106">
        <v>350</v>
      </c>
      <c r="AE53" s="106">
        <v>300</v>
      </c>
      <c r="AF53" s="106">
        <v>350</v>
      </c>
      <c r="AG53" s="106"/>
      <c r="AH53" s="106"/>
      <c r="AI53" s="106"/>
      <c r="AJ53" s="37"/>
      <c r="AK53" s="38"/>
      <c r="AL53" s="197"/>
    </row>
    <row r="54" spans="1:38" x14ac:dyDescent="0.25">
      <c r="A54" s="11">
        <v>52</v>
      </c>
      <c r="B54" s="106">
        <v>333</v>
      </c>
      <c r="C54" s="106">
        <v>159</v>
      </c>
      <c r="D54" s="106">
        <v>249</v>
      </c>
      <c r="E54" s="106">
        <v>352</v>
      </c>
      <c r="F54" s="116">
        <v>231</v>
      </c>
      <c r="G54" s="116">
        <v>249</v>
      </c>
      <c r="H54" s="108">
        <v>343</v>
      </c>
      <c r="I54" s="37"/>
      <c r="J54" s="116">
        <v>304.8</v>
      </c>
      <c r="K54" s="106">
        <v>216.2</v>
      </c>
      <c r="L54" s="106">
        <v>331</v>
      </c>
      <c r="M54" s="106">
        <v>223.4</v>
      </c>
      <c r="N54" s="106">
        <v>300.89999999999998</v>
      </c>
      <c r="O54" s="106">
        <v>299.89999999999998</v>
      </c>
      <c r="P54" s="106">
        <v>327</v>
      </c>
      <c r="Q54" s="37"/>
      <c r="R54" s="106">
        <v>163</v>
      </c>
      <c r="S54" s="106">
        <v>239</v>
      </c>
      <c r="T54" s="106">
        <v>350</v>
      </c>
      <c r="U54" s="106">
        <v>313</v>
      </c>
      <c r="V54" s="106">
        <v>324</v>
      </c>
      <c r="W54" s="106">
        <v>350</v>
      </c>
      <c r="X54" s="108" t="s">
        <v>290</v>
      </c>
      <c r="Y54" s="37"/>
      <c r="Z54" s="108" t="s">
        <v>290</v>
      </c>
      <c r="AA54" s="106">
        <v>351</v>
      </c>
      <c r="AB54" s="106">
        <v>263</v>
      </c>
      <c r="AC54" s="106">
        <v>338</v>
      </c>
      <c r="AD54" s="106">
        <v>250</v>
      </c>
      <c r="AE54" s="106">
        <v>135</v>
      </c>
      <c r="AF54" s="106">
        <v>251</v>
      </c>
      <c r="AG54" s="106"/>
      <c r="AH54" s="106"/>
      <c r="AI54" s="106"/>
      <c r="AJ54" s="37"/>
      <c r="AK54" s="38"/>
      <c r="AL54" s="197"/>
    </row>
    <row r="55" spans="1:38" x14ac:dyDescent="0.25">
      <c r="A55" s="11">
        <v>53</v>
      </c>
      <c r="B55" s="106">
        <v>205</v>
      </c>
      <c r="C55" s="106">
        <v>261</v>
      </c>
      <c r="D55" s="106">
        <v>241</v>
      </c>
      <c r="E55" s="106">
        <v>233</v>
      </c>
      <c r="F55" s="106">
        <v>307</v>
      </c>
      <c r="G55" s="106">
        <v>258</v>
      </c>
      <c r="H55" s="106">
        <v>249</v>
      </c>
      <c r="I55" s="37"/>
      <c r="J55" s="106">
        <v>342.6</v>
      </c>
      <c r="K55" s="106">
        <v>241.2</v>
      </c>
      <c r="L55" s="106">
        <v>350</v>
      </c>
      <c r="M55" s="106">
        <v>350</v>
      </c>
      <c r="N55" s="106">
        <v>349.2</v>
      </c>
      <c r="O55" s="106">
        <v>349.8</v>
      </c>
      <c r="P55" s="106">
        <v>182</v>
      </c>
      <c r="Q55" s="37"/>
      <c r="R55" s="106">
        <v>350</v>
      </c>
      <c r="S55" s="106">
        <v>253</v>
      </c>
      <c r="T55" s="106">
        <v>350</v>
      </c>
      <c r="U55" s="106">
        <v>313</v>
      </c>
      <c r="V55" s="106">
        <v>351</v>
      </c>
      <c r="W55" s="106">
        <v>245</v>
      </c>
      <c r="X55" s="106">
        <v>193</v>
      </c>
      <c r="Y55" s="37"/>
      <c r="Z55" s="106">
        <v>300</v>
      </c>
      <c r="AA55" s="106">
        <v>212</v>
      </c>
      <c r="AB55" s="106">
        <v>348</v>
      </c>
      <c r="AC55" s="106">
        <v>200</v>
      </c>
      <c r="AD55" s="106">
        <v>307</v>
      </c>
      <c r="AE55" s="106">
        <v>200</v>
      </c>
      <c r="AF55" s="106">
        <v>345</v>
      </c>
      <c r="AG55" s="106"/>
      <c r="AH55" s="106"/>
      <c r="AI55" s="106"/>
      <c r="AJ55" s="37"/>
      <c r="AK55" s="38"/>
      <c r="AL55" s="197"/>
    </row>
    <row r="56" spans="1:38" x14ac:dyDescent="0.25">
      <c r="A56" s="11">
        <v>54</v>
      </c>
      <c r="B56" s="106">
        <v>213</v>
      </c>
      <c r="C56" s="106">
        <v>209</v>
      </c>
      <c r="D56" s="106">
        <v>243</v>
      </c>
      <c r="E56" s="106">
        <v>310</v>
      </c>
      <c r="F56" s="106">
        <v>289</v>
      </c>
      <c r="G56" s="106">
        <v>299</v>
      </c>
      <c r="H56" s="106">
        <v>233</v>
      </c>
      <c r="I56" s="37"/>
      <c r="J56" s="106">
        <v>161</v>
      </c>
      <c r="K56" s="106">
        <v>349.9</v>
      </c>
      <c r="L56" s="106">
        <v>349.9</v>
      </c>
      <c r="M56" s="106">
        <v>350</v>
      </c>
      <c r="N56" s="106">
        <v>352.4</v>
      </c>
      <c r="O56" s="106">
        <v>349.9</v>
      </c>
      <c r="P56" s="106">
        <v>232</v>
      </c>
      <c r="Q56" s="37"/>
      <c r="R56" s="106">
        <v>220</v>
      </c>
      <c r="S56" s="106">
        <v>351</v>
      </c>
      <c r="T56" s="106">
        <v>250</v>
      </c>
      <c r="U56" s="106">
        <v>258</v>
      </c>
      <c r="V56" s="106">
        <v>222</v>
      </c>
      <c r="W56" s="106">
        <v>260</v>
      </c>
      <c r="X56" s="106">
        <v>213</v>
      </c>
      <c r="Y56" s="37"/>
      <c r="Z56" s="106">
        <v>232</v>
      </c>
      <c r="AA56" s="106">
        <v>221</v>
      </c>
      <c r="AB56" s="106">
        <v>319</v>
      </c>
      <c r="AC56" s="106">
        <v>229</v>
      </c>
      <c r="AD56" s="106">
        <v>277</v>
      </c>
      <c r="AE56" s="106">
        <v>228</v>
      </c>
      <c r="AF56" s="106">
        <v>350</v>
      </c>
      <c r="AG56" s="106"/>
      <c r="AH56" s="106"/>
      <c r="AI56" s="106"/>
      <c r="AJ56" s="37"/>
      <c r="AK56" s="38"/>
      <c r="AL56" s="197"/>
    </row>
    <row r="57" spans="1:38" x14ac:dyDescent="0.25">
      <c r="A57" s="11">
        <v>55</v>
      </c>
      <c r="B57" s="106">
        <v>211</v>
      </c>
      <c r="C57" s="106">
        <v>152</v>
      </c>
      <c r="D57" s="106">
        <v>286</v>
      </c>
      <c r="E57" s="106">
        <v>240</v>
      </c>
      <c r="F57" s="106">
        <v>232</v>
      </c>
      <c r="G57" s="106">
        <v>273</v>
      </c>
      <c r="H57" s="106">
        <v>276</v>
      </c>
      <c r="I57" s="37"/>
      <c r="J57" s="106">
        <v>167.5</v>
      </c>
      <c r="K57" s="106">
        <v>164.5</v>
      </c>
      <c r="L57" s="106">
        <v>349.9</v>
      </c>
      <c r="M57" s="106">
        <v>316.8</v>
      </c>
      <c r="N57" s="106">
        <v>249.9</v>
      </c>
      <c r="O57" s="106">
        <v>250</v>
      </c>
      <c r="P57" s="106">
        <v>228</v>
      </c>
      <c r="Q57" s="37"/>
      <c r="R57" s="106">
        <v>203</v>
      </c>
      <c r="S57" s="106">
        <v>296</v>
      </c>
      <c r="T57" s="106">
        <v>205</v>
      </c>
      <c r="U57" s="106">
        <v>150</v>
      </c>
      <c r="V57" s="106">
        <v>295</v>
      </c>
      <c r="W57" s="106">
        <v>243</v>
      </c>
      <c r="X57" s="106">
        <v>156</v>
      </c>
      <c r="Y57" s="37"/>
      <c r="Z57" s="106">
        <v>210</v>
      </c>
      <c r="AA57" s="106">
        <v>200</v>
      </c>
      <c r="AB57" s="106">
        <v>249</v>
      </c>
      <c r="AC57" s="106">
        <v>199</v>
      </c>
      <c r="AD57" s="106">
        <v>159</v>
      </c>
      <c r="AE57" s="106">
        <v>132</v>
      </c>
      <c r="AF57" s="106">
        <v>204</v>
      </c>
      <c r="AG57" s="106"/>
      <c r="AH57" s="106"/>
      <c r="AI57" s="106"/>
      <c r="AJ57" s="37"/>
      <c r="AK57" s="38"/>
      <c r="AL57" s="197"/>
    </row>
    <row r="58" spans="1:38" x14ac:dyDescent="0.25">
      <c r="A58" s="11">
        <v>56</v>
      </c>
      <c r="B58" s="106">
        <v>350</v>
      </c>
      <c r="C58" s="106">
        <v>283</v>
      </c>
      <c r="D58" s="106">
        <v>210</v>
      </c>
      <c r="E58" s="106">
        <v>284</v>
      </c>
      <c r="F58" s="106">
        <v>306</v>
      </c>
      <c r="G58" s="106">
        <v>301</v>
      </c>
      <c r="H58" s="106">
        <v>231</v>
      </c>
      <c r="I58" s="37"/>
      <c r="J58" s="106">
        <v>245.4</v>
      </c>
      <c r="K58" s="106">
        <v>236.2</v>
      </c>
      <c r="L58" s="106">
        <v>349.9</v>
      </c>
      <c r="M58" s="106">
        <v>236.3</v>
      </c>
      <c r="N58" s="106">
        <v>302.60000000000002</v>
      </c>
      <c r="O58" s="106">
        <v>302.39999999999998</v>
      </c>
      <c r="P58" s="106">
        <v>266</v>
      </c>
      <c r="Q58" s="37"/>
      <c r="R58" s="106">
        <v>215</v>
      </c>
      <c r="S58" s="106">
        <v>350</v>
      </c>
      <c r="T58" s="106">
        <v>232</v>
      </c>
      <c r="U58" s="106">
        <v>248</v>
      </c>
      <c r="V58" s="106">
        <v>335</v>
      </c>
      <c r="W58" s="106">
        <v>328</v>
      </c>
      <c r="X58" s="106">
        <v>277</v>
      </c>
      <c r="Y58" s="37"/>
      <c r="Z58" s="106">
        <v>237</v>
      </c>
      <c r="AA58" s="106">
        <v>253</v>
      </c>
      <c r="AB58" s="106">
        <v>250</v>
      </c>
      <c r="AC58" s="106">
        <v>200</v>
      </c>
      <c r="AD58" s="106">
        <v>275</v>
      </c>
      <c r="AE58" s="106">
        <v>242</v>
      </c>
      <c r="AF58" s="106">
        <v>220</v>
      </c>
      <c r="AG58" s="106"/>
      <c r="AH58" s="106"/>
      <c r="AI58" s="106"/>
      <c r="AJ58" s="37"/>
      <c r="AK58" s="38"/>
      <c r="AL58" s="197"/>
    </row>
    <row r="59" spans="1:38" x14ac:dyDescent="0.25">
      <c r="A59" s="11">
        <v>57</v>
      </c>
      <c r="B59" s="106" t="s">
        <v>289</v>
      </c>
      <c r="C59" s="106">
        <v>147</v>
      </c>
      <c r="D59" s="106">
        <v>240</v>
      </c>
      <c r="E59" s="106">
        <v>249</v>
      </c>
      <c r="F59" s="106">
        <v>254</v>
      </c>
      <c r="G59" s="106">
        <v>251</v>
      </c>
      <c r="H59" s="106">
        <v>301</v>
      </c>
      <c r="I59" s="37"/>
      <c r="J59" s="106">
        <v>222.4</v>
      </c>
      <c r="K59" s="106">
        <v>244.6</v>
      </c>
      <c r="L59" s="106" t="s">
        <v>289</v>
      </c>
      <c r="M59" s="106">
        <v>295.60000000000002</v>
      </c>
      <c r="N59" s="106">
        <v>394.2</v>
      </c>
      <c r="O59" s="106">
        <v>299.39999999999998</v>
      </c>
      <c r="P59" s="106">
        <v>252</v>
      </c>
      <c r="Q59" s="37"/>
      <c r="R59" s="106">
        <v>233</v>
      </c>
      <c r="S59" s="106">
        <v>236</v>
      </c>
      <c r="T59" s="106">
        <v>209</v>
      </c>
      <c r="U59" s="106">
        <v>286</v>
      </c>
      <c r="V59" s="106">
        <v>215</v>
      </c>
      <c r="W59" s="106">
        <v>247</v>
      </c>
      <c r="X59" s="106">
        <v>257</v>
      </c>
      <c r="Y59" s="37"/>
      <c r="Z59" s="106">
        <v>350</v>
      </c>
      <c r="AA59" s="106">
        <v>278</v>
      </c>
      <c r="AB59" s="106">
        <v>250</v>
      </c>
      <c r="AC59" s="106">
        <v>200</v>
      </c>
      <c r="AD59" s="106">
        <v>273</v>
      </c>
      <c r="AE59" s="106">
        <v>240</v>
      </c>
      <c r="AF59" s="106">
        <v>211</v>
      </c>
      <c r="AG59" s="106"/>
      <c r="AH59" s="106"/>
      <c r="AI59" s="106"/>
      <c r="AJ59" s="37"/>
      <c r="AK59" s="38"/>
      <c r="AL59" s="197"/>
    </row>
    <row r="60" spans="1:38" x14ac:dyDescent="0.25">
      <c r="A60" s="11">
        <v>58</v>
      </c>
      <c r="B60" s="106">
        <v>350</v>
      </c>
      <c r="C60" s="106">
        <v>233</v>
      </c>
      <c r="D60" s="106">
        <v>251</v>
      </c>
      <c r="E60" s="106">
        <v>258</v>
      </c>
      <c r="F60" s="106">
        <v>205</v>
      </c>
      <c r="G60" s="106">
        <v>205</v>
      </c>
      <c r="H60" s="106">
        <v>352</v>
      </c>
      <c r="I60" s="37"/>
      <c r="J60" s="106">
        <v>299.89999999999998</v>
      </c>
      <c r="K60" s="106">
        <v>336.8</v>
      </c>
      <c r="L60" s="106">
        <v>334.9</v>
      </c>
      <c r="M60" s="106">
        <v>345.7</v>
      </c>
      <c r="N60" s="106">
        <v>304.8</v>
      </c>
      <c r="O60" s="106">
        <v>300</v>
      </c>
      <c r="P60" s="106">
        <v>231</v>
      </c>
      <c r="Q60" s="37"/>
      <c r="R60" s="106">
        <v>217</v>
      </c>
      <c r="S60" s="106">
        <v>348</v>
      </c>
      <c r="T60" s="106">
        <v>216</v>
      </c>
      <c r="U60" s="106" t="s">
        <v>289</v>
      </c>
      <c r="V60" s="106">
        <v>228</v>
      </c>
      <c r="W60" s="106">
        <v>350</v>
      </c>
      <c r="X60" s="106" t="s">
        <v>289</v>
      </c>
      <c r="Y60" s="37"/>
      <c r="Z60" s="106">
        <v>200</v>
      </c>
      <c r="AA60" s="106">
        <v>203</v>
      </c>
      <c r="AB60" s="106">
        <v>349</v>
      </c>
      <c r="AC60" s="106">
        <v>201</v>
      </c>
      <c r="AD60" s="106">
        <v>300</v>
      </c>
      <c r="AE60" s="106">
        <v>285</v>
      </c>
      <c r="AF60" s="106">
        <v>350</v>
      </c>
      <c r="AG60" s="106"/>
      <c r="AH60" s="106"/>
      <c r="AI60" s="106"/>
      <c r="AJ60" s="37"/>
      <c r="AK60" s="38"/>
      <c r="AL60" s="197"/>
    </row>
    <row r="61" spans="1:38" ht="15" customHeight="1" x14ac:dyDescent="0.25">
      <c r="A61" s="11">
        <v>59</v>
      </c>
      <c r="B61" s="106" t="s">
        <v>289</v>
      </c>
      <c r="C61" s="106">
        <v>193</v>
      </c>
      <c r="D61" s="106">
        <v>229</v>
      </c>
      <c r="E61" s="106">
        <v>201</v>
      </c>
      <c r="F61" s="106">
        <v>216</v>
      </c>
      <c r="G61" s="106">
        <v>220</v>
      </c>
      <c r="H61" s="106">
        <v>227</v>
      </c>
      <c r="I61" s="37"/>
      <c r="J61" s="106">
        <v>266.8</v>
      </c>
      <c r="K61" s="106">
        <v>236.2</v>
      </c>
      <c r="L61" s="106">
        <v>201.7</v>
      </c>
      <c r="M61" s="106">
        <v>184.4</v>
      </c>
      <c r="N61" s="106">
        <v>205.9</v>
      </c>
      <c r="O61" s="106">
        <v>200</v>
      </c>
      <c r="P61" s="106">
        <v>233</v>
      </c>
      <c r="Q61" s="37"/>
      <c r="R61" s="106">
        <v>212</v>
      </c>
      <c r="S61" s="106">
        <v>333</v>
      </c>
      <c r="T61" s="106">
        <v>205</v>
      </c>
      <c r="U61" s="106">
        <v>241</v>
      </c>
      <c r="V61" s="106">
        <v>286</v>
      </c>
      <c r="W61" s="106">
        <v>291</v>
      </c>
      <c r="X61" s="106">
        <v>200</v>
      </c>
      <c r="Y61" s="37"/>
      <c r="Z61" s="106">
        <v>320</v>
      </c>
      <c r="AA61" s="106">
        <v>276</v>
      </c>
      <c r="AB61" s="106">
        <v>300</v>
      </c>
      <c r="AC61" s="106">
        <v>200</v>
      </c>
      <c r="AD61" s="106">
        <v>274</v>
      </c>
      <c r="AE61" s="106">
        <v>200</v>
      </c>
      <c r="AF61" s="106">
        <v>220</v>
      </c>
      <c r="AG61" s="106"/>
      <c r="AH61" s="106"/>
      <c r="AI61" s="106"/>
      <c r="AJ61" s="37"/>
      <c r="AK61" s="652">
        <v>88622.8</v>
      </c>
      <c r="AL61" s="197"/>
    </row>
    <row r="62" spans="1:38" ht="15" customHeight="1" x14ac:dyDescent="0.25">
      <c r="A62" s="11">
        <v>60</v>
      </c>
      <c r="B62" s="106">
        <v>182</v>
      </c>
      <c r="C62" s="106">
        <v>216</v>
      </c>
      <c r="D62" s="106">
        <v>243</v>
      </c>
      <c r="E62" s="106">
        <v>250</v>
      </c>
      <c r="F62" s="106">
        <v>211</v>
      </c>
      <c r="G62" s="106">
        <v>244</v>
      </c>
      <c r="H62" s="106">
        <v>237</v>
      </c>
      <c r="I62" s="37"/>
      <c r="J62" s="106">
        <v>299</v>
      </c>
      <c r="K62" s="106">
        <v>349.1</v>
      </c>
      <c r="L62" s="106">
        <v>229.6</v>
      </c>
      <c r="M62" s="106">
        <v>234.3</v>
      </c>
      <c r="N62" s="106">
        <v>313.10000000000002</v>
      </c>
      <c r="O62" s="106">
        <v>296.10000000000002</v>
      </c>
      <c r="P62" s="106">
        <v>211</v>
      </c>
      <c r="Q62" s="37"/>
      <c r="R62" s="106">
        <v>219</v>
      </c>
      <c r="S62" s="106">
        <v>299</v>
      </c>
      <c r="T62" s="106">
        <v>201</v>
      </c>
      <c r="U62" s="106">
        <v>242</v>
      </c>
      <c r="V62" s="106">
        <v>181</v>
      </c>
      <c r="W62" s="106">
        <v>249</v>
      </c>
      <c r="X62" s="106">
        <v>221</v>
      </c>
      <c r="Y62" s="37"/>
      <c r="Z62" s="106">
        <v>344</v>
      </c>
      <c r="AA62" s="106">
        <v>341</v>
      </c>
      <c r="AB62" s="106">
        <v>250</v>
      </c>
      <c r="AC62" s="106">
        <v>200</v>
      </c>
      <c r="AD62" s="106">
        <v>247</v>
      </c>
      <c r="AE62" s="106">
        <v>229</v>
      </c>
      <c r="AF62" s="106">
        <v>350</v>
      </c>
      <c r="AG62" s="106"/>
      <c r="AH62" s="106"/>
      <c r="AI62" s="106"/>
      <c r="AJ62" s="37"/>
      <c r="AK62" s="652">
        <v>96487.8</v>
      </c>
      <c r="AL62" s="197"/>
    </row>
    <row r="63" spans="1:38" ht="15" customHeight="1" x14ac:dyDescent="0.25">
      <c r="A63" s="11">
        <v>61</v>
      </c>
      <c r="B63" s="106">
        <v>202</v>
      </c>
      <c r="C63" s="106">
        <v>251</v>
      </c>
      <c r="D63" s="106">
        <v>210</v>
      </c>
      <c r="E63" s="106">
        <v>236</v>
      </c>
      <c r="F63" s="106">
        <v>338</v>
      </c>
      <c r="G63" s="106">
        <v>200</v>
      </c>
      <c r="H63" s="106">
        <v>299.89999999999998</v>
      </c>
      <c r="I63" s="37"/>
      <c r="J63" s="106">
        <v>153.9</v>
      </c>
      <c r="K63" s="106">
        <v>249.8</v>
      </c>
      <c r="L63" s="106">
        <v>350</v>
      </c>
      <c r="M63" s="106">
        <v>255.5</v>
      </c>
      <c r="N63" s="106">
        <v>331.6</v>
      </c>
      <c r="O63" s="106">
        <v>300.3</v>
      </c>
      <c r="P63" s="106">
        <v>187</v>
      </c>
      <c r="Q63" s="37"/>
      <c r="R63" s="106">
        <v>261</v>
      </c>
      <c r="S63" s="106">
        <v>349</v>
      </c>
      <c r="T63" s="106">
        <v>250</v>
      </c>
      <c r="U63" s="106">
        <v>258</v>
      </c>
      <c r="V63" s="106">
        <v>301</v>
      </c>
      <c r="W63" s="106">
        <v>183</v>
      </c>
      <c r="X63" s="106">
        <v>184</v>
      </c>
      <c r="Y63" s="37"/>
      <c r="Z63" s="106">
        <v>225</v>
      </c>
      <c r="AA63" s="106">
        <v>207</v>
      </c>
      <c r="AB63" s="106">
        <v>200</v>
      </c>
      <c r="AC63" s="106">
        <v>335</v>
      </c>
      <c r="AD63" s="106">
        <v>349</v>
      </c>
      <c r="AE63" s="106">
        <v>195</v>
      </c>
      <c r="AF63" s="106">
        <v>350</v>
      </c>
      <c r="AG63" s="106"/>
      <c r="AH63" s="106"/>
      <c r="AI63" s="106"/>
      <c r="AJ63" s="37"/>
      <c r="AK63" s="652">
        <v>90110</v>
      </c>
      <c r="AL63" s="197"/>
    </row>
    <row r="64" spans="1:38" ht="15.75" x14ac:dyDescent="0.25">
      <c r="A64" s="11">
        <v>62</v>
      </c>
      <c r="B64" s="106">
        <v>212</v>
      </c>
      <c r="C64" s="106">
        <v>202</v>
      </c>
      <c r="D64" s="106">
        <v>246</v>
      </c>
      <c r="E64" s="106">
        <v>326</v>
      </c>
      <c r="F64" s="106">
        <v>283</v>
      </c>
      <c r="G64" s="106">
        <v>259</v>
      </c>
      <c r="H64" s="106">
        <v>317</v>
      </c>
      <c r="I64" s="37"/>
      <c r="J64" s="106">
        <v>251.2</v>
      </c>
      <c r="K64" s="106">
        <v>349.9</v>
      </c>
      <c r="L64" s="106">
        <v>349.9</v>
      </c>
      <c r="M64" s="106">
        <v>344.4</v>
      </c>
      <c r="N64" s="106">
        <v>383.7</v>
      </c>
      <c r="O64" s="106">
        <v>299.89999999999998</v>
      </c>
      <c r="P64" s="106">
        <v>179</v>
      </c>
      <c r="Q64" s="37"/>
      <c r="R64" s="106">
        <v>213</v>
      </c>
      <c r="S64" s="106">
        <v>308</v>
      </c>
      <c r="T64" s="106">
        <v>201</v>
      </c>
      <c r="U64" s="106">
        <v>260</v>
      </c>
      <c r="V64" s="106">
        <v>350</v>
      </c>
      <c r="W64" s="106">
        <v>200</v>
      </c>
      <c r="X64" s="106">
        <v>213</v>
      </c>
      <c r="Y64" s="37"/>
      <c r="Z64" s="106">
        <v>220</v>
      </c>
      <c r="AA64" s="106">
        <v>349</v>
      </c>
      <c r="AB64" s="106">
        <v>298</v>
      </c>
      <c r="AC64" s="106">
        <v>350</v>
      </c>
      <c r="AD64" s="106">
        <v>260</v>
      </c>
      <c r="AE64" s="106">
        <v>212</v>
      </c>
      <c r="AF64" s="106">
        <v>237</v>
      </c>
      <c r="AG64" s="106"/>
      <c r="AH64" s="106"/>
      <c r="AI64" s="106"/>
      <c r="AJ64" s="37"/>
      <c r="AK64" s="652">
        <v>90922</v>
      </c>
      <c r="AL64" s="197"/>
    </row>
    <row r="65" spans="1:38" ht="15.75" thickBot="1" x14ac:dyDescent="0.3">
      <c r="A65" s="62">
        <v>63</v>
      </c>
      <c r="B65" s="547" t="s">
        <v>290</v>
      </c>
      <c r="C65" s="547" t="s">
        <v>290</v>
      </c>
      <c r="D65" s="547" t="s">
        <v>290</v>
      </c>
      <c r="E65" s="547" t="s">
        <v>290</v>
      </c>
      <c r="F65" s="547" t="s">
        <v>290</v>
      </c>
      <c r="G65" s="547" t="s">
        <v>290</v>
      </c>
      <c r="H65" s="547" t="s">
        <v>290</v>
      </c>
      <c r="I65" s="110"/>
      <c r="J65" s="547" t="s">
        <v>290</v>
      </c>
      <c r="K65" s="547" t="s">
        <v>290</v>
      </c>
      <c r="L65" s="547" t="s">
        <v>290</v>
      </c>
      <c r="M65" s="547" t="s">
        <v>290</v>
      </c>
      <c r="N65" s="547" t="s">
        <v>290</v>
      </c>
      <c r="O65" s="547" t="s">
        <v>290</v>
      </c>
      <c r="P65" s="547" t="s">
        <v>290</v>
      </c>
      <c r="Q65" s="679"/>
      <c r="R65" s="547" t="s">
        <v>290</v>
      </c>
      <c r="S65" s="547" t="s">
        <v>290</v>
      </c>
      <c r="T65" s="547" t="s">
        <v>290</v>
      </c>
      <c r="U65" s="547" t="s">
        <v>290</v>
      </c>
      <c r="V65" s="547" t="s">
        <v>290</v>
      </c>
      <c r="W65" s="547" t="s">
        <v>290</v>
      </c>
      <c r="X65" s="547" t="s">
        <v>290</v>
      </c>
      <c r="Y65" s="680"/>
      <c r="Z65" s="547" t="s">
        <v>290</v>
      </c>
      <c r="AA65" s="547" t="s">
        <v>290</v>
      </c>
      <c r="AB65" s="547" t="s">
        <v>290</v>
      </c>
      <c r="AC65" s="547" t="s">
        <v>290</v>
      </c>
      <c r="AD65" s="547" t="s">
        <v>290</v>
      </c>
      <c r="AE65" s="547" t="s">
        <v>290</v>
      </c>
      <c r="AF65" s="547" t="s">
        <v>290</v>
      </c>
      <c r="AG65" s="547" t="s">
        <v>290</v>
      </c>
      <c r="AH65" s="547" t="s">
        <v>290</v>
      </c>
      <c r="AI65" s="547" t="s">
        <v>290</v>
      </c>
      <c r="AJ65" s="680"/>
      <c r="AK65" s="44"/>
      <c r="AL65" s="204"/>
    </row>
    <row r="66" spans="1:38" ht="18.75" x14ac:dyDescent="0.3">
      <c r="A66" s="281" t="s">
        <v>2</v>
      </c>
      <c r="B66" s="163">
        <f t="shared" ref="B66:G66" si="0">SUM(B3:B65)</f>
        <v>12242</v>
      </c>
      <c r="C66" s="163">
        <f t="shared" si="0"/>
        <v>10076</v>
      </c>
      <c r="D66" s="163">
        <f t="shared" si="0"/>
        <v>12716</v>
      </c>
      <c r="E66" s="163">
        <f t="shared" si="0"/>
        <v>13496</v>
      </c>
      <c r="F66" s="163">
        <f t="shared" si="0"/>
        <v>13271</v>
      </c>
      <c r="G66" s="163">
        <f t="shared" si="0"/>
        <v>13353</v>
      </c>
      <c r="H66" s="163">
        <f>SUM(H3:H65)</f>
        <v>13468.8</v>
      </c>
      <c r="I66" s="221">
        <f>SUM(B66:H66)</f>
        <v>88622.8</v>
      </c>
      <c r="J66" s="163">
        <f>SUM(J3:J65)</f>
        <v>13062.799999999996</v>
      </c>
      <c r="K66" s="163">
        <f t="shared" ref="K66:O66" si="1">SUM(K3:K65)</f>
        <v>13993.399999999996</v>
      </c>
      <c r="L66" s="647">
        <f t="shared" si="1"/>
        <v>14022.499999999996</v>
      </c>
      <c r="M66" s="163">
        <f t="shared" si="1"/>
        <v>14048.999999999995</v>
      </c>
      <c r="N66" s="163">
        <f t="shared" si="1"/>
        <v>16952.799999999996</v>
      </c>
      <c r="O66" s="163">
        <f t="shared" si="1"/>
        <v>11529.299999999996</v>
      </c>
      <c r="P66" s="163">
        <f>SUM(P3:P65)</f>
        <v>12878</v>
      </c>
      <c r="Q66" s="221">
        <f>SUM(J66:P66)</f>
        <v>96487.799999999959</v>
      </c>
      <c r="R66" s="163">
        <f t="shared" ref="R66:W66" si="2">SUM(R3:R65)</f>
        <v>11906</v>
      </c>
      <c r="S66" s="163">
        <f t="shared" si="2"/>
        <v>14422</v>
      </c>
      <c r="T66" s="163">
        <f t="shared" si="2"/>
        <v>12786</v>
      </c>
      <c r="U66" s="163">
        <f t="shared" si="2"/>
        <v>12595</v>
      </c>
      <c r="V66" s="163">
        <f t="shared" si="2"/>
        <v>13524</v>
      </c>
      <c r="W66" s="163">
        <f t="shared" si="2"/>
        <v>13687</v>
      </c>
      <c r="X66" s="163">
        <f>SUM(X3:X65)</f>
        <v>11190</v>
      </c>
      <c r="Y66" s="221">
        <f>SUM(R66:X66)</f>
        <v>90110</v>
      </c>
      <c r="Z66" s="163">
        <f>SUM(Z3:Z65)</f>
        <v>12828</v>
      </c>
      <c r="AA66" s="163">
        <f>SUM(AA3:AA65)</f>
        <v>13618</v>
      </c>
      <c r="AB66" s="163">
        <f>SUM(AB3:AB65)</f>
        <v>13407</v>
      </c>
      <c r="AC66" s="163">
        <f>SUM(AC3:AC65)</f>
        <v>13667</v>
      </c>
      <c r="AD66" s="163">
        <f>SUM(AD3:AD65)</f>
        <v>12936</v>
      </c>
      <c r="AE66" s="163">
        <f>SUM(AE4:AE65)</f>
        <v>11152</v>
      </c>
      <c r="AF66" s="163">
        <f>SUM(AF3:AF65)</f>
        <v>13314</v>
      </c>
      <c r="AG66" s="163"/>
      <c r="AH66" s="163"/>
      <c r="AI66" s="163"/>
      <c r="AJ66" s="158">
        <f>SUM(Z66:AI66)</f>
        <v>90922</v>
      </c>
      <c r="AK66" s="701">
        <f>SUM(AK61:AK65)</f>
        <v>366142.6</v>
      </c>
      <c r="AL66" s="285"/>
    </row>
    <row r="67" spans="1:38" ht="15.75" thickBot="1" x14ac:dyDescent="0.3">
      <c r="A67" s="264"/>
      <c r="B67" s="265" t="s">
        <v>265</v>
      </c>
      <c r="C67" s="265" t="s">
        <v>345</v>
      </c>
      <c r="D67" s="265" t="s">
        <v>262</v>
      </c>
      <c r="E67" s="265" t="s">
        <v>262</v>
      </c>
      <c r="F67" s="265" t="s">
        <v>262</v>
      </c>
      <c r="G67" s="265" t="s">
        <v>262</v>
      </c>
      <c r="H67" s="265" t="s">
        <v>262</v>
      </c>
      <c r="I67" s="225"/>
      <c r="J67" s="265" t="s">
        <v>262</v>
      </c>
      <c r="K67" s="265" t="s">
        <v>263</v>
      </c>
      <c r="L67" s="265" t="s">
        <v>262</v>
      </c>
      <c r="M67" s="265" t="s">
        <v>263</v>
      </c>
      <c r="N67" s="265" t="s">
        <v>263</v>
      </c>
      <c r="O67" s="265" t="s">
        <v>262</v>
      </c>
      <c r="P67" s="265" t="s">
        <v>263</v>
      </c>
      <c r="Q67" s="225"/>
      <c r="R67" s="265" t="s">
        <v>262</v>
      </c>
      <c r="S67" s="265" t="s">
        <v>263</v>
      </c>
      <c r="T67" s="265" t="s">
        <v>365</v>
      </c>
      <c r="U67" s="265" t="s">
        <v>261</v>
      </c>
      <c r="V67" s="265" t="s">
        <v>262</v>
      </c>
      <c r="W67" s="265" t="s">
        <v>263</v>
      </c>
      <c r="X67" s="265" t="s">
        <v>367</v>
      </c>
      <c r="Y67" s="225"/>
      <c r="Z67" s="265" t="s">
        <v>261</v>
      </c>
      <c r="AA67" s="265" t="s">
        <v>261</v>
      </c>
      <c r="AB67" s="265" t="s">
        <v>261</v>
      </c>
      <c r="AC67" s="265" t="s">
        <v>263</v>
      </c>
      <c r="AD67" s="265" t="s">
        <v>261</v>
      </c>
      <c r="AE67" s="265" t="s">
        <v>265</v>
      </c>
      <c r="AF67" s="265" t="s">
        <v>262</v>
      </c>
      <c r="AG67" s="265"/>
      <c r="AH67" s="265"/>
      <c r="AI67" s="265"/>
      <c r="AJ67" s="225"/>
      <c r="AK67" s="225"/>
      <c r="AL67" s="228"/>
    </row>
    <row r="68" spans="1:38" ht="24" thickBot="1" x14ac:dyDescent="0.4">
      <c r="A68" s="294" t="s">
        <v>114</v>
      </c>
      <c r="B68" s="296"/>
      <c r="C68" s="632"/>
      <c r="D68" s="632"/>
      <c r="E68" s="632"/>
      <c r="F68" s="632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301"/>
    </row>
    <row r="69" spans="1:38" ht="16.5" thickBot="1" x14ac:dyDescent="0.3">
      <c r="A69" s="319" t="s">
        <v>7</v>
      </c>
      <c r="B69" s="328">
        <v>1</v>
      </c>
      <c r="C69" s="328">
        <v>2</v>
      </c>
      <c r="D69" s="328">
        <v>3</v>
      </c>
      <c r="E69" s="328">
        <v>4</v>
      </c>
      <c r="F69" s="328">
        <v>5</v>
      </c>
      <c r="G69" s="328">
        <v>6</v>
      </c>
      <c r="H69" s="328">
        <v>7</v>
      </c>
      <c r="I69" s="629" t="s">
        <v>338</v>
      </c>
      <c r="J69" s="328">
        <v>8</v>
      </c>
      <c r="K69" s="328">
        <v>9</v>
      </c>
      <c r="L69" s="328">
        <v>10</v>
      </c>
      <c r="M69" s="328">
        <v>11</v>
      </c>
      <c r="N69" s="328">
        <v>12</v>
      </c>
      <c r="O69" s="328">
        <v>13</v>
      </c>
      <c r="P69" s="328">
        <v>14</v>
      </c>
      <c r="Q69" s="629" t="s">
        <v>338</v>
      </c>
      <c r="R69" s="328">
        <v>15</v>
      </c>
      <c r="S69" s="328">
        <v>16</v>
      </c>
      <c r="T69" s="328">
        <v>17</v>
      </c>
      <c r="U69" s="328">
        <v>18</v>
      </c>
      <c r="V69" s="328">
        <v>19</v>
      </c>
      <c r="W69" s="328">
        <v>20</v>
      </c>
      <c r="X69" s="328">
        <v>21</v>
      </c>
      <c r="Y69" s="629" t="s">
        <v>338</v>
      </c>
      <c r="Z69" s="328">
        <v>22</v>
      </c>
      <c r="AA69" s="328">
        <v>23</v>
      </c>
      <c r="AB69" s="328">
        <v>24</v>
      </c>
      <c r="AC69" s="328">
        <v>25</v>
      </c>
      <c r="AD69" s="328">
        <v>26</v>
      </c>
      <c r="AE69" s="328">
        <v>27</v>
      </c>
      <c r="AF69" s="328">
        <v>28</v>
      </c>
      <c r="AG69" s="328">
        <v>29</v>
      </c>
      <c r="AH69" s="328">
        <v>30</v>
      </c>
      <c r="AI69" s="328">
        <v>31</v>
      </c>
      <c r="AJ69" s="629" t="s">
        <v>338</v>
      </c>
      <c r="AK69" s="630" t="s">
        <v>339</v>
      </c>
      <c r="AL69" s="631" t="s">
        <v>42</v>
      </c>
    </row>
    <row r="70" spans="1:38" x14ac:dyDescent="0.25">
      <c r="A70" s="633">
        <v>23</v>
      </c>
      <c r="B70" s="577">
        <v>0</v>
      </c>
      <c r="C70" s="577">
        <v>0</v>
      </c>
      <c r="D70" s="577">
        <v>0</v>
      </c>
      <c r="E70" s="577">
        <v>0</v>
      </c>
      <c r="F70" s="577">
        <v>0</v>
      </c>
      <c r="G70" s="577">
        <v>0</v>
      </c>
      <c r="H70" s="577">
        <v>0</v>
      </c>
      <c r="I70" s="602"/>
      <c r="J70" s="577">
        <v>0</v>
      </c>
      <c r="K70" s="577">
        <v>0</v>
      </c>
      <c r="L70" s="577">
        <v>0</v>
      </c>
      <c r="M70" s="577">
        <v>0</v>
      </c>
      <c r="N70" s="577">
        <v>0</v>
      </c>
      <c r="O70" s="577">
        <v>0</v>
      </c>
      <c r="P70" s="577">
        <v>0</v>
      </c>
      <c r="Q70" s="602"/>
      <c r="R70" s="575"/>
      <c r="S70" s="575"/>
      <c r="T70" s="575"/>
      <c r="U70" s="575"/>
      <c r="V70" s="575"/>
      <c r="W70" s="618"/>
      <c r="X70" s="618"/>
      <c r="Y70" s="602"/>
      <c r="Z70" s="575"/>
      <c r="AA70" s="674"/>
      <c r="AB70" s="674"/>
      <c r="AC70" s="674"/>
      <c r="AD70" s="674"/>
      <c r="AE70" s="674"/>
      <c r="AF70" s="674"/>
      <c r="AG70" s="618"/>
      <c r="AH70" s="618"/>
      <c r="AI70" s="618"/>
      <c r="AJ70" s="602"/>
      <c r="AK70" s="634"/>
      <c r="AL70" s="635" t="s">
        <v>234</v>
      </c>
    </row>
    <row r="71" spans="1:38" x14ac:dyDescent="0.25">
      <c r="A71" s="381">
        <v>83</v>
      </c>
      <c r="B71" s="1">
        <v>108.02</v>
      </c>
      <c r="C71" s="1">
        <v>116.35</v>
      </c>
      <c r="D71" s="1">
        <v>105.91</v>
      </c>
      <c r="E71" s="1">
        <v>122.84</v>
      </c>
      <c r="F71" s="1">
        <v>111.76</v>
      </c>
      <c r="G71" s="532">
        <v>134.01</v>
      </c>
      <c r="H71" s="1">
        <v>89.27</v>
      </c>
      <c r="I71" s="37"/>
      <c r="J71" s="537"/>
      <c r="K71" s="537"/>
      <c r="L71" s="548">
        <v>175.99</v>
      </c>
      <c r="M71" s="118">
        <v>116.66</v>
      </c>
      <c r="N71" s="532">
        <v>131.15</v>
      </c>
      <c r="O71" s="532">
        <v>142.65</v>
      </c>
      <c r="P71" s="1">
        <v>114.31</v>
      </c>
      <c r="Q71" s="37"/>
      <c r="R71" s="1">
        <v>121.2</v>
      </c>
      <c r="S71" s="1">
        <v>141.9</v>
      </c>
      <c r="T71" s="1">
        <v>111.68</v>
      </c>
      <c r="U71" s="1">
        <v>87.24</v>
      </c>
      <c r="V71" s="1">
        <v>95.96</v>
      </c>
      <c r="W71" s="1">
        <v>105.6</v>
      </c>
      <c r="X71" s="118">
        <v>119.06</v>
      </c>
      <c r="Y71" s="37"/>
      <c r="Z71" s="1">
        <v>124.61</v>
      </c>
      <c r="AA71" s="118">
        <v>115.15</v>
      </c>
      <c r="AB71" s="118">
        <v>100.37</v>
      </c>
      <c r="AC71" s="118">
        <v>115.26</v>
      </c>
      <c r="AD71" s="118">
        <v>101.98</v>
      </c>
      <c r="AE71" s="537"/>
      <c r="AF71" s="537"/>
      <c r="AG71" s="2"/>
      <c r="AH71" s="2"/>
      <c r="AI71" s="2"/>
      <c r="AJ71" s="37"/>
      <c r="AK71" s="38"/>
      <c r="AL71" s="448" t="s">
        <v>235</v>
      </c>
    </row>
    <row r="72" spans="1:38" x14ac:dyDescent="0.25">
      <c r="A72" s="381">
        <v>90</v>
      </c>
      <c r="B72" s="530"/>
      <c r="C72" s="530"/>
      <c r="D72" s="530"/>
      <c r="E72" s="530"/>
      <c r="F72" s="530"/>
      <c r="G72" s="530"/>
      <c r="H72" s="530"/>
      <c r="I72" s="111"/>
      <c r="J72" s="537"/>
      <c r="K72" s="537"/>
      <c r="L72" s="537"/>
      <c r="M72" s="537"/>
      <c r="N72" s="530"/>
      <c r="O72" s="530"/>
      <c r="P72" s="530"/>
      <c r="Q72" s="111"/>
      <c r="R72" s="530"/>
      <c r="S72" s="530"/>
      <c r="T72" s="530"/>
      <c r="U72" s="530"/>
      <c r="V72" s="530"/>
      <c r="W72" s="537"/>
      <c r="X72" s="537"/>
      <c r="Y72" s="111"/>
      <c r="Z72" s="530"/>
      <c r="AA72" s="671"/>
      <c r="AB72" s="671"/>
      <c r="AC72" s="671"/>
      <c r="AD72" s="671"/>
      <c r="AE72" s="671"/>
      <c r="AF72" s="671"/>
      <c r="AG72" s="537"/>
      <c r="AH72" s="537"/>
      <c r="AI72" s="537"/>
      <c r="AJ72" s="111"/>
      <c r="AK72" s="38"/>
      <c r="AL72" s="448"/>
    </row>
    <row r="73" spans="1:38" x14ac:dyDescent="0.25">
      <c r="A73" s="381">
        <v>93</v>
      </c>
      <c r="B73" s="1">
        <v>42.47</v>
      </c>
      <c r="C73" s="530"/>
      <c r="D73" s="530"/>
      <c r="E73" s="530"/>
      <c r="F73" s="530"/>
      <c r="G73" s="530"/>
      <c r="H73" s="530"/>
      <c r="I73" s="37"/>
      <c r="J73" s="537"/>
      <c r="K73" s="537"/>
      <c r="L73" s="537"/>
      <c r="M73" s="118">
        <v>21.35</v>
      </c>
      <c r="N73" s="530"/>
      <c r="O73" s="530"/>
      <c r="P73" s="1"/>
      <c r="Q73" s="37"/>
      <c r="R73" s="530"/>
      <c r="S73" s="530"/>
      <c r="T73" s="530"/>
      <c r="U73" s="530"/>
      <c r="V73" s="530"/>
      <c r="W73" s="118">
        <v>9.75</v>
      </c>
      <c r="X73" s="537"/>
      <c r="Y73" s="37"/>
      <c r="Z73" s="530"/>
      <c r="AA73" s="537"/>
      <c r="AB73" s="537"/>
      <c r="AC73" s="537"/>
      <c r="AD73" s="537"/>
      <c r="AE73" s="537"/>
      <c r="AF73" s="537"/>
      <c r="AG73" s="2"/>
      <c r="AH73" s="2"/>
      <c r="AI73" s="2"/>
      <c r="AJ73" s="111"/>
      <c r="AK73" s="38"/>
      <c r="AL73" s="449" t="s">
        <v>236</v>
      </c>
    </row>
    <row r="74" spans="1:38" x14ac:dyDescent="0.25">
      <c r="A74" s="381">
        <v>95</v>
      </c>
      <c r="B74" s="1">
        <v>86.71</v>
      </c>
      <c r="C74" s="1">
        <v>104.33</v>
      </c>
      <c r="D74" s="1">
        <v>89.63</v>
      </c>
      <c r="E74" s="1">
        <v>100.47</v>
      </c>
      <c r="F74" s="1">
        <v>54.1</v>
      </c>
      <c r="G74" s="1">
        <v>107.23</v>
      </c>
      <c r="H74" s="1">
        <v>100.79</v>
      </c>
      <c r="I74" s="37"/>
      <c r="J74" s="118">
        <v>99.69</v>
      </c>
      <c r="K74" s="118">
        <v>80.25</v>
      </c>
      <c r="L74" s="118">
        <v>103.48</v>
      </c>
      <c r="M74" s="118">
        <v>108.83</v>
      </c>
      <c r="N74" s="1">
        <v>123.85</v>
      </c>
      <c r="O74" s="1">
        <v>101.04</v>
      </c>
      <c r="P74" s="1">
        <v>87.27</v>
      </c>
      <c r="Q74" s="37"/>
      <c r="R74" s="1">
        <v>84.48</v>
      </c>
      <c r="S74" s="1">
        <v>99.86</v>
      </c>
      <c r="T74" s="1">
        <v>106.43</v>
      </c>
      <c r="U74" s="1">
        <v>76.400000000000006</v>
      </c>
      <c r="V74" s="1">
        <v>113.16</v>
      </c>
      <c r="W74" s="118">
        <v>87.49</v>
      </c>
      <c r="X74" s="118">
        <v>82.89</v>
      </c>
      <c r="Y74" s="37"/>
      <c r="Z74" s="1">
        <v>106.08</v>
      </c>
      <c r="AA74" s="1">
        <v>99.1</v>
      </c>
      <c r="AB74" s="118">
        <v>30.59</v>
      </c>
      <c r="AC74" s="118">
        <v>97.04</v>
      </c>
      <c r="AD74" s="118">
        <v>72.56</v>
      </c>
      <c r="AE74" s="537"/>
      <c r="AF74" s="548">
        <v>135.62</v>
      </c>
      <c r="AG74" s="2"/>
      <c r="AH74" s="2"/>
      <c r="AI74" s="2"/>
      <c r="AJ74" s="37"/>
      <c r="AK74" s="38"/>
      <c r="AL74" s="448" t="s">
        <v>237</v>
      </c>
    </row>
    <row r="75" spans="1:38" x14ac:dyDescent="0.25">
      <c r="A75" s="381">
        <v>98</v>
      </c>
      <c r="B75" s="530"/>
      <c r="C75" s="530"/>
      <c r="D75" s="530"/>
      <c r="E75" s="530"/>
      <c r="F75" s="530"/>
      <c r="G75" s="530"/>
      <c r="H75" s="530"/>
      <c r="I75" s="111"/>
      <c r="J75" s="537"/>
      <c r="K75" s="537"/>
      <c r="L75" s="537"/>
      <c r="M75" s="537"/>
      <c r="N75" s="530"/>
      <c r="O75" s="530"/>
      <c r="P75" s="530"/>
      <c r="Q75" s="111"/>
      <c r="R75" s="530"/>
      <c r="S75" s="530"/>
      <c r="T75" s="530"/>
      <c r="U75" s="530"/>
      <c r="V75" s="530"/>
      <c r="W75" s="537"/>
      <c r="X75" s="537"/>
      <c r="Y75" s="111"/>
      <c r="Z75" s="530"/>
      <c r="AA75" s="671"/>
      <c r="AB75" s="671"/>
      <c r="AC75" s="671"/>
      <c r="AD75" s="671"/>
      <c r="AE75" s="671"/>
      <c r="AF75" s="671"/>
      <c r="AG75" s="537"/>
      <c r="AH75" s="537"/>
      <c r="AI75" s="537"/>
      <c r="AJ75" s="111"/>
      <c r="AK75" s="38"/>
      <c r="AL75" s="448" t="s">
        <v>238</v>
      </c>
    </row>
    <row r="76" spans="1:38" x14ac:dyDescent="0.25">
      <c r="A76" s="381">
        <v>104</v>
      </c>
      <c r="B76" s="530"/>
      <c r="C76" s="530"/>
      <c r="D76" s="530"/>
      <c r="E76" s="1">
        <v>118.56</v>
      </c>
      <c r="F76" s="1">
        <v>114.34</v>
      </c>
      <c r="G76" s="1">
        <v>104.33</v>
      </c>
      <c r="H76" s="1">
        <v>115.22</v>
      </c>
      <c r="I76" s="37"/>
      <c r="J76" s="118">
        <v>97.94</v>
      </c>
      <c r="K76" s="118">
        <v>113.61</v>
      </c>
      <c r="L76" s="1">
        <v>118.7</v>
      </c>
      <c r="M76" s="1">
        <v>97.4</v>
      </c>
      <c r="N76" s="532">
        <v>137.19</v>
      </c>
      <c r="O76" s="1">
        <v>100.81</v>
      </c>
      <c r="P76" s="1">
        <v>98.55</v>
      </c>
      <c r="Q76" s="37"/>
      <c r="R76" s="1">
        <v>105.51</v>
      </c>
      <c r="S76" s="1">
        <v>115.32</v>
      </c>
      <c r="T76" s="530"/>
      <c r="U76" s="1">
        <v>195.68</v>
      </c>
      <c r="V76" s="530"/>
      <c r="W76" s="537"/>
      <c r="X76" s="118">
        <v>121.32</v>
      </c>
      <c r="Y76" s="37"/>
      <c r="Z76" s="1">
        <v>110.01</v>
      </c>
      <c r="AA76" s="118">
        <v>83.44</v>
      </c>
      <c r="AB76" s="118">
        <v>15.21</v>
      </c>
      <c r="AC76" s="537"/>
      <c r="AD76" s="537"/>
      <c r="AE76" s="1">
        <v>103</v>
      </c>
      <c r="AF76" s="537"/>
      <c r="AG76" s="2"/>
      <c r="AH76" s="2"/>
      <c r="AI76" s="2"/>
      <c r="AJ76" s="37"/>
      <c r="AK76" s="38"/>
      <c r="AL76" s="448"/>
    </row>
    <row r="77" spans="1:38" x14ac:dyDescent="0.25">
      <c r="A77" s="393">
        <v>118</v>
      </c>
      <c r="B77" s="530"/>
      <c r="C77" s="1">
        <v>81.73</v>
      </c>
      <c r="D77" s="530"/>
      <c r="E77" s="530"/>
      <c r="F77" s="530"/>
      <c r="G77" s="530"/>
      <c r="H77" s="530"/>
      <c r="I77" s="37"/>
      <c r="J77" s="537"/>
      <c r="K77" s="537"/>
      <c r="L77" s="537"/>
      <c r="M77" s="537"/>
      <c r="N77" s="530"/>
      <c r="O77" s="530"/>
      <c r="P77" s="530"/>
      <c r="Q77" s="111"/>
      <c r="R77" s="530"/>
      <c r="S77" s="530"/>
      <c r="T77" s="530"/>
      <c r="U77" s="1">
        <v>97.11</v>
      </c>
      <c r="V77" s="530"/>
      <c r="W77" s="537"/>
      <c r="X77" s="537"/>
      <c r="Y77" s="37"/>
      <c r="Z77" s="530"/>
      <c r="AA77" s="537"/>
      <c r="AB77" s="537"/>
      <c r="AC77" s="537"/>
      <c r="AD77" s="537"/>
      <c r="AE77" s="537"/>
      <c r="AF77" s="537"/>
      <c r="AG77" s="2"/>
      <c r="AH77" s="2"/>
      <c r="AI77" s="2"/>
      <c r="AJ77" s="111"/>
      <c r="AK77" s="38"/>
      <c r="AL77" s="112" t="s">
        <v>239</v>
      </c>
    </row>
    <row r="78" spans="1:38" x14ac:dyDescent="0.25">
      <c r="A78" s="382">
        <v>128</v>
      </c>
      <c r="B78" s="1">
        <v>82.97</v>
      </c>
      <c r="C78" s="1">
        <v>105.5</v>
      </c>
      <c r="D78" s="1">
        <v>84.3</v>
      </c>
      <c r="E78" s="1">
        <v>79.48</v>
      </c>
      <c r="F78" s="1">
        <v>79.150000000000006</v>
      </c>
      <c r="G78" s="1">
        <v>100.69</v>
      </c>
      <c r="H78" s="1">
        <v>97.38</v>
      </c>
      <c r="I78" s="37"/>
      <c r="J78" s="118">
        <v>109.05</v>
      </c>
      <c r="K78" s="537"/>
      <c r="L78" s="537"/>
      <c r="M78" s="537"/>
      <c r="N78" s="530"/>
      <c r="O78" s="530"/>
      <c r="P78" s="1">
        <v>106.12</v>
      </c>
      <c r="Q78" s="37"/>
      <c r="R78" s="530"/>
      <c r="S78" s="1">
        <v>8.86</v>
      </c>
      <c r="T78" s="1">
        <v>69.37</v>
      </c>
      <c r="U78" s="1">
        <v>23.9</v>
      </c>
      <c r="V78" s="530"/>
      <c r="W78" s="548">
        <v>163.78</v>
      </c>
      <c r="X78" s="118">
        <v>74.06</v>
      </c>
      <c r="Y78" s="37"/>
      <c r="Z78" s="1">
        <v>95.44</v>
      </c>
      <c r="AA78" s="118">
        <v>76.930000000000007</v>
      </c>
      <c r="AB78" s="118">
        <v>83.31</v>
      </c>
      <c r="AC78" s="1">
        <v>103.4</v>
      </c>
      <c r="AD78" s="118">
        <v>85.42</v>
      </c>
      <c r="AE78" s="1">
        <v>77.599999999999994</v>
      </c>
      <c r="AF78" s="1">
        <v>91.2</v>
      </c>
      <c r="AG78" s="2"/>
      <c r="AH78" s="2"/>
      <c r="AI78" s="2"/>
      <c r="AJ78" s="37"/>
      <c r="AK78" s="38"/>
      <c r="AL78" s="450" t="s">
        <v>240</v>
      </c>
    </row>
    <row r="79" spans="1:38" x14ac:dyDescent="0.25">
      <c r="A79" s="382">
        <v>131</v>
      </c>
      <c r="B79" s="1">
        <v>65.680000000000007</v>
      </c>
      <c r="C79" s="1">
        <v>112.93</v>
      </c>
      <c r="D79" s="1">
        <v>81.98</v>
      </c>
      <c r="E79" s="1">
        <v>89.88</v>
      </c>
      <c r="F79" s="1">
        <v>90.12</v>
      </c>
      <c r="G79" s="1">
        <v>75.55</v>
      </c>
      <c r="H79" s="1">
        <v>58.92</v>
      </c>
      <c r="I79" s="37"/>
      <c r="J79" s="118">
        <v>88.64</v>
      </c>
      <c r="K79" s="537"/>
      <c r="L79" s="1">
        <v>114</v>
      </c>
      <c r="M79" s="118">
        <v>64.09</v>
      </c>
      <c r="N79" s="1">
        <v>83.47</v>
      </c>
      <c r="O79" s="1">
        <v>96.11</v>
      </c>
      <c r="P79" s="1">
        <v>58.27</v>
      </c>
      <c r="Q79" s="37"/>
      <c r="R79" s="1">
        <v>77.739999999999995</v>
      </c>
      <c r="S79" s="1">
        <v>80.39</v>
      </c>
      <c r="T79" s="1">
        <v>79.33</v>
      </c>
      <c r="U79" s="1">
        <v>75.73</v>
      </c>
      <c r="V79" s="1">
        <v>85.09</v>
      </c>
      <c r="W79" s="1">
        <v>86.8</v>
      </c>
      <c r="X79" s="118">
        <v>88.17</v>
      </c>
      <c r="Y79" s="37"/>
      <c r="Z79" s="1">
        <v>71.72</v>
      </c>
      <c r="AA79" s="118">
        <v>73.069999999999993</v>
      </c>
      <c r="AB79" s="118">
        <v>77.36</v>
      </c>
      <c r="AC79" s="118">
        <v>87.77</v>
      </c>
      <c r="AD79" s="118">
        <v>70.36</v>
      </c>
      <c r="AE79" s="118">
        <v>76.77</v>
      </c>
      <c r="AF79" s="118">
        <v>94.62</v>
      </c>
      <c r="AG79" s="2"/>
      <c r="AH79" s="2"/>
      <c r="AI79" s="2"/>
      <c r="AJ79" s="37"/>
      <c r="AK79" s="38"/>
      <c r="AL79" s="450" t="s">
        <v>241</v>
      </c>
    </row>
    <row r="80" spans="1:38" x14ac:dyDescent="0.25">
      <c r="A80" s="382">
        <v>132</v>
      </c>
      <c r="B80" s="1">
        <v>61.55</v>
      </c>
      <c r="C80" s="1">
        <v>106</v>
      </c>
      <c r="D80" s="1">
        <v>105</v>
      </c>
      <c r="E80" s="1">
        <v>71.61</v>
      </c>
      <c r="F80" s="1">
        <v>47.34</v>
      </c>
      <c r="G80" s="1">
        <v>92.94</v>
      </c>
      <c r="H80" s="1">
        <v>95.78</v>
      </c>
      <c r="I80" s="37"/>
      <c r="J80" s="118">
        <v>74.849999999999994</v>
      </c>
      <c r="K80" s="118">
        <v>94.69</v>
      </c>
      <c r="L80" s="118">
        <v>104.09</v>
      </c>
      <c r="M80" s="118">
        <v>86.69</v>
      </c>
      <c r="N80" s="1">
        <v>93.65</v>
      </c>
      <c r="O80" s="1">
        <v>94.57</v>
      </c>
      <c r="P80" s="1">
        <v>75.73</v>
      </c>
      <c r="Q80" s="37"/>
      <c r="R80" s="1">
        <v>110.85</v>
      </c>
      <c r="S80" s="1">
        <v>69.040000000000006</v>
      </c>
      <c r="T80" s="1">
        <v>106.95</v>
      </c>
      <c r="U80" s="1">
        <v>80.19</v>
      </c>
      <c r="V80" s="1">
        <v>78.78</v>
      </c>
      <c r="W80" s="118">
        <v>84.43</v>
      </c>
      <c r="X80" s="118">
        <v>80.59</v>
      </c>
      <c r="Y80" s="37"/>
      <c r="Z80" s="1">
        <v>93.47</v>
      </c>
      <c r="AA80" s="118">
        <v>97.93</v>
      </c>
      <c r="AB80" s="118">
        <v>76.11</v>
      </c>
      <c r="AC80" s="118">
        <v>82.94</v>
      </c>
      <c r="AD80" s="118">
        <v>76.81</v>
      </c>
      <c r="AE80" s="118">
        <v>71.38</v>
      </c>
      <c r="AF80" s="118">
        <v>63.21</v>
      </c>
      <c r="AG80" s="2"/>
      <c r="AH80" s="2"/>
      <c r="AI80" s="2"/>
      <c r="AJ80" s="37"/>
      <c r="AK80" s="38"/>
      <c r="AL80" s="450"/>
    </row>
    <row r="81" spans="1:38" x14ac:dyDescent="0.25">
      <c r="A81" s="382">
        <v>133</v>
      </c>
      <c r="B81" s="1">
        <v>72.34</v>
      </c>
      <c r="C81" s="1">
        <v>118.48</v>
      </c>
      <c r="D81" s="1">
        <v>75.66</v>
      </c>
      <c r="E81" s="1">
        <v>111.54</v>
      </c>
      <c r="F81" s="530"/>
      <c r="G81" s="532">
        <v>158.66</v>
      </c>
      <c r="H81" s="1">
        <v>59.36</v>
      </c>
      <c r="I81" s="37"/>
      <c r="J81" s="118">
        <v>85.52</v>
      </c>
      <c r="K81" s="118">
        <v>71.849999999999994</v>
      </c>
      <c r="L81" s="118">
        <v>88.14</v>
      </c>
      <c r="M81" s="118">
        <v>60.15</v>
      </c>
      <c r="N81" s="1">
        <v>85.76</v>
      </c>
      <c r="O81" s="1">
        <v>79.849999999999994</v>
      </c>
      <c r="P81" s="1">
        <v>88.64</v>
      </c>
      <c r="Q81" s="37"/>
      <c r="R81" s="1">
        <v>78.709999999999994</v>
      </c>
      <c r="S81" s="1">
        <v>75.989999999999995</v>
      </c>
      <c r="T81" s="1">
        <v>93.65</v>
      </c>
      <c r="U81" s="1">
        <v>77</v>
      </c>
      <c r="V81" s="530"/>
      <c r="W81" s="537"/>
      <c r="X81" s="537"/>
      <c r="Y81" s="37"/>
      <c r="Z81" s="1">
        <v>58.38</v>
      </c>
      <c r="AA81" s="118">
        <v>69.37</v>
      </c>
      <c r="AB81" s="118">
        <v>87.18</v>
      </c>
      <c r="AC81" s="118">
        <v>72.06</v>
      </c>
      <c r="AD81" s="118">
        <v>57.68</v>
      </c>
      <c r="AE81" s="118">
        <v>68.95</v>
      </c>
      <c r="AF81" s="118">
        <v>66.94</v>
      </c>
      <c r="AG81" s="2"/>
      <c r="AH81" s="2"/>
      <c r="AI81" s="2"/>
      <c r="AJ81" s="37"/>
      <c r="AK81" s="38"/>
      <c r="AL81" s="689" t="s">
        <v>242</v>
      </c>
    </row>
    <row r="82" spans="1:38" x14ac:dyDescent="0.25">
      <c r="A82" s="382">
        <v>134</v>
      </c>
      <c r="B82" s="1">
        <v>84.68</v>
      </c>
      <c r="C82" s="1">
        <v>119.59</v>
      </c>
      <c r="D82" s="1">
        <v>101.37</v>
      </c>
      <c r="E82" s="1">
        <v>98.07</v>
      </c>
      <c r="F82" s="530"/>
      <c r="G82" s="530"/>
      <c r="H82" s="532">
        <v>213.52</v>
      </c>
      <c r="I82" s="37"/>
      <c r="J82" s="118">
        <v>75.47</v>
      </c>
      <c r="K82" s="118">
        <v>118.46</v>
      </c>
      <c r="L82" s="118">
        <v>81.13</v>
      </c>
      <c r="M82" s="118">
        <v>88.63</v>
      </c>
      <c r="N82" s="1">
        <v>108.69</v>
      </c>
      <c r="O82" s="1">
        <v>85.78</v>
      </c>
      <c r="P82" s="1">
        <v>98.22</v>
      </c>
      <c r="Q82" s="37"/>
      <c r="R82" s="1">
        <v>91.38</v>
      </c>
      <c r="S82" s="1">
        <v>103.39</v>
      </c>
      <c r="T82" s="1">
        <v>123.67</v>
      </c>
      <c r="U82" s="1">
        <v>101.38</v>
      </c>
      <c r="V82" s="1">
        <v>73.599999999999994</v>
      </c>
      <c r="W82" s="118">
        <v>88.37</v>
      </c>
      <c r="X82" s="118">
        <v>106.43</v>
      </c>
      <c r="Y82" s="37"/>
      <c r="Z82" s="1">
        <v>86.87</v>
      </c>
      <c r="AA82" s="118">
        <v>78.25</v>
      </c>
      <c r="AB82" s="118">
        <v>68.84</v>
      </c>
      <c r="AC82" s="118">
        <v>60.21</v>
      </c>
      <c r="AD82" s="118">
        <v>88.77</v>
      </c>
      <c r="AE82" s="118">
        <v>80.040000000000006</v>
      </c>
      <c r="AF82" s="118">
        <v>98.57</v>
      </c>
      <c r="AG82" s="2"/>
      <c r="AH82" s="2"/>
      <c r="AI82" s="2"/>
      <c r="AJ82" s="37"/>
      <c r="AK82" s="38"/>
      <c r="AL82" s="450" t="s">
        <v>243</v>
      </c>
    </row>
    <row r="83" spans="1:38" x14ac:dyDescent="0.25">
      <c r="A83" s="382">
        <v>135</v>
      </c>
      <c r="B83" s="1">
        <v>70.290000000000006</v>
      </c>
      <c r="C83" s="1">
        <v>116.56</v>
      </c>
      <c r="D83" s="1">
        <v>100.71</v>
      </c>
      <c r="E83" s="1">
        <v>107.43</v>
      </c>
      <c r="F83" s="1">
        <v>79.27</v>
      </c>
      <c r="G83" s="1">
        <v>103.2</v>
      </c>
      <c r="H83" s="1">
        <v>84.28</v>
      </c>
      <c r="I83" s="37"/>
      <c r="J83" s="118">
        <v>75.58</v>
      </c>
      <c r="K83" s="118">
        <v>89.91</v>
      </c>
      <c r="L83" s="118">
        <v>98.69</v>
      </c>
      <c r="M83" s="118">
        <v>79.92</v>
      </c>
      <c r="N83" s="1">
        <v>83.66</v>
      </c>
      <c r="O83" s="1">
        <v>83.27</v>
      </c>
      <c r="P83" s="1">
        <v>95.01</v>
      </c>
      <c r="Q83" s="37"/>
      <c r="R83" s="1">
        <v>107.84</v>
      </c>
      <c r="S83" s="1">
        <v>88.81</v>
      </c>
      <c r="T83" s="530"/>
      <c r="U83" s="1">
        <v>139.38999999999999</v>
      </c>
      <c r="V83" s="1">
        <v>89.89</v>
      </c>
      <c r="W83" s="118">
        <v>84.74</v>
      </c>
      <c r="X83" s="1">
        <v>63.8</v>
      </c>
      <c r="Y83" s="37"/>
      <c r="Z83" s="1">
        <v>67.03</v>
      </c>
      <c r="AA83" s="118">
        <v>67.569999999999993</v>
      </c>
      <c r="AB83" s="118">
        <v>90.78</v>
      </c>
      <c r="AC83" s="1">
        <v>80.2</v>
      </c>
      <c r="AD83" s="118">
        <v>16.11</v>
      </c>
      <c r="AE83" s="118">
        <v>59.13</v>
      </c>
      <c r="AF83" s="118">
        <v>85.01</v>
      </c>
      <c r="AG83" s="2"/>
      <c r="AH83" s="2"/>
      <c r="AI83" s="2"/>
      <c r="AJ83" s="37"/>
      <c r="AK83" s="38"/>
      <c r="AL83" s="450" t="s">
        <v>244</v>
      </c>
    </row>
    <row r="84" spans="1:38" x14ac:dyDescent="0.25">
      <c r="A84" s="382">
        <v>136</v>
      </c>
      <c r="B84" s="1">
        <v>43.75</v>
      </c>
      <c r="C84" s="1">
        <v>94.93</v>
      </c>
      <c r="D84" s="1">
        <v>81.08</v>
      </c>
      <c r="E84" s="1">
        <v>70.59</v>
      </c>
      <c r="F84" s="1">
        <v>76.510000000000005</v>
      </c>
      <c r="G84" s="1">
        <v>83.47</v>
      </c>
      <c r="H84" s="1">
        <v>66.66</v>
      </c>
      <c r="I84" s="37"/>
      <c r="J84" s="118">
        <v>88.21</v>
      </c>
      <c r="K84" s="118">
        <v>89.55</v>
      </c>
      <c r="L84" s="118">
        <v>82.61</v>
      </c>
      <c r="M84" s="118">
        <v>62.61</v>
      </c>
      <c r="N84" s="1">
        <v>75.59</v>
      </c>
      <c r="O84" s="1">
        <v>86.93</v>
      </c>
      <c r="P84" s="1">
        <v>90.68</v>
      </c>
      <c r="Q84" s="37"/>
      <c r="R84" s="1">
        <v>71.53</v>
      </c>
      <c r="S84" s="1">
        <v>83</v>
      </c>
      <c r="T84" s="1">
        <v>83.61</v>
      </c>
      <c r="U84" s="530"/>
      <c r="V84" s="1">
        <v>133.55000000000001</v>
      </c>
      <c r="W84" s="118">
        <v>75.930000000000007</v>
      </c>
      <c r="X84" s="1">
        <v>68.900000000000006</v>
      </c>
      <c r="Y84" s="37"/>
      <c r="Z84" s="1">
        <v>74.94</v>
      </c>
      <c r="AA84" s="118">
        <v>68.31</v>
      </c>
      <c r="AB84" s="537"/>
      <c r="AC84" s="537"/>
      <c r="AD84" s="537"/>
      <c r="AE84" s="537"/>
      <c r="AF84" s="118">
        <v>97.67</v>
      </c>
      <c r="AG84" s="2"/>
      <c r="AH84" s="2"/>
      <c r="AI84" s="2"/>
      <c r="AJ84" s="37"/>
      <c r="AK84" s="38"/>
      <c r="AL84" s="450" t="s">
        <v>245</v>
      </c>
    </row>
    <row r="85" spans="1:38" x14ac:dyDescent="0.25">
      <c r="A85" s="382">
        <v>137</v>
      </c>
      <c r="B85" s="1">
        <v>72.67</v>
      </c>
      <c r="C85" s="1">
        <v>110.13</v>
      </c>
      <c r="D85" s="1">
        <v>92.02</v>
      </c>
      <c r="E85" s="1">
        <v>97.15</v>
      </c>
      <c r="F85" s="1">
        <v>77.739999999999995</v>
      </c>
      <c r="G85" s="1">
        <v>101.64</v>
      </c>
      <c r="H85" s="1">
        <v>77.930000000000007</v>
      </c>
      <c r="I85" s="37"/>
      <c r="J85" s="118">
        <v>84.53</v>
      </c>
      <c r="K85" s="118">
        <v>75.48</v>
      </c>
      <c r="L85" s="118">
        <v>105.87</v>
      </c>
      <c r="M85" s="118">
        <v>80.69</v>
      </c>
      <c r="N85" s="1">
        <v>103.05</v>
      </c>
      <c r="O85" s="1">
        <v>88.34</v>
      </c>
      <c r="P85" s="1">
        <v>88.29</v>
      </c>
      <c r="Q85" s="37"/>
      <c r="R85" s="1">
        <v>92.06</v>
      </c>
      <c r="S85" s="1">
        <v>96.28</v>
      </c>
      <c r="T85" s="1">
        <v>71.66</v>
      </c>
      <c r="U85" s="1">
        <v>96.76</v>
      </c>
      <c r="V85" s="1">
        <v>87.9</v>
      </c>
      <c r="W85" s="118">
        <v>90.52</v>
      </c>
      <c r="X85" s="118">
        <v>82.11</v>
      </c>
      <c r="Y85" s="37"/>
      <c r="Z85" s="1">
        <v>82.93</v>
      </c>
      <c r="AA85" s="118">
        <v>75.510000000000005</v>
      </c>
      <c r="AB85" s="118">
        <v>51.41</v>
      </c>
      <c r="AC85" s="118">
        <v>81.260000000000005</v>
      </c>
      <c r="AD85" s="118">
        <v>75.37</v>
      </c>
      <c r="AE85" s="118">
        <v>81.739999999999995</v>
      </c>
      <c r="AF85" s="118">
        <v>83.55</v>
      </c>
      <c r="AG85" s="2"/>
      <c r="AH85" s="2"/>
      <c r="AI85" s="2"/>
      <c r="AJ85" s="37"/>
      <c r="AK85" s="38"/>
      <c r="AL85" s="450" t="s">
        <v>246</v>
      </c>
    </row>
    <row r="86" spans="1:38" x14ac:dyDescent="0.25">
      <c r="A86" s="382">
        <v>138</v>
      </c>
      <c r="B86" s="1">
        <v>92.52</v>
      </c>
      <c r="C86" s="1">
        <v>39.93</v>
      </c>
      <c r="D86" s="1">
        <v>88.26</v>
      </c>
      <c r="E86" s="1">
        <v>89</v>
      </c>
      <c r="F86" s="1">
        <v>75.290000000000006</v>
      </c>
      <c r="G86" s="1">
        <v>88.24</v>
      </c>
      <c r="H86" s="1">
        <v>78.010000000000005</v>
      </c>
      <c r="I86" s="37"/>
      <c r="J86" s="118">
        <v>74.45</v>
      </c>
      <c r="K86" s="548">
        <v>121.29</v>
      </c>
      <c r="L86" s="118">
        <v>90.63</v>
      </c>
      <c r="M86" s="118">
        <v>83.66</v>
      </c>
      <c r="N86" s="1">
        <v>100.07</v>
      </c>
      <c r="O86" s="1">
        <v>91.58</v>
      </c>
      <c r="P86" s="1">
        <v>91.85</v>
      </c>
      <c r="Q86" s="37"/>
      <c r="R86" s="1">
        <v>81.400000000000006</v>
      </c>
      <c r="S86" s="1">
        <v>107.22</v>
      </c>
      <c r="T86" s="1">
        <v>77.290000000000006</v>
      </c>
      <c r="U86" s="1">
        <v>99.55</v>
      </c>
      <c r="V86" s="530"/>
      <c r="W86" s="118">
        <v>83.21</v>
      </c>
      <c r="X86" s="118">
        <v>63.38</v>
      </c>
      <c r="Y86" s="37"/>
      <c r="Z86" s="1">
        <v>67.7</v>
      </c>
      <c r="AA86" s="118">
        <v>91.22</v>
      </c>
      <c r="AB86" s="118">
        <v>80.33</v>
      </c>
      <c r="AC86" s="118">
        <v>72.55</v>
      </c>
      <c r="AD86" s="118">
        <v>71.47</v>
      </c>
      <c r="AE86" s="118">
        <v>85.51</v>
      </c>
      <c r="AF86" s="118">
        <v>85.13</v>
      </c>
      <c r="AG86" s="2"/>
      <c r="AH86" s="2"/>
      <c r="AI86" s="2"/>
      <c r="AJ86" s="37"/>
      <c r="AK86" s="38"/>
      <c r="AL86" s="450" t="s">
        <v>247</v>
      </c>
    </row>
    <row r="87" spans="1:38" x14ac:dyDescent="0.25">
      <c r="A87" s="382">
        <v>139</v>
      </c>
      <c r="B87" s="1">
        <v>85.09</v>
      </c>
      <c r="C87" s="1">
        <v>95.51</v>
      </c>
      <c r="D87" s="1">
        <v>97.66</v>
      </c>
      <c r="E87" s="1">
        <v>69.84</v>
      </c>
      <c r="F87" s="1">
        <v>73.22</v>
      </c>
      <c r="G87" s="1">
        <v>87.37</v>
      </c>
      <c r="H87" s="1">
        <v>58.97</v>
      </c>
      <c r="I87" s="37"/>
      <c r="J87" s="118">
        <v>104.66</v>
      </c>
      <c r="K87" s="118">
        <v>84.75</v>
      </c>
      <c r="L87" s="118">
        <v>95.73</v>
      </c>
      <c r="M87" s="118">
        <v>91.19</v>
      </c>
      <c r="N87" s="1">
        <v>94</v>
      </c>
      <c r="O87" s="1">
        <v>73.08</v>
      </c>
      <c r="P87" s="1">
        <v>76.5</v>
      </c>
      <c r="Q87" s="37"/>
      <c r="R87" s="1">
        <v>83.21</v>
      </c>
      <c r="S87" s="1">
        <v>110.03</v>
      </c>
      <c r="T87" s="1">
        <v>97.41</v>
      </c>
      <c r="U87" s="1">
        <v>92.02</v>
      </c>
      <c r="V87" s="1">
        <v>84.54</v>
      </c>
      <c r="W87" s="118">
        <v>90.69</v>
      </c>
      <c r="X87" s="118">
        <v>74.05</v>
      </c>
      <c r="Y87" s="37"/>
      <c r="Z87" s="1">
        <v>90.86</v>
      </c>
      <c r="AA87" s="118">
        <v>70.89</v>
      </c>
      <c r="AB87" s="118">
        <v>74.03</v>
      </c>
      <c r="AC87" s="118">
        <v>111.06</v>
      </c>
      <c r="AD87" s="1">
        <v>74.3</v>
      </c>
      <c r="AE87" s="118">
        <v>71.64</v>
      </c>
      <c r="AF87" s="1">
        <v>101.7</v>
      </c>
      <c r="AG87" s="2"/>
      <c r="AH87" s="2"/>
      <c r="AI87" s="2"/>
      <c r="AJ87" s="37"/>
      <c r="AK87" s="38"/>
      <c r="AL87" s="450"/>
    </row>
    <row r="88" spans="1:38" x14ac:dyDescent="0.25">
      <c r="A88" s="382">
        <v>140</v>
      </c>
      <c r="B88" s="1">
        <v>62.67</v>
      </c>
      <c r="C88" s="1">
        <v>90.25</v>
      </c>
      <c r="D88" s="1">
        <v>83.03</v>
      </c>
      <c r="E88" s="1">
        <v>82.58</v>
      </c>
      <c r="F88" s="1">
        <v>81.2</v>
      </c>
      <c r="G88" s="1">
        <v>96.09</v>
      </c>
      <c r="H88" s="1">
        <v>64.739999999999995</v>
      </c>
      <c r="I88" s="37"/>
      <c r="J88" s="118">
        <v>94.99</v>
      </c>
      <c r="K88" s="118">
        <v>82.05</v>
      </c>
      <c r="L88" s="118">
        <v>96.59</v>
      </c>
      <c r="M88" s="118">
        <v>80.97</v>
      </c>
      <c r="N88" s="1">
        <v>90.8</v>
      </c>
      <c r="O88" s="1">
        <v>83.54</v>
      </c>
      <c r="P88" s="1"/>
      <c r="Q88" s="37"/>
      <c r="R88" s="1">
        <v>148.18</v>
      </c>
      <c r="S88" s="530"/>
      <c r="T88" s="1">
        <v>65.430000000000007</v>
      </c>
      <c r="U88" s="1">
        <v>84.54</v>
      </c>
      <c r="V88" s="1">
        <v>88.05</v>
      </c>
      <c r="W88" s="118">
        <v>82.51</v>
      </c>
      <c r="X88" s="118">
        <v>59.93</v>
      </c>
      <c r="Y88" s="37"/>
      <c r="Z88" s="1">
        <v>75.13</v>
      </c>
      <c r="AA88" s="118">
        <v>92.45</v>
      </c>
      <c r="AB88" s="118">
        <v>73.78</v>
      </c>
      <c r="AC88" s="118">
        <v>78.959999999999994</v>
      </c>
      <c r="AD88" s="537"/>
      <c r="AE88" s="118">
        <v>79.680000000000007</v>
      </c>
      <c r="AF88" s="118">
        <v>77.09</v>
      </c>
      <c r="AG88" s="2"/>
      <c r="AH88" s="2"/>
      <c r="AI88" s="2"/>
      <c r="AJ88" s="37"/>
      <c r="AK88" s="38"/>
      <c r="AL88" s="452" t="s">
        <v>248</v>
      </c>
    </row>
    <row r="89" spans="1:38" x14ac:dyDescent="0.25">
      <c r="A89" s="382">
        <v>141</v>
      </c>
      <c r="B89" s="1">
        <v>81.23</v>
      </c>
      <c r="C89" s="1">
        <v>83.12</v>
      </c>
      <c r="D89" s="1">
        <v>82.35</v>
      </c>
      <c r="E89" s="1">
        <v>95.07</v>
      </c>
      <c r="F89" s="1">
        <v>70.94</v>
      </c>
      <c r="G89" s="1">
        <v>82.25</v>
      </c>
      <c r="H89" s="1">
        <v>105.01</v>
      </c>
      <c r="I89" s="37"/>
      <c r="J89" s="118">
        <v>90.96</v>
      </c>
      <c r="K89" s="118">
        <v>77.790000000000006</v>
      </c>
      <c r="L89" s="118">
        <v>98.28</v>
      </c>
      <c r="M89" s="118">
        <v>78.680000000000007</v>
      </c>
      <c r="N89" s="1">
        <v>100.08</v>
      </c>
      <c r="O89" s="1">
        <v>75.86</v>
      </c>
      <c r="P89" s="1">
        <v>79.709999999999994</v>
      </c>
      <c r="Q89" s="37"/>
      <c r="R89" s="1">
        <v>86.31</v>
      </c>
      <c r="S89" s="1">
        <v>128.38</v>
      </c>
      <c r="T89" s="1">
        <v>69.27</v>
      </c>
      <c r="U89" s="1">
        <v>101.56</v>
      </c>
      <c r="V89" s="1">
        <v>113.14</v>
      </c>
      <c r="W89" s="1">
        <v>99.9</v>
      </c>
      <c r="X89" s="118">
        <v>74.25</v>
      </c>
      <c r="Y89" s="37"/>
      <c r="Z89" s="1">
        <v>78.569999999999993</v>
      </c>
      <c r="AA89" s="118">
        <v>109.24</v>
      </c>
      <c r="AB89" s="118">
        <v>88.59</v>
      </c>
      <c r="AC89" s="118">
        <v>91.82</v>
      </c>
      <c r="AD89" s="118">
        <v>13.75</v>
      </c>
      <c r="AE89" s="118">
        <v>80.67</v>
      </c>
      <c r="AF89" s="537"/>
      <c r="AG89" s="2"/>
      <c r="AH89" s="2"/>
      <c r="AI89" s="2"/>
      <c r="AJ89" s="37"/>
      <c r="AK89" s="38"/>
      <c r="AL89" s="450"/>
    </row>
    <row r="90" spans="1:38" x14ac:dyDescent="0.25">
      <c r="A90" s="382">
        <v>142</v>
      </c>
      <c r="B90" s="1">
        <v>70.709999999999994</v>
      </c>
      <c r="C90" s="1">
        <v>93.62</v>
      </c>
      <c r="D90" s="1">
        <v>81.83</v>
      </c>
      <c r="E90" s="1">
        <v>75.86</v>
      </c>
      <c r="F90" s="1">
        <v>75.16</v>
      </c>
      <c r="G90" s="1">
        <v>65.75</v>
      </c>
      <c r="H90" s="1">
        <v>92.76</v>
      </c>
      <c r="I90" s="37"/>
      <c r="J90" s="118">
        <v>102.81</v>
      </c>
      <c r="K90" s="118">
        <v>81.569999999999993</v>
      </c>
      <c r="L90" s="587"/>
      <c r="M90" s="118">
        <v>52.09</v>
      </c>
      <c r="N90" s="1">
        <v>82.62</v>
      </c>
      <c r="O90" s="1">
        <v>83.33</v>
      </c>
      <c r="P90" s="1">
        <v>76.430000000000007</v>
      </c>
      <c r="Q90" s="37"/>
      <c r="R90" s="1">
        <v>86.12</v>
      </c>
      <c r="S90" s="1">
        <v>106.18</v>
      </c>
      <c r="T90" s="1">
        <v>73.78</v>
      </c>
      <c r="U90" s="1">
        <v>84.5</v>
      </c>
      <c r="V90" s="1">
        <v>58.71</v>
      </c>
      <c r="W90" s="118">
        <v>68.78</v>
      </c>
      <c r="X90" s="118">
        <v>88.85</v>
      </c>
      <c r="Y90" s="37"/>
      <c r="Z90" s="1">
        <v>91.28</v>
      </c>
      <c r="AA90" s="118">
        <v>113.77</v>
      </c>
      <c r="AB90" s="118">
        <v>78.41</v>
      </c>
      <c r="AC90" s="118">
        <v>100.95</v>
      </c>
      <c r="AD90" s="118">
        <v>49.58</v>
      </c>
      <c r="AE90" s="118">
        <v>57.86</v>
      </c>
      <c r="AF90" s="118">
        <v>76.64</v>
      </c>
      <c r="AG90" s="2"/>
      <c r="AH90" s="2"/>
      <c r="AI90" s="2"/>
      <c r="AJ90" s="37"/>
      <c r="AK90" s="38"/>
      <c r="AL90" s="451" t="s">
        <v>249</v>
      </c>
    </row>
    <row r="91" spans="1:38" x14ac:dyDescent="0.25">
      <c r="A91" s="382">
        <v>143</v>
      </c>
      <c r="B91" s="1">
        <v>51.55</v>
      </c>
      <c r="C91" s="530"/>
      <c r="D91" s="530"/>
      <c r="E91" s="1">
        <v>112.14</v>
      </c>
      <c r="F91" s="1">
        <v>68.94</v>
      </c>
      <c r="G91" s="1">
        <v>88.25</v>
      </c>
      <c r="H91" s="1">
        <v>102.15</v>
      </c>
      <c r="I91" s="37"/>
      <c r="J91" s="211">
        <v>86.32</v>
      </c>
      <c r="K91" s="118">
        <v>104.14</v>
      </c>
      <c r="L91" s="118">
        <v>99.93</v>
      </c>
      <c r="M91" s="118">
        <v>87.87</v>
      </c>
      <c r="N91" s="1">
        <v>105.3</v>
      </c>
      <c r="O91" s="1">
        <v>81.36</v>
      </c>
      <c r="P91" s="1">
        <v>88.48</v>
      </c>
      <c r="Q91" s="37"/>
      <c r="R91" s="1">
        <v>93.88</v>
      </c>
      <c r="S91" s="1">
        <v>113.7</v>
      </c>
      <c r="T91" s="1">
        <v>74.599999999999994</v>
      </c>
      <c r="U91" s="1">
        <v>88.66</v>
      </c>
      <c r="V91" s="1">
        <v>88.22</v>
      </c>
      <c r="W91" s="118">
        <v>95.64</v>
      </c>
      <c r="X91" s="118">
        <v>75.540000000000006</v>
      </c>
      <c r="Y91" s="37"/>
      <c r="Z91" s="1">
        <v>73.180000000000007</v>
      </c>
      <c r="AA91" s="118">
        <v>80.94</v>
      </c>
      <c r="AB91" s="118">
        <v>81.69</v>
      </c>
      <c r="AC91" s="118">
        <v>82.82</v>
      </c>
      <c r="AD91" s="1">
        <v>56.4</v>
      </c>
      <c r="AE91" s="118">
        <v>59.63</v>
      </c>
      <c r="AF91" s="118">
        <v>95.15</v>
      </c>
      <c r="AG91" s="2"/>
      <c r="AH91" s="2"/>
      <c r="AI91" s="2"/>
      <c r="AJ91" s="37"/>
      <c r="AK91" s="38"/>
      <c r="AL91" s="451" t="s">
        <v>250</v>
      </c>
    </row>
    <row r="92" spans="1:38" x14ac:dyDescent="0.25">
      <c r="A92" s="382">
        <v>144</v>
      </c>
      <c r="B92" s="1">
        <v>55.95</v>
      </c>
      <c r="C92" s="1">
        <v>81.790000000000006</v>
      </c>
      <c r="D92" s="1">
        <v>88.2</v>
      </c>
      <c r="E92" s="1">
        <v>103.24</v>
      </c>
      <c r="F92" s="1">
        <v>63.98</v>
      </c>
      <c r="G92" s="1">
        <v>94.05</v>
      </c>
      <c r="H92" s="1">
        <v>73.14</v>
      </c>
      <c r="I92" s="37"/>
      <c r="J92" s="118">
        <v>83.47</v>
      </c>
      <c r="K92" s="118">
        <v>78.209999999999994</v>
      </c>
      <c r="L92" s="118">
        <v>97.88</v>
      </c>
      <c r="M92" s="118">
        <v>78.680000000000007</v>
      </c>
      <c r="N92" s="1">
        <v>79.84</v>
      </c>
      <c r="O92" s="1">
        <v>77.27</v>
      </c>
      <c r="P92" s="1">
        <v>105.81</v>
      </c>
      <c r="Q92" s="37"/>
      <c r="R92" s="1">
        <v>72</v>
      </c>
      <c r="S92" s="1">
        <v>101.78</v>
      </c>
      <c r="T92" s="1">
        <v>83.82</v>
      </c>
      <c r="U92" s="1">
        <v>83.68</v>
      </c>
      <c r="V92" s="1">
        <v>83.51</v>
      </c>
      <c r="W92" s="118">
        <v>75.69</v>
      </c>
      <c r="X92" s="118">
        <v>67.349999999999994</v>
      </c>
      <c r="Y92" s="37"/>
      <c r="Z92" s="1">
        <v>84.19</v>
      </c>
      <c r="AA92" s="118">
        <v>77.87</v>
      </c>
      <c r="AB92" s="537"/>
      <c r="AC92" s="537"/>
      <c r="AD92" s="537"/>
      <c r="AE92" s="537"/>
      <c r="AF92" s="537"/>
      <c r="AG92" s="2"/>
      <c r="AH92" s="2"/>
      <c r="AI92" s="2"/>
      <c r="AJ92" s="37"/>
      <c r="AK92" s="38"/>
      <c r="AL92" s="450"/>
    </row>
    <row r="93" spans="1:38" x14ac:dyDescent="0.25">
      <c r="A93" s="382">
        <v>145</v>
      </c>
      <c r="B93" s="1">
        <v>52.47</v>
      </c>
      <c r="C93" s="1">
        <v>72.459999999999994</v>
      </c>
      <c r="D93" s="1">
        <v>70</v>
      </c>
      <c r="E93" s="1">
        <v>108.48</v>
      </c>
      <c r="F93" s="530"/>
      <c r="G93" s="532">
        <v>157.81</v>
      </c>
      <c r="H93" s="1">
        <v>128.69999999999999</v>
      </c>
      <c r="I93" s="37"/>
      <c r="J93" s="118">
        <v>74.48</v>
      </c>
      <c r="K93" s="1">
        <v>106.7</v>
      </c>
      <c r="L93" s="548">
        <v>121.95</v>
      </c>
      <c r="M93" s="118">
        <v>92.15</v>
      </c>
      <c r="N93" s="1">
        <v>98.78</v>
      </c>
      <c r="O93" s="1">
        <v>91.73</v>
      </c>
      <c r="P93" s="1">
        <v>98.55</v>
      </c>
      <c r="Q93" s="37"/>
      <c r="R93" s="1">
        <v>90.61</v>
      </c>
      <c r="S93" s="1">
        <v>83.62</v>
      </c>
      <c r="T93" s="1">
        <v>71.69</v>
      </c>
      <c r="U93" s="1">
        <v>89.99</v>
      </c>
      <c r="V93" s="1">
        <v>78</v>
      </c>
      <c r="W93" s="118">
        <v>87.41</v>
      </c>
      <c r="X93" s="118">
        <v>73.510000000000005</v>
      </c>
      <c r="Y93" s="37"/>
      <c r="Z93" s="1">
        <v>86.69</v>
      </c>
      <c r="AA93" s="118">
        <v>90.15</v>
      </c>
      <c r="AB93" s="118">
        <v>74.88</v>
      </c>
      <c r="AC93" s="1">
        <v>100.4</v>
      </c>
      <c r="AD93" s="118">
        <v>79.290000000000006</v>
      </c>
      <c r="AE93" s="118">
        <v>69.91</v>
      </c>
      <c r="AF93" s="118">
        <v>80.17</v>
      </c>
      <c r="AG93" s="2"/>
      <c r="AH93" s="2"/>
      <c r="AI93" s="2"/>
      <c r="AJ93" s="37"/>
      <c r="AK93" s="38"/>
      <c r="AL93" s="453"/>
    </row>
    <row r="94" spans="1:38" x14ac:dyDescent="0.25">
      <c r="A94" s="382">
        <v>147</v>
      </c>
      <c r="B94" s="1">
        <v>95.23</v>
      </c>
      <c r="C94" s="530"/>
      <c r="D94" s="1">
        <v>118.19</v>
      </c>
      <c r="E94" s="1">
        <v>92.82</v>
      </c>
      <c r="F94" s="1">
        <v>112.41</v>
      </c>
      <c r="G94" s="1">
        <v>91.33</v>
      </c>
      <c r="H94" s="1">
        <v>101.59</v>
      </c>
      <c r="I94" s="37"/>
      <c r="J94" s="537"/>
      <c r="K94" s="537"/>
      <c r="L94" s="532">
        <v>103.5</v>
      </c>
      <c r="M94" s="118">
        <v>105.93</v>
      </c>
      <c r="N94" s="1">
        <v>64.69</v>
      </c>
      <c r="O94" s="1">
        <v>101.51</v>
      </c>
      <c r="P94" s="1">
        <v>84.15</v>
      </c>
      <c r="Q94" s="37"/>
      <c r="R94" s="1">
        <v>86.77</v>
      </c>
      <c r="S94" s="1">
        <v>148.63</v>
      </c>
      <c r="T94" s="1">
        <v>65.03</v>
      </c>
      <c r="U94" s="1">
        <v>99.96</v>
      </c>
      <c r="V94" s="1">
        <v>85.5</v>
      </c>
      <c r="W94" s="118">
        <v>92.67</v>
      </c>
      <c r="X94" s="118">
        <v>87.04</v>
      </c>
      <c r="Y94" s="37"/>
      <c r="Z94" s="1">
        <v>97.27</v>
      </c>
      <c r="AA94" s="118">
        <v>81.66</v>
      </c>
      <c r="AB94" s="118">
        <v>86.58</v>
      </c>
      <c r="AC94" s="118">
        <v>109.39</v>
      </c>
      <c r="AD94" s="537"/>
      <c r="AE94" s="548">
        <v>131.36000000000001</v>
      </c>
      <c r="AF94" s="118">
        <v>71.23</v>
      </c>
      <c r="AG94" s="2"/>
      <c r="AH94" s="2"/>
      <c r="AI94" s="2"/>
      <c r="AJ94" s="37"/>
      <c r="AK94" s="38"/>
      <c r="AL94" s="453"/>
    </row>
    <row r="95" spans="1:38" x14ac:dyDescent="0.25">
      <c r="A95" s="382">
        <v>148</v>
      </c>
      <c r="B95" s="530"/>
      <c r="C95" s="530"/>
      <c r="D95" s="530"/>
      <c r="E95" s="530"/>
      <c r="F95" s="530"/>
      <c r="G95" s="530"/>
      <c r="H95" s="530"/>
      <c r="I95" s="111"/>
      <c r="J95" s="537"/>
      <c r="K95" s="537"/>
      <c r="L95" s="548">
        <v>86.59</v>
      </c>
      <c r="M95" s="118">
        <v>93.23</v>
      </c>
      <c r="N95" s="1">
        <v>104.25</v>
      </c>
      <c r="O95" s="1">
        <v>90.84</v>
      </c>
      <c r="P95" s="1">
        <v>86.68</v>
      </c>
      <c r="Q95" s="37"/>
      <c r="R95" s="1">
        <v>68.66</v>
      </c>
      <c r="S95" s="1">
        <v>74.260000000000005</v>
      </c>
      <c r="T95" s="1">
        <v>96.27</v>
      </c>
      <c r="U95" s="1">
        <v>25.22</v>
      </c>
      <c r="V95" s="1">
        <v>63.16</v>
      </c>
      <c r="W95" s="118">
        <v>72.94</v>
      </c>
      <c r="X95" s="1">
        <v>70</v>
      </c>
      <c r="Y95" s="37"/>
      <c r="Z95" s="1">
        <v>93.55</v>
      </c>
      <c r="AA95" s="118">
        <v>108.76</v>
      </c>
      <c r="AB95" s="118">
        <v>82.61</v>
      </c>
      <c r="AC95" s="118">
        <v>79.13</v>
      </c>
      <c r="AD95" s="118">
        <v>92.79</v>
      </c>
      <c r="AE95" s="118">
        <v>83.38</v>
      </c>
      <c r="AF95" s="118">
        <v>78.27</v>
      </c>
      <c r="AG95" s="2"/>
      <c r="AH95" s="2"/>
      <c r="AI95" s="2"/>
      <c r="AJ95" s="37"/>
      <c r="AK95" s="38"/>
      <c r="AL95" s="453"/>
    </row>
    <row r="96" spans="1:38" x14ac:dyDescent="0.25">
      <c r="A96" s="382">
        <v>149</v>
      </c>
      <c r="B96" s="1">
        <v>95.48</v>
      </c>
      <c r="C96" s="1">
        <v>102.09</v>
      </c>
      <c r="D96" s="1">
        <v>109.05</v>
      </c>
      <c r="E96" s="1">
        <v>70.83</v>
      </c>
      <c r="F96" s="1">
        <v>77.760000000000005</v>
      </c>
      <c r="G96" s="1">
        <v>91.92</v>
      </c>
      <c r="H96" s="1">
        <v>78.760000000000005</v>
      </c>
      <c r="I96" s="37"/>
      <c r="J96" s="118">
        <v>100.87</v>
      </c>
      <c r="K96" s="118">
        <v>85.77</v>
      </c>
      <c r="L96" s="118">
        <v>86.07</v>
      </c>
      <c r="M96" s="118">
        <v>88.02</v>
      </c>
      <c r="N96" s="1">
        <v>90.54</v>
      </c>
      <c r="O96" s="1">
        <v>68.010000000000005</v>
      </c>
      <c r="P96" s="1">
        <v>77.62</v>
      </c>
      <c r="Q96" s="37"/>
      <c r="R96" s="1">
        <v>120.74</v>
      </c>
      <c r="S96" s="1">
        <v>92.27</v>
      </c>
      <c r="T96" s="1">
        <v>78.73</v>
      </c>
      <c r="U96" s="1">
        <v>101.01</v>
      </c>
      <c r="V96" s="1">
        <v>109.69</v>
      </c>
      <c r="W96" s="118">
        <v>88.28</v>
      </c>
      <c r="X96" s="118">
        <v>68.290000000000006</v>
      </c>
      <c r="Y96" s="37"/>
      <c r="Z96" s="1">
        <v>59.95</v>
      </c>
      <c r="AA96" s="118">
        <v>116.82</v>
      </c>
      <c r="AB96" s="118">
        <v>66.239999999999995</v>
      </c>
      <c r="AC96" s="118">
        <v>110.97</v>
      </c>
      <c r="AD96" s="118">
        <v>51.13</v>
      </c>
      <c r="AE96" s="1">
        <v>87</v>
      </c>
      <c r="AF96" s="537"/>
      <c r="AG96" s="2"/>
      <c r="AH96" s="2"/>
      <c r="AI96" s="2"/>
      <c r="AJ96" s="37"/>
      <c r="AK96" s="38"/>
      <c r="AL96" s="453"/>
    </row>
    <row r="97" spans="1:38" x14ac:dyDescent="0.25">
      <c r="A97" s="382">
        <v>150</v>
      </c>
      <c r="B97" s="530"/>
      <c r="C97" s="1">
        <v>99.11</v>
      </c>
      <c r="D97" s="1">
        <v>95.77</v>
      </c>
      <c r="E97" s="1">
        <v>104.49</v>
      </c>
      <c r="F97" s="1">
        <v>107.52</v>
      </c>
      <c r="G97" s="1">
        <v>96.11</v>
      </c>
      <c r="H97" s="1">
        <v>131.69</v>
      </c>
      <c r="I97" s="37"/>
      <c r="J97" s="1">
        <v>105.4</v>
      </c>
      <c r="K97" s="118">
        <v>102.61</v>
      </c>
      <c r="L97" s="118">
        <v>108.15</v>
      </c>
      <c r="M97" s="118">
        <v>86.29</v>
      </c>
      <c r="N97" s="532">
        <v>127.33</v>
      </c>
      <c r="O97" s="1">
        <v>87.88</v>
      </c>
      <c r="P97" s="1">
        <v>105.49</v>
      </c>
      <c r="Q97" s="37"/>
      <c r="R97" s="1">
        <v>99.84</v>
      </c>
      <c r="S97" s="1">
        <v>116.22</v>
      </c>
      <c r="T97" s="1">
        <v>93.27</v>
      </c>
      <c r="U97" s="1">
        <v>48</v>
      </c>
      <c r="V97" s="1">
        <v>96.13</v>
      </c>
      <c r="W97" s="118">
        <v>92.76</v>
      </c>
      <c r="X97" s="118">
        <v>101.54</v>
      </c>
      <c r="Y97" s="37"/>
      <c r="Z97" s="1">
        <v>95.74</v>
      </c>
      <c r="AA97" s="118">
        <v>90.53</v>
      </c>
      <c r="AB97" s="118">
        <v>112.81</v>
      </c>
      <c r="AC97" s="118">
        <v>99.49</v>
      </c>
      <c r="AD97" s="118">
        <v>92.68</v>
      </c>
      <c r="AE97" s="118">
        <v>85.56</v>
      </c>
      <c r="AF97" s="118">
        <v>86.59</v>
      </c>
      <c r="AG97" s="2"/>
      <c r="AH97" s="2"/>
      <c r="AI97" s="2"/>
      <c r="AJ97" s="37"/>
      <c r="AK97" s="38"/>
      <c r="AL97" s="453"/>
    </row>
    <row r="98" spans="1:38" x14ac:dyDescent="0.25">
      <c r="A98" s="382">
        <v>151</v>
      </c>
      <c r="B98" s="1">
        <v>79.91</v>
      </c>
      <c r="C98" s="1">
        <v>100.23</v>
      </c>
      <c r="D98" s="530"/>
      <c r="E98" s="532">
        <v>140.38999999999999</v>
      </c>
      <c r="F98" s="1">
        <v>59.69</v>
      </c>
      <c r="G98" s="1">
        <v>87.5</v>
      </c>
      <c r="H98" s="1">
        <v>87.86</v>
      </c>
      <c r="I98" s="37"/>
      <c r="J98" s="118">
        <v>82.53</v>
      </c>
      <c r="K98" s="118">
        <v>84.77</v>
      </c>
      <c r="L98" s="118">
        <v>84.81</v>
      </c>
      <c r="M98" s="118">
        <v>83.98</v>
      </c>
      <c r="N98" s="1">
        <v>74.760000000000005</v>
      </c>
      <c r="O98" s="1">
        <v>91.95</v>
      </c>
      <c r="P98" s="1">
        <v>80.150000000000006</v>
      </c>
      <c r="Q98" s="37"/>
      <c r="R98" s="1">
        <v>75.8</v>
      </c>
      <c r="S98" s="1">
        <v>121.6</v>
      </c>
      <c r="T98" s="1">
        <v>82.5</v>
      </c>
      <c r="U98" s="1">
        <v>95.67</v>
      </c>
      <c r="V98" s="1">
        <v>83.65</v>
      </c>
      <c r="W98" s="1">
        <v>84</v>
      </c>
      <c r="X98" s="118">
        <v>62.54</v>
      </c>
      <c r="Y98" s="37"/>
      <c r="Z98" s="1">
        <v>70.34</v>
      </c>
      <c r="AA98" s="118">
        <v>95.02</v>
      </c>
      <c r="AB98" s="118">
        <v>96.97</v>
      </c>
      <c r="AC98" s="118">
        <v>81.849999999999994</v>
      </c>
      <c r="AD98" s="118">
        <v>52.03</v>
      </c>
      <c r="AE98" s="118">
        <v>68.56</v>
      </c>
      <c r="AF98" s="118">
        <v>83.81</v>
      </c>
      <c r="AG98" s="2"/>
      <c r="AH98" s="2"/>
      <c r="AI98" s="2"/>
      <c r="AJ98" s="37"/>
      <c r="AK98" s="38"/>
      <c r="AL98" s="453"/>
    </row>
    <row r="99" spans="1:38" x14ac:dyDescent="0.25">
      <c r="A99" s="382">
        <v>152</v>
      </c>
      <c r="B99" s="530"/>
      <c r="C99" s="530"/>
      <c r="D99" s="530"/>
      <c r="E99" s="530"/>
      <c r="F99" s="530"/>
      <c r="G99" s="530"/>
      <c r="H99" s="530"/>
      <c r="I99" s="111"/>
      <c r="J99" s="537"/>
      <c r="K99" s="537"/>
      <c r="L99" s="537"/>
      <c r="M99" s="537"/>
      <c r="N99" s="530"/>
      <c r="O99" s="530"/>
      <c r="P99" s="530"/>
      <c r="Q99" s="111"/>
      <c r="R99" s="530"/>
      <c r="S99" s="530"/>
      <c r="T99" s="530"/>
      <c r="U99" s="530"/>
      <c r="V99" s="530"/>
      <c r="W99" s="537"/>
      <c r="X99" s="537"/>
      <c r="Y99" s="111"/>
      <c r="Z99" s="530"/>
      <c r="AA99" s="530"/>
      <c r="AB99" s="530"/>
      <c r="AC99" s="530"/>
      <c r="AD99" s="530"/>
      <c r="AE99" s="530"/>
      <c r="AF99" s="530"/>
      <c r="AG99" s="530"/>
      <c r="AH99" s="530"/>
      <c r="AI99" s="530"/>
      <c r="AJ99" s="111"/>
      <c r="AK99" s="38"/>
      <c r="AL99" s="453"/>
    </row>
    <row r="100" spans="1:38" x14ac:dyDescent="0.25">
      <c r="A100" s="382">
        <v>153</v>
      </c>
      <c r="B100" s="1">
        <v>57</v>
      </c>
      <c r="C100" s="1">
        <v>93.47</v>
      </c>
      <c r="D100" s="1">
        <v>71.47</v>
      </c>
      <c r="E100" s="1">
        <v>58.73</v>
      </c>
      <c r="F100" s="1">
        <v>63.62</v>
      </c>
      <c r="G100" s="1">
        <v>93.35</v>
      </c>
      <c r="H100" s="1">
        <v>89.87</v>
      </c>
      <c r="I100" s="37"/>
      <c r="J100" s="118">
        <v>77.61</v>
      </c>
      <c r="K100" s="118">
        <v>82.88</v>
      </c>
      <c r="L100" s="118">
        <v>77.58</v>
      </c>
      <c r="M100" s="1">
        <v>76.5</v>
      </c>
      <c r="N100" s="1">
        <v>78.849999999999994</v>
      </c>
      <c r="O100" s="1">
        <v>88.94</v>
      </c>
      <c r="P100" s="1">
        <v>85.85</v>
      </c>
      <c r="Q100" s="37"/>
      <c r="R100" s="1">
        <v>81.23</v>
      </c>
      <c r="S100" s="1">
        <v>91.91</v>
      </c>
      <c r="T100" s="1">
        <v>81.62</v>
      </c>
      <c r="U100" s="1">
        <v>89.16</v>
      </c>
      <c r="V100" s="1">
        <v>63.34</v>
      </c>
      <c r="W100" s="118">
        <v>62.02</v>
      </c>
      <c r="X100" s="118">
        <v>69.98</v>
      </c>
      <c r="Y100" s="37"/>
      <c r="Z100" s="1">
        <v>72.36</v>
      </c>
      <c r="AA100" s="118">
        <v>104.23</v>
      </c>
      <c r="AB100" s="118">
        <v>81.36</v>
      </c>
      <c r="AC100" s="118">
        <v>81.430000000000007</v>
      </c>
      <c r="AD100" s="118">
        <v>73.44</v>
      </c>
      <c r="AE100" s="118">
        <v>78.290000000000006</v>
      </c>
      <c r="AF100" s="118">
        <v>69.569999999999993</v>
      </c>
      <c r="AG100" s="2"/>
      <c r="AH100" s="2"/>
      <c r="AI100" s="2"/>
      <c r="AJ100" s="37"/>
      <c r="AK100" s="38"/>
      <c r="AL100" s="453"/>
    </row>
    <row r="101" spans="1:38" x14ac:dyDescent="0.25">
      <c r="A101" s="382">
        <v>154</v>
      </c>
      <c r="B101" s="1">
        <v>94.85</v>
      </c>
      <c r="C101" s="1">
        <v>105.54</v>
      </c>
      <c r="D101" s="1">
        <v>86.28</v>
      </c>
      <c r="E101" s="1">
        <v>97.66</v>
      </c>
      <c r="F101" s="1">
        <v>60.3</v>
      </c>
      <c r="G101" s="1">
        <v>104.21</v>
      </c>
      <c r="H101" s="1">
        <v>75.03</v>
      </c>
      <c r="I101" s="37"/>
      <c r="J101" s="118">
        <v>100.76</v>
      </c>
      <c r="K101" s="118">
        <v>88.19</v>
      </c>
      <c r="L101" s="118">
        <v>108.99</v>
      </c>
      <c r="M101" s="118">
        <v>80.39</v>
      </c>
      <c r="N101" s="1">
        <v>92.97</v>
      </c>
      <c r="O101" s="1">
        <v>87.76</v>
      </c>
      <c r="P101" s="1"/>
      <c r="Q101" s="37"/>
      <c r="R101" s="530"/>
      <c r="S101" s="530"/>
      <c r="T101" s="530"/>
      <c r="U101" s="530"/>
      <c r="V101" s="530"/>
      <c r="W101" s="537"/>
      <c r="X101" s="567">
        <v>59.01</v>
      </c>
      <c r="Y101" s="37"/>
      <c r="Z101" s="1">
        <v>82.71</v>
      </c>
      <c r="AA101" s="118">
        <v>90.37</v>
      </c>
      <c r="AB101" s="118">
        <v>88.36</v>
      </c>
      <c r="AC101" s="118">
        <v>80.14</v>
      </c>
      <c r="AD101" s="118">
        <v>62.29</v>
      </c>
      <c r="AE101" s="118">
        <v>78.64</v>
      </c>
      <c r="AF101" s="1">
        <v>80.400000000000006</v>
      </c>
      <c r="AG101" s="2"/>
      <c r="AH101" s="2"/>
      <c r="AI101" s="2"/>
      <c r="AJ101" s="37"/>
      <c r="AK101" s="38"/>
      <c r="AL101" s="453"/>
    </row>
    <row r="102" spans="1:38" x14ac:dyDescent="0.25">
      <c r="A102" s="382">
        <v>155</v>
      </c>
      <c r="B102" s="1">
        <v>98.52</v>
      </c>
      <c r="C102" s="1">
        <v>121.04</v>
      </c>
      <c r="D102" s="1">
        <v>59.3</v>
      </c>
      <c r="E102" s="1">
        <v>88.1</v>
      </c>
      <c r="F102" s="1">
        <v>78.44</v>
      </c>
      <c r="G102" s="1">
        <v>97.82</v>
      </c>
      <c r="H102" s="1">
        <v>83.61</v>
      </c>
      <c r="I102" s="37"/>
      <c r="J102" s="548">
        <v>138.43</v>
      </c>
      <c r="K102" s="118">
        <v>39.61</v>
      </c>
      <c r="L102" s="118">
        <v>25.69</v>
      </c>
      <c r="M102" s="118">
        <v>56.89</v>
      </c>
      <c r="N102" s="1">
        <v>116.4</v>
      </c>
      <c r="O102" s="532">
        <v>125.29</v>
      </c>
      <c r="P102" s="1">
        <v>87.3</v>
      </c>
      <c r="Q102" s="37"/>
      <c r="R102" s="1">
        <v>67.61</v>
      </c>
      <c r="S102" s="1">
        <v>137.79</v>
      </c>
      <c r="T102" s="1">
        <v>91.63</v>
      </c>
      <c r="U102" s="1">
        <v>107.85</v>
      </c>
      <c r="V102" s="1">
        <v>104.44</v>
      </c>
      <c r="W102" s="118">
        <v>72.98</v>
      </c>
      <c r="X102" s="118">
        <v>63.23</v>
      </c>
      <c r="Y102" s="37"/>
      <c r="Z102" s="1">
        <v>86.34</v>
      </c>
      <c r="AA102" s="118">
        <v>89.86</v>
      </c>
      <c r="AB102" s="118">
        <v>82.09</v>
      </c>
      <c r="AC102" s="1">
        <v>85.8</v>
      </c>
      <c r="AD102" s="118">
        <v>81.64</v>
      </c>
      <c r="AE102" s="118">
        <v>62.21</v>
      </c>
      <c r="AF102" s="118">
        <v>90.67</v>
      </c>
      <c r="AG102" s="2"/>
      <c r="AH102" s="2"/>
      <c r="AI102" s="2"/>
      <c r="AJ102" s="37"/>
      <c r="AK102" s="38"/>
      <c r="AL102" s="453"/>
    </row>
    <row r="103" spans="1:38" x14ac:dyDescent="0.25">
      <c r="A103" s="382">
        <v>156</v>
      </c>
      <c r="B103" s="530"/>
      <c r="C103" s="530"/>
      <c r="D103" s="530"/>
      <c r="E103" s="530"/>
      <c r="F103" s="530"/>
      <c r="G103" s="530"/>
      <c r="H103" s="530"/>
      <c r="I103" s="111"/>
      <c r="J103" s="537"/>
      <c r="K103" s="537"/>
      <c r="L103" s="118">
        <v>43.74</v>
      </c>
      <c r="M103" s="118">
        <v>48.11</v>
      </c>
      <c r="N103" s="1">
        <v>116.61</v>
      </c>
      <c r="O103" s="1">
        <v>85.84</v>
      </c>
      <c r="P103" s="1">
        <v>85.57</v>
      </c>
      <c r="Q103" s="37"/>
      <c r="R103" s="1">
        <v>83.31</v>
      </c>
      <c r="S103" s="1">
        <v>73.400000000000006</v>
      </c>
      <c r="T103" s="1">
        <v>93.42</v>
      </c>
      <c r="U103" s="1">
        <v>77.349999999999994</v>
      </c>
      <c r="V103" s="1">
        <v>89.86</v>
      </c>
      <c r="W103" s="118">
        <v>101.33</v>
      </c>
      <c r="X103" s="118">
        <v>81.709999999999994</v>
      </c>
      <c r="Y103" s="37"/>
      <c r="Z103" s="1">
        <v>89.2</v>
      </c>
      <c r="AA103" s="118">
        <v>98.46</v>
      </c>
      <c r="AB103" s="118">
        <v>72.09</v>
      </c>
      <c r="AC103" s="118">
        <v>106.93</v>
      </c>
      <c r="AD103" s="118">
        <v>70.209999999999994</v>
      </c>
      <c r="AE103" s="118">
        <v>68.06</v>
      </c>
      <c r="AF103" s="118">
        <v>81.739999999999995</v>
      </c>
      <c r="AG103" s="2"/>
      <c r="AH103" s="2"/>
      <c r="AI103" s="2"/>
      <c r="AJ103" s="37"/>
      <c r="AK103" s="38"/>
      <c r="AL103" s="453"/>
    </row>
    <row r="104" spans="1:38" x14ac:dyDescent="0.25">
      <c r="A104" s="382">
        <v>157</v>
      </c>
      <c r="B104" s="1">
        <v>82.51</v>
      </c>
      <c r="C104" s="1">
        <v>90.27</v>
      </c>
      <c r="D104" s="1">
        <v>88.34</v>
      </c>
      <c r="E104" s="1">
        <v>79.14</v>
      </c>
      <c r="F104" s="1">
        <v>59.97</v>
      </c>
      <c r="G104" s="1">
        <v>74.53</v>
      </c>
      <c r="H104" s="1">
        <v>82.71</v>
      </c>
      <c r="I104" s="37"/>
      <c r="J104" s="118">
        <v>99.86</v>
      </c>
      <c r="K104" s="118">
        <v>82.61</v>
      </c>
      <c r="L104" s="118">
        <v>81.040000000000006</v>
      </c>
      <c r="M104" s="118">
        <v>53.72</v>
      </c>
      <c r="N104" s="1">
        <v>84.32</v>
      </c>
      <c r="O104" s="1">
        <v>87.31</v>
      </c>
      <c r="P104" s="1">
        <v>69.64</v>
      </c>
      <c r="Q104" s="37"/>
      <c r="R104" s="1">
        <v>79.03</v>
      </c>
      <c r="S104" s="1">
        <v>109.02</v>
      </c>
      <c r="T104" s="1"/>
      <c r="U104" s="1">
        <v>69.760000000000005</v>
      </c>
      <c r="V104" s="1">
        <v>81.16</v>
      </c>
      <c r="W104" s="118">
        <v>72.92</v>
      </c>
      <c r="X104" s="537"/>
      <c r="Y104" s="37"/>
      <c r="Z104" s="530"/>
      <c r="AA104" s="537"/>
      <c r="AB104" s="537"/>
      <c r="AC104" s="537"/>
      <c r="AD104" s="537"/>
      <c r="AE104" s="537"/>
      <c r="AF104" s="537"/>
      <c r="AG104" s="2"/>
      <c r="AH104" s="2"/>
      <c r="AI104" s="2"/>
      <c r="AJ104" s="111"/>
      <c r="AK104" s="38"/>
      <c r="AL104" s="453"/>
    </row>
    <row r="105" spans="1:38" x14ac:dyDescent="0.25">
      <c r="A105" s="382">
        <v>158</v>
      </c>
      <c r="B105" s="1">
        <v>67.13</v>
      </c>
      <c r="C105" s="1">
        <v>90.69</v>
      </c>
      <c r="D105" s="1">
        <v>99.23</v>
      </c>
      <c r="E105" s="1">
        <v>78.78</v>
      </c>
      <c r="F105" s="1">
        <v>81.97</v>
      </c>
      <c r="G105" s="1">
        <v>85.17</v>
      </c>
      <c r="H105" s="1">
        <v>115.03</v>
      </c>
      <c r="I105" s="37"/>
      <c r="J105" s="118">
        <v>69.44</v>
      </c>
      <c r="K105" s="118">
        <v>82.53</v>
      </c>
      <c r="L105" s="118">
        <v>95.43</v>
      </c>
      <c r="M105" s="1">
        <v>106.3</v>
      </c>
      <c r="N105" s="1">
        <v>96.77</v>
      </c>
      <c r="O105" s="1">
        <v>98.06</v>
      </c>
      <c r="P105" s="1">
        <v>88.17</v>
      </c>
      <c r="Q105" s="37"/>
      <c r="R105" s="1">
        <v>95.96</v>
      </c>
      <c r="S105" s="1">
        <v>67.11</v>
      </c>
      <c r="T105" s="1">
        <v>100.88</v>
      </c>
      <c r="U105" s="1">
        <v>94.57</v>
      </c>
      <c r="V105" s="1">
        <v>98.06</v>
      </c>
      <c r="W105" s="1">
        <v>50.3</v>
      </c>
      <c r="X105" s="118">
        <v>78.12</v>
      </c>
      <c r="Y105" s="37"/>
      <c r="Z105" s="1">
        <v>68.83</v>
      </c>
      <c r="AA105" s="118">
        <v>74.91</v>
      </c>
      <c r="AB105" s="118">
        <v>77.709999999999994</v>
      </c>
      <c r="AC105" s="1">
        <v>75.099999999999994</v>
      </c>
      <c r="AD105" s="118">
        <v>74.56</v>
      </c>
      <c r="AE105" s="118">
        <v>87.12</v>
      </c>
      <c r="AF105" s="118">
        <v>74.17</v>
      </c>
      <c r="AG105" s="2"/>
      <c r="AH105" s="2"/>
      <c r="AI105" s="2"/>
      <c r="AJ105" s="37"/>
      <c r="AK105" s="38"/>
      <c r="AL105" s="453"/>
    </row>
    <row r="106" spans="1:38" x14ac:dyDescent="0.25">
      <c r="A106" s="382">
        <v>159</v>
      </c>
      <c r="B106" s="1">
        <v>83.14</v>
      </c>
      <c r="C106" s="1">
        <v>96.31</v>
      </c>
      <c r="D106" s="1">
        <v>62.17</v>
      </c>
      <c r="E106" s="1">
        <v>105.82</v>
      </c>
      <c r="F106" s="1">
        <v>64.17</v>
      </c>
      <c r="G106" s="1">
        <v>83.17</v>
      </c>
      <c r="H106" s="1">
        <v>114.16</v>
      </c>
      <c r="I106" s="37"/>
      <c r="J106" s="118">
        <v>79.48</v>
      </c>
      <c r="K106" s="118">
        <v>91.54</v>
      </c>
      <c r="L106" s="118">
        <v>74.239999999999995</v>
      </c>
      <c r="M106" s="118">
        <v>50.38</v>
      </c>
      <c r="N106" s="1">
        <v>101.79</v>
      </c>
      <c r="O106" s="530"/>
      <c r="P106" s="1"/>
      <c r="Q106" s="37"/>
      <c r="R106" s="530"/>
      <c r="S106" s="530"/>
      <c r="T106" s="530"/>
      <c r="U106" s="530"/>
      <c r="V106" s="530"/>
      <c r="W106" s="537"/>
      <c r="X106" s="672">
        <v>99.59</v>
      </c>
      <c r="Y106" s="37"/>
      <c r="Z106" s="1">
        <v>82.19</v>
      </c>
      <c r="AA106" s="118">
        <v>86.05</v>
      </c>
      <c r="AB106" s="118">
        <v>83.86</v>
      </c>
      <c r="AC106" s="118">
        <v>78.23</v>
      </c>
      <c r="AD106" s="1">
        <v>45.1</v>
      </c>
      <c r="AE106" s="118">
        <v>70.78</v>
      </c>
      <c r="AF106" s="118">
        <v>83.83</v>
      </c>
      <c r="AG106" s="2"/>
      <c r="AH106" s="2"/>
      <c r="AI106" s="2"/>
      <c r="AJ106" s="37"/>
      <c r="AK106" s="38"/>
      <c r="AL106" s="453"/>
    </row>
    <row r="107" spans="1:38" x14ac:dyDescent="0.25">
      <c r="A107" s="382">
        <v>161</v>
      </c>
      <c r="B107" s="1">
        <v>73.37</v>
      </c>
      <c r="C107" s="1">
        <v>86.34</v>
      </c>
      <c r="D107" s="1">
        <v>78.069999999999993</v>
      </c>
      <c r="E107" s="1">
        <v>98.31</v>
      </c>
      <c r="F107" s="1">
        <v>33.33</v>
      </c>
      <c r="G107" s="1">
        <v>95.13</v>
      </c>
      <c r="H107" s="1">
        <v>79.62</v>
      </c>
      <c r="I107" s="37"/>
      <c r="J107" s="118">
        <v>84.93</v>
      </c>
      <c r="K107" s="118">
        <v>74.709999999999994</v>
      </c>
      <c r="L107" s="118">
        <v>91.53</v>
      </c>
      <c r="M107" s="118">
        <v>67.31</v>
      </c>
      <c r="N107" s="1">
        <v>76.94</v>
      </c>
      <c r="O107" s="1">
        <v>95.04</v>
      </c>
      <c r="P107" s="1"/>
      <c r="Q107" s="37"/>
      <c r="R107" s="1">
        <v>89.01</v>
      </c>
      <c r="S107" s="1">
        <v>98.87</v>
      </c>
      <c r="T107" s="1">
        <v>94</v>
      </c>
      <c r="U107" s="1">
        <v>72.3</v>
      </c>
      <c r="V107" s="1">
        <v>91.62</v>
      </c>
      <c r="W107" s="118">
        <v>61.09</v>
      </c>
      <c r="X107" s="118">
        <v>60.39</v>
      </c>
      <c r="Y107" s="37"/>
      <c r="Z107" s="1">
        <v>84.03</v>
      </c>
      <c r="AA107" s="118">
        <v>85.65</v>
      </c>
      <c r="AB107" s="118">
        <v>83.51</v>
      </c>
      <c r="AC107" s="118">
        <v>62.99</v>
      </c>
      <c r="AD107" s="1">
        <v>71</v>
      </c>
      <c r="AE107" s="118">
        <v>69.88</v>
      </c>
      <c r="AF107" s="118">
        <v>87.78</v>
      </c>
      <c r="AG107" s="2"/>
      <c r="AH107" s="2"/>
      <c r="AI107" s="2"/>
      <c r="AJ107" s="37"/>
      <c r="AK107" s="38"/>
      <c r="AL107" s="453"/>
    </row>
    <row r="108" spans="1:38" x14ac:dyDescent="0.25">
      <c r="A108" s="382">
        <v>162</v>
      </c>
      <c r="B108" s="1">
        <v>77.97</v>
      </c>
      <c r="C108" s="1">
        <v>94.1</v>
      </c>
      <c r="D108" s="530"/>
      <c r="E108" s="532">
        <v>137.43</v>
      </c>
      <c r="F108" s="1">
        <v>71.69</v>
      </c>
      <c r="G108" s="1">
        <v>84.49</v>
      </c>
      <c r="H108" s="1">
        <v>67.150000000000006</v>
      </c>
      <c r="I108" s="37"/>
      <c r="J108" s="118">
        <v>84.37</v>
      </c>
      <c r="K108" s="1">
        <v>71.3</v>
      </c>
      <c r="L108" s="118">
        <v>92.43</v>
      </c>
      <c r="M108" s="118">
        <v>60.77</v>
      </c>
      <c r="N108" s="1">
        <v>76.13</v>
      </c>
      <c r="O108" s="1">
        <v>63.13</v>
      </c>
      <c r="P108" s="1">
        <v>89.44</v>
      </c>
      <c r="Q108" s="37"/>
      <c r="R108" s="1">
        <v>66.91</v>
      </c>
      <c r="S108" s="1">
        <v>89.46</v>
      </c>
      <c r="T108" s="1">
        <v>62.06</v>
      </c>
      <c r="U108" s="1">
        <v>70.459999999999994</v>
      </c>
      <c r="V108" s="1">
        <v>87.22</v>
      </c>
      <c r="W108" s="118">
        <v>71.790000000000006</v>
      </c>
      <c r="X108" s="118">
        <v>75.19</v>
      </c>
      <c r="Y108" s="37"/>
      <c r="Z108" s="1">
        <v>75.569999999999993</v>
      </c>
      <c r="AA108" s="118">
        <v>71.790000000000006</v>
      </c>
      <c r="AB108" s="118">
        <v>83.19</v>
      </c>
      <c r="AC108" s="118">
        <v>63.46</v>
      </c>
      <c r="AD108" s="537"/>
      <c r="AE108" s="548">
        <v>144.24</v>
      </c>
      <c r="AF108" s="1">
        <v>83.4</v>
      </c>
      <c r="AG108" s="2"/>
      <c r="AH108" s="2"/>
      <c r="AI108" s="2"/>
      <c r="AJ108" s="37"/>
      <c r="AK108" s="38"/>
      <c r="AL108" s="453"/>
    </row>
    <row r="109" spans="1:38" x14ac:dyDescent="0.25">
      <c r="A109" s="382">
        <v>163</v>
      </c>
      <c r="B109" s="1">
        <v>52.73</v>
      </c>
      <c r="C109" s="1">
        <v>97.05</v>
      </c>
      <c r="D109" s="1">
        <v>95.07</v>
      </c>
      <c r="E109" s="1">
        <v>84.92</v>
      </c>
      <c r="F109" s="1">
        <v>73.739999999999995</v>
      </c>
      <c r="G109" s="1">
        <v>80.67</v>
      </c>
      <c r="H109" s="1">
        <v>81.349999999999994</v>
      </c>
      <c r="I109" s="37"/>
      <c r="J109" s="548">
        <v>128.94999999999999</v>
      </c>
      <c r="K109" s="118">
        <v>82.13</v>
      </c>
      <c r="L109" s="118">
        <v>99.24</v>
      </c>
      <c r="M109" s="118">
        <v>67.62</v>
      </c>
      <c r="N109" s="1">
        <v>95.85</v>
      </c>
      <c r="O109" s="1">
        <v>65.34</v>
      </c>
      <c r="P109" s="1">
        <v>76.45</v>
      </c>
      <c r="Q109" s="37"/>
      <c r="R109" s="1">
        <v>104.8</v>
      </c>
      <c r="S109" s="1">
        <v>95.98</v>
      </c>
      <c r="T109" s="530"/>
      <c r="U109" s="530"/>
      <c r="V109" s="1">
        <v>90.62</v>
      </c>
      <c r="W109" s="118">
        <v>57.55</v>
      </c>
      <c r="X109" s="118">
        <v>74.709999999999994</v>
      </c>
      <c r="Y109" s="37"/>
      <c r="Z109" s="1">
        <v>86.64</v>
      </c>
      <c r="AA109" s="118">
        <v>94.16</v>
      </c>
      <c r="AB109" s="118">
        <v>68.39</v>
      </c>
      <c r="AC109" s="118">
        <v>86.07</v>
      </c>
      <c r="AD109" s="118">
        <v>73.760000000000005</v>
      </c>
      <c r="AE109" s="118">
        <v>27.09</v>
      </c>
      <c r="AF109" s="118">
        <v>80.63</v>
      </c>
      <c r="AG109" s="2"/>
      <c r="AH109" s="2"/>
      <c r="AI109" s="2"/>
      <c r="AJ109" s="37"/>
      <c r="AK109" s="38"/>
      <c r="AL109" s="453"/>
    </row>
    <row r="110" spans="1:38" x14ac:dyDescent="0.25">
      <c r="A110" s="382">
        <v>164</v>
      </c>
      <c r="B110" s="1">
        <v>71.650000000000006</v>
      </c>
      <c r="C110" s="1">
        <v>81.430000000000007</v>
      </c>
      <c r="D110" s="1">
        <v>91.07</v>
      </c>
      <c r="E110" s="1">
        <v>91.52</v>
      </c>
      <c r="F110" s="1">
        <v>81.36</v>
      </c>
      <c r="G110" s="1">
        <v>76.91</v>
      </c>
      <c r="H110" s="1">
        <v>86.82</v>
      </c>
      <c r="I110" s="37"/>
      <c r="J110" s="118">
        <v>87.75</v>
      </c>
      <c r="K110" s="118">
        <v>78.36</v>
      </c>
      <c r="L110" s="118">
        <v>90.81</v>
      </c>
      <c r="M110" s="118">
        <v>81.27</v>
      </c>
      <c r="N110" s="1">
        <v>69.56</v>
      </c>
      <c r="O110" s="1">
        <v>89.68</v>
      </c>
      <c r="P110" s="1">
        <v>88.39</v>
      </c>
      <c r="Q110" s="37"/>
      <c r="R110" s="1">
        <v>95.74</v>
      </c>
      <c r="S110" s="1">
        <v>84.25</v>
      </c>
      <c r="T110" s="1">
        <v>93.75</v>
      </c>
      <c r="U110" s="1">
        <v>60.87</v>
      </c>
      <c r="V110" s="1">
        <v>71.11</v>
      </c>
      <c r="W110" s="118">
        <v>77.81</v>
      </c>
      <c r="X110" s="1">
        <v>65.2</v>
      </c>
      <c r="Y110" s="37"/>
      <c r="Z110" s="1">
        <v>73.8</v>
      </c>
      <c r="AA110" s="118">
        <v>88.74</v>
      </c>
      <c r="AB110" s="118">
        <v>76.03</v>
      </c>
      <c r="AC110" s="118">
        <v>70.67</v>
      </c>
      <c r="AD110" s="118">
        <v>61.18</v>
      </c>
      <c r="AE110" s="118">
        <v>72.95</v>
      </c>
      <c r="AF110" s="118">
        <v>73.27</v>
      </c>
      <c r="AG110" s="2"/>
      <c r="AH110" s="2"/>
      <c r="AI110" s="2"/>
      <c r="AJ110" s="37"/>
      <c r="AK110" s="38"/>
      <c r="AL110" s="453"/>
    </row>
    <row r="111" spans="1:38" x14ac:dyDescent="0.25">
      <c r="A111" s="382">
        <v>165</v>
      </c>
      <c r="B111" s="1">
        <v>57.89</v>
      </c>
      <c r="C111" s="1">
        <v>78.3</v>
      </c>
      <c r="D111" s="1">
        <v>83.67</v>
      </c>
      <c r="E111" s="1">
        <v>90.56</v>
      </c>
      <c r="F111" s="1">
        <v>60.03</v>
      </c>
      <c r="G111" s="1">
        <v>84.28</v>
      </c>
      <c r="H111" s="1">
        <v>75.3</v>
      </c>
      <c r="I111" s="37"/>
      <c r="J111" s="118">
        <v>93.28</v>
      </c>
      <c r="K111" s="118">
        <v>74.17</v>
      </c>
      <c r="L111" s="118">
        <v>69.849999999999994</v>
      </c>
      <c r="M111" s="118">
        <v>71.040000000000006</v>
      </c>
      <c r="N111" s="1">
        <v>91.94</v>
      </c>
      <c r="O111" s="1">
        <v>62.08</v>
      </c>
      <c r="P111" s="1">
        <v>81.45</v>
      </c>
      <c r="Q111" s="37"/>
      <c r="R111" s="1">
        <v>55.36</v>
      </c>
      <c r="S111" s="1">
        <v>94.59</v>
      </c>
      <c r="T111" s="1">
        <v>93.99</v>
      </c>
      <c r="U111" s="1">
        <v>79.91</v>
      </c>
      <c r="V111" s="1">
        <v>90.44</v>
      </c>
      <c r="W111" s="118">
        <v>72.98</v>
      </c>
      <c r="X111" s="118">
        <v>74.510000000000005</v>
      </c>
      <c r="Y111" s="37"/>
      <c r="Z111" s="1">
        <v>84.56</v>
      </c>
      <c r="AA111" s="118">
        <v>56.55</v>
      </c>
      <c r="AB111" s="118">
        <v>67.92</v>
      </c>
      <c r="AC111" s="118">
        <v>88.63</v>
      </c>
      <c r="AD111" s="118">
        <v>52.53</v>
      </c>
      <c r="AE111" s="118">
        <v>56.62</v>
      </c>
      <c r="AF111" s="118">
        <v>65.97</v>
      </c>
      <c r="AG111" s="2"/>
      <c r="AH111" s="2"/>
      <c r="AI111" s="2"/>
      <c r="AJ111" s="37"/>
      <c r="AK111" s="38"/>
      <c r="AL111" s="453"/>
    </row>
    <row r="112" spans="1:38" x14ac:dyDescent="0.25">
      <c r="A112" s="382">
        <v>166</v>
      </c>
      <c r="B112" s="1">
        <v>48.17</v>
      </c>
      <c r="C112" s="1">
        <v>77.650000000000006</v>
      </c>
      <c r="D112" s="1">
        <v>71.73</v>
      </c>
      <c r="E112" s="1">
        <v>75.48</v>
      </c>
      <c r="F112" s="1">
        <v>55.97</v>
      </c>
      <c r="G112" s="530"/>
      <c r="H112" s="1">
        <v>69.2</v>
      </c>
      <c r="I112" s="37"/>
      <c r="J112" s="118">
        <v>74.84</v>
      </c>
      <c r="K112" s="118">
        <v>70.13</v>
      </c>
      <c r="L112" s="118">
        <v>85.44</v>
      </c>
      <c r="M112" s="118">
        <v>51.17</v>
      </c>
      <c r="N112" s="1">
        <v>89.22</v>
      </c>
      <c r="O112" s="1">
        <v>72.31</v>
      </c>
      <c r="P112" s="1">
        <v>131.18</v>
      </c>
      <c r="Q112" s="37"/>
      <c r="R112" s="1">
        <v>74.349999999999994</v>
      </c>
      <c r="S112" s="1">
        <v>72.63</v>
      </c>
      <c r="T112" s="1">
        <v>81.290000000000006</v>
      </c>
      <c r="U112" s="1">
        <v>87.59</v>
      </c>
      <c r="V112" s="1">
        <v>76.61</v>
      </c>
      <c r="W112" s="118">
        <v>64.95</v>
      </c>
      <c r="X112" s="118">
        <v>65.33</v>
      </c>
      <c r="Y112" s="37"/>
      <c r="Z112" s="530"/>
      <c r="AA112" s="118">
        <v>27.14</v>
      </c>
      <c r="AB112" s="118">
        <v>11.21</v>
      </c>
      <c r="AC112" s="537"/>
      <c r="AD112" s="537"/>
      <c r="AE112" s="118">
        <v>47.37</v>
      </c>
      <c r="AF112" s="1">
        <v>80.7</v>
      </c>
      <c r="AG112" s="2"/>
      <c r="AH112" s="2"/>
      <c r="AI112" s="2"/>
      <c r="AJ112" s="37"/>
      <c r="AK112" s="38"/>
      <c r="AL112" s="453"/>
    </row>
    <row r="113" spans="1:38" x14ac:dyDescent="0.25">
      <c r="A113" s="382">
        <v>167</v>
      </c>
      <c r="B113" s="1">
        <v>78.73</v>
      </c>
      <c r="C113" s="1">
        <v>108.31</v>
      </c>
      <c r="D113" s="1">
        <v>82.05</v>
      </c>
      <c r="E113" s="1">
        <v>118.97</v>
      </c>
      <c r="F113" s="1">
        <v>97.06</v>
      </c>
      <c r="G113" s="1">
        <v>99.93</v>
      </c>
      <c r="H113" s="1">
        <v>96.19</v>
      </c>
      <c r="I113" s="37"/>
      <c r="J113" s="118">
        <v>107.11</v>
      </c>
      <c r="K113" s="118">
        <v>44.81</v>
      </c>
      <c r="L113" s="548">
        <v>134.88</v>
      </c>
      <c r="M113" s="118">
        <v>108.47</v>
      </c>
      <c r="N113" s="1">
        <v>89.78</v>
      </c>
      <c r="O113" s="1">
        <v>104.88</v>
      </c>
      <c r="P113" s="1">
        <v>57.6</v>
      </c>
      <c r="Q113" s="37"/>
      <c r="R113" s="1">
        <v>100.88</v>
      </c>
      <c r="S113" s="1">
        <v>103.47</v>
      </c>
      <c r="T113" s="1">
        <v>108.8</v>
      </c>
      <c r="U113" s="1">
        <v>65.63</v>
      </c>
      <c r="V113" s="1">
        <v>74.099999999999994</v>
      </c>
      <c r="W113" s="118">
        <v>80.36</v>
      </c>
      <c r="X113" s="118">
        <v>87.14</v>
      </c>
      <c r="Y113" s="37"/>
      <c r="Z113" s="1">
        <v>98.97</v>
      </c>
      <c r="AA113" s="118">
        <v>111.77</v>
      </c>
      <c r="AB113" s="118">
        <v>80.97</v>
      </c>
      <c r="AC113" s="118">
        <v>101.58</v>
      </c>
      <c r="AD113" s="118">
        <v>72.91</v>
      </c>
      <c r="AE113" s="118">
        <v>69.150000000000006</v>
      </c>
      <c r="AF113" s="118">
        <v>84.69</v>
      </c>
      <c r="AG113" s="2"/>
      <c r="AH113" s="2"/>
      <c r="AI113" s="2"/>
      <c r="AJ113" s="37"/>
      <c r="AK113" s="38"/>
      <c r="AL113" s="453"/>
    </row>
    <row r="114" spans="1:38" x14ac:dyDescent="0.25">
      <c r="A114" s="382">
        <v>168</v>
      </c>
      <c r="B114" s="1">
        <v>49.7</v>
      </c>
      <c r="C114" s="1">
        <v>96.51</v>
      </c>
      <c r="D114" s="1">
        <v>73.53</v>
      </c>
      <c r="E114" s="1">
        <v>102.25</v>
      </c>
      <c r="F114" s="530"/>
      <c r="G114" s="1">
        <v>14.71</v>
      </c>
      <c r="H114" s="1">
        <v>74.94</v>
      </c>
      <c r="I114" s="37"/>
      <c r="J114" s="118">
        <v>95.87</v>
      </c>
      <c r="K114" s="118">
        <v>72.010000000000005</v>
      </c>
      <c r="L114" s="118">
        <v>89.54</v>
      </c>
      <c r="M114" s="118">
        <v>75.63</v>
      </c>
      <c r="N114" s="1">
        <v>99.74</v>
      </c>
      <c r="O114" s="1">
        <v>78.31</v>
      </c>
      <c r="P114" s="1">
        <v>77.790000000000006</v>
      </c>
      <c r="Q114" s="37"/>
      <c r="R114" s="1">
        <v>86.56</v>
      </c>
      <c r="S114" s="1">
        <v>115.3</v>
      </c>
      <c r="T114" s="1">
        <v>84.05</v>
      </c>
      <c r="U114" s="1">
        <v>60.59</v>
      </c>
      <c r="V114" s="1">
        <v>77.91</v>
      </c>
      <c r="W114" s="118">
        <v>92.18</v>
      </c>
      <c r="X114" s="118">
        <v>61.33</v>
      </c>
      <c r="Y114" s="37"/>
      <c r="Z114" s="1">
        <v>81.239999999999995</v>
      </c>
      <c r="AA114" s="118">
        <v>101.04</v>
      </c>
      <c r="AB114" s="1">
        <v>70.3</v>
      </c>
      <c r="AC114" s="118">
        <v>64.25</v>
      </c>
      <c r="AD114" s="118">
        <v>71.97</v>
      </c>
      <c r="AE114" s="118">
        <v>71.16</v>
      </c>
      <c r="AF114" s="118">
        <v>67.77</v>
      </c>
      <c r="AG114" s="2"/>
      <c r="AH114" s="2"/>
      <c r="AI114" s="2"/>
      <c r="AJ114" s="37"/>
      <c r="AK114" s="38"/>
      <c r="AL114" s="453"/>
    </row>
    <row r="115" spans="1:38" x14ac:dyDescent="0.25">
      <c r="A115" s="382">
        <v>169</v>
      </c>
      <c r="B115" s="1">
        <v>79.53</v>
      </c>
      <c r="C115" s="1">
        <v>73.03</v>
      </c>
      <c r="D115" s="1">
        <v>67.09</v>
      </c>
      <c r="E115" s="1">
        <v>78.95</v>
      </c>
      <c r="F115" s="1">
        <v>63.99</v>
      </c>
      <c r="G115" s="1">
        <v>76.33</v>
      </c>
      <c r="H115" s="1">
        <v>74.2</v>
      </c>
      <c r="I115" s="37"/>
      <c r="J115" s="118">
        <v>97.34</v>
      </c>
      <c r="K115" s="1">
        <v>81.5</v>
      </c>
      <c r="L115" s="118">
        <v>78.34</v>
      </c>
      <c r="M115" s="118">
        <v>59.47</v>
      </c>
      <c r="N115" s="1">
        <v>79.98</v>
      </c>
      <c r="O115" s="1">
        <v>92.02</v>
      </c>
      <c r="P115" s="1">
        <v>75.87</v>
      </c>
      <c r="Q115" s="37"/>
      <c r="R115" s="1">
        <v>84.51</v>
      </c>
      <c r="S115" s="1">
        <v>72.849999999999994</v>
      </c>
      <c r="T115" s="1">
        <v>70.459999999999994</v>
      </c>
      <c r="U115" s="1">
        <v>54.93</v>
      </c>
      <c r="V115" s="1">
        <v>20.02</v>
      </c>
      <c r="W115" s="118">
        <v>52.75</v>
      </c>
      <c r="X115" s="118">
        <v>63.36</v>
      </c>
      <c r="Y115" s="37"/>
      <c r="Z115" s="1">
        <v>89.19</v>
      </c>
      <c r="AA115" s="118">
        <v>56.16</v>
      </c>
      <c r="AB115" s="118">
        <v>75.88</v>
      </c>
      <c r="AC115" s="118">
        <v>70.55</v>
      </c>
      <c r="AD115" s="118">
        <v>49.59</v>
      </c>
      <c r="AE115" s="118">
        <v>66.39</v>
      </c>
      <c r="AF115" s="118">
        <v>75.02</v>
      </c>
      <c r="AG115" s="2"/>
      <c r="AH115" s="2"/>
      <c r="AI115" s="2"/>
      <c r="AJ115" s="37"/>
      <c r="AK115" s="38"/>
      <c r="AL115" s="453"/>
    </row>
    <row r="116" spans="1:38" x14ac:dyDescent="0.25">
      <c r="A116" s="382">
        <v>170</v>
      </c>
      <c r="B116" s="1">
        <v>88.66</v>
      </c>
      <c r="C116" s="1">
        <v>93.19</v>
      </c>
      <c r="D116" s="1">
        <v>87.11</v>
      </c>
      <c r="E116" s="1">
        <v>85.86</v>
      </c>
      <c r="F116" s="1">
        <v>76.27</v>
      </c>
      <c r="G116" s="1">
        <v>39.979999999999997</v>
      </c>
      <c r="H116" s="1">
        <v>111.8</v>
      </c>
      <c r="I116" s="37"/>
      <c r="J116" s="118">
        <v>99.95</v>
      </c>
      <c r="K116" s="118">
        <v>80.44</v>
      </c>
      <c r="L116" s="118">
        <v>119.96</v>
      </c>
      <c r="M116" s="1">
        <v>87.3</v>
      </c>
      <c r="N116" s="1">
        <v>102.91</v>
      </c>
      <c r="O116" s="1">
        <v>85.56</v>
      </c>
      <c r="P116" s="1">
        <v>101.12</v>
      </c>
      <c r="Q116" s="37"/>
      <c r="R116" s="1">
        <v>77.7</v>
      </c>
      <c r="S116" s="1">
        <v>100.59</v>
      </c>
      <c r="T116" s="1">
        <v>86.85</v>
      </c>
      <c r="U116" s="1">
        <v>75.94</v>
      </c>
      <c r="V116" s="1">
        <v>89.66</v>
      </c>
      <c r="W116" s="118">
        <v>94.04</v>
      </c>
      <c r="X116" s="118">
        <v>80.95</v>
      </c>
      <c r="Y116" s="37"/>
      <c r="Z116" s="1">
        <v>79.989999999999995</v>
      </c>
      <c r="AA116" s="118">
        <v>79.25</v>
      </c>
      <c r="AB116" s="118">
        <v>83.52</v>
      </c>
      <c r="AC116" s="118">
        <v>87.96</v>
      </c>
      <c r="AD116" s="118">
        <v>82.97</v>
      </c>
      <c r="AE116" s="118">
        <v>94.12</v>
      </c>
      <c r="AF116" s="118">
        <v>86.88</v>
      </c>
      <c r="AG116" s="2"/>
      <c r="AH116" s="2"/>
      <c r="AI116" s="2"/>
      <c r="AJ116" s="37"/>
      <c r="AK116" s="38"/>
      <c r="AL116" s="453"/>
    </row>
    <row r="117" spans="1:38" x14ac:dyDescent="0.25">
      <c r="A117" s="382">
        <v>171</v>
      </c>
      <c r="B117" s="1">
        <v>74.900000000000006</v>
      </c>
      <c r="C117" s="1">
        <v>112.84</v>
      </c>
      <c r="D117" s="1">
        <v>89.04</v>
      </c>
      <c r="E117" s="1">
        <v>82.64</v>
      </c>
      <c r="F117" s="1">
        <v>78.34</v>
      </c>
      <c r="G117" s="1">
        <v>72.95</v>
      </c>
      <c r="H117" s="1">
        <v>94.08</v>
      </c>
      <c r="I117" s="37"/>
      <c r="J117" s="1">
        <v>89.4</v>
      </c>
      <c r="K117" s="118">
        <v>96.64</v>
      </c>
      <c r="L117" s="118">
        <v>113.48</v>
      </c>
      <c r="M117" s="118">
        <v>92.61</v>
      </c>
      <c r="N117" s="530"/>
      <c r="O117" s="1">
        <v>51.26</v>
      </c>
      <c r="P117" s="1">
        <v>77.89</v>
      </c>
      <c r="Q117" s="37"/>
      <c r="R117" s="1">
        <v>74.11</v>
      </c>
      <c r="S117" s="1">
        <v>120.16</v>
      </c>
      <c r="T117" s="1">
        <v>68.930000000000007</v>
      </c>
      <c r="U117" s="1">
        <v>107.71</v>
      </c>
      <c r="V117" s="1">
        <v>86.95</v>
      </c>
      <c r="W117" s="118">
        <v>66.17</v>
      </c>
      <c r="X117" s="118">
        <v>67.73</v>
      </c>
      <c r="Y117" s="37"/>
      <c r="Z117" s="1">
        <v>82.13</v>
      </c>
      <c r="AA117" s="1">
        <v>62.5</v>
      </c>
      <c r="AB117" s="118">
        <v>98.16</v>
      </c>
      <c r="AC117" s="118">
        <v>84.43</v>
      </c>
      <c r="AD117" s="118">
        <v>73.08</v>
      </c>
      <c r="AE117" s="118">
        <v>84.89</v>
      </c>
      <c r="AF117" s="118">
        <v>61.15</v>
      </c>
      <c r="AG117" s="2"/>
      <c r="AH117" s="2"/>
      <c r="AI117" s="2"/>
      <c r="AJ117" s="37"/>
      <c r="AK117" s="38"/>
      <c r="AL117" s="453"/>
    </row>
    <row r="118" spans="1:38" x14ac:dyDescent="0.25">
      <c r="A118" s="382">
        <v>172</v>
      </c>
      <c r="B118" s="530"/>
      <c r="C118" s="530"/>
      <c r="D118" s="530"/>
      <c r="E118" s="530"/>
      <c r="F118" s="530"/>
      <c r="G118" s="530"/>
      <c r="H118" s="530"/>
      <c r="I118" s="111"/>
      <c r="J118" s="118">
        <v>72.069999999999993</v>
      </c>
      <c r="K118" s="537"/>
      <c r="L118" s="537"/>
      <c r="M118" s="537"/>
      <c r="N118" s="530"/>
      <c r="O118" s="530"/>
      <c r="P118" s="1"/>
      <c r="Q118" s="37"/>
      <c r="R118" s="1">
        <v>96.69</v>
      </c>
      <c r="S118" s="530"/>
      <c r="T118" s="530"/>
      <c r="U118" s="530"/>
      <c r="V118" s="530"/>
      <c r="W118" s="537"/>
      <c r="X118" s="537"/>
      <c r="Y118" s="37"/>
      <c r="Z118" s="530"/>
      <c r="AA118" s="548">
        <v>148.84</v>
      </c>
      <c r="AB118" s="118">
        <v>15.05</v>
      </c>
      <c r="AC118" s="537"/>
      <c r="AD118" s="537"/>
      <c r="AE118" s="537"/>
      <c r="AF118" s="537"/>
      <c r="AG118" s="2"/>
      <c r="AH118" s="2"/>
      <c r="AI118" s="2"/>
      <c r="AJ118" s="37"/>
      <c r="AK118" s="38"/>
      <c r="AL118" s="453"/>
    </row>
    <row r="119" spans="1:38" x14ac:dyDescent="0.25">
      <c r="A119" s="382">
        <v>173</v>
      </c>
      <c r="B119" s="530"/>
      <c r="C119" s="530"/>
      <c r="D119" s="530"/>
      <c r="E119" s="530"/>
      <c r="F119" s="530"/>
      <c r="G119" s="530"/>
      <c r="H119" s="530"/>
      <c r="I119" s="111"/>
      <c r="J119" s="537"/>
      <c r="K119" s="537"/>
      <c r="L119" s="537"/>
      <c r="M119" s="537"/>
      <c r="N119" s="659">
        <v>166.96</v>
      </c>
      <c r="O119" s="660"/>
      <c r="Q119" s="111"/>
      <c r="R119" s="530"/>
      <c r="S119" s="530"/>
      <c r="T119" s="530"/>
      <c r="U119" s="530"/>
      <c r="V119" s="530"/>
      <c r="W119" s="537"/>
      <c r="X119" s="537"/>
      <c r="Y119" s="111"/>
      <c r="Z119" s="530"/>
      <c r="AA119" s="671"/>
      <c r="AB119" s="671"/>
      <c r="AC119" s="671"/>
      <c r="AD119" s="671"/>
      <c r="AE119" s="671"/>
      <c r="AF119" s="671"/>
      <c r="AG119" s="537"/>
      <c r="AH119" s="537"/>
      <c r="AI119" s="537"/>
      <c r="AJ119" s="111"/>
      <c r="AK119" s="38"/>
      <c r="AL119" s="453"/>
    </row>
    <row r="120" spans="1:38" x14ac:dyDescent="0.25">
      <c r="A120" s="385">
        <v>174</v>
      </c>
      <c r="B120" s="1">
        <v>48.58</v>
      </c>
      <c r="C120" s="1">
        <v>73.38</v>
      </c>
      <c r="D120" s="1">
        <v>69.55</v>
      </c>
      <c r="E120" s="1">
        <v>67.069999999999993</v>
      </c>
      <c r="F120" s="1">
        <v>64.760000000000005</v>
      </c>
      <c r="G120" s="1">
        <v>61.17</v>
      </c>
      <c r="H120" s="1">
        <v>67.709999999999994</v>
      </c>
      <c r="I120" s="37"/>
      <c r="J120" s="118">
        <v>63.53</v>
      </c>
      <c r="K120" s="537"/>
      <c r="L120" s="548">
        <v>41.15</v>
      </c>
      <c r="M120" s="118">
        <v>39.65</v>
      </c>
      <c r="N120" s="1">
        <v>32.65</v>
      </c>
      <c r="O120" s="1">
        <v>44.04</v>
      </c>
      <c r="P120" s="1">
        <v>64.87</v>
      </c>
      <c r="Q120" s="37"/>
      <c r="R120" s="1">
        <v>57.26</v>
      </c>
      <c r="S120" s="1">
        <v>73.09</v>
      </c>
      <c r="T120" s="1">
        <v>71.89</v>
      </c>
      <c r="U120" s="1">
        <v>60.59</v>
      </c>
      <c r="V120" s="1">
        <v>76.28</v>
      </c>
      <c r="W120" s="118">
        <v>57.61</v>
      </c>
      <c r="X120" s="118">
        <v>47.86</v>
      </c>
      <c r="Y120" s="37"/>
      <c r="Z120" s="1">
        <v>64.47</v>
      </c>
      <c r="AA120" s="118">
        <v>71.150000000000006</v>
      </c>
      <c r="AB120" s="118">
        <v>69.89</v>
      </c>
      <c r="AC120" s="118">
        <v>74.25</v>
      </c>
      <c r="AD120" s="118">
        <v>54.48</v>
      </c>
      <c r="AE120" s="537"/>
      <c r="AF120" s="1">
        <v>68.900000000000006</v>
      </c>
      <c r="AG120" s="2"/>
      <c r="AH120" s="2"/>
      <c r="AI120" s="2"/>
      <c r="AJ120" s="37"/>
      <c r="AK120" s="38"/>
      <c r="AL120" s="454" t="s">
        <v>251</v>
      </c>
    </row>
    <row r="121" spans="1:38" x14ac:dyDescent="0.25">
      <c r="A121" s="385">
        <v>175</v>
      </c>
      <c r="B121" s="1">
        <v>61.84</v>
      </c>
      <c r="C121" s="1">
        <v>69.650000000000006</v>
      </c>
      <c r="D121" s="1">
        <v>67.02</v>
      </c>
      <c r="E121" s="1">
        <v>75.489999999999995</v>
      </c>
      <c r="F121" s="1">
        <v>60.7</v>
      </c>
      <c r="G121" s="1">
        <v>69.73</v>
      </c>
      <c r="H121" s="1">
        <v>59.16</v>
      </c>
      <c r="I121" s="37"/>
      <c r="J121" s="118">
        <v>72.83</v>
      </c>
      <c r="K121" s="118">
        <v>71.09</v>
      </c>
      <c r="L121" s="118">
        <v>60.26</v>
      </c>
      <c r="M121" s="118">
        <v>48.32</v>
      </c>
      <c r="N121" s="1">
        <v>77.709999999999994</v>
      </c>
      <c r="O121" s="1">
        <v>63.57</v>
      </c>
      <c r="P121" s="1">
        <v>59.45</v>
      </c>
      <c r="Q121" s="37"/>
      <c r="R121" s="1">
        <v>74.989999999999995</v>
      </c>
      <c r="S121" s="1">
        <v>73.38</v>
      </c>
      <c r="T121" s="1">
        <v>84.24</v>
      </c>
      <c r="U121" s="1">
        <v>56.9</v>
      </c>
      <c r="V121" s="1">
        <v>77.33</v>
      </c>
      <c r="W121" s="537"/>
      <c r="X121" s="118">
        <v>32.14</v>
      </c>
      <c r="Y121" s="37"/>
      <c r="Z121" s="530"/>
      <c r="AA121" s="537"/>
      <c r="AB121" s="682">
        <v>23.94</v>
      </c>
      <c r="AC121" s="118">
        <v>45.38</v>
      </c>
      <c r="AD121" s="118">
        <v>65.17</v>
      </c>
      <c r="AE121" s="118">
        <v>84.41</v>
      </c>
      <c r="AF121" s="118">
        <v>68.39</v>
      </c>
      <c r="AG121" s="2"/>
      <c r="AH121" s="2"/>
      <c r="AI121" s="2"/>
      <c r="AJ121" s="37"/>
      <c r="AK121" s="38"/>
      <c r="AL121" s="455"/>
    </row>
    <row r="122" spans="1:38" x14ac:dyDescent="0.25">
      <c r="A122" s="385">
        <v>176</v>
      </c>
      <c r="B122" s="530"/>
      <c r="C122" s="530"/>
      <c r="D122" s="530"/>
      <c r="E122" s="530"/>
      <c r="F122" s="530"/>
      <c r="G122" s="530"/>
      <c r="H122" s="530"/>
      <c r="I122" s="111"/>
      <c r="J122" s="537"/>
      <c r="K122" s="537"/>
      <c r="L122" s="537"/>
      <c r="M122" s="537"/>
      <c r="N122" s="530"/>
      <c r="O122" s="530"/>
      <c r="P122" s="530"/>
      <c r="Q122" s="111"/>
      <c r="R122" s="530"/>
      <c r="S122" s="530"/>
      <c r="T122" s="530"/>
      <c r="U122" s="530"/>
      <c r="V122" s="530"/>
      <c r="W122" s="537"/>
      <c r="X122" s="537"/>
      <c r="Y122" s="111"/>
      <c r="Z122" s="530"/>
      <c r="AA122" s="671"/>
      <c r="AB122" s="671"/>
      <c r="AC122" s="671"/>
      <c r="AD122" s="671"/>
      <c r="AE122" s="671"/>
      <c r="AF122" s="671"/>
      <c r="AG122" s="537"/>
      <c r="AH122" s="537"/>
      <c r="AI122" s="537"/>
      <c r="AJ122" s="114"/>
      <c r="AK122" s="44"/>
      <c r="AL122" s="455"/>
    </row>
    <row r="123" spans="1:38" x14ac:dyDescent="0.25">
      <c r="A123" s="385">
        <v>177</v>
      </c>
      <c r="B123" s="1">
        <v>65.430000000000007</v>
      </c>
      <c r="C123" s="1">
        <v>47.95</v>
      </c>
      <c r="D123" s="1">
        <v>88.47</v>
      </c>
      <c r="E123" s="1">
        <v>77.89</v>
      </c>
      <c r="F123" s="1">
        <v>60.72</v>
      </c>
      <c r="G123" s="530"/>
      <c r="H123" s="1">
        <v>86.7</v>
      </c>
      <c r="I123" s="37"/>
      <c r="J123" s="118">
        <v>103.26</v>
      </c>
      <c r="K123" s="118">
        <v>57.69</v>
      </c>
      <c r="L123" s="118">
        <v>97.66</v>
      </c>
      <c r="M123" s="118">
        <v>60.91</v>
      </c>
      <c r="N123" s="1">
        <v>56.53</v>
      </c>
      <c r="O123" s="1">
        <v>54.05</v>
      </c>
      <c r="P123" s="1">
        <v>99.22</v>
      </c>
      <c r="Q123" s="37"/>
      <c r="R123" s="1">
        <v>71.3</v>
      </c>
      <c r="S123" s="1">
        <v>100.45</v>
      </c>
      <c r="T123" s="1">
        <v>75.599999999999994</v>
      </c>
      <c r="U123" s="1">
        <v>79.44</v>
      </c>
      <c r="V123" s="1">
        <v>44.76</v>
      </c>
      <c r="W123" s="118">
        <v>98.36</v>
      </c>
      <c r="X123" s="118">
        <v>63.89</v>
      </c>
      <c r="Y123" s="37"/>
      <c r="Z123" s="1">
        <v>68.92</v>
      </c>
      <c r="AA123" s="118">
        <v>65.22</v>
      </c>
      <c r="AB123" s="118">
        <v>73.239999999999995</v>
      </c>
      <c r="AC123" s="118">
        <v>65.08</v>
      </c>
      <c r="AD123" s="118">
        <v>51.03</v>
      </c>
      <c r="AE123" s="118">
        <v>72.510000000000005</v>
      </c>
      <c r="AF123" s="537"/>
      <c r="AG123" s="2"/>
      <c r="AH123" s="2"/>
      <c r="AI123" s="2"/>
      <c r="AJ123" s="47"/>
      <c r="AK123" s="48"/>
      <c r="AL123" s="455"/>
    </row>
    <row r="124" spans="1:38" x14ac:dyDescent="0.25">
      <c r="A124" s="385">
        <v>178</v>
      </c>
      <c r="B124" s="1">
        <v>68.37</v>
      </c>
      <c r="C124" s="1">
        <v>86.42</v>
      </c>
      <c r="D124" s="1">
        <v>82.7</v>
      </c>
      <c r="E124" s="1">
        <v>88.94</v>
      </c>
      <c r="F124" s="1">
        <v>53.03</v>
      </c>
      <c r="G124" s="1">
        <v>66.27</v>
      </c>
      <c r="H124" s="1">
        <v>51.32</v>
      </c>
      <c r="I124" s="37"/>
      <c r="J124" s="548">
        <v>121.08</v>
      </c>
      <c r="K124" s="537"/>
      <c r="L124" s="548">
        <v>174.72</v>
      </c>
      <c r="M124" s="118">
        <v>67.95</v>
      </c>
      <c r="N124" s="1">
        <v>109.86</v>
      </c>
      <c r="O124" s="1">
        <v>88.52</v>
      </c>
      <c r="P124" s="1"/>
      <c r="Q124" s="37"/>
      <c r="R124" s="1"/>
      <c r="S124" s="1">
        <v>46.86</v>
      </c>
      <c r="T124" s="1">
        <v>76.83</v>
      </c>
      <c r="U124" s="1">
        <v>73.38</v>
      </c>
      <c r="V124" s="1">
        <v>63.2</v>
      </c>
      <c r="W124" s="118">
        <v>85.58</v>
      </c>
      <c r="X124" s="537"/>
      <c r="Y124" s="37"/>
      <c r="Z124" s="530"/>
      <c r="AA124" s="537"/>
      <c r="AB124" s="537"/>
      <c r="AC124" s="548">
        <v>141.88999999999999</v>
      </c>
      <c r="AD124" s="118">
        <v>77.23</v>
      </c>
      <c r="AE124" s="118">
        <v>71.430000000000007</v>
      </c>
      <c r="AF124" s="118">
        <v>65.430000000000007</v>
      </c>
      <c r="AG124" s="2"/>
      <c r="AH124" s="2"/>
      <c r="AI124" s="2"/>
      <c r="AJ124" s="49"/>
      <c r="AK124" s="48"/>
      <c r="AL124" s="455"/>
    </row>
    <row r="125" spans="1:38" x14ac:dyDescent="0.25">
      <c r="A125" s="385">
        <v>179</v>
      </c>
      <c r="B125" s="1">
        <v>39.479999999999997</v>
      </c>
      <c r="C125" s="1">
        <v>92.26</v>
      </c>
      <c r="D125" s="1">
        <v>81.81</v>
      </c>
      <c r="E125" s="1">
        <v>110.21</v>
      </c>
      <c r="F125" s="1">
        <v>72.459999999999994</v>
      </c>
      <c r="G125" s="1">
        <v>96.29</v>
      </c>
      <c r="H125" s="1">
        <v>99.13</v>
      </c>
      <c r="I125" s="37"/>
      <c r="J125" s="118">
        <v>95.47</v>
      </c>
      <c r="K125" s="118">
        <v>99.53</v>
      </c>
      <c r="L125" s="118">
        <v>79.11</v>
      </c>
      <c r="M125" s="118">
        <v>91.31</v>
      </c>
      <c r="N125" s="1">
        <v>93.35</v>
      </c>
      <c r="O125" s="1">
        <v>77.95</v>
      </c>
      <c r="P125" s="1">
        <v>69.959999999999994</v>
      </c>
      <c r="Q125" s="37"/>
      <c r="R125" s="1">
        <v>104.47</v>
      </c>
      <c r="S125" s="1">
        <v>113.13</v>
      </c>
      <c r="T125" s="1">
        <v>78.37</v>
      </c>
      <c r="U125" s="1">
        <v>96.66</v>
      </c>
      <c r="V125" s="1">
        <v>71.05</v>
      </c>
      <c r="W125" s="118">
        <v>85.48</v>
      </c>
      <c r="X125" s="118">
        <v>86.29</v>
      </c>
      <c r="Y125" s="37"/>
      <c r="Z125" s="1">
        <v>85.01</v>
      </c>
      <c r="AA125" s="118">
        <v>108.58</v>
      </c>
      <c r="AB125" s="118">
        <v>69.33</v>
      </c>
      <c r="AC125" s="118">
        <v>79.510000000000005</v>
      </c>
      <c r="AD125" s="118">
        <v>75.38</v>
      </c>
      <c r="AE125" s="1">
        <v>65.3</v>
      </c>
      <c r="AF125" s="118">
        <v>83.58</v>
      </c>
      <c r="AG125" s="2"/>
      <c r="AH125" s="2"/>
      <c r="AI125" s="2"/>
      <c r="AJ125" s="36"/>
      <c r="AK125" s="14"/>
      <c r="AL125" s="455"/>
    </row>
    <row r="126" spans="1:38" x14ac:dyDescent="0.25">
      <c r="A126" s="385">
        <v>180</v>
      </c>
      <c r="B126" s="530"/>
      <c r="C126" s="530"/>
      <c r="D126" s="530"/>
      <c r="E126" s="530"/>
      <c r="F126" s="530"/>
      <c r="G126" s="530"/>
      <c r="H126" s="530"/>
      <c r="I126" s="111"/>
      <c r="J126" s="118">
        <v>58.93</v>
      </c>
      <c r="K126" s="537"/>
      <c r="L126" s="118">
        <v>29.03</v>
      </c>
      <c r="M126" s="537"/>
      <c r="N126" s="530"/>
      <c r="O126" s="530"/>
      <c r="P126" s="1"/>
      <c r="Q126" s="37"/>
      <c r="R126" s="530"/>
      <c r="S126" s="530"/>
      <c r="T126" s="530"/>
      <c r="U126" s="1">
        <v>56.48</v>
      </c>
      <c r="V126" s="530"/>
      <c r="W126" s="537"/>
      <c r="X126" s="537"/>
      <c r="Y126" s="37"/>
      <c r="Z126" s="530"/>
      <c r="AA126" s="537"/>
      <c r="AB126" s="537"/>
      <c r="AC126" s="537"/>
      <c r="AD126" s="118">
        <v>55.17</v>
      </c>
      <c r="AE126" s="537"/>
      <c r="AF126" s="537"/>
      <c r="AG126" s="2"/>
      <c r="AH126" s="2"/>
      <c r="AI126" s="2"/>
      <c r="AJ126" s="37"/>
      <c r="AK126" s="38"/>
      <c r="AL126" s="455"/>
    </row>
    <row r="127" spans="1:38" x14ac:dyDescent="0.25">
      <c r="A127" s="385">
        <v>181</v>
      </c>
      <c r="B127" s="1">
        <v>77.95</v>
      </c>
      <c r="C127" s="1">
        <v>84.24</v>
      </c>
      <c r="D127" s="1">
        <v>86.01</v>
      </c>
      <c r="E127" s="1">
        <v>89.65</v>
      </c>
      <c r="F127" s="530"/>
      <c r="G127" s="1">
        <v>42.37</v>
      </c>
      <c r="H127" s="1">
        <v>91.53</v>
      </c>
      <c r="I127" s="37"/>
      <c r="J127" s="118">
        <v>70.52</v>
      </c>
      <c r="K127" s="118">
        <v>114.51</v>
      </c>
      <c r="L127" s="118">
        <v>86.23</v>
      </c>
      <c r="M127" s="118">
        <v>74.540000000000006</v>
      </c>
      <c r="N127" s="1">
        <v>86.42</v>
      </c>
      <c r="O127" s="1">
        <v>86.64</v>
      </c>
      <c r="P127" s="1">
        <v>86.54</v>
      </c>
      <c r="Q127" s="37"/>
      <c r="R127" s="530"/>
      <c r="S127" s="1">
        <v>14.75</v>
      </c>
      <c r="T127" s="1">
        <v>99.04</v>
      </c>
      <c r="U127" s="1">
        <v>94.28</v>
      </c>
      <c r="V127" s="1">
        <v>86.78</v>
      </c>
      <c r="W127" s="118">
        <v>84.03</v>
      </c>
      <c r="X127" s="118">
        <v>76.2</v>
      </c>
      <c r="Y127" s="37"/>
      <c r="Z127" s="1">
        <v>80.09</v>
      </c>
      <c r="AA127" s="118">
        <v>101.24</v>
      </c>
      <c r="AB127" s="1">
        <v>87.6</v>
      </c>
      <c r="AC127" s="118">
        <v>27.41</v>
      </c>
      <c r="AD127" s="118">
        <v>82.72</v>
      </c>
      <c r="AE127" s="1">
        <v>89.6</v>
      </c>
      <c r="AF127" s="118">
        <v>73.47</v>
      </c>
      <c r="AG127" s="2"/>
      <c r="AH127" s="2"/>
      <c r="AI127" s="2"/>
      <c r="AJ127" s="37"/>
      <c r="AK127" s="38"/>
      <c r="AL127" s="455"/>
    </row>
    <row r="128" spans="1:38" x14ac:dyDescent="0.25">
      <c r="A128" s="385">
        <v>182</v>
      </c>
      <c r="B128" s="530"/>
      <c r="C128" s="530"/>
      <c r="D128" s="530"/>
      <c r="E128" s="530"/>
      <c r="F128" s="530"/>
      <c r="G128" s="530"/>
      <c r="H128" s="530"/>
      <c r="I128" s="111"/>
      <c r="J128" s="537"/>
      <c r="K128" s="537"/>
      <c r="L128" s="537"/>
      <c r="M128" s="537"/>
      <c r="N128" s="530"/>
      <c r="O128" s="530"/>
      <c r="P128" s="530"/>
      <c r="Q128" s="111"/>
      <c r="R128" s="530"/>
      <c r="S128" s="530"/>
      <c r="T128" s="530"/>
      <c r="U128" s="530"/>
      <c r="V128" s="530"/>
      <c r="W128" s="537"/>
      <c r="X128" s="537"/>
      <c r="Y128" s="111"/>
      <c r="Z128" s="530"/>
      <c r="AA128" s="671"/>
      <c r="AB128" s="671"/>
      <c r="AC128" s="671"/>
      <c r="AD128" s="671"/>
      <c r="AE128" s="671"/>
      <c r="AF128" s="671"/>
      <c r="AG128" s="537"/>
      <c r="AH128" s="537"/>
      <c r="AI128" s="537"/>
      <c r="AJ128" s="111"/>
      <c r="AK128" s="38"/>
      <c r="AL128" s="455"/>
    </row>
    <row r="129" spans="1:38" x14ac:dyDescent="0.25">
      <c r="A129" s="385">
        <v>183</v>
      </c>
      <c r="B129" s="1">
        <v>88.81</v>
      </c>
      <c r="C129" s="1">
        <v>66.22</v>
      </c>
      <c r="D129" s="1">
        <v>52.25</v>
      </c>
      <c r="E129" s="530"/>
      <c r="F129" s="530"/>
      <c r="G129" s="530"/>
      <c r="H129" s="530"/>
      <c r="I129" s="37"/>
      <c r="J129" s="537"/>
      <c r="K129" s="537"/>
      <c r="L129" s="118">
        <v>55.52</v>
      </c>
      <c r="M129" s="118">
        <v>28.82</v>
      </c>
      <c r="N129" s="1">
        <v>59.74</v>
      </c>
      <c r="O129" s="1">
        <v>84.42</v>
      </c>
      <c r="P129" s="1">
        <v>73.540000000000006</v>
      </c>
      <c r="Q129" s="37"/>
      <c r="R129" s="1">
        <v>111.63</v>
      </c>
      <c r="S129" s="1">
        <v>90.93</v>
      </c>
      <c r="T129" s="1">
        <v>105.62</v>
      </c>
      <c r="U129" s="1">
        <v>87.26</v>
      </c>
      <c r="V129" s="1">
        <v>93.9</v>
      </c>
      <c r="W129" s="118">
        <v>82.93</v>
      </c>
      <c r="X129" s="118">
        <v>69.84</v>
      </c>
      <c r="Y129" s="37"/>
      <c r="Z129" s="1">
        <v>74.27</v>
      </c>
      <c r="AA129" s="118">
        <v>92.57</v>
      </c>
      <c r="AB129" s="118">
        <v>73.95</v>
      </c>
      <c r="AC129" s="118">
        <v>97.44</v>
      </c>
      <c r="AD129" s="118">
        <v>79.97</v>
      </c>
      <c r="AE129" s="118">
        <v>75.47</v>
      </c>
      <c r="AF129" s="118">
        <v>62.74</v>
      </c>
      <c r="AG129" s="2"/>
      <c r="AH129" s="2"/>
      <c r="AI129" s="2"/>
      <c r="AJ129" s="37"/>
      <c r="AK129" s="38"/>
      <c r="AL129" s="455"/>
    </row>
    <row r="130" spans="1:38" x14ac:dyDescent="0.25">
      <c r="A130" s="385">
        <v>184</v>
      </c>
      <c r="B130" s="530"/>
      <c r="C130" s="532">
        <v>123.22</v>
      </c>
      <c r="D130" s="530"/>
      <c r="E130" s="1">
        <v>97.25</v>
      </c>
      <c r="F130" s="1">
        <v>73.069999999999993</v>
      </c>
      <c r="G130" s="1">
        <v>97.09</v>
      </c>
      <c r="H130" s="1">
        <v>84.13</v>
      </c>
      <c r="I130" s="37"/>
      <c r="J130" s="118">
        <v>67.430000000000007</v>
      </c>
      <c r="K130" s="118">
        <v>78.95</v>
      </c>
      <c r="L130" s="118">
        <v>91.98</v>
      </c>
      <c r="M130" s="118">
        <v>76.930000000000007</v>
      </c>
      <c r="N130" s="1">
        <v>68.5</v>
      </c>
      <c r="O130" s="1">
        <v>85.71</v>
      </c>
      <c r="P130" s="1">
        <v>76.75</v>
      </c>
      <c r="Q130" s="37"/>
      <c r="R130" s="1">
        <v>67.88</v>
      </c>
      <c r="S130" s="1">
        <v>78.48</v>
      </c>
      <c r="T130" s="1">
        <v>73.209999999999994</v>
      </c>
      <c r="U130" s="1">
        <v>68.97</v>
      </c>
      <c r="V130" s="1">
        <v>113.24</v>
      </c>
      <c r="W130" s="118">
        <v>57.76</v>
      </c>
      <c r="X130" s="118">
        <v>57.52</v>
      </c>
      <c r="Y130" s="37"/>
      <c r="Z130" s="1">
        <v>67.81</v>
      </c>
      <c r="AA130" s="1">
        <v>60.2</v>
      </c>
      <c r="AB130" s="118">
        <v>62.19</v>
      </c>
      <c r="AC130" s="118">
        <v>39.28</v>
      </c>
      <c r="AD130" s="1">
        <v>57.5</v>
      </c>
      <c r="AE130" s="118">
        <v>73.39</v>
      </c>
      <c r="AF130" s="118">
        <v>48.51</v>
      </c>
      <c r="AG130" s="2"/>
      <c r="AH130" s="2"/>
      <c r="AI130" s="2"/>
      <c r="AJ130" s="37"/>
      <c r="AK130" s="38"/>
      <c r="AL130" s="455"/>
    </row>
    <row r="131" spans="1:38" x14ac:dyDescent="0.25">
      <c r="A131" s="385">
        <v>185</v>
      </c>
      <c r="B131" s="1">
        <v>45.85</v>
      </c>
      <c r="C131" s="1">
        <v>81.650000000000006</v>
      </c>
      <c r="D131" s="1">
        <v>69.25</v>
      </c>
      <c r="E131" s="1">
        <v>88.6</v>
      </c>
      <c r="F131" s="530"/>
      <c r="G131" s="1">
        <v>69.17</v>
      </c>
      <c r="H131" s="1">
        <v>71.400000000000006</v>
      </c>
      <c r="I131" s="37"/>
      <c r="J131" s="118">
        <v>76.34</v>
      </c>
      <c r="K131" s="118">
        <v>68.510000000000005</v>
      </c>
      <c r="L131" s="118">
        <v>94.59</v>
      </c>
      <c r="M131" s="118">
        <v>71.86</v>
      </c>
      <c r="N131" s="1">
        <v>65.64</v>
      </c>
      <c r="O131" s="1">
        <v>77.42</v>
      </c>
      <c r="P131" s="1">
        <v>51.15</v>
      </c>
      <c r="Q131" s="37"/>
      <c r="R131" s="1">
        <v>80.77</v>
      </c>
      <c r="S131" s="1">
        <v>75.709999999999994</v>
      </c>
      <c r="T131" s="1">
        <v>76.650000000000006</v>
      </c>
      <c r="U131" s="1">
        <v>59.07</v>
      </c>
      <c r="V131" s="1">
        <v>75.2</v>
      </c>
      <c r="W131" s="118">
        <v>72.62</v>
      </c>
      <c r="X131" s="118">
        <v>37.21</v>
      </c>
      <c r="Y131" s="37"/>
      <c r="Z131" s="1">
        <v>64.53</v>
      </c>
      <c r="AA131" s="118">
        <v>67.39</v>
      </c>
      <c r="AB131" s="118">
        <v>64.06</v>
      </c>
      <c r="AC131" s="1">
        <v>67.099999999999994</v>
      </c>
      <c r="AD131" s="118">
        <v>64.88</v>
      </c>
      <c r="AE131" s="1">
        <v>24.5</v>
      </c>
      <c r="AF131" s="118">
        <v>77.95</v>
      </c>
      <c r="AG131" s="2"/>
      <c r="AH131" s="2"/>
      <c r="AI131" s="2"/>
      <c r="AJ131" s="37"/>
      <c r="AK131" s="38"/>
      <c r="AL131" s="455"/>
    </row>
    <row r="132" spans="1:38" x14ac:dyDescent="0.25">
      <c r="A132" s="385">
        <v>186</v>
      </c>
      <c r="B132" s="1">
        <v>62.04</v>
      </c>
      <c r="C132" s="1">
        <v>85.19</v>
      </c>
      <c r="D132" s="530"/>
      <c r="E132" s="1">
        <v>86.03</v>
      </c>
      <c r="F132" s="1">
        <v>80.42</v>
      </c>
      <c r="G132" s="1">
        <v>85.82</v>
      </c>
      <c r="H132" s="1">
        <v>69.599999999999994</v>
      </c>
      <c r="I132" s="37"/>
      <c r="J132" s="118">
        <v>66.41</v>
      </c>
      <c r="K132" s="118">
        <v>75.069999999999993</v>
      </c>
      <c r="L132" s="173">
        <v>69.989999999999995</v>
      </c>
      <c r="M132" s="118">
        <v>51.41</v>
      </c>
      <c r="N132" s="1">
        <v>75.75</v>
      </c>
      <c r="O132" s="1">
        <v>64.959999999999994</v>
      </c>
      <c r="P132" s="1">
        <v>68.150000000000006</v>
      </c>
      <c r="Q132" s="37"/>
      <c r="R132" s="1">
        <v>89.21</v>
      </c>
      <c r="S132" s="1">
        <v>74.83</v>
      </c>
      <c r="T132" s="1">
        <v>76.989999999999995</v>
      </c>
      <c r="U132" s="1">
        <v>69.86</v>
      </c>
      <c r="V132" s="1">
        <v>85.31</v>
      </c>
      <c r="W132" s="118">
        <v>84.84</v>
      </c>
      <c r="X132" s="118">
        <v>69.069999999999993</v>
      </c>
      <c r="Y132" s="37"/>
      <c r="Z132" s="1">
        <v>81.069999999999993</v>
      </c>
      <c r="AA132" s="118">
        <v>88.45</v>
      </c>
      <c r="AB132" s="118">
        <v>56.49</v>
      </c>
      <c r="AC132" s="1">
        <v>75.2</v>
      </c>
      <c r="AD132" s="118">
        <v>59.76</v>
      </c>
      <c r="AE132" s="118">
        <v>57.46</v>
      </c>
      <c r="AF132" s="118">
        <v>78.38</v>
      </c>
      <c r="AG132" s="2"/>
      <c r="AH132" s="2"/>
      <c r="AI132" s="2"/>
      <c r="AJ132" s="37"/>
      <c r="AK132" s="38"/>
      <c r="AL132" s="455"/>
    </row>
    <row r="133" spans="1:38" x14ac:dyDescent="0.25">
      <c r="A133" s="385">
        <v>187</v>
      </c>
      <c r="B133" s="530"/>
      <c r="C133" s="530"/>
      <c r="D133" s="1">
        <v>72.08</v>
      </c>
      <c r="E133" s="530"/>
      <c r="F133" s="530"/>
      <c r="G133" s="530"/>
      <c r="H133" s="530"/>
      <c r="I133" s="37"/>
      <c r="J133" s="537"/>
      <c r="K133" s="537"/>
      <c r="L133" s="537"/>
      <c r="M133" s="537"/>
      <c r="N133" s="530"/>
      <c r="O133" s="530"/>
      <c r="P133" s="530"/>
      <c r="Q133" s="111"/>
      <c r="R133" s="530"/>
      <c r="S133" s="530"/>
      <c r="T133" s="530"/>
      <c r="U133" s="530"/>
      <c r="V133" s="530"/>
      <c r="W133" s="537"/>
      <c r="X133" s="537"/>
      <c r="Y133" s="111"/>
      <c r="Z133" s="530"/>
      <c r="AA133" s="671"/>
      <c r="AB133" s="671"/>
      <c r="AC133" s="671"/>
      <c r="AD133" s="671"/>
      <c r="AE133" s="671"/>
      <c r="AF133" s="671"/>
      <c r="AG133" s="537"/>
      <c r="AH133" s="537"/>
      <c r="AI133" s="537"/>
      <c r="AJ133" s="111"/>
      <c r="AK133" s="38"/>
      <c r="AL133" s="455"/>
    </row>
    <row r="134" spans="1:38" x14ac:dyDescent="0.25">
      <c r="A134" s="385">
        <v>188</v>
      </c>
      <c r="B134" s="1">
        <v>52.25</v>
      </c>
      <c r="C134" s="1">
        <v>113.12</v>
      </c>
      <c r="D134" s="1">
        <v>89.89</v>
      </c>
      <c r="E134" s="1">
        <v>75.540000000000006</v>
      </c>
      <c r="F134" s="1">
        <v>79.66</v>
      </c>
      <c r="G134" s="1">
        <v>93.19</v>
      </c>
      <c r="H134" s="1">
        <v>94.89</v>
      </c>
      <c r="I134" s="37"/>
      <c r="J134" s="118">
        <v>87.51</v>
      </c>
      <c r="K134" s="1">
        <v>79.900000000000006</v>
      </c>
      <c r="L134" s="118">
        <v>80.31</v>
      </c>
      <c r="M134" s="118">
        <v>91.42</v>
      </c>
      <c r="N134" s="1">
        <v>85.09</v>
      </c>
      <c r="O134" s="1">
        <v>79.97</v>
      </c>
      <c r="P134" s="1"/>
      <c r="Q134" s="37"/>
      <c r="R134" s="530"/>
      <c r="S134" s="530"/>
      <c r="T134" s="530"/>
      <c r="U134" s="530"/>
      <c r="V134" s="530"/>
      <c r="W134" s="537"/>
      <c r="X134" s="537"/>
      <c r="Y134" s="111"/>
      <c r="Z134" s="530"/>
      <c r="AA134" s="671"/>
      <c r="AB134" s="671"/>
      <c r="AC134" s="671"/>
      <c r="AD134" s="671"/>
      <c r="AE134" s="671"/>
      <c r="AF134" s="671"/>
      <c r="AG134" s="537"/>
      <c r="AH134" s="537"/>
      <c r="AI134" s="537"/>
      <c r="AJ134" s="111"/>
      <c r="AK134" s="38"/>
      <c r="AL134" s="455"/>
    </row>
    <row r="135" spans="1:38" x14ac:dyDescent="0.25">
      <c r="A135" s="385">
        <v>189</v>
      </c>
      <c r="B135" s="1">
        <v>59.76</v>
      </c>
      <c r="C135" s="1">
        <v>92.4</v>
      </c>
      <c r="D135" s="1">
        <v>67.59</v>
      </c>
      <c r="E135" s="1">
        <v>87</v>
      </c>
      <c r="F135" s="1">
        <v>70.599999999999994</v>
      </c>
      <c r="G135" s="1">
        <v>78.37</v>
      </c>
      <c r="H135" s="1">
        <v>101.63</v>
      </c>
      <c r="I135" s="37"/>
      <c r="J135" s="118">
        <v>64.28</v>
      </c>
      <c r="K135" s="118">
        <v>19.190000000000001</v>
      </c>
      <c r="L135" s="118">
        <v>78.930000000000007</v>
      </c>
      <c r="M135" s="118">
        <v>62.04</v>
      </c>
      <c r="N135" s="1">
        <v>85.14</v>
      </c>
      <c r="O135" s="1">
        <v>65.239999999999995</v>
      </c>
      <c r="P135" s="1">
        <v>76.11</v>
      </c>
      <c r="Q135" s="37"/>
      <c r="R135" s="1">
        <v>70.569999999999993</v>
      </c>
      <c r="S135" s="1">
        <v>91.5</v>
      </c>
      <c r="T135" s="1">
        <v>84.85</v>
      </c>
      <c r="U135" s="1">
        <v>75.150000000000006</v>
      </c>
      <c r="V135" s="1">
        <v>77.31</v>
      </c>
      <c r="W135" s="118">
        <v>64.319999999999993</v>
      </c>
      <c r="X135" s="118">
        <v>64.010000000000005</v>
      </c>
      <c r="Y135" s="37"/>
      <c r="Z135" s="530"/>
      <c r="AA135" s="118">
        <v>22.48</v>
      </c>
      <c r="AB135" s="118">
        <v>44.45</v>
      </c>
      <c r="AC135" s="118">
        <v>88.99</v>
      </c>
      <c r="AD135" s="118">
        <v>69.37</v>
      </c>
      <c r="AE135" s="118">
        <v>56.65</v>
      </c>
      <c r="AF135" s="118">
        <v>62.93</v>
      </c>
      <c r="AG135" s="2"/>
      <c r="AH135" s="2"/>
      <c r="AI135" s="2"/>
      <c r="AJ135" s="37"/>
      <c r="AK135" s="38"/>
      <c r="AL135" s="455"/>
    </row>
    <row r="136" spans="1:38" x14ac:dyDescent="0.25">
      <c r="A136" s="385">
        <v>190</v>
      </c>
      <c r="B136" s="1">
        <v>71.02</v>
      </c>
      <c r="C136" s="530"/>
      <c r="D136" s="1">
        <v>33.21</v>
      </c>
      <c r="E136" s="1">
        <v>83</v>
      </c>
      <c r="F136" s="1">
        <v>80.08</v>
      </c>
      <c r="G136" s="1">
        <v>101.66</v>
      </c>
      <c r="H136" s="1">
        <v>78.53</v>
      </c>
      <c r="I136" s="37"/>
      <c r="J136" s="118">
        <v>61.57</v>
      </c>
      <c r="K136" s="1">
        <v>54.2</v>
      </c>
      <c r="L136" s="118">
        <v>86.03</v>
      </c>
      <c r="M136" s="118">
        <v>71.41</v>
      </c>
      <c r="N136" s="1">
        <v>93.96</v>
      </c>
      <c r="O136" s="1">
        <v>69.459999999999994</v>
      </c>
      <c r="P136" s="1">
        <v>86.1</v>
      </c>
      <c r="Q136" s="37"/>
      <c r="R136" s="1">
        <v>87.34</v>
      </c>
      <c r="S136" s="1">
        <v>60.43</v>
      </c>
      <c r="T136" s="1">
        <v>60.35</v>
      </c>
      <c r="U136" s="530"/>
      <c r="V136" s="1">
        <v>66.34</v>
      </c>
      <c r="W136" s="118">
        <v>80.25</v>
      </c>
      <c r="X136" s="118">
        <v>79.37</v>
      </c>
      <c r="Y136" s="37"/>
      <c r="Z136" s="1">
        <v>67.930000000000007</v>
      </c>
      <c r="AA136" s="118">
        <v>80.75</v>
      </c>
      <c r="AB136" s="118">
        <v>75.790000000000006</v>
      </c>
      <c r="AC136" s="118">
        <v>83.38</v>
      </c>
      <c r="AD136" s="118">
        <v>64.16</v>
      </c>
      <c r="AE136" s="118">
        <v>67.739999999999995</v>
      </c>
      <c r="AF136" s="537"/>
      <c r="AG136" s="2"/>
      <c r="AH136" s="2"/>
      <c r="AI136" s="2"/>
      <c r="AJ136" s="37"/>
      <c r="AK136" s="38"/>
      <c r="AL136" s="455"/>
    </row>
    <row r="137" spans="1:38" x14ac:dyDescent="0.25">
      <c r="A137" s="385">
        <v>191</v>
      </c>
      <c r="B137" s="530"/>
      <c r="C137" s="1">
        <v>77.819999999999993</v>
      </c>
      <c r="D137" s="1">
        <v>88.62</v>
      </c>
      <c r="E137" s="1">
        <v>88.68</v>
      </c>
      <c r="F137" s="1">
        <v>81.790000000000006</v>
      </c>
      <c r="G137" s="1">
        <v>77.12</v>
      </c>
      <c r="H137" s="1">
        <v>87.35</v>
      </c>
      <c r="I137" s="37"/>
      <c r="J137" s="118">
        <v>87.6</v>
      </c>
      <c r="K137" s="118">
        <v>96.44</v>
      </c>
      <c r="L137" s="1">
        <v>90.1</v>
      </c>
      <c r="M137" s="118">
        <v>59.11</v>
      </c>
      <c r="N137" s="1">
        <v>91.64</v>
      </c>
      <c r="O137" s="1">
        <v>90.06</v>
      </c>
      <c r="P137" s="1">
        <v>91.65</v>
      </c>
      <c r="Q137" s="37"/>
      <c r="R137" s="530"/>
      <c r="S137" s="530"/>
      <c r="T137" s="1">
        <v>34.39</v>
      </c>
      <c r="U137" s="1">
        <v>80.75</v>
      </c>
      <c r="V137" s="1">
        <v>85.51</v>
      </c>
      <c r="W137" s="118">
        <v>91.02</v>
      </c>
      <c r="X137" s="118">
        <v>76.709999999999994</v>
      </c>
      <c r="Y137" s="37"/>
      <c r="Z137" s="1">
        <v>103.79</v>
      </c>
      <c r="AA137" s="118">
        <v>65.010000000000005</v>
      </c>
      <c r="AB137" s="118">
        <v>64.81</v>
      </c>
      <c r="AC137" s="118">
        <v>93.18</v>
      </c>
      <c r="AD137" s="118">
        <v>66.13</v>
      </c>
      <c r="AE137" s="118">
        <v>64.95</v>
      </c>
      <c r="AF137" s="118">
        <v>74.34</v>
      </c>
      <c r="AG137" s="2"/>
      <c r="AH137" s="2"/>
      <c r="AI137" s="2"/>
      <c r="AJ137" s="37"/>
      <c r="AK137" s="38"/>
      <c r="AL137" s="455"/>
    </row>
    <row r="138" spans="1:38" x14ac:dyDescent="0.25">
      <c r="A138" s="385">
        <v>192</v>
      </c>
      <c r="B138" s="1">
        <v>86.27</v>
      </c>
      <c r="C138" s="1">
        <v>74.540000000000006</v>
      </c>
      <c r="D138" s="1">
        <v>89.75</v>
      </c>
      <c r="E138" s="1">
        <v>65.78</v>
      </c>
      <c r="F138" s="1">
        <v>49.97</v>
      </c>
      <c r="G138" s="530"/>
      <c r="H138" s="1">
        <v>81.48</v>
      </c>
      <c r="I138" s="37"/>
      <c r="J138" s="118">
        <v>81.760000000000005</v>
      </c>
      <c r="K138" s="118">
        <v>67.69</v>
      </c>
      <c r="L138" s="118">
        <v>15.55</v>
      </c>
      <c r="M138" s="118">
        <v>56.77</v>
      </c>
      <c r="N138" s="1">
        <v>74.2</v>
      </c>
      <c r="O138" s="1">
        <v>88.15</v>
      </c>
      <c r="P138" s="1"/>
      <c r="Q138" s="37"/>
      <c r="R138" s="1">
        <v>94.08</v>
      </c>
      <c r="S138" s="1">
        <v>114.39</v>
      </c>
      <c r="T138" s="1">
        <v>73.040000000000006</v>
      </c>
      <c r="U138" s="1">
        <v>34.119999999999997</v>
      </c>
      <c r="V138" s="1">
        <v>74.52</v>
      </c>
      <c r="W138" s="118">
        <v>47.69</v>
      </c>
      <c r="X138" s="118">
        <v>66.319999999999993</v>
      </c>
      <c r="Y138" s="37"/>
      <c r="Z138" s="1">
        <v>73.739999999999995</v>
      </c>
      <c r="AA138" s="537"/>
      <c r="AB138" s="118">
        <v>51.73</v>
      </c>
      <c r="AC138" s="118">
        <v>68.010000000000005</v>
      </c>
      <c r="AD138" s="118">
        <v>51.84</v>
      </c>
      <c r="AE138" s="1">
        <v>66.5</v>
      </c>
      <c r="AF138" s="118">
        <v>66.94</v>
      </c>
      <c r="AG138" s="2"/>
      <c r="AH138" s="2"/>
      <c r="AI138" s="2"/>
      <c r="AJ138" s="37"/>
      <c r="AK138" s="38"/>
      <c r="AL138" s="455"/>
    </row>
    <row r="139" spans="1:38" x14ac:dyDescent="0.25">
      <c r="A139" s="385">
        <v>193</v>
      </c>
      <c r="B139" s="1">
        <v>80.989999999999995</v>
      </c>
      <c r="C139" s="532">
        <v>124.16</v>
      </c>
      <c r="D139" s="1">
        <v>99.09</v>
      </c>
      <c r="E139" s="1">
        <v>95.09</v>
      </c>
      <c r="F139" s="1">
        <v>89.82</v>
      </c>
      <c r="G139" s="1">
        <v>94.8</v>
      </c>
      <c r="H139" s="1">
        <v>83.76</v>
      </c>
      <c r="I139" s="37"/>
      <c r="J139" s="118">
        <v>101.28</v>
      </c>
      <c r="K139" s="118">
        <v>91.38</v>
      </c>
      <c r="L139" s="118">
        <v>80.52</v>
      </c>
      <c r="M139" s="1">
        <v>59.1</v>
      </c>
      <c r="N139" s="1">
        <v>101.37</v>
      </c>
      <c r="O139" s="1">
        <v>111.83</v>
      </c>
      <c r="P139" s="1">
        <v>114</v>
      </c>
      <c r="Q139" s="37"/>
      <c r="R139" s="1">
        <v>94.92</v>
      </c>
      <c r="S139" s="1">
        <v>108.54</v>
      </c>
      <c r="T139" s="1">
        <v>88.38</v>
      </c>
      <c r="U139" s="1">
        <v>95.34</v>
      </c>
      <c r="V139" s="1">
        <v>103.67</v>
      </c>
      <c r="W139" s="118">
        <v>68.56</v>
      </c>
      <c r="X139" s="118">
        <v>69.39</v>
      </c>
      <c r="Y139" s="37"/>
      <c r="Z139" s="1">
        <v>102.69</v>
      </c>
      <c r="AA139" s="118">
        <v>108.17</v>
      </c>
      <c r="AB139" s="118">
        <v>81.95</v>
      </c>
      <c r="AC139" s="118">
        <v>71.11</v>
      </c>
      <c r="AD139" s="1">
        <v>70.8</v>
      </c>
      <c r="AE139" s="1">
        <v>101</v>
      </c>
      <c r="AF139" s="118">
        <v>65.819999999999993</v>
      </c>
      <c r="AG139" s="2"/>
      <c r="AH139" s="2"/>
      <c r="AI139" s="2"/>
      <c r="AJ139" s="37"/>
      <c r="AK139" s="38"/>
      <c r="AL139" s="455"/>
    </row>
    <row r="140" spans="1:38" x14ac:dyDescent="0.25">
      <c r="A140" s="385">
        <v>194</v>
      </c>
      <c r="B140" s="530"/>
      <c r="C140" s="530"/>
      <c r="D140" s="530"/>
      <c r="E140" s="530"/>
      <c r="F140" s="530"/>
      <c r="G140" s="530"/>
      <c r="H140" s="530"/>
      <c r="I140" s="111"/>
      <c r="J140" s="537"/>
      <c r="K140" s="537"/>
      <c r="L140" s="537"/>
      <c r="M140" s="537"/>
      <c r="N140" s="530"/>
      <c r="O140" s="530"/>
      <c r="P140" s="530"/>
      <c r="Q140" s="111"/>
      <c r="R140" s="530"/>
      <c r="S140" s="530"/>
      <c r="T140" s="1">
        <v>156.19999999999999</v>
      </c>
      <c r="U140" s="1">
        <v>82.31</v>
      </c>
      <c r="V140" s="1">
        <v>64.61</v>
      </c>
      <c r="W140" s="118">
        <v>86.91</v>
      </c>
      <c r="X140" s="118">
        <v>72.760000000000005</v>
      </c>
      <c r="Y140" s="37"/>
      <c r="Z140" s="1">
        <v>74.97</v>
      </c>
      <c r="AA140" s="118">
        <v>67.59</v>
      </c>
      <c r="AB140" s="118">
        <v>68.55</v>
      </c>
      <c r="AC140" s="118">
        <v>69.25</v>
      </c>
      <c r="AD140" s="118">
        <v>65.069999999999993</v>
      </c>
      <c r="AE140" s="118">
        <v>70.81</v>
      </c>
      <c r="AF140" s="537"/>
      <c r="AG140" s="2"/>
      <c r="AH140" s="2"/>
      <c r="AI140" s="2"/>
      <c r="AJ140" s="40"/>
      <c r="AK140" s="41"/>
      <c r="AL140" s="455"/>
    </row>
    <row r="141" spans="1:38" x14ac:dyDescent="0.25">
      <c r="A141" s="385">
        <v>195</v>
      </c>
      <c r="B141" s="1">
        <v>73.61</v>
      </c>
      <c r="C141" s="532">
        <v>121.69</v>
      </c>
      <c r="D141" s="1">
        <v>110.45</v>
      </c>
      <c r="E141" s="1">
        <v>109.59</v>
      </c>
      <c r="F141" s="1">
        <v>100.65</v>
      </c>
      <c r="G141" s="1">
        <v>113.46</v>
      </c>
      <c r="H141" s="1">
        <v>95.73</v>
      </c>
      <c r="I141" s="37"/>
      <c r="J141" s="118">
        <v>112.92</v>
      </c>
      <c r="K141" s="118">
        <v>110.48</v>
      </c>
      <c r="L141" s="118">
        <v>76.010000000000005</v>
      </c>
      <c r="M141" s="1">
        <v>97.4</v>
      </c>
      <c r="N141" s="1">
        <v>116.01</v>
      </c>
      <c r="O141" s="1">
        <v>106.42</v>
      </c>
      <c r="P141" s="1">
        <v>92.66</v>
      </c>
      <c r="Q141" s="37"/>
      <c r="R141" s="1">
        <v>68.14</v>
      </c>
      <c r="S141" s="1">
        <v>92.55</v>
      </c>
      <c r="T141" s="1">
        <v>103.27</v>
      </c>
      <c r="U141" s="1">
        <v>80.849999999999994</v>
      </c>
      <c r="V141" s="1">
        <v>109.3</v>
      </c>
      <c r="W141" s="118">
        <v>93.29</v>
      </c>
      <c r="X141" s="118">
        <v>79.27</v>
      </c>
      <c r="Y141" s="37"/>
      <c r="Z141" s="1">
        <v>85.55</v>
      </c>
      <c r="AA141" s="118">
        <v>89.63</v>
      </c>
      <c r="AB141" s="118">
        <v>84.86</v>
      </c>
      <c r="AC141" s="118">
        <v>90.79</v>
      </c>
      <c r="AD141" s="118">
        <v>91.64</v>
      </c>
      <c r="AE141" s="118">
        <v>85.28</v>
      </c>
      <c r="AF141" s="118">
        <v>69.45</v>
      </c>
      <c r="AG141" s="2"/>
      <c r="AH141" s="2"/>
      <c r="AI141" s="2"/>
      <c r="AJ141" s="37"/>
      <c r="AK141" s="38"/>
      <c r="AL141" s="455"/>
    </row>
    <row r="142" spans="1:38" x14ac:dyDescent="0.25">
      <c r="A142" s="385">
        <v>196</v>
      </c>
      <c r="B142" s="1">
        <v>65.7</v>
      </c>
      <c r="C142" s="1">
        <v>68.28</v>
      </c>
      <c r="D142" s="1">
        <v>85.6</v>
      </c>
      <c r="E142" s="1">
        <v>88.21</v>
      </c>
      <c r="F142" s="1">
        <v>75.64</v>
      </c>
      <c r="G142" s="1">
        <v>99.74</v>
      </c>
      <c r="H142" s="1">
        <v>98.93</v>
      </c>
      <c r="I142" s="37"/>
      <c r="J142" s="118">
        <v>64.33</v>
      </c>
      <c r="K142" s="537"/>
      <c r="L142" s="548">
        <v>12.34</v>
      </c>
      <c r="M142" s="118">
        <v>70.73</v>
      </c>
      <c r="N142" s="1">
        <v>98.59</v>
      </c>
      <c r="O142" s="1">
        <v>71.86</v>
      </c>
      <c r="P142" s="1">
        <v>96.95</v>
      </c>
      <c r="Q142" s="37"/>
      <c r="R142" s="1">
        <v>80.64</v>
      </c>
      <c r="S142" s="1">
        <v>112.49</v>
      </c>
      <c r="T142" s="1">
        <v>62.09</v>
      </c>
      <c r="U142" s="1">
        <v>82.93</v>
      </c>
      <c r="V142" s="1">
        <v>77.430000000000007</v>
      </c>
      <c r="W142" s="118">
        <v>53.49</v>
      </c>
      <c r="X142" s="1">
        <v>4.4000000000000004</v>
      </c>
      <c r="Y142" s="37"/>
      <c r="Z142" s="1">
        <v>78.010000000000005</v>
      </c>
      <c r="AA142" s="118">
        <v>63.12</v>
      </c>
      <c r="AB142" s="118">
        <v>71.569999999999993</v>
      </c>
      <c r="AC142" s="1">
        <v>63.5</v>
      </c>
      <c r="AD142" s="118">
        <v>63.74</v>
      </c>
      <c r="AE142" s="118">
        <v>80.37</v>
      </c>
      <c r="AF142" s="118">
        <v>78.72</v>
      </c>
      <c r="AG142" s="2"/>
      <c r="AH142" s="2"/>
      <c r="AI142" s="2"/>
      <c r="AJ142" s="37"/>
      <c r="AK142" s="38"/>
      <c r="AL142" s="455"/>
    </row>
    <row r="143" spans="1:38" x14ac:dyDescent="0.25">
      <c r="A143" s="385">
        <v>197</v>
      </c>
      <c r="B143" s="1">
        <v>42.41</v>
      </c>
      <c r="C143" s="1">
        <v>97.53</v>
      </c>
      <c r="D143" s="1">
        <v>91.67</v>
      </c>
      <c r="E143" s="1">
        <v>68.14</v>
      </c>
      <c r="F143" s="1">
        <v>78.959999999999994</v>
      </c>
      <c r="G143" s="1">
        <v>43.69</v>
      </c>
      <c r="H143" s="1">
        <v>86.44</v>
      </c>
      <c r="I143" s="37"/>
      <c r="J143" s="118">
        <v>78.17</v>
      </c>
      <c r="K143" s="118">
        <v>69.209999999999994</v>
      </c>
      <c r="L143" s="118">
        <v>79.38</v>
      </c>
      <c r="M143" s="118">
        <v>68.14</v>
      </c>
      <c r="N143" s="1">
        <v>74.209999999999994</v>
      </c>
      <c r="O143" s="1">
        <v>77.09</v>
      </c>
      <c r="P143" s="1">
        <v>89.68</v>
      </c>
      <c r="Q143" s="37"/>
      <c r="R143" s="1">
        <v>61.19</v>
      </c>
      <c r="S143" s="1">
        <v>73.349999999999994</v>
      </c>
      <c r="T143" s="1">
        <v>79.23</v>
      </c>
      <c r="U143" s="1">
        <v>68.680000000000007</v>
      </c>
      <c r="V143" s="1">
        <v>74.650000000000006</v>
      </c>
      <c r="W143" s="118">
        <v>67.59</v>
      </c>
      <c r="X143" s="118">
        <v>76.92</v>
      </c>
      <c r="Y143" s="37"/>
      <c r="Z143" s="1">
        <v>64.53</v>
      </c>
      <c r="AA143" s="118">
        <v>96.02</v>
      </c>
      <c r="AB143" s="118">
        <v>59.83</v>
      </c>
      <c r="AC143" s="118">
        <v>70.91</v>
      </c>
      <c r="AD143" s="1">
        <v>63.6</v>
      </c>
      <c r="AE143" s="118">
        <v>68.34</v>
      </c>
      <c r="AF143" s="1">
        <v>70</v>
      </c>
      <c r="AG143" s="2"/>
      <c r="AH143" s="2"/>
      <c r="AI143" s="2"/>
      <c r="AJ143" s="37"/>
      <c r="AK143" s="38"/>
      <c r="AL143" s="455"/>
    </row>
    <row r="144" spans="1:38" x14ac:dyDescent="0.25">
      <c r="A144" s="385">
        <v>198</v>
      </c>
      <c r="B144" s="1">
        <v>71.55</v>
      </c>
      <c r="C144" s="1">
        <v>101.76</v>
      </c>
      <c r="D144" s="1">
        <v>102.15</v>
      </c>
      <c r="E144" s="1">
        <v>119.08</v>
      </c>
      <c r="F144" s="1">
        <v>74.25</v>
      </c>
      <c r="G144" s="1">
        <v>92.02</v>
      </c>
      <c r="H144" s="1">
        <v>97.81</v>
      </c>
      <c r="I144" s="37"/>
      <c r="J144" s="118">
        <v>85.13</v>
      </c>
      <c r="K144" s="118">
        <v>70.09</v>
      </c>
      <c r="L144" s="118">
        <v>114.23</v>
      </c>
      <c r="M144" s="118">
        <v>128.22</v>
      </c>
      <c r="N144" s="1">
        <v>111.95</v>
      </c>
      <c r="O144" s="1">
        <v>80.319999999999993</v>
      </c>
      <c r="P144" s="1">
        <v>95.88</v>
      </c>
      <c r="Q144" s="37"/>
      <c r="R144" s="1">
        <v>107.12</v>
      </c>
      <c r="S144" s="1">
        <v>90.92</v>
      </c>
      <c r="T144" s="1">
        <v>103.35</v>
      </c>
      <c r="U144" s="1">
        <v>84.68</v>
      </c>
      <c r="V144" s="1">
        <v>98.01</v>
      </c>
      <c r="W144" s="118">
        <v>78.97</v>
      </c>
      <c r="X144" s="118">
        <v>83.72</v>
      </c>
      <c r="Y144" s="37"/>
      <c r="Z144" s="1">
        <v>68.849999999999994</v>
      </c>
      <c r="AA144" s="118">
        <v>118.62</v>
      </c>
      <c r="AB144" s="118">
        <v>102.44</v>
      </c>
      <c r="AC144" s="118">
        <v>26.96</v>
      </c>
      <c r="AD144" s="118">
        <v>84.34</v>
      </c>
      <c r="AE144" s="118">
        <v>97.85</v>
      </c>
      <c r="AF144" s="118">
        <v>101.95</v>
      </c>
      <c r="AG144" s="2"/>
      <c r="AH144" s="2"/>
      <c r="AI144" s="2"/>
      <c r="AJ144" s="37"/>
      <c r="AK144" s="38"/>
      <c r="AL144" s="455"/>
    </row>
    <row r="145" spans="1:38" x14ac:dyDescent="0.25">
      <c r="A145" s="385">
        <v>199</v>
      </c>
      <c r="B145" s="1">
        <v>54.19</v>
      </c>
      <c r="C145" s="1">
        <v>93.69</v>
      </c>
      <c r="D145" s="1">
        <v>59.02</v>
      </c>
      <c r="E145" s="1">
        <v>62.78</v>
      </c>
      <c r="F145" s="1">
        <v>63.19</v>
      </c>
      <c r="G145" s="1">
        <v>56.82</v>
      </c>
      <c r="H145" s="1">
        <v>55.97</v>
      </c>
      <c r="I145" s="37"/>
      <c r="J145" s="118">
        <v>81.22</v>
      </c>
      <c r="K145" s="118">
        <v>72.44</v>
      </c>
      <c r="L145" s="118">
        <v>60.67</v>
      </c>
      <c r="M145" s="118">
        <v>62.93</v>
      </c>
      <c r="N145" s="1">
        <v>74.400000000000006</v>
      </c>
      <c r="O145" s="1">
        <v>79.64</v>
      </c>
      <c r="P145" s="1">
        <v>50.7</v>
      </c>
      <c r="Q145" s="37"/>
      <c r="R145" s="1">
        <v>59.12</v>
      </c>
      <c r="S145" s="1">
        <v>96.49</v>
      </c>
      <c r="T145" s="1">
        <v>56.17</v>
      </c>
      <c r="U145" s="1">
        <v>74.17</v>
      </c>
      <c r="V145" s="1">
        <v>71.209999999999994</v>
      </c>
      <c r="W145" s="118">
        <v>67.41</v>
      </c>
      <c r="X145" s="118">
        <v>71.430000000000007</v>
      </c>
      <c r="Y145" s="37"/>
      <c r="Z145" s="1">
        <v>61.49</v>
      </c>
      <c r="AA145" s="1">
        <v>73.5</v>
      </c>
      <c r="AB145" s="118">
        <v>69.97</v>
      </c>
      <c r="AC145" s="118">
        <v>76.819999999999993</v>
      </c>
      <c r="AD145" s="118">
        <v>46.74</v>
      </c>
      <c r="AE145" s="1">
        <v>73</v>
      </c>
      <c r="AF145" s="1">
        <v>51.3</v>
      </c>
      <c r="AG145" s="2"/>
      <c r="AH145" s="2"/>
      <c r="AI145" s="2"/>
      <c r="AJ145" s="37"/>
      <c r="AK145" s="38"/>
      <c r="AL145" s="455"/>
    </row>
    <row r="146" spans="1:38" x14ac:dyDescent="0.25">
      <c r="A146" s="385">
        <v>200</v>
      </c>
      <c r="B146" s="530"/>
      <c r="C146" s="530"/>
      <c r="D146" s="530"/>
      <c r="E146" s="530"/>
      <c r="F146" s="530"/>
      <c r="G146" s="530"/>
      <c r="H146" s="530"/>
      <c r="I146" s="111"/>
      <c r="J146" s="537"/>
      <c r="K146" s="537"/>
      <c r="L146" s="537"/>
      <c r="M146" s="537"/>
      <c r="N146" s="530"/>
      <c r="O146" s="530"/>
      <c r="P146" s="530"/>
      <c r="Q146" s="111"/>
      <c r="R146" s="530"/>
      <c r="S146" s="530"/>
      <c r="T146" s="530"/>
      <c r="U146" s="530"/>
      <c r="V146" s="530"/>
      <c r="W146" s="537"/>
      <c r="X146" s="537"/>
      <c r="Y146" s="111"/>
      <c r="Z146" s="530"/>
      <c r="AA146" s="671"/>
      <c r="AB146" s="671"/>
      <c r="AC146" s="671"/>
      <c r="AD146" s="671"/>
      <c r="AE146" s="671"/>
      <c r="AF146" s="671"/>
      <c r="AG146" s="537"/>
      <c r="AH146" s="537"/>
      <c r="AI146" s="537"/>
      <c r="AJ146" s="111"/>
      <c r="AK146" s="38"/>
      <c r="AL146" s="455"/>
    </row>
    <row r="147" spans="1:38" x14ac:dyDescent="0.25">
      <c r="A147" s="385">
        <v>201</v>
      </c>
      <c r="B147" s="1">
        <v>56.37</v>
      </c>
      <c r="C147" s="1">
        <v>93.98</v>
      </c>
      <c r="D147" s="1">
        <v>88.78</v>
      </c>
      <c r="E147" s="1">
        <v>79.069999999999993</v>
      </c>
      <c r="F147" s="1">
        <v>80.290000000000006</v>
      </c>
      <c r="G147" s="1">
        <v>96.17</v>
      </c>
      <c r="H147" s="1">
        <v>68.78</v>
      </c>
      <c r="I147" s="37"/>
      <c r="J147" s="1">
        <v>91.1</v>
      </c>
      <c r="K147" s="118">
        <v>73.61</v>
      </c>
      <c r="L147" s="118">
        <v>82.32</v>
      </c>
      <c r="M147" s="118">
        <v>91.95</v>
      </c>
      <c r="N147" s="1">
        <v>73.92</v>
      </c>
      <c r="O147" s="1">
        <v>77.64</v>
      </c>
      <c r="P147" s="1">
        <v>80.150000000000006</v>
      </c>
      <c r="Q147" s="37"/>
      <c r="R147" s="1">
        <v>65.900000000000006</v>
      </c>
      <c r="S147" s="1">
        <v>82.66</v>
      </c>
      <c r="T147" s="1">
        <v>90.34</v>
      </c>
      <c r="U147" s="530"/>
      <c r="V147" s="1">
        <v>9.58</v>
      </c>
      <c r="W147" s="537"/>
      <c r="X147" s="118">
        <v>68.63</v>
      </c>
      <c r="Y147" s="37"/>
      <c r="Z147" s="1">
        <v>84.1</v>
      </c>
      <c r="AA147" s="1">
        <v>77.7</v>
      </c>
      <c r="AB147" s="118">
        <v>79.83</v>
      </c>
      <c r="AC147" s="118">
        <v>70.03</v>
      </c>
      <c r="AD147" s="118">
        <v>68.27</v>
      </c>
      <c r="AE147" s="118">
        <v>68.89</v>
      </c>
      <c r="AF147" s="118">
        <v>75.62</v>
      </c>
      <c r="AG147" s="2"/>
      <c r="AH147" s="2"/>
      <c r="AI147" s="2"/>
      <c r="AJ147" s="37"/>
      <c r="AK147" s="38"/>
      <c r="AL147" s="455"/>
    </row>
    <row r="148" spans="1:38" x14ac:dyDescent="0.25">
      <c r="A148" s="385">
        <v>202</v>
      </c>
      <c r="B148" s="1">
        <v>63.84</v>
      </c>
      <c r="C148" s="530"/>
      <c r="D148" s="532">
        <v>142.41</v>
      </c>
      <c r="E148" s="1">
        <v>68.989999999999995</v>
      </c>
      <c r="F148" s="1">
        <v>86.69</v>
      </c>
      <c r="G148" s="1">
        <v>79.27</v>
      </c>
      <c r="H148" s="1">
        <v>66.52</v>
      </c>
      <c r="I148" s="37"/>
      <c r="J148" s="118">
        <v>73.459999999999994</v>
      </c>
      <c r="K148" s="118">
        <v>84.88</v>
      </c>
      <c r="L148" s="118">
        <v>75.02</v>
      </c>
      <c r="M148" s="118">
        <v>54.77</v>
      </c>
      <c r="N148" s="1">
        <v>69.06</v>
      </c>
      <c r="O148" s="1">
        <v>75.73</v>
      </c>
      <c r="P148" s="1">
        <v>64.83</v>
      </c>
      <c r="Q148" s="37"/>
      <c r="R148" s="1">
        <v>78.27</v>
      </c>
      <c r="S148" s="1">
        <v>68.53</v>
      </c>
      <c r="T148" s="1">
        <v>81.52</v>
      </c>
      <c r="U148" s="1">
        <v>74.19</v>
      </c>
      <c r="V148" s="1">
        <v>61.61</v>
      </c>
      <c r="W148" s="118">
        <v>75.06</v>
      </c>
      <c r="X148" s="118">
        <v>62.94</v>
      </c>
      <c r="Y148" s="37"/>
      <c r="Z148" s="1">
        <v>69.14</v>
      </c>
      <c r="AA148" s="118">
        <v>65.47</v>
      </c>
      <c r="AB148" s="1">
        <v>75.099999999999994</v>
      </c>
      <c r="AC148" s="118">
        <v>68.12</v>
      </c>
      <c r="AD148" s="1">
        <v>50.2</v>
      </c>
      <c r="AE148" s="118">
        <v>29.76</v>
      </c>
      <c r="AF148" s="537"/>
      <c r="AG148" s="2"/>
      <c r="AH148" s="2"/>
      <c r="AI148" s="2"/>
      <c r="AJ148" s="37"/>
      <c r="AK148" s="38"/>
      <c r="AL148" s="455"/>
    </row>
    <row r="149" spans="1:38" x14ac:dyDescent="0.25">
      <c r="A149" s="385">
        <v>203</v>
      </c>
      <c r="B149" s="1">
        <v>65.02</v>
      </c>
      <c r="C149" s="1">
        <v>117.98</v>
      </c>
      <c r="D149" s="1">
        <v>98.29</v>
      </c>
      <c r="E149" s="1">
        <v>88.81</v>
      </c>
      <c r="F149" s="1">
        <v>57.79</v>
      </c>
      <c r="G149" s="1">
        <v>66.12</v>
      </c>
      <c r="H149" s="1">
        <v>120.55</v>
      </c>
      <c r="I149" s="37"/>
      <c r="J149" s="1">
        <v>71.2</v>
      </c>
      <c r="K149" s="118">
        <v>97.35</v>
      </c>
      <c r="L149" s="118">
        <v>110.59</v>
      </c>
      <c r="M149" s="118">
        <v>81.05</v>
      </c>
      <c r="N149" s="1">
        <v>65.44</v>
      </c>
      <c r="O149" s="1">
        <v>86.14</v>
      </c>
      <c r="P149" s="1">
        <v>86.61</v>
      </c>
      <c r="Q149" s="37"/>
      <c r="R149" s="1">
        <v>97.99</v>
      </c>
      <c r="S149" s="1">
        <v>86.19</v>
      </c>
      <c r="T149" s="1">
        <v>92.65</v>
      </c>
      <c r="U149" s="1">
        <v>85.77</v>
      </c>
      <c r="V149" s="1">
        <v>91.99</v>
      </c>
      <c r="W149" s="118">
        <v>81.84</v>
      </c>
      <c r="X149" s="118">
        <v>84.85</v>
      </c>
      <c r="Y149" s="37"/>
      <c r="Z149" s="1">
        <v>93.54</v>
      </c>
      <c r="AA149" s="118">
        <v>112.89</v>
      </c>
      <c r="AB149" s="537"/>
      <c r="AC149" s="537"/>
      <c r="AD149" s="537"/>
      <c r="AE149" s="537"/>
      <c r="AF149" s="537"/>
      <c r="AG149" s="2"/>
      <c r="AH149" s="2"/>
      <c r="AI149" s="2"/>
      <c r="AJ149" s="37"/>
      <c r="AK149" s="38"/>
      <c r="AL149" s="455"/>
    </row>
    <row r="150" spans="1:38" x14ac:dyDescent="0.25">
      <c r="A150" s="383">
        <v>204</v>
      </c>
      <c r="B150" s="1">
        <v>64.8</v>
      </c>
      <c r="C150" s="1">
        <v>74.38</v>
      </c>
      <c r="D150" s="1">
        <v>86.19</v>
      </c>
      <c r="E150" s="1">
        <v>85.91</v>
      </c>
      <c r="F150" s="1">
        <v>67.88</v>
      </c>
      <c r="G150" s="1">
        <v>84.71</v>
      </c>
      <c r="H150" s="1">
        <v>53.51</v>
      </c>
      <c r="I150" s="37"/>
      <c r="J150" s="118">
        <v>74.849999999999994</v>
      </c>
      <c r="K150" s="118">
        <v>65.69</v>
      </c>
      <c r="L150" s="118">
        <v>88.24</v>
      </c>
      <c r="M150" s="118">
        <v>86.45</v>
      </c>
      <c r="N150" s="1">
        <v>74.45</v>
      </c>
      <c r="O150" s="1">
        <v>76.599999999999994</v>
      </c>
      <c r="P150" s="1">
        <v>51.98</v>
      </c>
      <c r="Q150" s="37"/>
      <c r="R150" s="1">
        <v>74.08</v>
      </c>
      <c r="S150" s="1">
        <v>88.68</v>
      </c>
      <c r="T150" s="1">
        <v>75.91</v>
      </c>
      <c r="U150" s="1">
        <v>79.099999999999994</v>
      </c>
      <c r="V150" s="1">
        <v>77.459999999999994</v>
      </c>
      <c r="W150" s="1">
        <v>57.3</v>
      </c>
      <c r="X150" s="1">
        <v>86.9</v>
      </c>
      <c r="Y150" s="37"/>
      <c r="Z150" s="1">
        <v>55.69</v>
      </c>
      <c r="AA150" s="537"/>
      <c r="AB150" s="118">
        <v>78.23</v>
      </c>
      <c r="AC150" s="118">
        <v>107.59</v>
      </c>
      <c r="AD150" s="118">
        <v>51.49</v>
      </c>
      <c r="AE150" s="118">
        <v>70.67</v>
      </c>
      <c r="AF150" s="118">
        <v>45.62</v>
      </c>
      <c r="AG150" s="2"/>
      <c r="AH150" s="2"/>
      <c r="AI150" s="2"/>
      <c r="AJ150" s="37"/>
      <c r="AK150" s="38"/>
      <c r="AL150" s="456" t="s">
        <v>252</v>
      </c>
    </row>
    <row r="151" spans="1:38" x14ac:dyDescent="0.25">
      <c r="A151" s="383">
        <v>205</v>
      </c>
      <c r="B151" s="530"/>
      <c r="C151" s="1">
        <v>74.650000000000006</v>
      </c>
      <c r="D151" s="1">
        <v>67.099999999999994</v>
      </c>
      <c r="E151" s="1">
        <v>108.32</v>
      </c>
      <c r="F151" s="1">
        <v>88.42</v>
      </c>
      <c r="G151" s="1">
        <v>96.16</v>
      </c>
      <c r="H151" s="1">
        <v>85.13</v>
      </c>
      <c r="I151" s="37"/>
      <c r="J151" s="118">
        <v>88.88</v>
      </c>
      <c r="K151" s="118">
        <v>72.150000000000006</v>
      </c>
      <c r="L151" s="548">
        <v>124.91</v>
      </c>
      <c r="M151" s="118">
        <v>111.87</v>
      </c>
      <c r="N151" s="1">
        <v>66.400000000000006</v>
      </c>
      <c r="O151" s="1">
        <v>92.49</v>
      </c>
      <c r="P151" s="1">
        <v>61.4</v>
      </c>
      <c r="Q151" s="37"/>
      <c r="R151" s="1">
        <v>92.11</v>
      </c>
      <c r="S151" s="1">
        <v>90.3</v>
      </c>
      <c r="T151" s="1">
        <v>90.26</v>
      </c>
      <c r="U151" s="1">
        <v>88.34</v>
      </c>
      <c r="V151" s="1">
        <v>75.25</v>
      </c>
      <c r="W151" s="118">
        <v>92.62</v>
      </c>
      <c r="X151" s="118">
        <v>78.37</v>
      </c>
      <c r="Y151" s="37"/>
      <c r="Z151" s="1">
        <v>66.75</v>
      </c>
      <c r="AA151" s="118">
        <v>93.79</v>
      </c>
      <c r="AB151" s="118">
        <v>47.62</v>
      </c>
      <c r="AC151" s="1">
        <v>108.6</v>
      </c>
      <c r="AD151" s="118">
        <v>78.64</v>
      </c>
      <c r="AE151" s="118">
        <v>64.430000000000007</v>
      </c>
      <c r="AF151" s="118">
        <v>96.86</v>
      </c>
      <c r="AG151" s="2"/>
      <c r="AH151" s="2"/>
      <c r="AI151" s="2"/>
      <c r="AJ151" s="37"/>
      <c r="AK151" s="38"/>
      <c r="AL151" s="372"/>
    </row>
    <row r="152" spans="1:38" x14ac:dyDescent="0.25">
      <c r="A152" s="383">
        <v>206</v>
      </c>
      <c r="B152" s="1">
        <v>62.68</v>
      </c>
      <c r="C152" s="1">
        <v>93.98</v>
      </c>
      <c r="D152" s="1">
        <v>76.569999999999993</v>
      </c>
      <c r="E152" s="1">
        <v>86.04</v>
      </c>
      <c r="F152" s="1">
        <v>68.319999999999993</v>
      </c>
      <c r="G152" s="1">
        <v>87.62</v>
      </c>
      <c r="H152" s="1">
        <v>77.77</v>
      </c>
      <c r="I152" s="37"/>
      <c r="J152" s="118">
        <v>92.01</v>
      </c>
      <c r="K152" s="1">
        <v>53.6</v>
      </c>
      <c r="L152" s="548">
        <v>133.81</v>
      </c>
      <c r="M152" s="118">
        <v>76.89</v>
      </c>
      <c r="N152" s="1">
        <v>90.49</v>
      </c>
      <c r="O152" s="1">
        <v>91.75</v>
      </c>
      <c r="P152" s="1">
        <v>85.09</v>
      </c>
      <c r="Q152" s="37"/>
      <c r="R152" s="1">
        <v>67.069999999999993</v>
      </c>
      <c r="S152" s="1">
        <v>92.99</v>
      </c>
      <c r="T152" s="1">
        <v>104.38</v>
      </c>
      <c r="U152" s="1">
        <v>36.72</v>
      </c>
      <c r="V152" s="1">
        <v>76.84</v>
      </c>
      <c r="W152" s="118">
        <v>68.22</v>
      </c>
      <c r="X152" s="118">
        <v>79.790000000000006</v>
      </c>
      <c r="Y152" s="37"/>
      <c r="Z152" s="1">
        <v>89.12</v>
      </c>
      <c r="AA152" s="118">
        <v>72.06</v>
      </c>
      <c r="AB152" s="118">
        <v>58.49</v>
      </c>
      <c r="AC152" s="118">
        <v>91.38</v>
      </c>
      <c r="AD152" s="118">
        <v>96.93</v>
      </c>
      <c r="AE152" s="118">
        <v>58.54</v>
      </c>
      <c r="AF152" s="118">
        <v>65.83</v>
      </c>
      <c r="AG152" s="2"/>
      <c r="AH152" s="2"/>
      <c r="AI152" s="2"/>
      <c r="AJ152" s="37"/>
      <c r="AK152" s="38"/>
      <c r="AL152" s="372"/>
    </row>
    <row r="153" spans="1:38" x14ac:dyDescent="0.25">
      <c r="A153" s="383">
        <v>207</v>
      </c>
      <c r="B153" s="1">
        <v>75.31</v>
      </c>
      <c r="C153" s="1">
        <v>94.7</v>
      </c>
      <c r="D153" s="1">
        <v>74.930000000000007</v>
      </c>
      <c r="E153" s="1">
        <v>78.72</v>
      </c>
      <c r="F153" s="530"/>
      <c r="G153" s="1">
        <v>78.349999999999994</v>
      </c>
      <c r="H153" s="1">
        <v>61.04</v>
      </c>
      <c r="I153" s="37"/>
      <c r="J153" s="118">
        <v>91.93</v>
      </c>
      <c r="K153" s="118">
        <v>76.569999999999993</v>
      </c>
      <c r="L153" s="118">
        <v>93.37</v>
      </c>
      <c r="M153" s="118">
        <v>85.51</v>
      </c>
      <c r="N153" s="1">
        <v>77.03</v>
      </c>
      <c r="O153" s="1">
        <v>77.34</v>
      </c>
      <c r="P153" s="1">
        <v>78.08</v>
      </c>
      <c r="Q153" s="37"/>
      <c r="R153" s="1">
        <v>79.760000000000005</v>
      </c>
      <c r="S153" s="1">
        <v>63.71</v>
      </c>
      <c r="T153" s="1">
        <v>94.55</v>
      </c>
      <c r="U153" s="1">
        <v>89.9</v>
      </c>
      <c r="V153" s="1">
        <v>58.55</v>
      </c>
      <c r="W153" s="118">
        <v>88.56</v>
      </c>
      <c r="X153" s="118">
        <v>81.599999999999994</v>
      </c>
      <c r="Y153" s="37"/>
      <c r="Z153" s="1">
        <v>76.94</v>
      </c>
      <c r="AA153" s="118">
        <v>70.34</v>
      </c>
      <c r="AB153" s="118">
        <v>78.08</v>
      </c>
      <c r="AC153" s="1">
        <v>87.6</v>
      </c>
      <c r="AD153" s="118">
        <v>63.42</v>
      </c>
      <c r="AE153" s="118">
        <v>90.75</v>
      </c>
      <c r="AF153" s="118">
        <v>63.74</v>
      </c>
      <c r="AG153" s="2"/>
      <c r="AH153" s="2"/>
      <c r="AI153" s="2"/>
      <c r="AJ153" s="37"/>
      <c r="AK153" s="38"/>
      <c r="AL153" s="372"/>
    </row>
    <row r="154" spans="1:38" x14ac:dyDescent="0.25">
      <c r="A154" s="383">
        <v>208</v>
      </c>
      <c r="B154" s="530"/>
      <c r="C154" s="530"/>
      <c r="D154" s="530"/>
      <c r="E154" s="530"/>
      <c r="F154" s="530"/>
      <c r="G154" s="530"/>
      <c r="H154" s="530"/>
      <c r="I154" s="111"/>
      <c r="J154" s="537"/>
      <c r="K154" s="537"/>
      <c r="L154" s="537"/>
      <c r="M154" s="537"/>
      <c r="N154" s="530"/>
      <c r="O154" s="530"/>
      <c r="P154" s="530"/>
      <c r="Q154" s="111"/>
      <c r="R154" s="530"/>
      <c r="S154" s="530"/>
      <c r="T154" s="530"/>
      <c r="U154" s="530"/>
      <c r="V154" s="530"/>
      <c r="W154" s="537"/>
      <c r="X154" s="537"/>
      <c r="Y154" s="111"/>
      <c r="Z154" s="530"/>
      <c r="AA154" s="671"/>
      <c r="AB154" s="671"/>
      <c r="AC154" s="671"/>
      <c r="AD154" s="671"/>
      <c r="AE154" s="682">
        <v>66.430000000000007</v>
      </c>
      <c r="AF154" s="682">
        <v>66.680000000000007</v>
      </c>
      <c r="AJ154" s="37"/>
      <c r="AK154" s="38"/>
      <c r="AL154" s="372"/>
    </row>
    <row r="155" spans="1:38" x14ac:dyDescent="0.25">
      <c r="A155" s="383">
        <v>209</v>
      </c>
      <c r="B155" s="1">
        <v>71.41</v>
      </c>
      <c r="C155" s="1">
        <v>93.63</v>
      </c>
      <c r="D155" s="530"/>
      <c r="E155" s="532">
        <v>131.55000000000001</v>
      </c>
      <c r="F155" s="1">
        <v>83.57</v>
      </c>
      <c r="G155" s="1">
        <v>109</v>
      </c>
      <c r="H155" s="1">
        <v>74.36</v>
      </c>
      <c r="I155" s="37"/>
      <c r="J155" s="118">
        <v>82.35</v>
      </c>
      <c r="K155" s="1">
        <v>104.6</v>
      </c>
      <c r="L155" s="118">
        <v>99.12</v>
      </c>
      <c r="M155" s="118">
        <v>65.28</v>
      </c>
      <c r="N155" s="532">
        <v>120.84</v>
      </c>
      <c r="O155" s="1">
        <v>99.32</v>
      </c>
      <c r="P155" s="1">
        <v>98.42</v>
      </c>
      <c r="Q155" s="37"/>
      <c r="R155" s="1">
        <v>110.21</v>
      </c>
      <c r="S155" s="1">
        <v>89.9</v>
      </c>
      <c r="T155" s="1">
        <v>96.19</v>
      </c>
      <c r="U155" s="1">
        <v>83.62</v>
      </c>
      <c r="V155" s="1">
        <v>84.82</v>
      </c>
      <c r="W155" s="118">
        <v>80.38</v>
      </c>
      <c r="X155" s="118">
        <v>43.56</v>
      </c>
      <c r="Y155" s="37"/>
      <c r="Z155" s="1">
        <v>86.74</v>
      </c>
      <c r="AA155" s="118">
        <v>118.43</v>
      </c>
      <c r="AB155" s="118">
        <v>85.58</v>
      </c>
      <c r="AC155" s="118">
        <v>114.34</v>
      </c>
      <c r="AD155" s="118">
        <v>61.02</v>
      </c>
      <c r="AE155" s="118">
        <v>78.31</v>
      </c>
      <c r="AF155" s="118">
        <v>75.290000000000006</v>
      </c>
      <c r="AG155" s="2"/>
      <c r="AH155" s="2"/>
      <c r="AI155" s="2"/>
      <c r="AJ155" s="37"/>
      <c r="AK155" s="38"/>
      <c r="AL155" s="372"/>
    </row>
    <row r="156" spans="1:38" x14ac:dyDescent="0.25">
      <c r="A156" s="383">
        <v>210</v>
      </c>
      <c r="B156" s="1">
        <v>113.39</v>
      </c>
      <c r="C156" s="1">
        <v>100.18</v>
      </c>
      <c r="D156" s="1">
        <v>76.790000000000006</v>
      </c>
      <c r="E156" s="1">
        <v>77.58</v>
      </c>
      <c r="F156" s="1">
        <v>70.42</v>
      </c>
      <c r="G156" s="1">
        <v>82.08</v>
      </c>
      <c r="H156" s="1">
        <v>84.39</v>
      </c>
      <c r="I156" s="37"/>
      <c r="J156" s="118">
        <v>59.61</v>
      </c>
      <c r="K156" s="1">
        <v>92.4</v>
      </c>
      <c r="L156" s="118">
        <v>103.57</v>
      </c>
      <c r="M156" s="118">
        <v>95.55</v>
      </c>
      <c r="N156" s="1">
        <v>86.7</v>
      </c>
      <c r="O156" s="1">
        <v>42.34</v>
      </c>
      <c r="P156" s="1"/>
      <c r="Q156" s="37"/>
      <c r="R156" s="1">
        <v>123.99</v>
      </c>
      <c r="S156" s="1">
        <v>146.81</v>
      </c>
      <c r="T156" s="1">
        <v>78.680000000000007</v>
      </c>
      <c r="U156" s="1">
        <v>107.86</v>
      </c>
      <c r="V156" s="1">
        <v>77.33</v>
      </c>
      <c r="W156" s="118">
        <v>74.23</v>
      </c>
      <c r="X156" s="118">
        <v>79.88</v>
      </c>
      <c r="Y156" s="37"/>
      <c r="Z156" s="1">
        <v>68.790000000000006</v>
      </c>
      <c r="AA156" s="118">
        <v>61.19</v>
      </c>
      <c r="AB156" s="118">
        <v>69.02</v>
      </c>
      <c r="AC156" s="118">
        <v>114.14</v>
      </c>
      <c r="AD156" s="1">
        <v>53.8</v>
      </c>
      <c r="AE156" s="118">
        <v>57.28</v>
      </c>
      <c r="AF156" s="1">
        <v>68.900000000000006</v>
      </c>
      <c r="AG156" s="2"/>
      <c r="AH156" s="2"/>
      <c r="AI156" s="2"/>
      <c r="AJ156" s="37"/>
      <c r="AK156" s="38"/>
      <c r="AL156" s="372"/>
    </row>
    <row r="157" spans="1:38" x14ac:dyDescent="0.25">
      <c r="A157" s="383">
        <v>211</v>
      </c>
      <c r="B157" s="1">
        <v>66.95</v>
      </c>
      <c r="C157" s="1">
        <v>81.88</v>
      </c>
      <c r="D157" s="1">
        <v>70.83</v>
      </c>
      <c r="E157" s="1">
        <v>84.82</v>
      </c>
      <c r="F157" s="1">
        <v>75.38</v>
      </c>
      <c r="G157" s="1">
        <v>95.29</v>
      </c>
      <c r="H157" s="1">
        <v>82.96</v>
      </c>
      <c r="I157" s="37"/>
      <c r="J157" s="118">
        <v>59.82</v>
      </c>
      <c r="K157" s="118">
        <v>81.88</v>
      </c>
      <c r="L157" s="118">
        <v>98.69</v>
      </c>
      <c r="M157" s="118">
        <v>87.38</v>
      </c>
      <c r="N157" s="1">
        <v>85.6</v>
      </c>
      <c r="O157" s="1">
        <v>79.87</v>
      </c>
      <c r="P157" s="1">
        <v>55.77</v>
      </c>
      <c r="Q157" s="37"/>
      <c r="R157" s="1">
        <v>83.04</v>
      </c>
      <c r="S157" s="1">
        <v>70.63</v>
      </c>
      <c r="T157" s="1">
        <v>76.540000000000006</v>
      </c>
      <c r="U157" s="1">
        <v>74.55</v>
      </c>
      <c r="V157" s="1">
        <v>70.5</v>
      </c>
      <c r="W157" s="537"/>
      <c r="X157" s="118">
        <v>91.19</v>
      </c>
      <c r="Y157" s="37"/>
      <c r="Z157" s="1">
        <v>66.17</v>
      </c>
      <c r="AA157" s="118">
        <v>98.66</v>
      </c>
      <c r="AB157" s="118">
        <v>66.069999999999993</v>
      </c>
      <c r="AC157" s="118">
        <v>70.650000000000006</v>
      </c>
      <c r="AD157" s="118">
        <v>89.88</v>
      </c>
      <c r="AE157" s="118">
        <v>59.74</v>
      </c>
      <c r="AF157" s="118">
        <v>83.42</v>
      </c>
      <c r="AG157" s="2"/>
      <c r="AH157" s="2"/>
      <c r="AI157" s="2"/>
      <c r="AJ157" s="37"/>
      <c r="AK157" s="38"/>
      <c r="AL157" s="372"/>
    </row>
    <row r="158" spans="1:38" ht="15.75" x14ac:dyDescent="0.25">
      <c r="A158" s="383">
        <v>212</v>
      </c>
      <c r="B158" s="1">
        <v>76.47</v>
      </c>
      <c r="C158" s="1">
        <v>55.37</v>
      </c>
      <c r="D158" s="530"/>
      <c r="E158" s="1">
        <v>26.44</v>
      </c>
      <c r="F158" s="1">
        <v>62.85</v>
      </c>
      <c r="G158" s="1">
        <v>107.59</v>
      </c>
      <c r="H158" s="1">
        <v>69.42</v>
      </c>
      <c r="I158" s="37"/>
      <c r="J158" s="118">
        <v>50.77</v>
      </c>
      <c r="K158" s="537"/>
      <c r="L158" s="118">
        <v>84.11</v>
      </c>
      <c r="M158" s="1">
        <v>111.8</v>
      </c>
      <c r="N158" s="1">
        <v>66.040000000000006</v>
      </c>
      <c r="O158" s="1">
        <v>79.87</v>
      </c>
      <c r="P158" s="1">
        <v>74.12</v>
      </c>
      <c r="Q158" s="37"/>
      <c r="R158" s="1">
        <v>109.94</v>
      </c>
      <c r="S158" s="1">
        <v>113.22</v>
      </c>
      <c r="T158" s="1">
        <v>81.27</v>
      </c>
      <c r="U158" s="1">
        <v>93.37</v>
      </c>
      <c r="V158" s="1">
        <v>75.599999999999994</v>
      </c>
      <c r="W158" s="118">
        <v>84.12</v>
      </c>
      <c r="X158" s="118">
        <v>73.790000000000006</v>
      </c>
      <c r="Y158" s="37"/>
      <c r="Z158" s="1">
        <v>71</v>
      </c>
      <c r="AA158" s="118">
        <v>99.58</v>
      </c>
      <c r="AB158" s="1">
        <v>84.6</v>
      </c>
      <c r="AC158" s="118">
        <v>85.88</v>
      </c>
      <c r="AD158" s="118">
        <v>67.989999999999995</v>
      </c>
      <c r="AE158" s="118">
        <v>94.99</v>
      </c>
      <c r="AF158" s="118">
        <v>80.510000000000005</v>
      </c>
      <c r="AG158" s="2"/>
      <c r="AH158" s="2"/>
      <c r="AI158" s="2"/>
      <c r="AJ158" s="37"/>
      <c r="AK158" s="648">
        <v>41979.74</v>
      </c>
      <c r="AL158" s="372"/>
    </row>
    <row r="159" spans="1:38" ht="15" customHeight="1" x14ac:dyDescent="0.25">
      <c r="A159" s="383">
        <v>213</v>
      </c>
      <c r="B159" s="1">
        <v>74.36</v>
      </c>
      <c r="C159" s="1">
        <v>105.76</v>
      </c>
      <c r="D159" s="1">
        <v>82.96</v>
      </c>
      <c r="E159" s="1">
        <v>86.12</v>
      </c>
      <c r="F159" s="1">
        <v>94.25</v>
      </c>
      <c r="G159" s="1">
        <v>94.27</v>
      </c>
      <c r="H159" s="1">
        <v>78.760000000000005</v>
      </c>
      <c r="I159" s="37"/>
      <c r="J159" s="118">
        <v>84.45</v>
      </c>
      <c r="K159" s="548">
        <v>131.66</v>
      </c>
      <c r="L159" s="118">
        <v>102.97</v>
      </c>
      <c r="M159" s="118">
        <v>69.709999999999994</v>
      </c>
      <c r="N159" s="1">
        <v>110.38</v>
      </c>
      <c r="O159" s="1">
        <v>98.76</v>
      </c>
      <c r="P159" s="1">
        <v>80.930000000000007</v>
      </c>
      <c r="Q159" s="37"/>
      <c r="R159" s="1">
        <v>85.65</v>
      </c>
      <c r="S159" s="1">
        <v>92.05</v>
      </c>
      <c r="T159" s="1">
        <v>98.91</v>
      </c>
      <c r="U159" s="1">
        <v>79.48</v>
      </c>
      <c r="V159" s="1">
        <v>84.01</v>
      </c>
      <c r="W159" s="118">
        <v>80.05</v>
      </c>
      <c r="X159" s="118">
        <v>97.48</v>
      </c>
      <c r="Y159" s="37"/>
      <c r="Z159" s="1">
        <v>76.83</v>
      </c>
      <c r="AA159" s="118">
        <v>82.49</v>
      </c>
      <c r="AB159" s="118">
        <v>79.95</v>
      </c>
      <c r="AC159" s="118">
        <v>90.84</v>
      </c>
      <c r="AD159" s="1">
        <v>54.3</v>
      </c>
      <c r="AE159" s="118">
        <v>82.02</v>
      </c>
      <c r="AF159" s="118">
        <v>96.02</v>
      </c>
      <c r="AG159" s="2"/>
      <c r="AH159" s="2"/>
      <c r="AI159" s="2"/>
      <c r="AJ159" s="37"/>
      <c r="AK159" s="648">
        <v>43859.93</v>
      </c>
      <c r="AL159" s="372"/>
    </row>
    <row r="160" spans="1:38" ht="15" customHeight="1" x14ac:dyDescent="0.25">
      <c r="A160" s="383">
        <v>214</v>
      </c>
      <c r="B160" s="1">
        <v>74.709999999999994</v>
      </c>
      <c r="C160" s="1">
        <v>111.78</v>
      </c>
      <c r="D160" s="1">
        <v>108.87</v>
      </c>
      <c r="E160" s="1">
        <v>98.71</v>
      </c>
      <c r="F160" s="1">
        <v>75.67</v>
      </c>
      <c r="G160" s="1">
        <v>95</v>
      </c>
      <c r="H160" s="1">
        <v>96.29</v>
      </c>
      <c r="I160" s="37"/>
      <c r="J160" s="118">
        <v>88.29</v>
      </c>
      <c r="K160" s="118">
        <v>85.39</v>
      </c>
      <c r="L160" s="118">
        <v>114.88</v>
      </c>
      <c r="M160" s="118">
        <v>66.73</v>
      </c>
      <c r="N160" s="1">
        <v>79.97</v>
      </c>
      <c r="O160" s="1">
        <v>104.21</v>
      </c>
      <c r="P160" s="1">
        <v>59.83</v>
      </c>
      <c r="Q160" s="37"/>
      <c r="R160" s="1">
        <v>85.26</v>
      </c>
      <c r="S160" s="1">
        <v>74.56</v>
      </c>
      <c r="T160" s="1">
        <v>108.04</v>
      </c>
      <c r="U160" s="1">
        <v>90.46</v>
      </c>
      <c r="V160" s="1">
        <v>83.9</v>
      </c>
      <c r="W160" s="118">
        <v>92.11</v>
      </c>
      <c r="X160" s="118">
        <v>81.489999999999995</v>
      </c>
      <c r="Y160" s="37"/>
      <c r="Z160" s="1">
        <v>109.3</v>
      </c>
      <c r="AA160" s="118">
        <v>82.16</v>
      </c>
      <c r="AB160" s="118">
        <v>56.57</v>
      </c>
      <c r="AC160" s="118">
        <v>121.99</v>
      </c>
      <c r="AD160" s="118">
        <v>68.88</v>
      </c>
      <c r="AE160" s="118">
        <v>74.709999999999994</v>
      </c>
      <c r="AF160" s="118">
        <v>57.89</v>
      </c>
      <c r="AG160" s="2"/>
      <c r="AH160" s="2"/>
      <c r="AI160" s="2"/>
      <c r="AJ160" s="37"/>
      <c r="AK160" s="648">
        <v>42182.16</v>
      </c>
      <c r="AL160" s="372"/>
    </row>
    <row r="161" spans="1:38" ht="15" customHeight="1" x14ac:dyDescent="0.25">
      <c r="A161" s="383">
        <v>215</v>
      </c>
      <c r="B161" s="1">
        <v>62.92</v>
      </c>
      <c r="C161" s="1">
        <v>101.8</v>
      </c>
      <c r="D161" s="1">
        <v>94.26</v>
      </c>
      <c r="E161" s="1">
        <v>88.87</v>
      </c>
      <c r="F161" s="1">
        <v>66</v>
      </c>
      <c r="G161" s="1">
        <v>82.22</v>
      </c>
      <c r="H161" s="530"/>
      <c r="I161" s="37"/>
      <c r="J161" s="537"/>
      <c r="K161" s="118">
        <v>45.27</v>
      </c>
      <c r="L161" s="118">
        <v>106.32</v>
      </c>
      <c r="M161" s="118">
        <v>98.38</v>
      </c>
      <c r="N161" s="1">
        <v>73.540000000000006</v>
      </c>
      <c r="O161" s="1">
        <v>77.8</v>
      </c>
      <c r="P161" s="1">
        <v>62.02</v>
      </c>
      <c r="Q161" s="37"/>
      <c r="R161" s="1">
        <v>82.95</v>
      </c>
      <c r="S161" s="1">
        <v>64.87</v>
      </c>
      <c r="T161" s="1">
        <v>75.86</v>
      </c>
      <c r="U161" s="1">
        <v>69.88</v>
      </c>
      <c r="V161" s="1">
        <v>86.39</v>
      </c>
      <c r="W161" s="118">
        <v>75.97</v>
      </c>
      <c r="X161" s="118">
        <v>72.510000000000005</v>
      </c>
      <c r="Y161" s="37"/>
      <c r="Z161" s="1">
        <v>79.25</v>
      </c>
      <c r="AA161" s="118">
        <v>46.87</v>
      </c>
      <c r="AB161" s="118">
        <v>88.52</v>
      </c>
      <c r="AC161" s="118">
        <v>71.94</v>
      </c>
      <c r="AD161" s="118">
        <v>90.75</v>
      </c>
      <c r="AE161" s="118">
        <v>59.66</v>
      </c>
      <c r="AF161" s="118">
        <v>55.66</v>
      </c>
      <c r="AG161" s="2"/>
      <c r="AH161" s="2"/>
      <c r="AI161" s="2"/>
      <c r="AJ161" s="37"/>
      <c r="AK161" s="648">
        <v>38776.550000000003</v>
      </c>
      <c r="AL161" s="372"/>
    </row>
    <row r="162" spans="1:38" ht="15.75" thickBot="1" x14ac:dyDescent="0.3">
      <c r="A162" s="384">
        <v>216</v>
      </c>
      <c r="B162" s="1">
        <v>65.28</v>
      </c>
      <c r="C162" s="1">
        <v>74.06</v>
      </c>
      <c r="D162" s="1">
        <v>67.77</v>
      </c>
      <c r="E162" s="1">
        <v>78.739999999999995</v>
      </c>
      <c r="F162" s="1">
        <v>55.96</v>
      </c>
      <c r="G162" s="1">
        <v>82.22</v>
      </c>
      <c r="H162" s="1">
        <v>67.34</v>
      </c>
      <c r="I162" s="43"/>
      <c r="J162" s="118">
        <v>60.11</v>
      </c>
      <c r="K162" s="118">
        <v>63.07</v>
      </c>
      <c r="L162" s="118">
        <v>95.78</v>
      </c>
      <c r="M162" s="118">
        <v>61.77</v>
      </c>
      <c r="N162" s="1">
        <v>82.96</v>
      </c>
      <c r="O162" s="1">
        <v>78.239999999999995</v>
      </c>
      <c r="P162" s="1">
        <v>128.66999999999999</v>
      </c>
      <c r="Q162" s="43"/>
      <c r="R162" s="1">
        <v>72.3</v>
      </c>
      <c r="S162" s="1">
        <v>124.55</v>
      </c>
      <c r="T162" s="1">
        <v>79.12</v>
      </c>
      <c r="U162" s="1">
        <v>74.23</v>
      </c>
      <c r="V162" s="1">
        <v>83.27</v>
      </c>
      <c r="W162" s="1">
        <v>77</v>
      </c>
      <c r="X162" s="118">
        <v>80.430000000000007</v>
      </c>
      <c r="Y162" s="43"/>
      <c r="Z162" s="1">
        <v>52.64</v>
      </c>
      <c r="AA162" s="118">
        <v>69.56</v>
      </c>
      <c r="AB162" s="118">
        <v>85.24</v>
      </c>
      <c r="AC162" s="118">
        <v>101.97</v>
      </c>
      <c r="AD162" s="118">
        <v>79.790000000000006</v>
      </c>
      <c r="AE162" s="118">
        <v>76.510000000000005</v>
      </c>
      <c r="AF162" s="118">
        <v>72.349999999999994</v>
      </c>
      <c r="AG162" s="2"/>
      <c r="AH162" s="2"/>
      <c r="AI162" s="2"/>
      <c r="AJ162" s="43"/>
      <c r="AK162" s="44"/>
      <c r="AL162" s="457"/>
    </row>
    <row r="163" spans="1:38" ht="18.75" x14ac:dyDescent="0.3">
      <c r="A163" s="281" t="s">
        <v>2</v>
      </c>
      <c r="B163" s="199">
        <f ca="1">SUM(B70:B163)</f>
        <v>5060.0000000000009</v>
      </c>
      <c r="C163" s="199">
        <f t="shared" ref="C163:H163" si="3">SUM(C70:C162)</f>
        <v>6690.0099999999975</v>
      </c>
      <c r="D163" s="199">
        <f t="shared" si="3"/>
        <v>5839.1500000000024</v>
      </c>
      <c r="E163" s="199">
        <f t="shared" si="3"/>
        <v>6760.1899999999978</v>
      </c>
      <c r="F163" s="199">
        <f t="shared" si="3"/>
        <v>5039.95</v>
      </c>
      <c r="G163" s="199">
        <f t="shared" si="3"/>
        <v>6226.8700000000008</v>
      </c>
      <c r="H163" s="199">
        <f t="shared" si="3"/>
        <v>6363.5700000000024</v>
      </c>
      <c r="I163" s="158">
        <f ca="1">SUM(B163:H163)</f>
        <v>41979.74</v>
      </c>
      <c r="J163" s="105">
        <f>SUM(J74:J162)</f>
        <v>6332.260000000002</v>
      </c>
      <c r="K163" s="105">
        <f t="shared" ref="K163:P163" si="4">SUM(K70:K162)</f>
        <v>5461.5000000000009</v>
      </c>
      <c r="L163" s="105">
        <f t="shared" si="4"/>
        <v>6983.0299999999988</v>
      </c>
      <c r="M163" s="105">
        <f t="shared" si="4"/>
        <v>5948.7700000000013</v>
      </c>
      <c r="N163" s="105">
        <f t="shared" si="4"/>
        <v>6921.37</v>
      </c>
      <c r="O163" s="105">
        <f t="shared" si="4"/>
        <v>6375.52</v>
      </c>
      <c r="P163" s="105">
        <f t="shared" si="4"/>
        <v>5837.4799999999977</v>
      </c>
      <c r="Q163" s="670">
        <f>SUM(J163:P163)</f>
        <v>43859.929999999993</v>
      </c>
      <c r="R163" s="199">
        <f t="shared" ref="R163:W163" si="5">SUM(R70:R162)</f>
        <v>6237.73</v>
      </c>
      <c r="S163" s="199">
        <f t="shared" si="5"/>
        <v>6726.0300000000016</v>
      </c>
      <c r="T163" s="199">
        <f t="shared" si="5"/>
        <v>6131.15</v>
      </c>
      <c r="U163" s="199">
        <f t="shared" si="5"/>
        <v>6009.1000000000022</v>
      </c>
      <c r="V163" s="199">
        <f t="shared" si="5"/>
        <v>5870.06</v>
      </c>
      <c r="W163" s="199">
        <f t="shared" si="5"/>
        <v>5679.2800000000025</v>
      </c>
      <c r="X163" s="199">
        <f>SUM(X70:X162)</f>
        <v>5528.81</v>
      </c>
      <c r="Y163" s="221">
        <f>SUM(R163:X163)</f>
        <v>42182.16</v>
      </c>
      <c r="Z163" s="199">
        <f t="shared" ref="Z163:AE163" si="6">SUM(Z70:Z162)</f>
        <v>5867.4000000000005</v>
      </c>
      <c r="AA163" s="199">
        <f t="shared" si="6"/>
        <v>6242.3000000000011</v>
      </c>
      <c r="AB163" s="199">
        <f t="shared" si="6"/>
        <v>5367.2199999999984</v>
      </c>
      <c r="AC163" s="199">
        <f t="shared" si="6"/>
        <v>6008.26</v>
      </c>
      <c r="AD163" s="199">
        <f t="shared" si="6"/>
        <v>4730.7900000000009</v>
      </c>
      <c r="AE163" s="199">
        <f t="shared" si="6"/>
        <v>5307.5800000000008</v>
      </c>
      <c r="AF163" s="199">
        <f>SUM(AF70:AF162)</f>
        <v>5253</v>
      </c>
      <c r="AG163" s="199"/>
      <c r="AH163" s="199"/>
      <c r="AI163" s="199"/>
      <c r="AJ163" s="376">
        <f>SUM(Z163:AI163)</f>
        <v>38776.550000000003</v>
      </c>
      <c r="AK163" s="696">
        <f>SUM(AK158:AK162)</f>
        <v>166798.38</v>
      </c>
      <c r="AL163" s="235"/>
    </row>
    <row r="164" spans="1:38" ht="15.75" thickBot="1" x14ac:dyDescent="0.3">
      <c r="A164" s="264"/>
      <c r="B164" s="265" t="s">
        <v>323</v>
      </c>
      <c r="C164" s="265" t="s">
        <v>323</v>
      </c>
      <c r="D164" s="265" t="s">
        <v>346</v>
      </c>
      <c r="E164" s="265" t="s">
        <v>321</v>
      </c>
      <c r="F164" s="265" t="s">
        <v>351</v>
      </c>
      <c r="G164" s="265" t="s">
        <v>319</v>
      </c>
      <c r="H164" s="265" t="s">
        <v>324</v>
      </c>
      <c r="I164" s="225"/>
      <c r="J164" s="265" t="s">
        <v>324</v>
      </c>
      <c r="K164" s="265" t="s">
        <v>326</v>
      </c>
      <c r="L164" s="265" t="s">
        <v>320</v>
      </c>
      <c r="M164" s="265" t="s">
        <v>361</v>
      </c>
      <c r="N164" s="265" t="s">
        <v>320</v>
      </c>
      <c r="O164" s="265" t="s">
        <v>317</v>
      </c>
      <c r="P164" s="265" t="s">
        <v>327</v>
      </c>
      <c r="Q164" s="225"/>
      <c r="R164" s="265" t="s">
        <v>323</v>
      </c>
      <c r="S164" s="265" t="s">
        <v>318</v>
      </c>
      <c r="T164" s="265" t="s">
        <v>323</v>
      </c>
      <c r="U164" s="265" t="s">
        <v>324</v>
      </c>
      <c r="V164" s="265" t="s">
        <v>323</v>
      </c>
      <c r="W164" s="265" t="s">
        <v>323</v>
      </c>
      <c r="X164" s="265" t="s">
        <v>321</v>
      </c>
      <c r="Y164" s="225"/>
      <c r="Z164" s="265" t="s">
        <v>318</v>
      </c>
      <c r="AA164" s="265" t="s">
        <v>324</v>
      </c>
      <c r="AB164" s="265" t="s">
        <v>324</v>
      </c>
      <c r="AC164" s="265" t="s">
        <v>323</v>
      </c>
      <c r="AD164" s="265" t="s">
        <v>327</v>
      </c>
      <c r="AE164" s="265" t="s">
        <v>323</v>
      </c>
      <c r="AF164" s="265" t="s">
        <v>351</v>
      </c>
      <c r="AG164" s="265"/>
      <c r="AH164" s="265"/>
      <c r="AI164" s="265"/>
      <c r="AJ164" s="225"/>
      <c r="AK164" s="225"/>
      <c r="AL164" s="228"/>
    </row>
    <row r="165" spans="1:38" ht="24" thickBot="1" x14ac:dyDescent="0.4">
      <c r="A165" s="294" t="s">
        <v>116</v>
      </c>
      <c r="B165" s="295"/>
      <c r="C165" s="295"/>
      <c r="D165" s="295"/>
      <c r="E165" s="295"/>
      <c r="F165" s="295"/>
      <c r="G165" s="296"/>
      <c r="H165" s="296"/>
      <c r="I165" s="297"/>
      <c r="J165" s="297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301"/>
      <c r="AK165" s="462"/>
      <c r="AL165" s="463"/>
    </row>
    <row r="166" spans="1:38" ht="16.5" thickBot="1" x14ac:dyDescent="0.3">
      <c r="A166" s="319" t="s">
        <v>8</v>
      </c>
      <c r="B166" s="328">
        <v>1</v>
      </c>
      <c r="C166" s="328">
        <v>2</v>
      </c>
      <c r="D166" s="328">
        <v>3</v>
      </c>
      <c r="E166" s="328">
        <v>4</v>
      </c>
      <c r="F166" s="328">
        <v>5</v>
      </c>
      <c r="G166" s="328">
        <v>6</v>
      </c>
      <c r="H166" s="328">
        <v>7</v>
      </c>
      <c r="I166" s="629" t="s">
        <v>338</v>
      </c>
      <c r="J166" s="328">
        <v>8</v>
      </c>
      <c r="K166" s="328">
        <v>9</v>
      </c>
      <c r="L166" s="328">
        <v>10</v>
      </c>
      <c r="M166" s="328">
        <v>11</v>
      </c>
      <c r="N166" s="328">
        <v>12</v>
      </c>
      <c r="O166" s="328">
        <v>13</v>
      </c>
      <c r="P166" s="328">
        <v>14</v>
      </c>
      <c r="Q166" s="629" t="s">
        <v>338</v>
      </c>
      <c r="R166" s="328">
        <v>15</v>
      </c>
      <c r="S166" s="328">
        <v>16</v>
      </c>
      <c r="T166" s="328">
        <v>17</v>
      </c>
      <c r="U166" s="328">
        <v>18</v>
      </c>
      <c r="V166" s="328">
        <v>19</v>
      </c>
      <c r="W166" s="328">
        <v>20</v>
      </c>
      <c r="X166" s="328">
        <v>21</v>
      </c>
      <c r="Y166" s="629" t="s">
        <v>338</v>
      </c>
      <c r="Z166" s="328">
        <v>22</v>
      </c>
      <c r="AA166" s="328">
        <v>23</v>
      </c>
      <c r="AB166" s="328">
        <v>24</v>
      </c>
      <c r="AC166" s="328">
        <v>25</v>
      </c>
      <c r="AD166" s="328">
        <v>26</v>
      </c>
      <c r="AE166" s="328">
        <v>27</v>
      </c>
      <c r="AF166" s="328">
        <v>28</v>
      </c>
      <c r="AG166" s="328">
        <v>29</v>
      </c>
      <c r="AH166" s="328">
        <v>30</v>
      </c>
      <c r="AI166" s="328">
        <v>31</v>
      </c>
      <c r="AJ166" s="629" t="s">
        <v>338</v>
      </c>
      <c r="AK166" s="630" t="s">
        <v>339</v>
      </c>
      <c r="AL166" s="631" t="s">
        <v>42</v>
      </c>
    </row>
    <row r="167" spans="1:38" x14ac:dyDescent="0.25">
      <c r="A167" s="347" t="s">
        <v>9</v>
      </c>
      <c r="B167" s="303"/>
      <c r="C167" s="303"/>
      <c r="D167" s="303"/>
      <c r="E167" s="303"/>
      <c r="F167" s="303"/>
      <c r="G167" s="303">
        <v>0</v>
      </c>
      <c r="H167" s="303"/>
      <c r="I167" s="304"/>
      <c r="J167" s="303">
        <v>0</v>
      </c>
      <c r="K167" s="303">
        <v>0</v>
      </c>
      <c r="L167" s="313">
        <v>0</v>
      </c>
      <c r="M167" s="303">
        <v>0</v>
      </c>
      <c r="N167" s="303">
        <v>0</v>
      </c>
      <c r="O167" s="303">
        <v>0</v>
      </c>
      <c r="P167" s="303">
        <v>0</v>
      </c>
      <c r="Q167" s="304"/>
      <c r="R167" s="575"/>
      <c r="S167" s="575"/>
      <c r="T167" s="575"/>
      <c r="U167" s="575"/>
      <c r="V167" s="684"/>
      <c r="W167" s="313">
        <v>0</v>
      </c>
      <c r="X167" s="684"/>
      <c r="Y167" s="304"/>
      <c r="Z167" s="575"/>
      <c r="AA167" s="575"/>
      <c r="AB167" s="313">
        <v>0</v>
      </c>
      <c r="AC167" s="684"/>
      <c r="AD167" s="684"/>
      <c r="AE167" s="577">
        <v>0</v>
      </c>
      <c r="AF167" s="577">
        <v>0</v>
      </c>
      <c r="AG167" s="303"/>
      <c r="AH167" s="303"/>
      <c r="AI167" s="303"/>
      <c r="AJ167" s="305"/>
      <c r="AK167" s="184"/>
      <c r="AL167" s="207"/>
    </row>
    <row r="168" spans="1:38" x14ac:dyDescent="0.25">
      <c r="A168" s="67" t="s">
        <v>10</v>
      </c>
      <c r="B168" s="1"/>
      <c r="C168" s="1"/>
      <c r="D168" s="1"/>
      <c r="E168" s="1"/>
      <c r="F168" s="1"/>
      <c r="G168" s="1"/>
      <c r="H168" s="1"/>
      <c r="I168" s="37"/>
      <c r="J168" s="2"/>
      <c r="K168" s="2"/>
      <c r="L168" s="211"/>
      <c r="M168" s="2"/>
      <c r="N168" s="2"/>
      <c r="O168" s="2"/>
      <c r="P168" s="336"/>
      <c r="Q168" s="37"/>
      <c r="R168" s="537"/>
      <c r="S168" s="537"/>
      <c r="T168" s="537"/>
      <c r="U168" s="537"/>
      <c r="V168" s="582"/>
      <c r="W168" s="582"/>
      <c r="X168" s="582"/>
      <c r="Y168" s="37"/>
      <c r="Z168" s="537"/>
      <c r="AA168" s="537"/>
      <c r="AB168" s="582"/>
      <c r="AC168" s="582"/>
      <c r="AD168" s="582"/>
      <c r="AE168" s="537"/>
      <c r="AF168" s="537"/>
      <c r="AG168" s="2"/>
      <c r="AH168" s="2"/>
      <c r="AI168" s="2"/>
      <c r="AJ168" s="37"/>
      <c r="AK168" s="38"/>
      <c r="AL168" s="197"/>
    </row>
    <row r="169" spans="1:38" ht="15" customHeight="1" x14ac:dyDescent="0.25">
      <c r="A169" s="67" t="s">
        <v>45</v>
      </c>
      <c r="B169" s="1"/>
      <c r="C169" s="1"/>
      <c r="D169" s="1"/>
      <c r="E169" s="1"/>
      <c r="F169" s="1"/>
      <c r="G169" s="1"/>
      <c r="H169" s="1"/>
      <c r="I169" s="37"/>
      <c r="J169" s="2"/>
      <c r="K169" s="2"/>
      <c r="L169" s="211"/>
      <c r="M169" s="2"/>
      <c r="N169" s="2"/>
      <c r="O169" s="2"/>
      <c r="P169" s="336"/>
      <c r="Q169" s="37"/>
      <c r="R169" s="537"/>
      <c r="S169" s="537"/>
      <c r="T169" s="537"/>
      <c r="U169" s="537"/>
      <c r="V169" s="582"/>
      <c r="W169" s="582"/>
      <c r="X169" s="582"/>
      <c r="Y169" s="37"/>
      <c r="Z169" s="537"/>
      <c r="AA169" s="537"/>
      <c r="AB169" s="582"/>
      <c r="AC169" s="582"/>
      <c r="AD169" s="582"/>
      <c r="AE169" s="537"/>
      <c r="AF169" s="537"/>
      <c r="AG169" s="2"/>
      <c r="AH169" s="2"/>
      <c r="AI169" s="2"/>
      <c r="AJ169" s="37"/>
      <c r="AK169" s="648">
        <v>610.66</v>
      </c>
      <c r="AL169" s="197"/>
    </row>
    <row r="170" spans="1:38" ht="15" customHeight="1" x14ac:dyDescent="0.25">
      <c r="A170" s="67" t="s">
        <v>11</v>
      </c>
      <c r="B170" s="1">
        <v>160.18</v>
      </c>
      <c r="C170" s="1">
        <v>53</v>
      </c>
      <c r="D170" s="1">
        <v>124.7</v>
      </c>
      <c r="E170" s="1">
        <v>87.2</v>
      </c>
      <c r="F170" s="1">
        <v>100</v>
      </c>
      <c r="G170" s="1"/>
      <c r="H170" s="1">
        <v>85.58</v>
      </c>
      <c r="I170" s="37"/>
      <c r="J170" s="2">
        <v>64.45</v>
      </c>
      <c r="K170" s="118"/>
      <c r="L170" s="211"/>
      <c r="M170" s="118"/>
      <c r="N170" s="118">
        <v>146.22999999999999</v>
      </c>
      <c r="O170" s="118">
        <v>68.650000000000006</v>
      </c>
      <c r="P170" s="1"/>
      <c r="Q170" s="37"/>
      <c r="R170" s="537"/>
      <c r="S170" s="537"/>
      <c r="T170" s="537">
        <v>49.48</v>
      </c>
      <c r="U170" s="118">
        <v>33.950000000000003</v>
      </c>
      <c r="V170" s="582"/>
      <c r="W170" s="582"/>
      <c r="X170" s="582">
        <v>96.16</v>
      </c>
      <c r="Y170" s="37"/>
      <c r="Z170" s="118">
        <v>47.21</v>
      </c>
      <c r="AA170" s="118">
        <v>29.35</v>
      </c>
      <c r="AB170" s="582"/>
      <c r="AC170" s="173">
        <v>184.4</v>
      </c>
      <c r="AD170" s="211">
        <v>66.489999999999995</v>
      </c>
      <c r="AE170" s="530"/>
      <c r="AF170" s="537"/>
      <c r="AG170" s="2"/>
      <c r="AH170" s="2"/>
      <c r="AI170" s="2"/>
      <c r="AJ170" s="37"/>
      <c r="AK170" s="648">
        <v>569.63</v>
      </c>
      <c r="AL170" s="197"/>
    </row>
    <row r="171" spans="1:38" ht="15.75" customHeight="1" x14ac:dyDescent="0.25">
      <c r="A171" s="67" t="s">
        <v>12</v>
      </c>
      <c r="B171" s="1"/>
      <c r="C171" s="1"/>
      <c r="D171" s="1"/>
      <c r="E171" s="1"/>
      <c r="F171" s="1"/>
      <c r="G171" s="1"/>
      <c r="H171" s="1"/>
      <c r="I171" s="37"/>
      <c r="J171" s="118"/>
      <c r="K171" s="1">
        <v>65.3</v>
      </c>
      <c r="L171" s="211">
        <v>59.81</v>
      </c>
      <c r="M171" s="118">
        <v>90.61</v>
      </c>
      <c r="N171" s="2"/>
      <c r="O171" s="118"/>
      <c r="P171" s="1">
        <v>74.58</v>
      </c>
      <c r="Q171" s="37"/>
      <c r="R171" s="537">
        <v>98.39</v>
      </c>
      <c r="S171" s="118">
        <v>111.63</v>
      </c>
      <c r="T171" s="537"/>
      <c r="U171" s="530"/>
      <c r="V171" s="211">
        <v>113.99</v>
      </c>
      <c r="W171" s="582"/>
      <c r="X171" s="582"/>
      <c r="Y171" s="37"/>
      <c r="Z171" s="537"/>
      <c r="AA171" s="537"/>
      <c r="AB171" s="582"/>
      <c r="AC171" s="582"/>
      <c r="AD171" s="582"/>
      <c r="AE171" s="537"/>
      <c r="AF171" s="530"/>
      <c r="AG171" s="2"/>
      <c r="AH171" s="2"/>
      <c r="AI171" s="2"/>
      <c r="AJ171" s="37"/>
      <c r="AK171" s="652">
        <v>503.6</v>
      </c>
      <c r="AL171" s="197"/>
    </row>
    <row r="172" spans="1:38" ht="16.5" thickBot="1" x14ac:dyDescent="0.3">
      <c r="A172" s="63" t="s">
        <v>79</v>
      </c>
      <c r="B172" s="123"/>
      <c r="C172" s="123"/>
      <c r="D172" s="123"/>
      <c r="E172" s="123"/>
      <c r="F172" s="123"/>
      <c r="G172" s="123"/>
      <c r="H172" s="123"/>
      <c r="I172" s="43"/>
      <c r="J172" s="119"/>
      <c r="K172" s="119"/>
      <c r="L172" s="200"/>
      <c r="M172" s="119"/>
      <c r="N172" s="119"/>
      <c r="O172" s="42"/>
      <c r="P172" s="123"/>
      <c r="Q172" s="43"/>
      <c r="R172" s="581"/>
      <c r="S172" s="581"/>
      <c r="T172" s="581"/>
      <c r="U172" s="581"/>
      <c r="V172" s="585"/>
      <c r="W172" s="585"/>
      <c r="X172" s="585"/>
      <c r="Y172" s="43"/>
      <c r="Z172" s="581"/>
      <c r="AA172" s="581"/>
      <c r="AB172" s="585"/>
      <c r="AC172" s="585"/>
      <c r="AD172" s="585"/>
      <c r="AE172" s="581"/>
      <c r="AF172" s="581"/>
      <c r="AG172" s="42"/>
      <c r="AH172" s="42"/>
      <c r="AI172" s="42"/>
      <c r="AJ172" s="43"/>
      <c r="AK172" s="661">
        <v>327.45</v>
      </c>
      <c r="AL172" s="204"/>
    </row>
    <row r="173" spans="1:38" ht="19.5" thickBot="1" x14ac:dyDescent="0.35">
      <c r="A173" s="281" t="s">
        <v>2</v>
      </c>
      <c r="B173" s="241">
        <f t="shared" ref="B173:G173" si="7">SUM(B167:B172)</f>
        <v>160.18</v>
      </c>
      <c r="C173" s="241">
        <f t="shared" si="7"/>
        <v>53</v>
      </c>
      <c r="D173" s="241">
        <f t="shared" si="7"/>
        <v>124.7</v>
      </c>
      <c r="E173" s="241">
        <f t="shared" si="7"/>
        <v>87.2</v>
      </c>
      <c r="F173" s="241">
        <f t="shared" si="7"/>
        <v>100</v>
      </c>
      <c r="G173" s="241">
        <f t="shared" si="7"/>
        <v>0</v>
      </c>
      <c r="H173" s="241">
        <f>SUM(H167:H172)</f>
        <v>85.58</v>
      </c>
      <c r="I173" s="221">
        <f>SUM(B173:H173)</f>
        <v>610.66</v>
      </c>
      <c r="J173" s="241">
        <f>SUM(J167:J172)</f>
        <v>64.45</v>
      </c>
      <c r="K173" s="241">
        <f>SUM(K171:K172)</f>
        <v>65.3</v>
      </c>
      <c r="L173" s="241">
        <f>SUM(L167:L172)</f>
        <v>59.81</v>
      </c>
      <c r="M173" s="241">
        <f>SUM(M170:M171)</f>
        <v>90.61</v>
      </c>
      <c r="N173" s="241">
        <f>SUM(N167:N172)</f>
        <v>146.22999999999999</v>
      </c>
      <c r="O173" s="241">
        <f>SUM(O167:O172)</f>
        <v>68.650000000000006</v>
      </c>
      <c r="P173" s="241">
        <f>SUM(P167:P172)</f>
        <v>74.58</v>
      </c>
      <c r="Q173" s="221">
        <f>SUM(J173:P173)</f>
        <v>569.63</v>
      </c>
      <c r="R173" s="241">
        <f>SUM(R171:R172)</f>
        <v>98.39</v>
      </c>
      <c r="S173" s="241">
        <f>SUM(S171:S172)</f>
        <v>111.63</v>
      </c>
      <c r="T173" s="241">
        <f>SUM(T168:T172)</f>
        <v>49.48</v>
      </c>
      <c r="U173" s="241">
        <f>SUM(U167:U172)</f>
        <v>33.950000000000003</v>
      </c>
      <c r="V173" s="241">
        <f>SUM(V170:V172)</f>
        <v>113.99</v>
      </c>
      <c r="W173" s="241">
        <f>SUM(W167:W172)</f>
        <v>0</v>
      </c>
      <c r="X173" s="241">
        <f>SUM(X168:X172)</f>
        <v>96.16</v>
      </c>
      <c r="Y173" s="221">
        <f>SUM(R173:X173)</f>
        <v>503.6</v>
      </c>
      <c r="Z173" s="241">
        <f>SUM(Z170:Z172)</f>
        <v>47.21</v>
      </c>
      <c r="AA173" s="241">
        <f t="shared" ref="AA173:AF173" si="8">SUM(AA167:AA172)</f>
        <v>29.35</v>
      </c>
      <c r="AB173" s="241">
        <f t="shared" si="8"/>
        <v>0</v>
      </c>
      <c r="AC173" s="241">
        <f t="shared" si="8"/>
        <v>184.4</v>
      </c>
      <c r="AD173" s="241">
        <f t="shared" si="8"/>
        <v>66.489999999999995</v>
      </c>
      <c r="AE173" s="241">
        <f t="shared" si="8"/>
        <v>0</v>
      </c>
      <c r="AF173" s="241">
        <f t="shared" si="8"/>
        <v>0</v>
      </c>
      <c r="AG173" s="191"/>
      <c r="AH173" s="191"/>
      <c r="AI173" s="191"/>
      <c r="AJ173" s="376">
        <f>SUM(Z173:AI173)</f>
        <v>327.45000000000005</v>
      </c>
      <c r="AK173" s="700">
        <f>SUM(AK169:AK172)</f>
        <v>2011.34</v>
      </c>
      <c r="AL173" s="284"/>
    </row>
    <row r="174" spans="1:38" ht="15.75" thickBot="1" x14ac:dyDescent="0.3">
      <c r="A174" s="264"/>
      <c r="B174" s="625" t="s">
        <v>340</v>
      </c>
      <c r="C174" s="625" t="s">
        <v>340</v>
      </c>
      <c r="D174" s="625" t="s">
        <v>340</v>
      </c>
      <c r="E174" s="625" t="s">
        <v>340</v>
      </c>
      <c r="F174" s="625" t="s">
        <v>340</v>
      </c>
      <c r="G174" s="625" t="s">
        <v>353</v>
      </c>
      <c r="H174" s="625" t="s">
        <v>340</v>
      </c>
      <c r="I174" s="225"/>
      <c r="J174" s="625" t="s">
        <v>340</v>
      </c>
      <c r="K174" s="625" t="s">
        <v>340</v>
      </c>
      <c r="L174" s="625" t="s">
        <v>340</v>
      </c>
      <c r="M174" s="625" t="s">
        <v>340</v>
      </c>
      <c r="N174" s="625" t="s">
        <v>340</v>
      </c>
      <c r="O174" s="625" t="s">
        <v>340</v>
      </c>
      <c r="P174" s="625" t="s">
        <v>340</v>
      </c>
      <c r="Q174" s="225"/>
      <c r="R174" s="625" t="s">
        <v>340</v>
      </c>
      <c r="S174" s="625" t="s">
        <v>340</v>
      </c>
      <c r="T174" s="625" t="s">
        <v>340</v>
      </c>
      <c r="U174" s="625" t="s">
        <v>340</v>
      </c>
      <c r="V174" s="625" t="s">
        <v>340</v>
      </c>
      <c r="W174" s="625" t="s">
        <v>340</v>
      </c>
      <c r="X174" s="625" t="s">
        <v>340</v>
      </c>
      <c r="Y174" s="225"/>
      <c r="Z174" s="625" t="s">
        <v>340</v>
      </c>
      <c r="AA174" s="625" t="s">
        <v>340</v>
      </c>
      <c r="AB174" s="625" t="s">
        <v>353</v>
      </c>
      <c r="AC174" s="625" t="s">
        <v>340</v>
      </c>
      <c r="AD174" s="625" t="s">
        <v>340</v>
      </c>
      <c r="AE174" s="625" t="s">
        <v>353</v>
      </c>
      <c r="AF174" s="625" t="s">
        <v>353</v>
      </c>
      <c r="AG174" s="625"/>
      <c r="AH174" s="625"/>
      <c r="AI174" s="625"/>
      <c r="AJ174" s="225"/>
      <c r="AK174" s="225"/>
      <c r="AL174" s="228"/>
    </row>
    <row r="175" spans="1:38" ht="24" thickBot="1" x14ac:dyDescent="0.4">
      <c r="A175" s="294" t="s">
        <v>115</v>
      </c>
      <c r="B175" s="295"/>
      <c r="C175" s="295"/>
      <c r="D175" s="295"/>
      <c r="E175" s="295"/>
      <c r="F175" s="295"/>
      <c r="G175" s="296"/>
      <c r="H175" s="296"/>
      <c r="I175" s="297"/>
      <c r="J175" s="297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301"/>
      <c r="AK175" s="462"/>
      <c r="AL175" s="301"/>
    </row>
    <row r="176" spans="1:38" ht="16.5" thickBot="1" x14ac:dyDescent="0.3">
      <c r="A176" s="319" t="s">
        <v>8</v>
      </c>
      <c r="B176" s="328">
        <v>1</v>
      </c>
      <c r="C176" s="328">
        <v>2</v>
      </c>
      <c r="D176" s="328">
        <v>3</v>
      </c>
      <c r="E176" s="328">
        <v>4</v>
      </c>
      <c r="F176" s="328">
        <v>5</v>
      </c>
      <c r="G176" s="328">
        <v>6</v>
      </c>
      <c r="H176" s="328">
        <v>7</v>
      </c>
      <c r="I176" s="629" t="s">
        <v>338</v>
      </c>
      <c r="J176" s="328">
        <v>8</v>
      </c>
      <c r="K176" s="328">
        <v>9</v>
      </c>
      <c r="L176" s="328">
        <v>10</v>
      </c>
      <c r="M176" s="328">
        <v>11</v>
      </c>
      <c r="N176" s="328">
        <v>12</v>
      </c>
      <c r="O176" s="328">
        <v>13</v>
      </c>
      <c r="P176" s="328">
        <v>14</v>
      </c>
      <c r="Q176" s="629" t="s">
        <v>338</v>
      </c>
      <c r="R176" s="328">
        <v>15</v>
      </c>
      <c r="S176" s="328">
        <v>16</v>
      </c>
      <c r="T176" s="328">
        <v>17</v>
      </c>
      <c r="U176" s="328">
        <v>18</v>
      </c>
      <c r="V176" s="328">
        <v>19</v>
      </c>
      <c r="W176" s="328">
        <v>20</v>
      </c>
      <c r="X176" s="328">
        <v>21</v>
      </c>
      <c r="Y176" s="629" t="s">
        <v>338</v>
      </c>
      <c r="Z176" s="328">
        <v>22</v>
      </c>
      <c r="AA176" s="328">
        <v>23</v>
      </c>
      <c r="AB176" s="328">
        <v>24</v>
      </c>
      <c r="AC176" s="328">
        <v>25</v>
      </c>
      <c r="AD176" s="328">
        <v>26</v>
      </c>
      <c r="AE176" s="328">
        <v>27</v>
      </c>
      <c r="AF176" s="328">
        <v>28</v>
      </c>
      <c r="AG176" s="328">
        <v>29</v>
      </c>
      <c r="AH176" s="328">
        <v>30</v>
      </c>
      <c r="AI176" s="328">
        <v>31</v>
      </c>
      <c r="AJ176" s="629" t="s">
        <v>338</v>
      </c>
      <c r="AK176" s="630" t="s">
        <v>339</v>
      </c>
      <c r="AL176" s="631" t="s">
        <v>42</v>
      </c>
    </row>
    <row r="177" spans="1:38" ht="15" customHeight="1" x14ac:dyDescent="0.25">
      <c r="A177" s="347" t="s">
        <v>29</v>
      </c>
      <c r="B177" s="303">
        <v>0</v>
      </c>
      <c r="C177" s="303">
        <v>0</v>
      </c>
      <c r="D177" s="303">
        <v>0</v>
      </c>
      <c r="E177" s="303">
        <v>0</v>
      </c>
      <c r="F177" s="303">
        <v>0</v>
      </c>
      <c r="G177" s="303">
        <v>0</v>
      </c>
      <c r="H177" s="303">
        <v>0</v>
      </c>
      <c r="I177" s="305"/>
      <c r="J177" s="303">
        <v>0</v>
      </c>
      <c r="K177" s="303">
        <v>0</v>
      </c>
      <c r="L177" s="411">
        <v>0</v>
      </c>
      <c r="M177" s="303">
        <v>0</v>
      </c>
      <c r="N177" s="303">
        <v>0</v>
      </c>
      <c r="O177" s="303">
        <v>0</v>
      </c>
      <c r="P177" s="303">
        <v>0</v>
      </c>
      <c r="Q177" s="305"/>
      <c r="R177" s="411">
        <v>0</v>
      </c>
      <c r="S177" s="303">
        <v>0</v>
      </c>
      <c r="T177" s="303">
        <v>0</v>
      </c>
      <c r="U177" s="303">
        <v>0</v>
      </c>
      <c r="V177" s="303">
        <v>0</v>
      </c>
      <c r="W177" s="411">
        <v>0</v>
      </c>
      <c r="X177" s="411">
        <v>0</v>
      </c>
      <c r="Y177" s="305"/>
      <c r="Z177" s="577">
        <v>0</v>
      </c>
      <c r="AA177" s="577">
        <v>0</v>
      </c>
      <c r="AB177" s="577">
        <v>0</v>
      </c>
      <c r="AC177" s="577">
        <v>0</v>
      </c>
      <c r="AD177" s="577">
        <v>0</v>
      </c>
      <c r="AE177" s="577">
        <v>0</v>
      </c>
      <c r="AF177" s="577">
        <v>0</v>
      </c>
      <c r="AG177" s="621"/>
      <c r="AH177" s="621"/>
      <c r="AI177" s="621"/>
      <c r="AJ177" s="305"/>
      <c r="AK177" s="650">
        <v>0</v>
      </c>
      <c r="AL177" s="207"/>
    </row>
    <row r="178" spans="1:38" ht="15" customHeight="1" x14ac:dyDescent="0.25">
      <c r="A178" s="67" t="s">
        <v>13</v>
      </c>
      <c r="B178" s="1"/>
      <c r="C178" s="1"/>
      <c r="D178" s="1"/>
      <c r="E178" s="1"/>
      <c r="F178" s="1"/>
      <c r="G178" s="1"/>
      <c r="H178" s="1"/>
      <c r="I178" s="37"/>
      <c r="J178" s="336"/>
      <c r="K178" s="336"/>
      <c r="L178" s="161"/>
      <c r="M178" s="2"/>
      <c r="N178" s="1"/>
      <c r="O178" s="1"/>
      <c r="P178" s="1"/>
      <c r="Q178" s="37"/>
      <c r="R178" s="161"/>
      <c r="S178" s="2"/>
      <c r="T178" s="2"/>
      <c r="U178" s="2"/>
      <c r="V178" s="2"/>
      <c r="W178" s="57"/>
      <c r="X178" s="57"/>
      <c r="Y178" s="37"/>
      <c r="Z178" s="530"/>
      <c r="AA178" s="530"/>
      <c r="AB178" s="537"/>
      <c r="AC178" s="537"/>
      <c r="AD178" s="537"/>
      <c r="AE178" s="531"/>
      <c r="AF178" s="531"/>
      <c r="AG178" s="2"/>
      <c r="AH178" s="2"/>
      <c r="AI178" s="2"/>
      <c r="AJ178" s="37"/>
      <c r="AK178" s="652">
        <v>0</v>
      </c>
      <c r="AL178" s="197"/>
    </row>
    <row r="179" spans="1:38" ht="15" customHeight="1" x14ac:dyDescent="0.25">
      <c r="A179" s="63" t="s">
        <v>14</v>
      </c>
      <c r="B179" s="123"/>
      <c r="C179" s="123"/>
      <c r="D179" s="123"/>
      <c r="E179" s="123"/>
      <c r="F179" s="123"/>
      <c r="G179" s="123"/>
      <c r="H179" s="123"/>
      <c r="I179" s="43"/>
      <c r="J179" s="366"/>
      <c r="K179" s="366"/>
      <c r="L179" s="177"/>
      <c r="M179" s="42"/>
      <c r="N179" s="123"/>
      <c r="O179" s="123"/>
      <c r="P179" s="123"/>
      <c r="Q179" s="43"/>
      <c r="R179" s="177"/>
      <c r="S179" s="42"/>
      <c r="T179" s="42"/>
      <c r="U179" s="42"/>
      <c r="V179" s="42"/>
      <c r="W179" s="178"/>
      <c r="X179" s="178"/>
      <c r="Y179" s="43"/>
      <c r="Z179" s="576"/>
      <c r="AA179" s="576"/>
      <c r="AB179" s="581"/>
      <c r="AC179" s="581"/>
      <c r="AD179" s="581"/>
      <c r="AE179" s="596"/>
      <c r="AF179" s="596"/>
      <c r="AG179" s="42"/>
      <c r="AH179" s="42"/>
      <c r="AI179" s="42"/>
      <c r="AJ179" s="43"/>
      <c r="AK179" s="662">
        <v>0</v>
      </c>
      <c r="AL179" s="204"/>
    </row>
    <row r="180" spans="1:38" ht="15" customHeight="1" thickBot="1" x14ac:dyDescent="0.35">
      <c r="A180" s="349"/>
      <c r="B180" s="175"/>
      <c r="C180" s="175"/>
      <c r="D180" s="175"/>
      <c r="E180" s="175"/>
      <c r="F180" s="175"/>
      <c r="G180" s="175"/>
      <c r="H180" s="175"/>
      <c r="I180" s="127"/>
      <c r="J180" s="245"/>
      <c r="K180" s="245"/>
      <c r="L180" s="175"/>
      <c r="M180" s="245"/>
      <c r="N180" s="245"/>
      <c r="O180" s="245"/>
      <c r="P180" s="245"/>
      <c r="Q180" s="45"/>
      <c r="R180" s="175"/>
      <c r="S180" s="245"/>
      <c r="T180" s="245"/>
      <c r="U180" s="245"/>
      <c r="V180" s="245"/>
      <c r="W180" s="175"/>
      <c r="X180" s="175"/>
      <c r="Y180" s="45"/>
      <c r="Z180" s="576"/>
      <c r="AA180" s="576"/>
      <c r="AB180" s="576"/>
      <c r="AC180" s="576"/>
      <c r="AD180" s="576"/>
      <c r="AE180" s="596"/>
      <c r="AF180" s="596"/>
      <c r="AG180" s="245"/>
      <c r="AH180" s="245"/>
      <c r="AI180" s="245"/>
      <c r="AJ180" s="43"/>
      <c r="AK180" s="692">
        <v>0</v>
      </c>
      <c r="AL180" s="204"/>
    </row>
    <row r="181" spans="1:38" ht="18.75" x14ac:dyDescent="0.3">
      <c r="A181" s="281" t="s">
        <v>2</v>
      </c>
      <c r="B181" s="163">
        <v>0</v>
      </c>
      <c r="C181" s="163">
        <f t="shared" ref="C181:H181" si="9">SUM(C177:C180)</f>
        <v>0</v>
      </c>
      <c r="D181" s="163">
        <f t="shared" si="9"/>
        <v>0</v>
      </c>
      <c r="E181" s="163">
        <f t="shared" si="9"/>
        <v>0</v>
      </c>
      <c r="F181" s="163">
        <f t="shared" si="9"/>
        <v>0</v>
      </c>
      <c r="G181" s="163">
        <f t="shared" si="9"/>
        <v>0</v>
      </c>
      <c r="H181" s="163">
        <f t="shared" si="9"/>
        <v>0</v>
      </c>
      <c r="I181" s="221">
        <f>SUM(B181:H181)</f>
        <v>0</v>
      </c>
      <c r="J181" s="163">
        <f t="shared" ref="J181:P181" si="10">SUM(J177:J180)</f>
        <v>0</v>
      </c>
      <c r="K181" s="163">
        <f t="shared" si="10"/>
        <v>0</v>
      </c>
      <c r="L181" s="163">
        <f t="shared" si="10"/>
        <v>0</v>
      </c>
      <c r="M181" s="163">
        <f t="shared" si="10"/>
        <v>0</v>
      </c>
      <c r="N181" s="163">
        <f t="shared" si="10"/>
        <v>0</v>
      </c>
      <c r="O181" s="163">
        <f t="shared" si="10"/>
        <v>0</v>
      </c>
      <c r="P181" s="163">
        <f t="shared" si="10"/>
        <v>0</v>
      </c>
      <c r="Q181" s="221">
        <f>SUM(J181:P181)</f>
        <v>0</v>
      </c>
      <c r="R181" s="163">
        <f t="shared" ref="R181:X181" si="11">SUM(R177:R180)</f>
        <v>0</v>
      </c>
      <c r="S181" s="163">
        <f t="shared" si="11"/>
        <v>0</v>
      </c>
      <c r="T181" s="163">
        <f t="shared" si="11"/>
        <v>0</v>
      </c>
      <c r="U181" s="163">
        <f t="shared" si="11"/>
        <v>0</v>
      </c>
      <c r="V181" s="163">
        <f t="shared" si="11"/>
        <v>0</v>
      </c>
      <c r="W181" s="163">
        <f t="shared" si="11"/>
        <v>0</v>
      </c>
      <c r="X181" s="163">
        <f t="shared" si="11"/>
        <v>0</v>
      </c>
      <c r="Y181" s="221">
        <f>SUM(R181:X181)</f>
        <v>0</v>
      </c>
      <c r="Z181" s="163">
        <f t="shared" ref="Z181:AF181" si="12">SUM(Z177:Z180)</f>
        <v>0</v>
      </c>
      <c r="AA181" s="163">
        <f t="shared" si="12"/>
        <v>0</v>
      </c>
      <c r="AB181" s="163">
        <f t="shared" si="12"/>
        <v>0</v>
      </c>
      <c r="AC181" s="163">
        <f t="shared" si="12"/>
        <v>0</v>
      </c>
      <c r="AD181" s="163">
        <f t="shared" si="12"/>
        <v>0</v>
      </c>
      <c r="AE181" s="163">
        <f t="shared" si="12"/>
        <v>0</v>
      </c>
      <c r="AF181" s="163">
        <f t="shared" si="12"/>
        <v>0</v>
      </c>
      <c r="AG181" s="50"/>
      <c r="AH181" s="50"/>
      <c r="AI181" s="50"/>
      <c r="AJ181" s="699">
        <f>SUM(Z181:AI181)</f>
        <v>0</v>
      </c>
      <c r="AK181" s="698">
        <f>SUM(AK177:AK180)</f>
        <v>0</v>
      </c>
      <c r="AL181" s="235"/>
    </row>
    <row r="182" spans="1:38" ht="15.75" thickBot="1" x14ac:dyDescent="0.3">
      <c r="A182" s="264"/>
      <c r="B182" s="265" t="s">
        <v>334</v>
      </c>
      <c r="C182" s="265" t="s">
        <v>334</v>
      </c>
      <c r="D182" s="265" t="s">
        <v>334</v>
      </c>
      <c r="E182" s="265" t="s">
        <v>334</v>
      </c>
      <c r="F182" s="265" t="s">
        <v>334</v>
      </c>
      <c r="G182" s="265" t="s">
        <v>334</v>
      </c>
      <c r="H182" s="265" t="s">
        <v>334</v>
      </c>
      <c r="I182" s="56"/>
      <c r="J182" s="265" t="s">
        <v>334</v>
      </c>
      <c r="K182" s="265" t="s">
        <v>334</v>
      </c>
      <c r="L182" s="265" t="s">
        <v>334</v>
      </c>
      <c r="M182" s="265" t="s">
        <v>334</v>
      </c>
      <c r="N182" s="265" t="s">
        <v>334</v>
      </c>
      <c r="O182" s="265" t="s">
        <v>334</v>
      </c>
      <c r="P182" s="265" t="s">
        <v>334</v>
      </c>
      <c r="Q182" s="56"/>
      <c r="R182" s="265" t="s">
        <v>334</v>
      </c>
      <c r="S182" s="265" t="s">
        <v>334</v>
      </c>
      <c r="T182" s="265" t="s">
        <v>334</v>
      </c>
      <c r="U182" s="265" t="s">
        <v>334</v>
      </c>
      <c r="V182" s="265" t="s">
        <v>334</v>
      </c>
      <c r="W182" s="265" t="s">
        <v>334</v>
      </c>
      <c r="X182" s="265" t="s">
        <v>334</v>
      </c>
      <c r="Y182" s="56"/>
      <c r="Z182" s="265" t="s">
        <v>334</v>
      </c>
      <c r="AA182" s="265" t="s">
        <v>334</v>
      </c>
      <c r="AB182" s="265" t="s">
        <v>334</v>
      </c>
      <c r="AC182" s="265" t="s">
        <v>334</v>
      </c>
      <c r="AD182" s="265" t="s">
        <v>334</v>
      </c>
      <c r="AE182" s="265" t="s">
        <v>334</v>
      </c>
      <c r="AF182" s="265" t="s">
        <v>334</v>
      </c>
      <c r="AG182" s="265"/>
      <c r="AH182" s="265"/>
      <c r="AI182" s="265"/>
      <c r="AJ182" s="56"/>
      <c r="AK182" s="225"/>
      <c r="AL182" s="228"/>
    </row>
    <row r="183" spans="1:38" ht="24" thickBot="1" x14ac:dyDescent="0.4">
      <c r="A183" s="294" t="s">
        <v>117</v>
      </c>
      <c r="B183" s="295"/>
      <c r="C183" s="295"/>
      <c r="D183" s="295"/>
      <c r="E183" s="295"/>
      <c r="F183" s="295"/>
      <c r="G183" s="296"/>
      <c r="H183" s="296"/>
      <c r="I183" s="297"/>
      <c r="J183" s="297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301"/>
      <c r="AK183" s="462"/>
      <c r="AL183" s="301"/>
    </row>
    <row r="184" spans="1:38" ht="16.5" thickBot="1" x14ac:dyDescent="0.3">
      <c r="A184" s="319" t="s">
        <v>8</v>
      </c>
      <c r="B184" s="328">
        <v>1</v>
      </c>
      <c r="C184" s="328">
        <v>2</v>
      </c>
      <c r="D184" s="328">
        <v>3</v>
      </c>
      <c r="E184" s="328">
        <v>4</v>
      </c>
      <c r="F184" s="328">
        <v>5</v>
      </c>
      <c r="G184" s="328">
        <v>6</v>
      </c>
      <c r="H184" s="328">
        <v>7</v>
      </c>
      <c r="I184" s="629" t="s">
        <v>338</v>
      </c>
      <c r="J184" s="328">
        <v>8</v>
      </c>
      <c r="K184" s="328">
        <v>9</v>
      </c>
      <c r="L184" s="328">
        <v>10</v>
      </c>
      <c r="M184" s="328">
        <v>11</v>
      </c>
      <c r="N184" s="328">
        <v>12</v>
      </c>
      <c r="O184" s="328">
        <v>13</v>
      </c>
      <c r="P184" s="328">
        <v>14</v>
      </c>
      <c r="Q184" s="629" t="s">
        <v>338</v>
      </c>
      <c r="R184" s="328">
        <v>15</v>
      </c>
      <c r="S184" s="328">
        <v>16</v>
      </c>
      <c r="T184" s="328">
        <v>17</v>
      </c>
      <c r="U184" s="328">
        <v>18</v>
      </c>
      <c r="V184" s="328">
        <v>19</v>
      </c>
      <c r="W184" s="328">
        <v>20</v>
      </c>
      <c r="X184" s="328">
        <v>21</v>
      </c>
      <c r="Y184" s="629" t="s">
        <v>338</v>
      </c>
      <c r="Z184" s="328">
        <v>22</v>
      </c>
      <c r="AA184" s="328">
        <v>23</v>
      </c>
      <c r="AB184" s="328">
        <v>24</v>
      </c>
      <c r="AC184" s="328">
        <v>25</v>
      </c>
      <c r="AD184" s="328">
        <v>26</v>
      </c>
      <c r="AE184" s="328">
        <v>27</v>
      </c>
      <c r="AF184" s="328">
        <v>28</v>
      </c>
      <c r="AG184" s="328">
        <v>29</v>
      </c>
      <c r="AH184" s="328">
        <v>30</v>
      </c>
      <c r="AI184" s="328">
        <v>31</v>
      </c>
      <c r="AJ184" s="629" t="s">
        <v>338</v>
      </c>
      <c r="AK184" s="630" t="s">
        <v>339</v>
      </c>
      <c r="AL184" s="631" t="s">
        <v>42</v>
      </c>
    </row>
    <row r="185" spans="1:38" x14ac:dyDescent="0.25">
      <c r="A185" s="347" t="s">
        <v>32</v>
      </c>
      <c r="B185" s="303">
        <v>0</v>
      </c>
      <c r="C185" s="303">
        <v>0</v>
      </c>
      <c r="D185" s="303"/>
      <c r="E185" s="303"/>
      <c r="F185" s="303"/>
      <c r="G185" s="303"/>
      <c r="H185" s="303"/>
      <c r="I185" s="305"/>
      <c r="J185" s="620">
        <v>0</v>
      </c>
      <c r="K185" s="303">
        <v>0</v>
      </c>
      <c r="L185" s="303">
        <v>33.19</v>
      </c>
      <c r="M185" s="303">
        <v>0</v>
      </c>
      <c r="N185" s="303">
        <v>0</v>
      </c>
      <c r="O185" s="303">
        <v>0</v>
      </c>
      <c r="P185" s="303">
        <v>0</v>
      </c>
      <c r="Q185" s="305"/>
      <c r="R185" s="628"/>
      <c r="S185" s="620"/>
      <c r="T185" s="620"/>
      <c r="U185" s="303">
        <v>0</v>
      </c>
      <c r="V185" s="303"/>
      <c r="W185" s="411">
        <v>0</v>
      </c>
      <c r="X185" s="411"/>
      <c r="Y185" s="305"/>
      <c r="Z185" s="618"/>
      <c r="AA185" s="575"/>
      <c r="AB185" s="618"/>
      <c r="AC185" s="577">
        <v>0</v>
      </c>
      <c r="AD185" s="411">
        <v>50</v>
      </c>
      <c r="AE185" s="577">
        <v>0</v>
      </c>
      <c r="AF185" s="577">
        <v>0</v>
      </c>
      <c r="AG185" s="620"/>
      <c r="AH185" s="620"/>
      <c r="AI185" s="620"/>
      <c r="AJ185" s="305"/>
      <c r="AK185" s="184"/>
      <c r="AL185" s="207"/>
    </row>
    <row r="186" spans="1:38" x14ac:dyDescent="0.25">
      <c r="A186" s="67" t="s">
        <v>15</v>
      </c>
      <c r="B186" s="1"/>
      <c r="C186" s="1"/>
      <c r="D186" s="1"/>
      <c r="E186" s="1">
        <v>25.93</v>
      </c>
      <c r="F186" s="1"/>
      <c r="G186" s="1"/>
      <c r="H186" s="1"/>
      <c r="I186" s="37"/>
      <c r="J186" s="118"/>
      <c r="K186" s="2"/>
      <c r="L186" s="2"/>
      <c r="M186" s="336"/>
      <c r="N186" s="1"/>
      <c r="O186" s="1">
        <v>40.619999999999997</v>
      </c>
      <c r="P186" s="1"/>
      <c r="Q186" s="37"/>
      <c r="R186" s="161"/>
      <c r="S186" s="118"/>
      <c r="T186" s="118">
        <v>18.07</v>
      </c>
      <c r="U186" s="118"/>
      <c r="V186" s="118"/>
      <c r="W186" s="57"/>
      <c r="X186" s="57"/>
      <c r="Y186" s="37"/>
      <c r="Z186" s="1">
        <v>26.58</v>
      </c>
      <c r="AA186" s="537"/>
      <c r="AB186" s="537"/>
      <c r="AC186" s="537"/>
      <c r="AD186" s="537"/>
      <c r="AE186" s="594"/>
      <c r="AF186" s="594"/>
      <c r="AG186" s="118"/>
      <c r="AH186" s="118"/>
      <c r="AI186" s="118"/>
      <c r="AJ186" s="37"/>
      <c r="AK186" s="38"/>
      <c r="AL186" s="197"/>
    </row>
    <row r="187" spans="1:38" x14ac:dyDescent="0.25">
      <c r="A187" s="719" t="s">
        <v>34</v>
      </c>
      <c r="B187" s="1"/>
      <c r="C187" s="1"/>
      <c r="D187" s="1"/>
      <c r="E187" s="1"/>
      <c r="F187" s="1"/>
      <c r="G187" s="1"/>
      <c r="H187" s="1"/>
      <c r="I187" s="37"/>
      <c r="J187" s="118"/>
      <c r="K187" s="2"/>
      <c r="L187" s="2"/>
      <c r="M187" s="336"/>
      <c r="N187" s="1"/>
      <c r="O187" s="1"/>
      <c r="P187" s="1"/>
      <c r="Q187" s="37"/>
      <c r="R187" s="161"/>
      <c r="S187" s="118"/>
      <c r="T187" s="118"/>
      <c r="U187" s="118"/>
      <c r="V187" s="118"/>
      <c r="W187" s="57"/>
      <c r="X187" s="57"/>
      <c r="Y187" s="37"/>
      <c r="Z187" s="537"/>
      <c r="AA187" s="537"/>
      <c r="AB187" s="537"/>
      <c r="AC187" s="537"/>
      <c r="AD187" s="537"/>
      <c r="AE187" s="594"/>
      <c r="AF187" s="594"/>
      <c r="AG187" s="118"/>
      <c r="AH187" s="118"/>
      <c r="AI187" s="118"/>
      <c r="AJ187" s="37"/>
      <c r="AK187" s="38"/>
      <c r="AL187" s="197"/>
    </row>
    <row r="188" spans="1:38" x14ac:dyDescent="0.25">
      <c r="A188" s="719" t="s">
        <v>297</v>
      </c>
      <c r="B188" s="1"/>
      <c r="C188" s="1"/>
      <c r="D188" s="1"/>
      <c r="E188" s="1"/>
      <c r="F188" s="1"/>
      <c r="G188" s="1"/>
      <c r="H188" s="1"/>
      <c r="I188" s="37"/>
      <c r="J188" s="118"/>
      <c r="K188" s="2"/>
      <c r="L188" s="2"/>
      <c r="M188" s="336"/>
      <c r="N188" s="1"/>
      <c r="O188" s="1"/>
      <c r="P188" s="1">
        <v>38.42</v>
      </c>
      <c r="Q188" s="37"/>
      <c r="R188" s="161"/>
      <c r="S188" s="118"/>
      <c r="T188" s="118"/>
      <c r="U188" s="118"/>
      <c r="V188" s="118"/>
      <c r="W188" s="57"/>
      <c r="X188" s="57"/>
      <c r="Y188" s="37"/>
      <c r="Z188" s="537"/>
      <c r="AA188" s="537"/>
      <c r="AB188" s="537"/>
      <c r="AC188" s="537"/>
      <c r="AD188" s="537"/>
      <c r="AE188" s="594"/>
      <c r="AF188" s="594"/>
      <c r="AG188" s="118"/>
      <c r="AH188" s="118"/>
      <c r="AI188" s="118"/>
      <c r="AJ188" s="37"/>
      <c r="AK188" s="38"/>
      <c r="AL188" s="197"/>
    </row>
    <row r="189" spans="1:38" x14ac:dyDescent="0.25">
      <c r="A189" s="67" t="s">
        <v>31</v>
      </c>
      <c r="B189" s="1"/>
      <c r="C189" s="1">
        <v>34.049999999999997</v>
      </c>
      <c r="D189" s="1"/>
      <c r="E189" s="1"/>
      <c r="F189" s="1"/>
      <c r="G189" s="1"/>
      <c r="H189" s="1"/>
      <c r="I189" s="37"/>
      <c r="J189" s="118"/>
      <c r="K189" s="2"/>
      <c r="L189" s="2"/>
      <c r="M189" s="336"/>
      <c r="N189" s="1"/>
      <c r="O189" s="1">
        <v>28.19</v>
      </c>
      <c r="P189" s="1"/>
      <c r="Q189" s="37"/>
      <c r="R189" s="161"/>
      <c r="S189" s="118"/>
      <c r="T189" s="118"/>
      <c r="U189" s="118"/>
      <c r="V189" s="118"/>
      <c r="W189" s="57"/>
      <c r="X189" s="57"/>
      <c r="Y189" s="37"/>
      <c r="Z189" s="537"/>
      <c r="AA189" s="537"/>
      <c r="AB189" s="161">
        <v>22.58</v>
      </c>
      <c r="AC189" s="537"/>
      <c r="AD189" s="537"/>
      <c r="AE189" s="594"/>
      <c r="AF189" s="594"/>
      <c r="AG189" s="118"/>
      <c r="AH189" s="118"/>
      <c r="AI189" s="118"/>
      <c r="AJ189" s="37"/>
      <c r="AK189" s="38"/>
      <c r="AL189" s="197"/>
    </row>
    <row r="190" spans="1:38" x14ac:dyDescent="0.25">
      <c r="A190" s="67" t="s">
        <v>30</v>
      </c>
      <c r="B190" s="1">
        <v>34.299999999999997</v>
      </c>
      <c r="C190" s="1"/>
      <c r="D190" s="1">
        <v>36.03</v>
      </c>
      <c r="E190" s="1">
        <v>15.59</v>
      </c>
      <c r="F190" s="1">
        <v>23.18</v>
      </c>
      <c r="G190" s="1">
        <v>18.73</v>
      </c>
      <c r="H190" s="1"/>
      <c r="I190" s="37"/>
      <c r="J190" s="118"/>
      <c r="K190" s="2"/>
      <c r="L190" s="2"/>
      <c r="M190" s="336"/>
      <c r="N190" s="1"/>
      <c r="O190" s="1"/>
      <c r="P190" s="1"/>
      <c r="Q190" s="37"/>
      <c r="R190" s="161"/>
      <c r="S190" s="118">
        <v>40.25</v>
      </c>
      <c r="T190" s="118"/>
      <c r="U190" s="118"/>
      <c r="V190" s="118"/>
      <c r="W190" s="57"/>
      <c r="X190" s="57"/>
      <c r="Y190" s="37"/>
      <c r="Z190" s="118">
        <v>19.62</v>
      </c>
      <c r="AA190" s="537"/>
      <c r="AB190" s="161">
        <v>37.99</v>
      </c>
      <c r="AC190" s="537"/>
      <c r="AD190" s="161">
        <v>37.450000000000003</v>
      </c>
      <c r="AE190" s="594"/>
      <c r="AF190" s="672">
        <v>30.03</v>
      </c>
      <c r="AG190" s="118"/>
      <c r="AH190" s="118"/>
      <c r="AI190" s="118"/>
      <c r="AJ190" s="37"/>
      <c r="AK190" s="38"/>
      <c r="AL190" s="197"/>
    </row>
    <row r="191" spans="1:38" x14ac:dyDescent="0.25">
      <c r="A191" s="67" t="s">
        <v>17</v>
      </c>
      <c r="B191" s="1"/>
      <c r="C191" s="1"/>
      <c r="D191" s="1"/>
      <c r="E191" s="1">
        <v>29.44</v>
      </c>
      <c r="F191" s="1"/>
      <c r="G191" s="1"/>
      <c r="H191" s="1">
        <v>15.6</v>
      </c>
      <c r="I191" s="37"/>
      <c r="J191" s="118">
        <v>14.77</v>
      </c>
      <c r="K191" s="118"/>
      <c r="L191" s="1">
        <v>40</v>
      </c>
      <c r="M191" s="1">
        <v>30.67</v>
      </c>
      <c r="N191" s="1">
        <v>14.88</v>
      </c>
      <c r="O191" s="1">
        <v>14.33</v>
      </c>
      <c r="P191" s="1"/>
      <c r="Q191" s="37"/>
      <c r="R191" s="161">
        <v>17.62</v>
      </c>
      <c r="S191" s="118"/>
      <c r="T191" s="118">
        <v>33.35</v>
      </c>
      <c r="U191" s="118"/>
      <c r="V191" s="118">
        <v>27.98</v>
      </c>
      <c r="W191" s="57"/>
      <c r="X191" s="57">
        <v>14.52</v>
      </c>
      <c r="Y191" s="37"/>
      <c r="Z191" s="537"/>
      <c r="AA191" s="118">
        <v>31.92</v>
      </c>
      <c r="AB191" s="537"/>
      <c r="AC191" s="537"/>
      <c r="AD191" s="537"/>
      <c r="AE191" s="594"/>
      <c r="AF191" s="594"/>
      <c r="AG191" s="118"/>
      <c r="AH191" s="118"/>
      <c r="AI191" s="118"/>
      <c r="AJ191" s="37"/>
      <c r="AK191" s="38"/>
      <c r="AL191" s="197"/>
    </row>
    <row r="192" spans="1:38" ht="15.75" x14ac:dyDescent="0.25">
      <c r="A192" s="67" t="s">
        <v>16</v>
      </c>
      <c r="B192" s="1"/>
      <c r="C192" s="1"/>
      <c r="D192" s="1"/>
      <c r="E192" s="1"/>
      <c r="F192" s="1">
        <v>39.909999999999997</v>
      </c>
      <c r="G192" s="1"/>
      <c r="H192" s="1"/>
      <c r="I192" s="37"/>
      <c r="J192" s="118"/>
      <c r="K192" s="2"/>
      <c r="L192" s="118"/>
      <c r="M192" s="336"/>
      <c r="N192" s="1"/>
      <c r="O192" s="1"/>
      <c r="P192" s="1"/>
      <c r="Q192" s="37"/>
      <c r="R192" s="161"/>
      <c r="S192" s="118"/>
      <c r="T192" s="118">
        <v>22.36</v>
      </c>
      <c r="U192" s="118"/>
      <c r="V192" s="118"/>
      <c r="W192" s="57"/>
      <c r="X192" s="57"/>
      <c r="Y192" s="37"/>
      <c r="Z192" s="537"/>
      <c r="AA192" s="537"/>
      <c r="AB192" s="537"/>
      <c r="AC192" s="537"/>
      <c r="AD192" s="161">
        <v>25.57</v>
      </c>
      <c r="AE192" s="594"/>
      <c r="AF192" s="594"/>
      <c r="AG192" s="118"/>
      <c r="AH192" s="118"/>
      <c r="AI192" s="118"/>
      <c r="AJ192" s="37"/>
      <c r="AK192" s="648">
        <v>272.76</v>
      </c>
      <c r="AL192" s="197"/>
    </row>
    <row r="193" spans="1:38" ht="15" customHeight="1" x14ac:dyDescent="0.25">
      <c r="A193" s="67" t="s">
        <v>33</v>
      </c>
      <c r="B193" s="123"/>
      <c r="C193" s="123"/>
      <c r="D193" s="123"/>
      <c r="E193" s="123"/>
      <c r="F193" s="123"/>
      <c r="G193" s="123"/>
      <c r="H193" s="123"/>
      <c r="I193" s="43"/>
      <c r="J193" s="119"/>
      <c r="K193" s="42"/>
      <c r="L193" s="119">
        <v>39.75</v>
      </c>
      <c r="M193" s="366"/>
      <c r="N193" s="123"/>
      <c r="O193" s="123"/>
      <c r="P193" s="123"/>
      <c r="Q193" s="43"/>
      <c r="R193" s="177"/>
      <c r="S193" s="119"/>
      <c r="T193" s="119"/>
      <c r="U193" s="119"/>
      <c r="V193" s="119"/>
      <c r="W193" s="178"/>
      <c r="X193" s="178"/>
      <c r="Y193" s="43"/>
      <c r="Z193" s="581"/>
      <c r="AA193" s="581"/>
      <c r="AB193" s="581"/>
      <c r="AC193" s="581"/>
      <c r="AD193" s="576"/>
      <c r="AE193" s="600"/>
      <c r="AF193" s="600"/>
      <c r="AG193" s="119"/>
      <c r="AH193" s="119"/>
      <c r="AI193" s="119"/>
      <c r="AJ193" s="43"/>
      <c r="AK193" s="661">
        <v>342.52</v>
      </c>
      <c r="AL193" s="204"/>
    </row>
    <row r="194" spans="1:38" ht="15" customHeight="1" x14ac:dyDescent="0.25">
      <c r="A194" s="63" t="s">
        <v>18</v>
      </c>
      <c r="B194" s="135"/>
      <c r="C194" s="135"/>
      <c r="D194" s="135"/>
      <c r="E194" s="135"/>
      <c r="F194" s="135"/>
      <c r="G194" s="135"/>
      <c r="H194" s="135"/>
      <c r="I194" s="47"/>
      <c r="J194" s="135"/>
      <c r="K194" s="124"/>
      <c r="L194" s="124"/>
      <c r="M194" s="124"/>
      <c r="N194" s="124"/>
      <c r="O194" s="135">
        <v>47.7</v>
      </c>
      <c r="P194" s="124"/>
      <c r="Q194" s="47"/>
      <c r="R194" s="135"/>
      <c r="S194" s="124"/>
      <c r="T194" s="135"/>
      <c r="U194" s="124"/>
      <c r="V194" s="124"/>
      <c r="W194" s="135"/>
      <c r="X194" s="135">
        <v>40</v>
      </c>
      <c r="Y194" s="47"/>
      <c r="Z194" s="530"/>
      <c r="AA194" s="530"/>
      <c r="AB194" s="135">
        <v>23.94</v>
      </c>
      <c r="AC194" s="530"/>
      <c r="AD194" s="530"/>
      <c r="AE194" s="531"/>
      <c r="AF194" s="531"/>
      <c r="AG194" s="124"/>
      <c r="AH194" s="124"/>
      <c r="AI194" s="124"/>
      <c r="AJ194" s="37"/>
      <c r="AK194" s="669">
        <v>214.15</v>
      </c>
      <c r="AL194" s="197"/>
    </row>
    <row r="195" spans="1:38" ht="15.75" x14ac:dyDescent="0.25">
      <c r="A195" s="720" t="s">
        <v>19</v>
      </c>
      <c r="B195" s="151"/>
      <c r="C195" s="151"/>
      <c r="D195" s="151"/>
      <c r="E195" s="151"/>
      <c r="F195" s="151"/>
      <c r="G195" s="151"/>
      <c r="H195" s="151"/>
      <c r="I195" s="43"/>
      <c r="J195" s="132"/>
      <c r="K195" s="132"/>
      <c r="L195" s="132"/>
      <c r="M195" s="151"/>
      <c r="N195" s="151"/>
      <c r="O195" s="151"/>
      <c r="P195" s="151"/>
      <c r="Q195" s="43"/>
      <c r="R195" s="164"/>
      <c r="S195" s="132"/>
      <c r="T195" s="132"/>
      <c r="U195" s="132"/>
      <c r="V195" s="132"/>
      <c r="W195" s="162"/>
      <c r="X195" s="162"/>
      <c r="Y195" s="43"/>
      <c r="Z195" s="584"/>
      <c r="AA195" s="584"/>
      <c r="AB195" s="584"/>
      <c r="AC195" s="584"/>
      <c r="AD195" s="584"/>
      <c r="AE195" s="601"/>
      <c r="AF195" s="601"/>
      <c r="AG195" s="132"/>
      <c r="AH195" s="132"/>
      <c r="AI195" s="132"/>
      <c r="AJ195" s="43"/>
      <c r="AK195" s="117">
        <v>305.68</v>
      </c>
      <c r="AL195" s="204"/>
    </row>
    <row r="196" spans="1:38" x14ac:dyDescent="0.25">
      <c r="A196" s="719" t="s">
        <v>102</v>
      </c>
      <c r="B196" s="113"/>
      <c r="C196" s="113"/>
      <c r="D196" s="113"/>
      <c r="E196" s="113"/>
      <c r="F196" s="113"/>
      <c r="G196" s="113"/>
      <c r="H196" s="113"/>
      <c r="I196" s="37"/>
      <c r="J196" s="112"/>
      <c r="K196" s="112"/>
      <c r="L196" s="112"/>
      <c r="M196" s="113"/>
      <c r="N196" s="113"/>
      <c r="O196" s="113"/>
      <c r="P196" s="113"/>
      <c r="Q196" s="37"/>
      <c r="R196" s="18"/>
      <c r="S196" s="112"/>
      <c r="T196" s="112"/>
      <c r="U196" s="112"/>
      <c r="V196" s="112"/>
      <c r="W196" s="115"/>
      <c r="X196" s="115"/>
      <c r="Y196" s="37"/>
      <c r="Z196" s="583"/>
      <c r="AA196" s="583"/>
      <c r="AB196" s="583"/>
      <c r="AC196" s="583"/>
      <c r="AD196" s="583"/>
      <c r="AE196" s="690"/>
      <c r="AF196" s="690"/>
      <c r="AG196" s="337"/>
      <c r="AH196" s="112"/>
      <c r="AI196" s="112"/>
      <c r="AJ196" s="37"/>
      <c r="AK196" s="3"/>
      <c r="AL196" s="197"/>
    </row>
    <row r="197" spans="1:38" ht="18.75" x14ac:dyDescent="0.3">
      <c r="A197" s="402" t="s">
        <v>2</v>
      </c>
      <c r="B197" s="199">
        <f t="shared" ref="B197:G197" si="13">SUM(B185:B196)</f>
        <v>34.299999999999997</v>
      </c>
      <c r="C197" s="199">
        <f t="shared" si="13"/>
        <v>34.049999999999997</v>
      </c>
      <c r="D197" s="199">
        <f t="shared" si="13"/>
        <v>36.03</v>
      </c>
      <c r="E197" s="199">
        <f t="shared" si="13"/>
        <v>70.959999999999994</v>
      </c>
      <c r="F197" s="199">
        <f t="shared" si="13"/>
        <v>63.089999999999996</v>
      </c>
      <c r="G197" s="199">
        <f t="shared" si="13"/>
        <v>18.73</v>
      </c>
      <c r="H197" s="199">
        <f>SUM(H185:H196)</f>
        <v>15.6</v>
      </c>
      <c r="I197" s="440">
        <f>SUM(B197:H197)</f>
        <v>272.76</v>
      </c>
      <c r="J197" s="199">
        <f t="shared" ref="J197:O197" si="14">SUM(J185:J196)</f>
        <v>14.77</v>
      </c>
      <c r="K197" s="199">
        <f t="shared" si="14"/>
        <v>0</v>
      </c>
      <c r="L197" s="199">
        <f t="shared" si="14"/>
        <v>112.94</v>
      </c>
      <c r="M197" s="199">
        <f t="shared" si="14"/>
        <v>30.67</v>
      </c>
      <c r="N197" s="199">
        <f t="shared" si="14"/>
        <v>14.88</v>
      </c>
      <c r="O197" s="199">
        <f t="shared" si="14"/>
        <v>130.84</v>
      </c>
      <c r="P197" s="199">
        <f>SUM(P185:P196)</f>
        <v>38.42</v>
      </c>
      <c r="Q197" s="440">
        <f>SUM(J197:P197)</f>
        <v>342.52000000000004</v>
      </c>
      <c r="R197" s="199">
        <f>SUM(R191:R196)</f>
        <v>17.62</v>
      </c>
      <c r="S197" s="199">
        <f>SUM(S190:S196)</f>
        <v>40.25</v>
      </c>
      <c r="T197" s="199">
        <f>SUM(T185:T196)</f>
        <v>73.78</v>
      </c>
      <c r="U197" s="199">
        <f>SUM(U185:U196)</f>
        <v>0</v>
      </c>
      <c r="V197" s="199">
        <f>SUM(V191:V196)</f>
        <v>27.98</v>
      </c>
      <c r="W197" s="199">
        <f>SUM(W185:W196)</f>
        <v>0</v>
      </c>
      <c r="X197" s="199">
        <f>SUM(X185:X196)</f>
        <v>54.519999999999996</v>
      </c>
      <c r="Y197" s="440">
        <f>SUM(R197:X197)</f>
        <v>214.14999999999998</v>
      </c>
      <c r="Z197" s="199">
        <f t="shared" ref="Z197:AE197" si="15">SUM(Z185:Z196)</f>
        <v>46.2</v>
      </c>
      <c r="AA197" s="199">
        <f t="shared" si="15"/>
        <v>31.92</v>
      </c>
      <c r="AB197" s="199">
        <f t="shared" si="15"/>
        <v>84.51</v>
      </c>
      <c r="AC197" s="199">
        <f t="shared" si="15"/>
        <v>0</v>
      </c>
      <c r="AD197" s="199">
        <f t="shared" si="15"/>
        <v>113.02000000000001</v>
      </c>
      <c r="AE197" s="199">
        <f t="shared" si="15"/>
        <v>0</v>
      </c>
      <c r="AF197" s="199">
        <f>SUM(AF185:AF196)</f>
        <v>30.03</v>
      </c>
      <c r="AG197" s="199"/>
      <c r="AH197" s="199"/>
      <c r="AI197" s="199"/>
      <c r="AJ197" s="440">
        <f>SUM(Z197:AI197)</f>
        <v>305.67999999999995</v>
      </c>
      <c r="AK197" s="697">
        <f>SUM(AK192:AK196)</f>
        <v>1135.1099999999999</v>
      </c>
      <c r="AL197" s="442"/>
    </row>
    <row r="198" spans="1:38" ht="15.75" thickBot="1" x14ac:dyDescent="0.3">
      <c r="A198" s="264"/>
      <c r="B198" s="265" t="s">
        <v>341</v>
      </c>
      <c r="C198" s="265" t="s">
        <v>341</v>
      </c>
      <c r="D198" s="265" t="s">
        <v>341</v>
      </c>
      <c r="E198" s="265" t="s">
        <v>354</v>
      </c>
      <c r="F198" s="265" t="s">
        <v>355</v>
      </c>
      <c r="G198" s="265" t="s">
        <v>341</v>
      </c>
      <c r="H198" s="265" t="s">
        <v>341</v>
      </c>
      <c r="I198" s="225"/>
      <c r="J198" s="265" t="s">
        <v>341</v>
      </c>
      <c r="K198" s="265" t="s">
        <v>357</v>
      </c>
      <c r="L198" s="265" t="s">
        <v>354</v>
      </c>
      <c r="M198" s="265" t="s">
        <v>360</v>
      </c>
      <c r="N198" s="265" t="s">
        <v>341</v>
      </c>
      <c r="O198" s="265" t="s">
        <v>363</v>
      </c>
      <c r="P198" s="265" t="s">
        <v>341</v>
      </c>
      <c r="Q198" s="225"/>
      <c r="R198" s="265" t="s">
        <v>341</v>
      </c>
      <c r="S198" s="265" t="s">
        <v>341</v>
      </c>
      <c r="T198" s="265" t="s">
        <v>354</v>
      </c>
      <c r="U198" s="265" t="s">
        <v>357</v>
      </c>
      <c r="V198" s="265" t="s">
        <v>341</v>
      </c>
      <c r="W198" s="265" t="s">
        <v>357</v>
      </c>
      <c r="X198" s="265" t="s">
        <v>355</v>
      </c>
      <c r="Y198" s="225"/>
      <c r="Z198" s="265" t="s">
        <v>355</v>
      </c>
      <c r="AA198" s="265" t="s">
        <v>341</v>
      </c>
      <c r="AB198" s="265" t="s">
        <v>354</v>
      </c>
      <c r="AC198" s="265" t="s">
        <v>357</v>
      </c>
      <c r="AD198" s="265" t="s">
        <v>354</v>
      </c>
      <c r="AE198" s="265" t="s">
        <v>357</v>
      </c>
      <c r="AF198" s="265" t="s">
        <v>341</v>
      </c>
      <c r="AG198" s="265"/>
      <c r="AH198" s="265"/>
      <c r="AI198" s="265"/>
      <c r="AJ198" s="225"/>
      <c r="AK198" s="225"/>
      <c r="AL198" s="228"/>
    </row>
    <row r="199" spans="1:38" ht="24" thickBot="1" x14ac:dyDescent="0.4">
      <c r="A199" s="294" t="s">
        <v>118</v>
      </c>
      <c r="B199" s="295"/>
      <c r="C199" s="295"/>
      <c r="D199" s="295"/>
      <c r="E199" s="295"/>
      <c r="F199" s="295"/>
      <c r="G199" s="296"/>
      <c r="H199" s="297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8"/>
      <c r="AA199" s="298"/>
      <c r="AB199" s="298"/>
      <c r="AC199" s="298"/>
      <c r="AD199" s="298"/>
      <c r="AE199" s="298"/>
      <c r="AF199" s="298"/>
      <c r="AG199" s="298"/>
      <c r="AH199" s="298"/>
      <c r="AI199" s="298"/>
      <c r="AJ199" s="299"/>
      <c r="AK199" s="300"/>
      <c r="AL199" s="301"/>
    </row>
    <row r="200" spans="1:38" ht="16.5" thickBot="1" x14ac:dyDescent="0.3">
      <c r="A200" s="319" t="s">
        <v>80</v>
      </c>
      <c r="B200" s="328">
        <v>1</v>
      </c>
      <c r="C200" s="328">
        <v>2</v>
      </c>
      <c r="D200" s="328">
        <v>3</v>
      </c>
      <c r="E200" s="328">
        <v>4</v>
      </c>
      <c r="F200" s="328">
        <v>5</v>
      </c>
      <c r="G200" s="328">
        <v>6</v>
      </c>
      <c r="H200" s="328">
        <v>7</v>
      </c>
      <c r="I200" s="629" t="s">
        <v>338</v>
      </c>
      <c r="J200" s="328">
        <v>8</v>
      </c>
      <c r="K200" s="328">
        <v>9</v>
      </c>
      <c r="L200" s="328">
        <v>10</v>
      </c>
      <c r="M200" s="328">
        <v>11</v>
      </c>
      <c r="N200" s="328">
        <v>12</v>
      </c>
      <c r="O200" s="328">
        <v>13</v>
      </c>
      <c r="P200" s="328">
        <v>14</v>
      </c>
      <c r="Q200" s="629" t="s">
        <v>338</v>
      </c>
      <c r="R200" s="328">
        <v>15</v>
      </c>
      <c r="S200" s="328">
        <v>16</v>
      </c>
      <c r="T200" s="328">
        <v>17</v>
      </c>
      <c r="U200" s="328">
        <v>18</v>
      </c>
      <c r="V200" s="328">
        <v>19</v>
      </c>
      <c r="W200" s="328">
        <v>20</v>
      </c>
      <c r="X200" s="328">
        <v>21</v>
      </c>
      <c r="Y200" s="629" t="s">
        <v>338</v>
      </c>
      <c r="Z200" s="328">
        <v>22</v>
      </c>
      <c r="AA200" s="328">
        <v>23</v>
      </c>
      <c r="AB200" s="328">
        <v>24</v>
      </c>
      <c r="AC200" s="328">
        <v>25</v>
      </c>
      <c r="AD200" s="328">
        <v>26</v>
      </c>
      <c r="AE200" s="328">
        <v>27</v>
      </c>
      <c r="AF200" s="328">
        <v>28</v>
      </c>
      <c r="AG200" s="328">
        <v>29</v>
      </c>
      <c r="AH200" s="328">
        <v>30</v>
      </c>
      <c r="AI200" s="328">
        <v>31</v>
      </c>
      <c r="AJ200" s="629" t="s">
        <v>338</v>
      </c>
      <c r="AK200" s="630" t="s">
        <v>339</v>
      </c>
      <c r="AL200" s="631" t="s">
        <v>42</v>
      </c>
    </row>
    <row r="201" spans="1:38" ht="15" customHeight="1" x14ac:dyDescent="0.25">
      <c r="A201" s="347" t="s">
        <v>81</v>
      </c>
      <c r="B201" s="303">
        <v>0</v>
      </c>
      <c r="C201" s="303">
        <v>0</v>
      </c>
      <c r="D201" s="303">
        <v>0</v>
      </c>
      <c r="E201" s="303">
        <v>0</v>
      </c>
      <c r="F201" s="303">
        <v>0</v>
      </c>
      <c r="G201" s="303">
        <v>0</v>
      </c>
      <c r="H201" s="303">
        <v>0</v>
      </c>
      <c r="I201" s="304"/>
      <c r="J201" s="303">
        <v>0</v>
      </c>
      <c r="K201" s="303">
        <v>0</v>
      </c>
      <c r="L201" s="303">
        <v>0</v>
      </c>
      <c r="M201" s="303">
        <v>0</v>
      </c>
      <c r="N201" s="303">
        <v>0</v>
      </c>
      <c r="O201" s="303">
        <v>0</v>
      </c>
      <c r="P201" s="303">
        <v>0</v>
      </c>
      <c r="Q201" s="304"/>
      <c r="R201" s="303">
        <v>0</v>
      </c>
      <c r="S201" s="303">
        <v>0</v>
      </c>
      <c r="T201" s="303">
        <v>0</v>
      </c>
      <c r="U201" s="303">
        <v>0</v>
      </c>
      <c r="V201" s="303">
        <v>0</v>
      </c>
      <c r="W201" s="411">
        <v>0</v>
      </c>
      <c r="X201" s="411">
        <v>0</v>
      </c>
      <c r="Y201" s="304"/>
      <c r="Z201" s="577">
        <v>0</v>
      </c>
      <c r="AA201" s="577">
        <v>0</v>
      </c>
      <c r="AB201" s="577">
        <v>0</v>
      </c>
      <c r="AC201" s="577">
        <v>0</v>
      </c>
      <c r="AD201" s="577">
        <v>0</v>
      </c>
      <c r="AE201" s="577">
        <v>0</v>
      </c>
      <c r="AF201" s="577">
        <v>0</v>
      </c>
      <c r="AG201" s="303"/>
      <c r="AH201" s="303"/>
      <c r="AI201" s="303"/>
      <c r="AJ201" s="305"/>
      <c r="AK201" s="650">
        <v>0</v>
      </c>
      <c r="AL201" s="207"/>
    </row>
    <row r="202" spans="1:38" ht="15" customHeight="1" x14ac:dyDescent="0.25">
      <c r="A202" s="63" t="s">
        <v>82</v>
      </c>
      <c r="B202" s="119"/>
      <c r="C202" s="119"/>
      <c r="D202" s="119"/>
      <c r="E202" s="119"/>
      <c r="F202" s="119"/>
      <c r="G202" s="119"/>
      <c r="H202" s="119"/>
      <c r="I202" s="43"/>
      <c r="J202" s="42"/>
      <c r="K202" s="42"/>
      <c r="L202" s="42"/>
      <c r="M202" s="42"/>
      <c r="N202" s="42"/>
      <c r="O202" s="42"/>
      <c r="P202" s="42"/>
      <c r="Q202" s="43"/>
      <c r="R202" s="42"/>
      <c r="S202" s="42"/>
      <c r="T202" s="42"/>
      <c r="U202" s="42"/>
      <c r="V202" s="42"/>
      <c r="W202" s="177"/>
      <c r="X202" s="177"/>
      <c r="Y202" s="43"/>
      <c r="Z202" s="600"/>
      <c r="AA202" s="600"/>
      <c r="AB202" s="600"/>
      <c r="AC202" s="600"/>
      <c r="AD202" s="600"/>
      <c r="AE202" s="600"/>
      <c r="AF202" s="600"/>
      <c r="AG202" s="42"/>
      <c r="AH202" s="42"/>
      <c r="AI202" s="42"/>
      <c r="AJ202" s="43"/>
      <c r="AK202" s="662">
        <v>0</v>
      </c>
      <c r="AL202" s="204"/>
    </row>
    <row r="203" spans="1:38" ht="15" customHeight="1" x14ac:dyDescent="0.35">
      <c r="A203" s="195"/>
      <c r="B203" s="135"/>
      <c r="C203" s="135"/>
      <c r="D203" s="135"/>
      <c r="E203" s="135"/>
      <c r="F203" s="135"/>
      <c r="G203" s="135"/>
      <c r="H203" s="135"/>
      <c r="I203" s="157"/>
      <c r="J203" s="124"/>
      <c r="K203" s="124"/>
      <c r="L203" s="124"/>
      <c r="M203" s="124"/>
      <c r="N203" s="124"/>
      <c r="O203" s="124"/>
      <c r="P203" s="124"/>
      <c r="Q203" s="47"/>
      <c r="R203" s="124"/>
      <c r="S203" s="124"/>
      <c r="T203" s="124"/>
      <c r="U203" s="124"/>
      <c r="V203" s="124"/>
      <c r="W203" s="135"/>
      <c r="X203" s="135"/>
      <c r="Y203" s="47"/>
      <c r="Z203" s="531"/>
      <c r="AA203" s="531"/>
      <c r="AB203" s="531"/>
      <c r="AC203" s="531"/>
      <c r="AD203" s="531"/>
      <c r="AE203" s="531"/>
      <c r="AF203" s="531"/>
      <c r="AG203" s="124"/>
      <c r="AH203" s="124"/>
      <c r="AI203" s="124"/>
      <c r="AJ203" s="47"/>
      <c r="AK203" s="657">
        <v>0</v>
      </c>
      <c r="AL203" s="292"/>
    </row>
    <row r="204" spans="1:38" ht="15" customHeight="1" thickBot="1" x14ac:dyDescent="0.3">
      <c r="A204" s="63"/>
      <c r="B204" s="132"/>
      <c r="C204" s="132"/>
      <c r="D204" s="132"/>
      <c r="E204" s="132"/>
      <c r="F204" s="132"/>
      <c r="G204" s="132"/>
      <c r="H204" s="132"/>
      <c r="I204" s="43"/>
      <c r="J204" s="132"/>
      <c r="K204" s="132"/>
      <c r="L204" s="132"/>
      <c r="M204" s="132"/>
      <c r="N204" s="132"/>
      <c r="O204" s="132"/>
      <c r="P204" s="132"/>
      <c r="Q204" s="43"/>
      <c r="R204" s="132"/>
      <c r="S204" s="132"/>
      <c r="T204" s="132"/>
      <c r="U204" s="132"/>
      <c r="V204" s="132"/>
      <c r="W204" s="164"/>
      <c r="X204" s="164"/>
      <c r="Y204" s="43"/>
      <c r="Z204" s="601"/>
      <c r="AA204" s="601"/>
      <c r="AB204" s="601"/>
      <c r="AC204" s="601"/>
      <c r="AD204" s="601"/>
      <c r="AE204" s="601"/>
      <c r="AF204" s="601"/>
      <c r="AG204" s="132"/>
      <c r="AH204" s="132"/>
      <c r="AI204" s="132"/>
      <c r="AJ204" s="43"/>
      <c r="AK204" s="692">
        <v>0</v>
      </c>
      <c r="AL204" s="350"/>
    </row>
    <row r="205" spans="1:38" ht="18.75" customHeight="1" x14ac:dyDescent="0.35">
      <c r="A205" s="281" t="s">
        <v>2</v>
      </c>
      <c r="B205" s="163">
        <f t="shared" ref="B205:H205" si="16">SUM(B201:B204)</f>
        <v>0</v>
      </c>
      <c r="C205" s="163">
        <f t="shared" si="16"/>
        <v>0</v>
      </c>
      <c r="D205" s="163">
        <f t="shared" si="16"/>
        <v>0</v>
      </c>
      <c r="E205" s="163">
        <f t="shared" si="16"/>
        <v>0</v>
      </c>
      <c r="F205" s="163">
        <f t="shared" si="16"/>
        <v>0</v>
      </c>
      <c r="G205" s="163">
        <f t="shared" si="16"/>
        <v>0</v>
      </c>
      <c r="H205" s="163">
        <f t="shared" si="16"/>
        <v>0</v>
      </c>
      <c r="I205" s="221">
        <f>SUM(B205:H205)</f>
        <v>0</v>
      </c>
      <c r="J205" s="163">
        <f t="shared" ref="J205:P205" si="17">SUM(J201:J204)</f>
        <v>0</v>
      </c>
      <c r="K205" s="163">
        <f t="shared" si="17"/>
        <v>0</v>
      </c>
      <c r="L205" s="163">
        <f t="shared" si="17"/>
        <v>0</v>
      </c>
      <c r="M205" s="163">
        <f t="shared" si="17"/>
        <v>0</v>
      </c>
      <c r="N205" s="163">
        <f t="shared" si="17"/>
        <v>0</v>
      </c>
      <c r="O205" s="163">
        <f t="shared" si="17"/>
        <v>0</v>
      </c>
      <c r="P205" s="163">
        <f t="shared" si="17"/>
        <v>0</v>
      </c>
      <c r="Q205" s="221">
        <f>SUM(J205:P205)</f>
        <v>0</v>
      </c>
      <c r="R205" s="163">
        <f t="shared" ref="R205:X205" si="18">SUM(R201:R204)</f>
        <v>0</v>
      </c>
      <c r="S205" s="163">
        <f t="shared" si="18"/>
        <v>0</v>
      </c>
      <c r="T205" s="163">
        <f t="shared" si="18"/>
        <v>0</v>
      </c>
      <c r="U205" s="163">
        <f t="shared" si="18"/>
        <v>0</v>
      </c>
      <c r="V205" s="163">
        <f t="shared" si="18"/>
        <v>0</v>
      </c>
      <c r="W205" s="163">
        <f t="shared" si="18"/>
        <v>0</v>
      </c>
      <c r="X205" s="163">
        <f t="shared" si="18"/>
        <v>0</v>
      </c>
      <c r="Y205" s="221">
        <f>SUM(R205:X205)</f>
        <v>0</v>
      </c>
      <c r="Z205" s="163">
        <f t="shared" ref="Z205:AF205" si="19">SUM(Z201:Z204)</f>
        <v>0</v>
      </c>
      <c r="AA205" s="163">
        <f t="shared" si="19"/>
        <v>0</v>
      </c>
      <c r="AB205" s="163">
        <f t="shared" si="19"/>
        <v>0</v>
      </c>
      <c r="AC205" s="163">
        <f t="shared" si="19"/>
        <v>0</v>
      </c>
      <c r="AD205" s="163">
        <f t="shared" si="19"/>
        <v>0</v>
      </c>
      <c r="AE205" s="163">
        <f t="shared" si="19"/>
        <v>0</v>
      </c>
      <c r="AF205" s="163">
        <f t="shared" si="19"/>
        <v>0</v>
      </c>
      <c r="AG205" s="163"/>
      <c r="AH205" s="163"/>
      <c r="AI205" s="163"/>
      <c r="AJ205" s="221">
        <f>SUM(Z205:AI205)</f>
        <v>0</v>
      </c>
      <c r="AK205" s="232">
        <f>SUM(AK201:AK204)</f>
        <v>0</v>
      </c>
      <c r="AL205" s="352"/>
    </row>
    <row r="206" spans="1:38" ht="16.5" thickBot="1" x14ac:dyDescent="0.3">
      <c r="A206" s="264"/>
      <c r="B206" s="265" t="s">
        <v>274</v>
      </c>
      <c r="C206" s="265" t="s">
        <v>274</v>
      </c>
      <c r="D206" s="265" t="s">
        <v>274</v>
      </c>
      <c r="E206" s="265" t="s">
        <v>274</v>
      </c>
      <c r="F206" s="265" t="s">
        <v>274</v>
      </c>
      <c r="G206" s="265" t="s">
        <v>274</v>
      </c>
      <c r="H206" s="265" t="s">
        <v>274</v>
      </c>
      <c r="I206" s="225"/>
      <c r="J206" s="265" t="s">
        <v>274</v>
      </c>
      <c r="K206" s="265" t="s">
        <v>274</v>
      </c>
      <c r="L206" s="265" t="s">
        <v>274</v>
      </c>
      <c r="M206" s="265" t="s">
        <v>274</v>
      </c>
      <c r="N206" s="265" t="s">
        <v>274</v>
      </c>
      <c r="O206" s="265" t="s">
        <v>274</v>
      </c>
      <c r="P206" s="265" t="s">
        <v>274</v>
      </c>
      <c r="Q206" s="225"/>
      <c r="R206" s="265" t="s">
        <v>274</v>
      </c>
      <c r="S206" s="265" t="s">
        <v>274</v>
      </c>
      <c r="T206" s="265" t="s">
        <v>274</v>
      </c>
      <c r="U206" s="265" t="s">
        <v>274</v>
      </c>
      <c r="V206" s="265" t="s">
        <v>274</v>
      </c>
      <c r="W206" s="265" t="s">
        <v>274</v>
      </c>
      <c r="X206" s="265" t="s">
        <v>274</v>
      </c>
      <c r="Y206" s="225"/>
      <c r="Z206" s="265" t="s">
        <v>274</v>
      </c>
      <c r="AA206" s="265" t="s">
        <v>274</v>
      </c>
      <c r="AB206" s="265" t="s">
        <v>274</v>
      </c>
      <c r="AC206" s="265" t="s">
        <v>274</v>
      </c>
      <c r="AD206" s="265" t="s">
        <v>274</v>
      </c>
      <c r="AE206" s="265" t="s">
        <v>274</v>
      </c>
      <c r="AF206" s="265" t="s">
        <v>274</v>
      </c>
      <c r="AG206" s="265"/>
      <c r="AH206" s="265"/>
      <c r="AI206" s="265"/>
      <c r="AJ206" s="225"/>
      <c r="AK206" s="353"/>
      <c r="AL206" s="354"/>
    </row>
    <row r="207" spans="1:38" ht="24" thickBot="1" x14ac:dyDescent="0.4">
      <c r="A207" s="294" t="s">
        <v>119</v>
      </c>
      <c r="B207" s="295"/>
      <c r="C207" s="295"/>
      <c r="D207" s="295"/>
      <c r="E207" s="295"/>
      <c r="F207" s="295"/>
      <c r="G207" s="296"/>
      <c r="H207" s="297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8"/>
      <c r="AA207" s="298"/>
      <c r="AB207" s="298"/>
      <c r="AC207" s="298"/>
      <c r="AD207" s="298"/>
      <c r="AE207" s="298"/>
      <c r="AF207" s="298"/>
      <c r="AG207" s="298"/>
      <c r="AH207" s="298"/>
      <c r="AI207" s="298"/>
      <c r="AJ207" s="299"/>
      <c r="AK207" s="300"/>
      <c r="AL207" s="301"/>
    </row>
    <row r="208" spans="1:38" ht="16.5" thickBot="1" x14ac:dyDescent="0.3">
      <c r="A208" s="319" t="s">
        <v>20</v>
      </c>
      <c r="B208" s="328">
        <v>1</v>
      </c>
      <c r="C208" s="328">
        <v>2</v>
      </c>
      <c r="D208" s="328">
        <v>3</v>
      </c>
      <c r="E208" s="328">
        <v>4</v>
      </c>
      <c r="F208" s="328">
        <v>5</v>
      </c>
      <c r="G208" s="328">
        <v>6</v>
      </c>
      <c r="H208" s="328">
        <v>7</v>
      </c>
      <c r="I208" s="629" t="s">
        <v>338</v>
      </c>
      <c r="J208" s="328">
        <v>8</v>
      </c>
      <c r="K208" s="328">
        <v>9</v>
      </c>
      <c r="L208" s="328">
        <v>10</v>
      </c>
      <c r="M208" s="328">
        <v>11</v>
      </c>
      <c r="N208" s="328">
        <v>12</v>
      </c>
      <c r="O208" s="328">
        <v>13</v>
      </c>
      <c r="P208" s="328">
        <v>14</v>
      </c>
      <c r="Q208" s="629" t="s">
        <v>338</v>
      </c>
      <c r="R208" s="328">
        <v>15</v>
      </c>
      <c r="S208" s="328">
        <v>16</v>
      </c>
      <c r="T208" s="328">
        <v>17</v>
      </c>
      <c r="U208" s="328">
        <v>18</v>
      </c>
      <c r="V208" s="328">
        <v>19</v>
      </c>
      <c r="W208" s="328">
        <v>20</v>
      </c>
      <c r="X208" s="328">
        <v>21</v>
      </c>
      <c r="Y208" s="629" t="s">
        <v>338</v>
      </c>
      <c r="Z208" s="328">
        <v>22</v>
      </c>
      <c r="AA208" s="328">
        <v>23</v>
      </c>
      <c r="AB208" s="328">
        <v>24</v>
      </c>
      <c r="AC208" s="328">
        <v>25</v>
      </c>
      <c r="AD208" s="328">
        <v>26</v>
      </c>
      <c r="AE208" s="328">
        <v>27</v>
      </c>
      <c r="AF208" s="328">
        <v>28</v>
      </c>
      <c r="AG208" s="328">
        <v>29</v>
      </c>
      <c r="AH208" s="328">
        <v>30</v>
      </c>
      <c r="AI208" s="328">
        <v>31</v>
      </c>
      <c r="AJ208" s="629" t="s">
        <v>338</v>
      </c>
      <c r="AK208" s="630" t="s">
        <v>339</v>
      </c>
      <c r="AL208" s="631" t="s">
        <v>42</v>
      </c>
    </row>
    <row r="209" spans="1:38" x14ac:dyDescent="0.25">
      <c r="A209" s="302" t="s">
        <v>63</v>
      </c>
      <c r="B209" s="683">
        <v>0</v>
      </c>
      <c r="C209" s="683">
        <v>0</v>
      </c>
      <c r="D209" s="683">
        <v>0</v>
      </c>
      <c r="E209" s="683">
        <v>0</v>
      </c>
      <c r="F209" s="683">
        <v>0</v>
      </c>
      <c r="G209" s="683">
        <v>0</v>
      </c>
      <c r="H209" s="303">
        <v>39.92</v>
      </c>
      <c r="I209" s="304"/>
      <c r="J209" s="575"/>
      <c r="K209" s="575"/>
      <c r="L209" s="575"/>
      <c r="M209" s="575"/>
      <c r="N209" s="575"/>
      <c r="O209" s="303">
        <v>33.64</v>
      </c>
      <c r="P209" s="575"/>
      <c r="Q209" s="304"/>
      <c r="R209" s="684"/>
      <c r="S209" s="684"/>
      <c r="T209" s="663">
        <v>19.96</v>
      </c>
      <c r="U209" s="684"/>
      <c r="V209" s="684"/>
      <c r="W209" s="684"/>
      <c r="X209" s="684"/>
      <c r="Y209" s="304"/>
      <c r="Z209" s="575"/>
      <c r="AA209" s="575"/>
      <c r="AB209" s="411">
        <v>33.64</v>
      </c>
      <c r="AC209" s="575"/>
      <c r="AD209" s="575"/>
      <c r="AE209" s="575"/>
      <c r="AF209" s="575"/>
      <c r="AG209" s="303"/>
      <c r="AH209" s="303"/>
      <c r="AI209" s="303"/>
      <c r="AJ209" s="305"/>
      <c r="AK209" s="184"/>
      <c r="AL209" s="207"/>
    </row>
    <row r="210" spans="1:38" x14ac:dyDescent="0.25">
      <c r="A210" s="65" t="s">
        <v>64</v>
      </c>
      <c r="B210" s="537"/>
      <c r="C210" s="118">
        <v>17.29</v>
      </c>
      <c r="D210" s="537"/>
      <c r="E210" s="537"/>
      <c r="F210" s="118">
        <v>23.85</v>
      </c>
      <c r="G210" s="537"/>
      <c r="H210" s="537"/>
      <c r="I210" s="37"/>
      <c r="J210" s="537"/>
      <c r="K210" s="537"/>
      <c r="L210" s="537"/>
      <c r="M210" s="537"/>
      <c r="N210" s="1">
        <v>40</v>
      </c>
      <c r="O210" s="537"/>
      <c r="P210" s="537"/>
      <c r="Q210" s="37"/>
      <c r="R210" s="664">
        <v>15.38</v>
      </c>
      <c r="S210" s="582"/>
      <c r="T210" s="582"/>
      <c r="U210" s="588"/>
      <c r="V210" s="582"/>
      <c r="W210" s="588"/>
      <c r="X210" s="665">
        <v>34.33</v>
      </c>
      <c r="Y210" s="37"/>
      <c r="Z210" s="537"/>
      <c r="AA210" s="537"/>
      <c r="AB210" s="530"/>
      <c r="AC210" s="530"/>
      <c r="AD210" s="530"/>
      <c r="AE210" s="537"/>
      <c r="AF210" s="537"/>
      <c r="AG210" s="2"/>
      <c r="AH210" s="2"/>
      <c r="AI210" s="2"/>
      <c r="AJ210" s="37"/>
      <c r="AK210" s="38"/>
      <c r="AL210" s="197"/>
    </row>
    <row r="211" spans="1:38" x14ac:dyDescent="0.25">
      <c r="A211" s="65" t="s">
        <v>77</v>
      </c>
      <c r="B211" s="537"/>
      <c r="C211" s="537"/>
      <c r="D211" s="537"/>
      <c r="E211" s="537"/>
      <c r="F211" s="537"/>
      <c r="G211" s="537"/>
      <c r="H211" s="1">
        <v>40</v>
      </c>
      <c r="I211" s="37"/>
      <c r="J211" s="537"/>
      <c r="K211" s="537"/>
      <c r="L211" s="537"/>
      <c r="M211" s="537"/>
      <c r="N211" s="537"/>
      <c r="O211" s="537"/>
      <c r="P211" s="537"/>
      <c r="Q211" s="37"/>
      <c r="R211" s="582"/>
      <c r="S211" s="664">
        <v>17.98</v>
      </c>
      <c r="T211" s="582"/>
      <c r="U211" s="582"/>
      <c r="V211" s="582"/>
      <c r="W211" s="588"/>
      <c r="X211" s="588"/>
      <c r="Y211" s="37"/>
      <c r="Z211" s="537"/>
      <c r="AA211" s="537"/>
      <c r="AB211" s="530"/>
      <c r="AC211" s="530"/>
      <c r="AD211" s="530"/>
      <c r="AE211" s="537"/>
      <c r="AF211" s="537"/>
      <c r="AG211" s="2"/>
      <c r="AH211" s="2"/>
      <c r="AI211" s="2"/>
      <c r="AJ211" s="37"/>
      <c r="AK211" s="38"/>
      <c r="AL211" s="197"/>
    </row>
    <row r="212" spans="1:38" x14ac:dyDescent="0.25">
      <c r="A212" s="65" t="s">
        <v>65</v>
      </c>
      <c r="B212" s="537"/>
      <c r="C212" s="118">
        <v>23.11</v>
      </c>
      <c r="D212" s="537"/>
      <c r="E212" s="537"/>
      <c r="F212" s="537"/>
      <c r="G212" s="537"/>
      <c r="H212" s="530"/>
      <c r="I212" s="37"/>
      <c r="J212" s="537"/>
      <c r="K212" s="1">
        <v>31.2</v>
      </c>
      <c r="L212" s="537"/>
      <c r="M212" s="537"/>
      <c r="N212" s="537"/>
      <c r="O212" s="537"/>
      <c r="P212" s="537"/>
      <c r="Q212" s="37"/>
      <c r="R212" s="588"/>
      <c r="S212" s="582"/>
      <c r="T212" s="664">
        <v>39.28</v>
      </c>
      <c r="U212" s="582"/>
      <c r="V212" s="582"/>
      <c r="W212" s="588"/>
      <c r="X212" s="588"/>
      <c r="Y212" s="37"/>
      <c r="Z212" s="537"/>
      <c r="AA212" s="537"/>
      <c r="AB212" s="530"/>
      <c r="AC212" s="57">
        <v>40</v>
      </c>
      <c r="AD212" s="530"/>
      <c r="AE212" s="537"/>
      <c r="AF212" s="537"/>
      <c r="AG212" s="2"/>
      <c r="AH212" s="2"/>
      <c r="AI212" s="2"/>
      <c r="AJ212" s="47"/>
      <c r="AK212" s="48"/>
      <c r="AL212" s="197"/>
    </row>
    <row r="213" spans="1:38" x14ac:dyDescent="0.25">
      <c r="A213" s="65" t="s">
        <v>66</v>
      </c>
      <c r="B213" s="537"/>
      <c r="C213" s="537"/>
      <c r="D213" s="537"/>
      <c r="E213" s="537"/>
      <c r="F213" s="537"/>
      <c r="G213" s="537"/>
      <c r="H213" s="1">
        <v>40</v>
      </c>
      <c r="I213" s="37"/>
      <c r="J213" s="537"/>
      <c r="K213" s="537"/>
      <c r="L213" s="537"/>
      <c r="M213" s="537"/>
      <c r="N213" s="537"/>
      <c r="O213" s="537"/>
      <c r="P213" s="537"/>
      <c r="Q213" s="37"/>
      <c r="R213" s="582"/>
      <c r="S213" s="582"/>
      <c r="T213" s="582"/>
      <c r="U213" s="582"/>
      <c r="V213" s="582"/>
      <c r="W213" s="588"/>
      <c r="X213" s="588"/>
      <c r="Y213" s="37"/>
      <c r="Z213" s="537"/>
      <c r="AA213" s="537"/>
      <c r="AB213" s="530"/>
      <c r="AC213" s="530"/>
      <c r="AD213" s="530"/>
      <c r="AE213" s="537"/>
      <c r="AF213" s="537"/>
      <c r="AG213" s="2"/>
      <c r="AH213" s="2"/>
      <c r="AI213" s="2"/>
      <c r="AJ213" s="37"/>
      <c r="AK213" s="38"/>
      <c r="AL213" s="197"/>
    </row>
    <row r="214" spans="1:38" x14ac:dyDescent="0.25">
      <c r="A214" s="65" t="s">
        <v>67</v>
      </c>
      <c r="B214" s="537"/>
      <c r="C214" s="537"/>
      <c r="D214" s="537"/>
      <c r="E214" s="537"/>
      <c r="F214" s="530"/>
      <c r="G214" s="1">
        <v>40</v>
      </c>
      <c r="H214" s="530"/>
      <c r="I214" s="37"/>
      <c r="J214" s="537"/>
      <c r="K214" s="530"/>
      <c r="L214" s="537"/>
      <c r="M214" s="537"/>
      <c r="N214" s="537"/>
      <c r="O214" s="530"/>
      <c r="P214" s="537"/>
      <c r="Q214" s="37"/>
      <c r="R214" s="664">
        <v>45.54</v>
      </c>
      <c r="S214" s="582"/>
      <c r="T214" s="582"/>
      <c r="U214" s="582"/>
      <c r="V214" s="582"/>
      <c r="W214" s="588"/>
      <c r="X214" s="665">
        <v>38.36</v>
      </c>
      <c r="Y214" s="37"/>
      <c r="Z214" s="537"/>
      <c r="AA214" s="537"/>
      <c r="AB214" s="530"/>
      <c r="AC214" s="530"/>
      <c r="AD214" s="530"/>
      <c r="AE214" s="537"/>
      <c r="AF214" s="537"/>
      <c r="AG214" s="336"/>
      <c r="AH214" s="2"/>
      <c r="AI214" s="2"/>
      <c r="AJ214" s="37"/>
      <c r="AK214" s="38"/>
      <c r="AL214" s="197"/>
    </row>
    <row r="215" spans="1:38" x14ac:dyDescent="0.25">
      <c r="A215" s="65" t="s">
        <v>68</v>
      </c>
      <c r="B215" s="537"/>
      <c r="C215" s="537"/>
      <c r="D215" s="537"/>
      <c r="E215" s="537"/>
      <c r="F215" s="537"/>
      <c r="G215" s="537"/>
      <c r="H215" s="1">
        <v>40</v>
      </c>
      <c r="I215" s="37"/>
      <c r="J215" s="537"/>
      <c r="K215" s="118">
        <v>22.28</v>
      </c>
      <c r="L215" s="537"/>
      <c r="M215" s="537"/>
      <c r="N215" s="537"/>
      <c r="O215" s="530"/>
      <c r="P215" s="537"/>
      <c r="Q215" s="37"/>
      <c r="R215" s="582"/>
      <c r="S215" s="582"/>
      <c r="T215" s="582"/>
      <c r="U215" s="582"/>
      <c r="V215" s="582"/>
      <c r="W215" s="588"/>
      <c r="X215" s="588"/>
      <c r="Y215" s="37"/>
      <c r="Z215" s="537"/>
      <c r="AA215" s="537"/>
      <c r="AB215" s="57">
        <v>40</v>
      </c>
      <c r="AC215" s="530"/>
      <c r="AD215" s="530"/>
      <c r="AE215" s="537"/>
      <c r="AF215" s="537"/>
      <c r="AG215" s="2"/>
      <c r="AH215" s="2"/>
      <c r="AI215" s="2"/>
      <c r="AJ215" s="37"/>
      <c r="AK215" s="38"/>
      <c r="AL215" s="197"/>
    </row>
    <row r="216" spans="1:38" x14ac:dyDescent="0.25">
      <c r="A216" s="426" t="s">
        <v>78</v>
      </c>
      <c r="B216" s="537"/>
      <c r="C216" s="537"/>
      <c r="D216" s="537"/>
      <c r="E216" s="537"/>
      <c r="F216" s="537"/>
      <c r="G216" s="537"/>
      <c r="H216" s="530"/>
      <c r="I216" s="37"/>
      <c r="J216" s="537"/>
      <c r="K216" s="537"/>
      <c r="L216" s="537"/>
      <c r="M216" s="537"/>
      <c r="N216" s="537"/>
      <c r="O216" s="537"/>
      <c r="P216" s="537"/>
      <c r="Q216" s="37"/>
      <c r="R216" s="582"/>
      <c r="S216" s="582"/>
      <c r="T216" s="582"/>
      <c r="U216" s="582"/>
      <c r="V216" s="582"/>
      <c r="W216" s="588"/>
      <c r="X216" s="588"/>
      <c r="Y216" s="37"/>
      <c r="Z216" s="537"/>
      <c r="AA216" s="537"/>
      <c r="AB216" s="530"/>
      <c r="AC216" s="530"/>
      <c r="AD216" s="530"/>
      <c r="AE216" s="537"/>
      <c r="AF216" s="537"/>
      <c r="AG216" s="2"/>
      <c r="AH216" s="2"/>
      <c r="AI216" s="2"/>
      <c r="AJ216" s="37"/>
      <c r="AK216" s="38"/>
      <c r="AL216" s="197"/>
    </row>
    <row r="217" spans="1:38" x14ac:dyDescent="0.25">
      <c r="A217" s="65" t="s">
        <v>69</v>
      </c>
      <c r="B217" s="537"/>
      <c r="C217" s="118">
        <v>23.81</v>
      </c>
      <c r="D217" s="537"/>
      <c r="E217" s="537"/>
      <c r="F217" s="537"/>
      <c r="G217" s="537"/>
      <c r="H217" s="537"/>
      <c r="I217" s="37"/>
      <c r="J217" s="537"/>
      <c r="K217" s="537"/>
      <c r="L217" s="537"/>
      <c r="M217" s="537"/>
      <c r="N217" s="537"/>
      <c r="O217" s="118">
        <v>35.03</v>
      </c>
      <c r="P217" s="537"/>
      <c r="Q217" s="37"/>
      <c r="R217" s="582"/>
      <c r="S217" s="582"/>
      <c r="T217" s="582"/>
      <c r="U217" s="582"/>
      <c r="V217" s="582"/>
      <c r="W217" s="588"/>
      <c r="X217" s="588"/>
      <c r="Y217" s="37"/>
      <c r="Z217" s="537"/>
      <c r="AA217" s="537"/>
      <c r="AB217" s="530"/>
      <c r="AC217" s="57">
        <v>28.16</v>
      </c>
      <c r="AD217" s="530"/>
      <c r="AE217" s="537"/>
      <c r="AF217" s="537"/>
      <c r="AG217" s="2"/>
      <c r="AH217" s="2"/>
      <c r="AI217" s="2"/>
      <c r="AJ217" s="37"/>
      <c r="AK217" s="38"/>
      <c r="AL217" s="197"/>
    </row>
    <row r="218" spans="1:38" x14ac:dyDescent="0.25">
      <c r="A218" s="65" t="s">
        <v>70</v>
      </c>
      <c r="B218" s="537"/>
      <c r="C218" s="537"/>
      <c r="D218" s="1">
        <v>40</v>
      </c>
      <c r="E218" s="537"/>
      <c r="F218" s="537"/>
      <c r="G218" s="537"/>
      <c r="H218" s="537"/>
      <c r="I218" s="37"/>
      <c r="J218" s="118">
        <v>41.27</v>
      </c>
      <c r="K218" s="537"/>
      <c r="L218" s="537"/>
      <c r="M218" s="1">
        <v>29.78</v>
      </c>
      <c r="N218" s="537"/>
      <c r="O218" s="537"/>
      <c r="P218" s="537"/>
      <c r="Q218" s="37"/>
      <c r="R218" s="582"/>
      <c r="S218" s="664">
        <v>38.64</v>
      </c>
      <c r="T218" s="582"/>
      <c r="U218" s="582"/>
      <c r="V218" s="664">
        <v>29.45</v>
      </c>
      <c r="W218" s="588"/>
      <c r="X218" s="588"/>
      <c r="Y218" s="37"/>
      <c r="Z218" s="537"/>
      <c r="AA218" s="537"/>
      <c r="AB218" s="57">
        <v>40</v>
      </c>
      <c r="AC218" s="530"/>
      <c r="AD218" s="530"/>
      <c r="AE218" s="537"/>
      <c r="AF218" s="1">
        <v>30</v>
      </c>
      <c r="AG218" s="2"/>
      <c r="AH218" s="2"/>
      <c r="AI218" s="2"/>
      <c r="AJ218" s="37"/>
      <c r="AK218" s="38"/>
      <c r="AL218" s="197"/>
    </row>
    <row r="219" spans="1:38" x14ac:dyDescent="0.25">
      <c r="A219" s="65" t="s">
        <v>71</v>
      </c>
      <c r="B219" s="537"/>
      <c r="C219" s="537"/>
      <c r="D219" s="1">
        <v>38.200000000000003</v>
      </c>
      <c r="E219" s="537"/>
      <c r="F219" s="530"/>
      <c r="G219" s="537"/>
      <c r="H219" s="537"/>
      <c r="I219" s="37"/>
      <c r="J219" s="537"/>
      <c r="K219" s="537"/>
      <c r="L219" s="537"/>
      <c r="M219" s="1">
        <v>36.44</v>
      </c>
      <c r="N219" s="537"/>
      <c r="O219" s="537"/>
      <c r="P219" s="537"/>
      <c r="Q219" s="37"/>
      <c r="R219" s="582"/>
      <c r="S219" s="582"/>
      <c r="T219" s="582"/>
      <c r="U219" s="582"/>
      <c r="V219" s="582"/>
      <c r="W219" s="665">
        <v>38.22</v>
      </c>
      <c r="X219" s="588"/>
      <c r="Y219" s="37"/>
      <c r="Z219" s="537"/>
      <c r="AA219" s="537"/>
      <c r="AB219" s="530"/>
      <c r="AC219" s="530"/>
      <c r="AD219" s="530"/>
      <c r="AE219" s="1">
        <v>40</v>
      </c>
      <c r="AF219" s="537"/>
      <c r="AG219" s="2"/>
      <c r="AH219" s="2"/>
      <c r="AI219" s="2"/>
      <c r="AJ219" s="37"/>
      <c r="AK219" s="38"/>
      <c r="AL219" s="197"/>
    </row>
    <row r="220" spans="1:38" x14ac:dyDescent="0.25">
      <c r="A220" s="65" t="s">
        <v>72</v>
      </c>
      <c r="B220" s="118">
        <v>39.24</v>
      </c>
      <c r="C220" s="537"/>
      <c r="D220" s="537"/>
      <c r="E220" s="537"/>
      <c r="F220" s="537"/>
      <c r="G220" s="118">
        <v>32.380000000000003</v>
      </c>
      <c r="H220" s="537"/>
      <c r="I220" s="37"/>
      <c r="J220" s="537"/>
      <c r="K220" s="118">
        <v>29.44</v>
      </c>
      <c r="L220" s="537"/>
      <c r="M220" s="537"/>
      <c r="N220" s="582"/>
      <c r="O220" s="537"/>
      <c r="P220" s="537"/>
      <c r="Q220" s="37"/>
      <c r="R220" s="664">
        <v>47.44</v>
      </c>
      <c r="S220" s="582"/>
      <c r="T220" s="582"/>
      <c r="U220" s="582"/>
      <c r="V220" s="588"/>
      <c r="W220" s="588"/>
      <c r="X220" s="665">
        <v>40</v>
      </c>
      <c r="Y220" s="37"/>
      <c r="Z220" s="537"/>
      <c r="AA220" s="537"/>
      <c r="AB220" s="530"/>
      <c r="AC220" s="57">
        <v>40</v>
      </c>
      <c r="AD220" s="530"/>
      <c r="AE220" s="537"/>
      <c r="AF220" s="118">
        <v>26.21</v>
      </c>
      <c r="AG220" s="2"/>
      <c r="AH220" s="2"/>
      <c r="AI220" s="2"/>
      <c r="AJ220" s="37"/>
      <c r="AK220" s="38"/>
      <c r="AL220" s="197"/>
    </row>
    <row r="221" spans="1:38" x14ac:dyDescent="0.25">
      <c r="A221" s="65" t="s">
        <v>73</v>
      </c>
      <c r="B221" s="537"/>
      <c r="C221" s="537"/>
      <c r="D221" s="537"/>
      <c r="E221" s="537"/>
      <c r="F221" s="1">
        <v>40</v>
      </c>
      <c r="G221" s="537"/>
      <c r="H221" s="537"/>
      <c r="I221" s="37"/>
      <c r="J221" s="537"/>
      <c r="K221" s="537"/>
      <c r="L221" s="537"/>
      <c r="M221" s="537"/>
      <c r="N221" s="537"/>
      <c r="O221" s="1">
        <v>40</v>
      </c>
      <c r="P221" s="537"/>
      <c r="Q221" s="37"/>
      <c r="R221" s="582"/>
      <c r="S221" s="582"/>
      <c r="T221" s="582"/>
      <c r="U221" s="582"/>
      <c r="V221" s="582"/>
      <c r="W221" s="588"/>
      <c r="X221" s="588"/>
      <c r="Y221" s="37"/>
      <c r="Z221" s="537"/>
      <c r="AA221" s="1">
        <v>40</v>
      </c>
      <c r="AB221" s="530"/>
      <c r="AC221" s="530"/>
      <c r="AD221" s="530"/>
      <c r="AE221" s="537"/>
      <c r="AF221" s="537"/>
      <c r="AG221" s="2"/>
      <c r="AH221" s="2"/>
      <c r="AI221" s="2"/>
      <c r="AJ221" s="37"/>
      <c r="AK221" s="38"/>
      <c r="AL221" s="197"/>
    </row>
    <row r="222" spans="1:38" x14ac:dyDescent="0.25">
      <c r="A222" s="65" t="s">
        <v>74</v>
      </c>
      <c r="B222" s="537"/>
      <c r="C222" s="118">
        <v>20.96</v>
      </c>
      <c r="D222" s="537"/>
      <c r="E222" s="537"/>
      <c r="F222" s="118">
        <v>30.15</v>
      </c>
      <c r="G222" s="530"/>
      <c r="H222" s="537"/>
      <c r="I222" s="37"/>
      <c r="J222" s="118">
        <v>30.32</v>
      </c>
      <c r="K222" s="537"/>
      <c r="L222" s="118">
        <v>26.31</v>
      </c>
      <c r="M222" s="530"/>
      <c r="N222" s="537"/>
      <c r="O222" s="537"/>
      <c r="P222" s="1">
        <v>40</v>
      </c>
      <c r="Q222" s="37"/>
      <c r="R222" s="582"/>
      <c r="S222" s="582"/>
      <c r="T222" s="665">
        <v>40</v>
      </c>
      <c r="U222" s="582"/>
      <c r="V222" s="582"/>
      <c r="W222" s="665">
        <v>33.630000000000003</v>
      </c>
      <c r="X222" s="588"/>
      <c r="Y222" s="37"/>
      <c r="Z222" s="1">
        <v>24.8</v>
      </c>
      <c r="AA222" s="530"/>
      <c r="AB222" s="530"/>
      <c r="AC222" s="57">
        <v>29.53</v>
      </c>
      <c r="AD222" s="530"/>
      <c r="AE222" s="537"/>
      <c r="AF222" s="530"/>
      <c r="AG222" s="2"/>
      <c r="AH222" s="2"/>
      <c r="AI222" s="2"/>
      <c r="AJ222" s="37"/>
      <c r="AK222" s="38"/>
      <c r="AL222" s="197"/>
    </row>
    <row r="223" spans="1:38" x14ac:dyDescent="0.25">
      <c r="A223" s="65" t="s">
        <v>76</v>
      </c>
      <c r="B223" s="118">
        <v>36.06</v>
      </c>
      <c r="C223" s="537"/>
      <c r="D223" s="537"/>
      <c r="E223" s="646">
        <v>20</v>
      </c>
      <c r="F223" s="537"/>
      <c r="G223" s="537"/>
      <c r="H223" s="537"/>
      <c r="I223" s="37"/>
      <c r="J223" s="537"/>
      <c r="K223" s="532">
        <v>20</v>
      </c>
      <c r="L223" s="532">
        <v>40</v>
      </c>
      <c r="M223" s="118">
        <v>25.31</v>
      </c>
      <c r="N223" s="530"/>
      <c r="O223" s="537"/>
      <c r="P223" s="537"/>
      <c r="Q223" s="37"/>
      <c r="R223" s="665">
        <v>40</v>
      </c>
      <c r="S223" s="582"/>
      <c r="T223" s="582"/>
      <c r="U223" s="664">
        <v>30.73</v>
      </c>
      <c r="V223" s="582"/>
      <c r="W223" s="588"/>
      <c r="X223" s="665">
        <v>34.619999999999997</v>
      </c>
      <c r="Y223" s="37"/>
      <c r="Z223" s="1">
        <v>45.13</v>
      </c>
      <c r="AA223" s="537"/>
      <c r="AB223" s="530"/>
      <c r="AC223" s="57">
        <v>30.97</v>
      </c>
      <c r="AD223" s="530"/>
      <c r="AE223" s="537"/>
      <c r="AF223" s="537"/>
      <c r="AG223" s="2"/>
      <c r="AH223" s="2"/>
      <c r="AI223" s="2"/>
      <c r="AJ223" s="37"/>
      <c r="AK223" s="38"/>
      <c r="AL223" s="172" t="s">
        <v>347</v>
      </c>
    </row>
    <row r="224" spans="1:38" x14ac:dyDescent="0.25">
      <c r="A224" s="65" t="s">
        <v>75</v>
      </c>
      <c r="B224" s="118">
        <v>38.590000000000003</v>
      </c>
      <c r="C224" s="530"/>
      <c r="D224" s="537"/>
      <c r="E224" s="537"/>
      <c r="F224" s="537"/>
      <c r="G224" s="537"/>
      <c r="H224" s="537"/>
      <c r="I224" s="37"/>
      <c r="J224" s="537"/>
      <c r="K224" s="537"/>
      <c r="L224" s="530"/>
      <c r="M224" s="537"/>
      <c r="N224" s="537"/>
      <c r="O224" s="537"/>
      <c r="P224" s="1">
        <v>40</v>
      </c>
      <c r="Q224" s="37"/>
      <c r="R224" s="582"/>
      <c r="S224" s="582"/>
      <c r="T224" s="582"/>
      <c r="U224" s="582"/>
      <c r="V224" s="582"/>
      <c r="W224" s="588"/>
      <c r="X224" s="588"/>
      <c r="Y224" s="37"/>
      <c r="Z224" s="537"/>
      <c r="AA224" s="537"/>
      <c r="AB224" s="530"/>
      <c r="AC224" s="57">
        <v>40</v>
      </c>
      <c r="AD224" s="530"/>
      <c r="AE224" s="537"/>
      <c r="AF224" s="537"/>
      <c r="AG224" s="2"/>
      <c r="AH224" s="2"/>
      <c r="AI224" s="2"/>
      <c r="AJ224" s="37"/>
      <c r="AK224" s="38"/>
      <c r="AL224" s="172" t="s">
        <v>348</v>
      </c>
    </row>
    <row r="225" spans="1:38" x14ac:dyDescent="0.25">
      <c r="A225" s="65" t="s">
        <v>49</v>
      </c>
      <c r="B225" s="537"/>
      <c r="C225" s="537"/>
      <c r="D225" s="537"/>
      <c r="E225" s="537"/>
      <c r="F225" s="537"/>
      <c r="G225" s="537"/>
      <c r="H225" s="537"/>
      <c r="I225" s="37"/>
      <c r="J225" s="537"/>
      <c r="K225" s="537"/>
      <c r="L225" s="537"/>
      <c r="M225" s="537"/>
      <c r="N225" s="537"/>
      <c r="O225" s="118">
        <v>39.65</v>
      </c>
      <c r="P225" s="537"/>
      <c r="Q225" s="37"/>
      <c r="R225" s="582"/>
      <c r="S225" s="582"/>
      <c r="T225" s="582"/>
      <c r="U225" s="582"/>
      <c r="V225" s="582"/>
      <c r="W225" s="588"/>
      <c r="X225" s="588"/>
      <c r="Y225" s="37"/>
      <c r="Z225" s="537"/>
      <c r="AA225" s="537"/>
      <c r="AB225" s="530"/>
      <c r="AC225" s="530"/>
      <c r="AD225" s="530"/>
      <c r="AE225" s="537"/>
      <c r="AF225" s="537"/>
      <c r="AG225" s="2"/>
      <c r="AH225" s="2"/>
      <c r="AI225" s="2"/>
      <c r="AJ225" s="37"/>
      <c r="AK225" s="38"/>
      <c r="AL225" s="172" t="s">
        <v>349</v>
      </c>
    </row>
    <row r="226" spans="1:38" x14ac:dyDescent="0.25">
      <c r="A226" s="426" t="s">
        <v>23</v>
      </c>
      <c r="B226" s="537"/>
      <c r="C226" s="537"/>
      <c r="D226" s="537"/>
      <c r="E226" s="537"/>
      <c r="F226" s="537"/>
      <c r="G226" s="537"/>
      <c r="H226" s="537"/>
      <c r="I226" s="37"/>
      <c r="J226" s="537"/>
      <c r="K226" s="537"/>
      <c r="L226" s="537"/>
      <c r="M226" s="537"/>
      <c r="N226" s="537"/>
      <c r="O226" s="537"/>
      <c r="P226" s="537"/>
      <c r="Q226" s="37"/>
      <c r="R226" s="582"/>
      <c r="S226" s="582"/>
      <c r="T226" s="582"/>
      <c r="U226" s="582"/>
      <c r="V226" s="582"/>
      <c r="W226" s="588"/>
      <c r="X226" s="588"/>
      <c r="Y226" s="37"/>
      <c r="Z226" s="537"/>
      <c r="AA226" s="537"/>
      <c r="AB226" s="530"/>
      <c r="AC226" s="530"/>
      <c r="AD226" s="530"/>
      <c r="AE226" s="537"/>
      <c r="AF226" s="537"/>
      <c r="AG226" s="2"/>
      <c r="AH226" s="2"/>
      <c r="AI226" s="2"/>
      <c r="AJ226" s="37"/>
      <c r="AK226" s="38"/>
      <c r="AL226" s="197"/>
    </row>
    <row r="227" spans="1:38" x14ac:dyDescent="0.25">
      <c r="A227" s="426" t="s">
        <v>50</v>
      </c>
      <c r="B227" s="537"/>
      <c r="C227" s="537"/>
      <c r="D227" s="537"/>
      <c r="E227" s="537"/>
      <c r="F227" s="530"/>
      <c r="G227" s="537"/>
      <c r="H227" s="537"/>
      <c r="I227" s="37"/>
      <c r="J227" s="537"/>
      <c r="K227" s="537"/>
      <c r="L227" s="537"/>
      <c r="M227" s="537"/>
      <c r="N227" s="537"/>
      <c r="O227" s="537"/>
      <c r="P227" s="537"/>
      <c r="Q227" s="37"/>
      <c r="R227" s="582"/>
      <c r="S227" s="582"/>
      <c r="T227" s="582"/>
      <c r="U227" s="582"/>
      <c r="V227" s="582"/>
      <c r="W227" s="588"/>
      <c r="X227" s="588"/>
      <c r="Y227" s="37"/>
      <c r="Z227" s="537"/>
      <c r="AA227" s="537"/>
      <c r="AB227" s="530"/>
      <c r="AC227" s="530"/>
      <c r="AD227" s="530"/>
      <c r="AE227" s="537"/>
      <c r="AF227" s="537"/>
      <c r="AG227" s="2"/>
      <c r="AH227" s="2"/>
      <c r="AI227" s="2"/>
      <c r="AJ227" s="37"/>
      <c r="AK227" s="38"/>
      <c r="AL227" s="197"/>
    </row>
    <row r="228" spans="1:38" x14ac:dyDescent="0.25">
      <c r="A228" s="65" t="s">
        <v>51</v>
      </c>
      <c r="B228" s="537"/>
      <c r="C228" s="537"/>
      <c r="D228" s="537"/>
      <c r="E228" s="537"/>
      <c r="F228" s="537"/>
      <c r="G228" s="537"/>
      <c r="H228" s="537"/>
      <c r="I228" s="37"/>
      <c r="J228" s="537"/>
      <c r="K228" s="537"/>
      <c r="L228" s="537"/>
      <c r="M228" s="537"/>
      <c r="N228" s="537"/>
      <c r="O228" s="537"/>
      <c r="P228" s="537"/>
      <c r="Q228" s="37"/>
      <c r="R228" s="582"/>
      <c r="S228" s="582"/>
      <c r="T228" s="582"/>
      <c r="U228" s="582"/>
      <c r="V228" s="582"/>
      <c r="W228" s="588"/>
      <c r="X228" s="588"/>
      <c r="Y228" s="37"/>
      <c r="Z228" s="537"/>
      <c r="AA228" s="537"/>
      <c r="AB228" s="57">
        <v>49.8</v>
      </c>
      <c r="AC228" s="530"/>
      <c r="AD228" s="530"/>
      <c r="AE228" s="537"/>
      <c r="AF228" s="537"/>
      <c r="AG228" s="2"/>
      <c r="AH228" s="2"/>
      <c r="AI228" s="2"/>
      <c r="AJ228" s="37"/>
      <c r="AK228" s="38"/>
      <c r="AL228" s="197"/>
    </row>
    <row r="229" spans="1:38" x14ac:dyDescent="0.25">
      <c r="A229" s="65" t="s">
        <v>52</v>
      </c>
      <c r="B229" s="537"/>
      <c r="C229" s="537"/>
      <c r="D229" s="537"/>
      <c r="E229" s="537"/>
      <c r="F229" s="537"/>
      <c r="G229" s="537"/>
      <c r="H229" s="537"/>
      <c r="I229" s="37"/>
      <c r="J229" s="537"/>
      <c r="K229" s="537"/>
      <c r="L229" s="537"/>
      <c r="M229" s="537"/>
      <c r="N229" s="118">
        <v>42.11</v>
      </c>
      <c r="O229" s="537"/>
      <c r="P229" s="537"/>
      <c r="Q229" s="37"/>
      <c r="R229" s="582"/>
      <c r="S229" s="582"/>
      <c r="T229" s="582"/>
      <c r="U229" s="582"/>
      <c r="V229" s="582"/>
      <c r="W229" s="588"/>
      <c r="X229" s="588"/>
      <c r="Y229" s="37"/>
      <c r="Z229" s="537"/>
      <c r="AA229" s="537"/>
      <c r="AB229" s="530"/>
      <c r="AC229" s="530"/>
      <c r="AD229" s="530"/>
      <c r="AE229" s="537"/>
      <c r="AF229" s="537"/>
      <c r="AG229" s="2"/>
      <c r="AH229" s="2"/>
      <c r="AI229" s="2"/>
      <c r="AJ229" s="37"/>
      <c r="AK229" s="38"/>
      <c r="AL229" s="197"/>
    </row>
    <row r="230" spans="1:38" x14ac:dyDescent="0.25">
      <c r="A230" s="65" t="s">
        <v>53</v>
      </c>
      <c r="B230" s="537"/>
      <c r="C230" s="537"/>
      <c r="D230" s="537"/>
      <c r="E230" s="537"/>
      <c r="F230" s="537"/>
      <c r="G230" s="537"/>
      <c r="H230" s="537"/>
      <c r="I230" s="37"/>
      <c r="J230" s="537"/>
      <c r="K230" s="537"/>
      <c r="L230" s="118">
        <v>59.27</v>
      </c>
      <c r="M230" s="537"/>
      <c r="N230" s="537"/>
      <c r="O230" s="537"/>
      <c r="P230" s="537"/>
      <c r="Q230" s="37"/>
      <c r="R230" s="582"/>
      <c r="S230" s="582"/>
      <c r="T230" s="582"/>
      <c r="U230" s="582"/>
      <c r="V230" s="582"/>
      <c r="W230" s="588"/>
      <c r="X230" s="588"/>
      <c r="Y230" s="37"/>
      <c r="Z230" s="537"/>
      <c r="AA230" s="537"/>
      <c r="AB230" s="530"/>
      <c r="AC230" s="530"/>
      <c r="AD230" s="530"/>
      <c r="AE230" s="537"/>
      <c r="AF230" s="537"/>
      <c r="AG230" s="2"/>
      <c r="AH230" s="2"/>
      <c r="AI230" s="2"/>
      <c r="AJ230" s="37"/>
      <c r="AK230" s="38"/>
      <c r="AL230" s="197"/>
    </row>
    <row r="231" spans="1:38" x14ac:dyDescent="0.25">
      <c r="A231" s="65" t="s">
        <v>98</v>
      </c>
      <c r="B231" s="537"/>
      <c r="C231" s="537"/>
      <c r="D231" s="537"/>
      <c r="E231" s="537"/>
      <c r="F231" s="1">
        <v>69.599999999999994</v>
      </c>
      <c r="G231" s="537"/>
      <c r="H231" s="537"/>
      <c r="I231" s="37"/>
      <c r="J231" s="537"/>
      <c r="K231" s="537"/>
      <c r="L231" s="537"/>
      <c r="M231" s="537"/>
      <c r="N231" s="537"/>
      <c r="O231" s="1">
        <v>70</v>
      </c>
      <c r="P231" s="537"/>
      <c r="Q231" s="37"/>
      <c r="R231" s="582"/>
      <c r="S231" s="582"/>
      <c r="T231" s="582"/>
      <c r="U231" s="582"/>
      <c r="V231" s="582"/>
      <c r="W231" s="588"/>
      <c r="X231" s="588"/>
      <c r="Y231" s="37"/>
      <c r="Z231" s="537"/>
      <c r="AA231" s="537"/>
      <c r="AB231" s="530"/>
      <c r="AC231" s="57">
        <v>72.19</v>
      </c>
      <c r="AD231" s="530"/>
      <c r="AE231" s="537"/>
      <c r="AF231" s="537"/>
      <c r="AG231" s="2"/>
      <c r="AH231" s="2"/>
      <c r="AI231" s="2"/>
      <c r="AJ231" s="37"/>
      <c r="AK231" s="38"/>
      <c r="AL231" s="197"/>
    </row>
    <row r="232" spans="1:38" ht="18.75" x14ac:dyDescent="0.3">
      <c r="A232" s="65" t="s">
        <v>83</v>
      </c>
      <c r="B232" s="581"/>
      <c r="C232" s="355">
        <v>30.83</v>
      </c>
      <c r="D232" s="152">
        <v>17.489999999999998</v>
      </c>
      <c r="E232" s="152">
        <v>13.89</v>
      </c>
      <c r="F232" s="581"/>
      <c r="G232" s="576"/>
      <c r="H232" s="152">
        <v>38.07</v>
      </c>
      <c r="I232" s="269"/>
      <c r="J232" s="152">
        <v>15.02</v>
      </c>
      <c r="K232" s="576"/>
      <c r="L232" s="153">
        <v>30.9</v>
      </c>
      <c r="M232" s="581"/>
      <c r="N232" s="171">
        <v>25.78</v>
      </c>
      <c r="O232" s="581"/>
      <c r="P232" s="152">
        <v>28.64</v>
      </c>
      <c r="Q232" s="269"/>
      <c r="R232" s="585"/>
      <c r="S232" s="338">
        <v>24.07</v>
      </c>
      <c r="T232" s="585"/>
      <c r="U232" s="338">
        <v>28.79</v>
      </c>
      <c r="V232" s="585"/>
      <c r="W232" s="367">
        <v>22.99</v>
      </c>
      <c r="X232" s="367">
        <v>15.67</v>
      </c>
      <c r="Y232" s="269"/>
      <c r="Z232" s="581"/>
      <c r="AA232" s="152">
        <v>20.93</v>
      </c>
      <c r="AB232" s="576"/>
      <c r="AC232" s="175">
        <v>26.76</v>
      </c>
      <c r="AD232" s="576"/>
      <c r="AE232" s="153">
        <v>28.1</v>
      </c>
      <c r="AF232" s="581"/>
      <c r="AG232" s="356"/>
      <c r="AH232" s="270"/>
      <c r="AI232" s="270"/>
      <c r="AJ232" s="269"/>
      <c r="AK232" s="271"/>
      <c r="AL232" s="204"/>
    </row>
    <row r="233" spans="1:38" x14ac:dyDescent="0.25">
      <c r="A233" s="65" t="s">
        <v>84</v>
      </c>
      <c r="B233" s="242">
        <v>20.440000000000001</v>
      </c>
      <c r="C233" s="588"/>
      <c r="D233" s="587"/>
      <c r="E233" s="583"/>
      <c r="F233" s="242">
        <v>30.64</v>
      </c>
      <c r="G233" s="18"/>
      <c r="H233" s="240">
        <v>27.43</v>
      </c>
      <c r="I233" s="49"/>
      <c r="J233" s="583"/>
      <c r="K233" s="242">
        <v>19.399999999999999</v>
      </c>
      <c r="L233" s="582"/>
      <c r="M233" s="240">
        <v>29.65</v>
      </c>
      <c r="N233" s="242">
        <v>19.55</v>
      </c>
      <c r="O233" s="583"/>
      <c r="P233" s="582"/>
      <c r="Q233" s="49"/>
      <c r="R233" s="240">
        <v>34.020000000000003</v>
      </c>
      <c r="S233" s="588"/>
      <c r="T233" s="240">
        <v>23.87</v>
      </c>
      <c r="U233" s="582"/>
      <c r="V233" s="240">
        <v>33.93</v>
      </c>
      <c r="W233" s="242">
        <v>17.09</v>
      </c>
      <c r="X233" s="588"/>
      <c r="Y233" s="49"/>
      <c r="Z233" s="583"/>
      <c r="AA233" s="242">
        <v>40</v>
      </c>
      <c r="AB233" s="588"/>
      <c r="AC233" s="242">
        <v>24.92</v>
      </c>
      <c r="AD233" s="588"/>
      <c r="AE233" s="583"/>
      <c r="AF233" s="242">
        <v>40</v>
      </c>
      <c r="AG233" s="247"/>
      <c r="AH233" s="134"/>
      <c r="AI233" s="134"/>
      <c r="AJ233" s="49"/>
      <c r="AK233" s="133"/>
      <c r="AL233" s="197"/>
    </row>
    <row r="234" spans="1:38" x14ac:dyDescent="0.25">
      <c r="A234" s="65" t="s">
        <v>85</v>
      </c>
      <c r="B234" s="587"/>
      <c r="C234" s="587"/>
      <c r="D234" s="587"/>
      <c r="E234" s="583"/>
      <c r="F234" s="583"/>
      <c r="G234" s="583"/>
      <c r="H234" s="583"/>
      <c r="I234" s="49"/>
      <c r="J234" s="583"/>
      <c r="K234" s="583"/>
      <c r="L234" s="582"/>
      <c r="M234" s="583"/>
      <c r="N234" s="240">
        <v>47.94</v>
      </c>
      <c r="O234" s="583"/>
      <c r="P234" s="583"/>
      <c r="Q234" s="49"/>
      <c r="R234" s="582"/>
      <c r="S234" s="582"/>
      <c r="T234" s="582"/>
      <c r="U234" s="582"/>
      <c r="V234" s="582"/>
      <c r="W234" s="588"/>
      <c r="X234" s="588"/>
      <c r="Y234" s="49"/>
      <c r="Z234" s="583"/>
      <c r="AA234" s="583"/>
      <c r="AB234" s="242">
        <v>24.89</v>
      </c>
      <c r="AC234" s="587"/>
      <c r="AD234" s="588"/>
      <c r="AE234" s="583"/>
      <c r="AF234" s="583"/>
      <c r="AG234" s="247"/>
      <c r="AH234" s="134"/>
      <c r="AI234" s="134"/>
      <c r="AJ234" s="49"/>
      <c r="AK234" s="133"/>
      <c r="AL234" s="197"/>
    </row>
    <row r="235" spans="1:38" ht="18.75" x14ac:dyDescent="0.3">
      <c r="A235" s="65" t="s">
        <v>62</v>
      </c>
      <c r="B235" s="583"/>
      <c r="C235" s="583"/>
      <c r="D235" s="582"/>
      <c r="E235" s="337">
        <v>23.12</v>
      </c>
      <c r="F235" s="583"/>
      <c r="G235" s="583"/>
      <c r="H235" s="583"/>
      <c r="I235" s="244"/>
      <c r="J235" s="583"/>
      <c r="K235" s="583"/>
      <c r="L235" s="583"/>
      <c r="M235" s="583"/>
      <c r="N235" s="583"/>
      <c r="O235" s="583"/>
      <c r="P235" s="445">
        <v>40</v>
      </c>
      <c r="Q235" s="244"/>
      <c r="R235" s="582"/>
      <c r="S235" s="582"/>
      <c r="T235" s="582"/>
      <c r="U235" s="582"/>
      <c r="V235" s="582"/>
      <c r="W235" s="588"/>
      <c r="X235" s="242">
        <v>33.33</v>
      </c>
      <c r="Y235" s="244"/>
      <c r="Z235" s="583"/>
      <c r="AA235" s="583"/>
      <c r="AB235" s="587"/>
      <c r="AC235" s="588"/>
      <c r="AD235" s="242">
        <v>30.3</v>
      </c>
      <c r="AE235" s="583"/>
      <c r="AF235" s="583"/>
      <c r="AG235" s="337"/>
      <c r="AH235" s="112"/>
      <c r="AI235" s="112"/>
      <c r="AJ235" s="244"/>
      <c r="AK235" s="170"/>
      <c r="AL235" s="197"/>
    </row>
    <row r="236" spans="1:38" ht="15" customHeight="1" x14ac:dyDescent="0.35">
      <c r="A236" s="65" t="s">
        <v>61</v>
      </c>
      <c r="B236" s="537"/>
      <c r="C236" s="537"/>
      <c r="D236" s="12">
        <v>40</v>
      </c>
      <c r="E236" s="537"/>
      <c r="F236" s="12">
        <v>35.6</v>
      </c>
      <c r="G236" s="537"/>
      <c r="H236" s="530"/>
      <c r="I236" s="289"/>
      <c r="J236" s="445">
        <v>37.5</v>
      </c>
      <c r="K236" s="537"/>
      <c r="L236" s="530"/>
      <c r="M236" s="537"/>
      <c r="N236" s="135">
        <v>40</v>
      </c>
      <c r="O236" s="537"/>
      <c r="P236" s="131">
        <v>32.67</v>
      </c>
      <c r="Q236" s="289"/>
      <c r="R236" s="582"/>
      <c r="S236" s="240">
        <v>27.28</v>
      </c>
      <c r="T236" s="582"/>
      <c r="U236" s="582"/>
      <c r="V236" s="582"/>
      <c r="W236" s="242">
        <v>43.21</v>
      </c>
      <c r="X236" s="588"/>
      <c r="Y236" s="289"/>
      <c r="Z236" s="537"/>
      <c r="AA236" s="131">
        <v>35.75</v>
      </c>
      <c r="AB236" s="530"/>
      <c r="AC236" s="135">
        <v>30.46</v>
      </c>
      <c r="AD236" s="588"/>
      <c r="AE236" s="537"/>
      <c r="AF236" s="131">
        <v>31.71</v>
      </c>
      <c r="AG236" s="431"/>
      <c r="AH236" s="287"/>
      <c r="AI236" s="287"/>
      <c r="AJ236" s="289"/>
      <c r="AK236" s="255"/>
      <c r="AL236" s="292"/>
    </row>
    <row r="237" spans="1:38" x14ac:dyDescent="0.25">
      <c r="A237" s="66" t="s">
        <v>86</v>
      </c>
      <c r="B237" s="584"/>
      <c r="C237" s="584"/>
      <c r="D237" s="584"/>
      <c r="E237" s="584"/>
      <c r="F237" s="585"/>
      <c r="G237" s="584"/>
      <c r="H237" s="584"/>
      <c r="I237" s="290"/>
      <c r="J237" s="338">
        <v>23.96</v>
      </c>
      <c r="K237" s="584"/>
      <c r="L237" s="585"/>
      <c r="M237" s="584"/>
      <c r="N237" s="584"/>
      <c r="O237" s="338">
        <v>19.41</v>
      </c>
      <c r="P237" s="585"/>
      <c r="Q237" s="290"/>
      <c r="R237" s="585"/>
      <c r="S237" s="585"/>
      <c r="T237" s="585"/>
      <c r="U237" s="585"/>
      <c r="V237" s="585"/>
      <c r="W237" s="586"/>
      <c r="X237" s="586"/>
      <c r="Y237" s="290"/>
      <c r="Z237" s="338">
        <v>28.95</v>
      </c>
      <c r="AA237" s="584"/>
      <c r="AB237" s="589"/>
      <c r="AC237" s="589"/>
      <c r="AD237" s="586"/>
      <c r="AE237" s="584"/>
      <c r="AF237" s="338">
        <v>22.51</v>
      </c>
      <c r="AG237" s="427"/>
      <c r="AH237" s="288"/>
      <c r="AI237" s="288"/>
      <c r="AJ237" s="290"/>
      <c r="AK237" s="291"/>
      <c r="AL237" s="204"/>
    </row>
    <row r="238" spans="1:38" x14ac:dyDescent="0.25">
      <c r="A238" s="368" t="s">
        <v>100</v>
      </c>
      <c r="B238" s="589"/>
      <c r="C238" s="589"/>
      <c r="D238" s="589"/>
      <c r="E238" s="584"/>
      <c r="F238" s="584"/>
      <c r="G238" s="584"/>
      <c r="H238" s="584"/>
      <c r="I238" s="290"/>
      <c r="J238" s="585"/>
      <c r="K238" s="584"/>
      <c r="L238" s="584"/>
      <c r="M238" s="584"/>
      <c r="N238" s="584"/>
      <c r="O238" s="584"/>
      <c r="P238" s="584"/>
      <c r="Q238" s="290"/>
      <c r="R238" s="585"/>
      <c r="S238" s="585"/>
      <c r="T238" s="585"/>
      <c r="U238" s="585"/>
      <c r="V238" s="585"/>
      <c r="W238" s="586"/>
      <c r="X238" s="586"/>
      <c r="Y238" s="290"/>
      <c r="Z238" s="584"/>
      <c r="AA238" s="584"/>
      <c r="AB238" s="589"/>
      <c r="AC238" s="589"/>
      <c r="AD238" s="586"/>
      <c r="AE238" s="584"/>
      <c r="AF238" s="584"/>
      <c r="AG238" s="427"/>
      <c r="AH238" s="288"/>
      <c r="AI238" s="332"/>
      <c r="AJ238" s="290"/>
      <c r="AK238" s="46"/>
      <c r="AL238" s="204"/>
    </row>
    <row r="239" spans="1:38" x14ac:dyDescent="0.25">
      <c r="A239" s="66" t="s">
        <v>364</v>
      </c>
      <c r="B239" s="589"/>
      <c r="C239" s="589"/>
      <c r="D239" s="589"/>
      <c r="E239" s="584"/>
      <c r="F239" s="584"/>
      <c r="G239" s="584"/>
      <c r="H239" s="584"/>
      <c r="I239" s="290"/>
      <c r="J239" s="585"/>
      <c r="K239" s="584"/>
      <c r="L239" s="584"/>
      <c r="M239" s="584"/>
      <c r="N239" s="584"/>
      <c r="O239" s="584"/>
      <c r="P239" s="584"/>
      <c r="Q239" s="290"/>
      <c r="R239" s="585"/>
      <c r="S239" s="338">
        <v>35.46</v>
      </c>
      <c r="T239" s="585"/>
      <c r="U239" s="585"/>
      <c r="V239" s="585"/>
      <c r="W239" s="586"/>
      <c r="X239" s="586"/>
      <c r="Y239" s="290"/>
      <c r="Z239" s="584"/>
      <c r="AA239" s="584"/>
      <c r="AB239" s="589"/>
      <c r="AC239" s="589"/>
      <c r="AD239" s="586"/>
      <c r="AE239" s="584"/>
      <c r="AF239" s="584"/>
      <c r="AG239" s="427"/>
      <c r="AH239" s="288"/>
      <c r="AI239" s="332"/>
      <c r="AJ239" s="290"/>
      <c r="AK239" s="46"/>
      <c r="AL239" s="204"/>
    </row>
    <row r="240" spans="1:38" x14ac:dyDescent="0.25">
      <c r="A240" s="66" t="s">
        <v>359</v>
      </c>
      <c r="B240" s="589"/>
      <c r="C240" s="589"/>
      <c r="D240" s="589"/>
      <c r="E240" s="584"/>
      <c r="F240" s="584"/>
      <c r="G240" s="584"/>
      <c r="H240" s="584"/>
      <c r="I240" s="290"/>
      <c r="J240" s="585"/>
      <c r="K240" s="584"/>
      <c r="L240" s="584"/>
      <c r="M240" s="367">
        <v>40</v>
      </c>
      <c r="N240" s="584"/>
      <c r="O240" s="584"/>
      <c r="P240" s="584"/>
      <c r="Q240" s="290"/>
      <c r="R240" s="585"/>
      <c r="S240" s="585"/>
      <c r="T240" s="585"/>
      <c r="U240" s="585"/>
      <c r="V240" s="585"/>
      <c r="W240" s="586"/>
      <c r="X240" s="586"/>
      <c r="Y240" s="290"/>
      <c r="Z240" s="584"/>
      <c r="AA240" s="584"/>
      <c r="AB240" s="589"/>
      <c r="AC240" s="589"/>
      <c r="AD240" s="586"/>
      <c r="AE240" s="584"/>
      <c r="AF240" s="584"/>
      <c r="AG240" s="443"/>
      <c r="AH240" s="288"/>
      <c r="AI240" s="332"/>
      <c r="AJ240" s="290"/>
      <c r="AK240" s="46"/>
      <c r="AL240" s="204"/>
    </row>
    <row r="241" spans="1:38" ht="15" customHeight="1" x14ac:dyDescent="0.3">
      <c r="A241" s="514" t="s">
        <v>22</v>
      </c>
      <c r="B241" s="367">
        <v>24.53</v>
      </c>
      <c r="C241" s="589"/>
      <c r="D241" s="589"/>
      <c r="E241" s="367">
        <v>26.6</v>
      </c>
      <c r="F241" s="584"/>
      <c r="G241" s="584"/>
      <c r="H241" s="367">
        <v>22.4</v>
      </c>
      <c r="I241" s="290"/>
      <c r="J241" s="585"/>
      <c r="K241" s="367">
        <v>17.899999999999999</v>
      </c>
      <c r="L241" s="584"/>
      <c r="M241" s="584"/>
      <c r="N241" s="585"/>
      <c r="O241" s="584"/>
      <c r="P241" s="584"/>
      <c r="Q241" s="290"/>
      <c r="R241" s="585"/>
      <c r="S241" s="585"/>
      <c r="T241" s="585"/>
      <c r="U241" s="585"/>
      <c r="V241" s="585"/>
      <c r="W241" s="586"/>
      <c r="X241" s="586"/>
      <c r="Y241" s="290"/>
      <c r="Z241" s="584"/>
      <c r="AA241" s="584"/>
      <c r="AB241" s="586"/>
      <c r="AC241" s="367">
        <v>37.06</v>
      </c>
      <c r="AD241" s="586"/>
      <c r="AE241" s="338">
        <v>21.46</v>
      </c>
      <c r="AF241" s="584"/>
      <c r="AG241" s="288"/>
      <c r="AH241" s="288"/>
      <c r="AI241" s="332"/>
      <c r="AJ241" s="290"/>
      <c r="AK241" s="342"/>
      <c r="AL241" s="204"/>
    </row>
    <row r="242" spans="1:38" ht="15" customHeight="1" x14ac:dyDescent="0.3">
      <c r="A242" s="368" t="s">
        <v>88</v>
      </c>
      <c r="B242" s="587"/>
      <c r="C242" s="587"/>
      <c r="D242" s="587"/>
      <c r="E242" s="583"/>
      <c r="F242" s="588"/>
      <c r="G242" s="583"/>
      <c r="H242" s="583"/>
      <c r="I242" s="49"/>
      <c r="J242" s="582"/>
      <c r="K242" s="583"/>
      <c r="L242" s="583"/>
      <c r="M242" s="583"/>
      <c r="N242" s="583"/>
      <c r="O242" s="583"/>
      <c r="P242" s="583"/>
      <c r="Q242" s="49"/>
      <c r="R242" s="582"/>
      <c r="S242" s="582"/>
      <c r="T242" s="582"/>
      <c r="U242" s="582"/>
      <c r="V242" s="582"/>
      <c r="W242" s="588"/>
      <c r="X242" s="588"/>
      <c r="Y242" s="49"/>
      <c r="Z242" s="583"/>
      <c r="AA242" s="583"/>
      <c r="AB242" s="587"/>
      <c r="AC242" s="587"/>
      <c r="AD242" s="588"/>
      <c r="AE242" s="583"/>
      <c r="AF242" s="583"/>
      <c r="AG242" s="134"/>
      <c r="AH242" s="134"/>
      <c r="AI242" s="134"/>
      <c r="AJ242" s="49"/>
      <c r="AK242" s="378"/>
      <c r="AL242" s="309"/>
    </row>
    <row r="243" spans="1:38" ht="15" customHeight="1" x14ac:dyDescent="0.3">
      <c r="A243" s="368" t="s">
        <v>38</v>
      </c>
      <c r="B243" s="587"/>
      <c r="C243" s="587"/>
      <c r="D243" s="587"/>
      <c r="E243" s="583"/>
      <c r="F243" s="588"/>
      <c r="G243" s="583"/>
      <c r="H243" s="583"/>
      <c r="I243" s="49"/>
      <c r="J243" s="588"/>
      <c r="K243" s="583"/>
      <c r="L243" s="583"/>
      <c r="M243" s="583"/>
      <c r="N243" s="583"/>
      <c r="O243" s="583"/>
      <c r="P243" s="583"/>
      <c r="Q243" s="49"/>
      <c r="R243" s="582"/>
      <c r="S243" s="582"/>
      <c r="T243" s="582"/>
      <c r="U243" s="588"/>
      <c r="V243" s="582"/>
      <c r="W243" s="588"/>
      <c r="X243" s="588"/>
      <c r="Y243" s="49"/>
      <c r="Z243" s="588"/>
      <c r="AA243" s="583"/>
      <c r="AB243" s="587"/>
      <c r="AC243" s="587"/>
      <c r="AD243" s="587"/>
      <c r="AE243" s="588"/>
      <c r="AF243" s="583"/>
      <c r="AG243" s="134"/>
      <c r="AH243" s="134"/>
      <c r="AI243" s="134"/>
      <c r="AJ243" s="49"/>
      <c r="AK243" s="378"/>
      <c r="AL243" s="309"/>
    </row>
    <row r="244" spans="1:38" x14ac:dyDescent="0.25">
      <c r="A244" s="514" t="s">
        <v>87</v>
      </c>
      <c r="B244" s="583"/>
      <c r="C244" s="583"/>
      <c r="D244" s="588"/>
      <c r="E244" s="583"/>
      <c r="F244" s="588"/>
      <c r="G244" s="583"/>
      <c r="H244" s="583"/>
      <c r="I244" s="369"/>
      <c r="J244" s="588"/>
      <c r="K244" s="583"/>
      <c r="L244" s="242">
        <v>34.28</v>
      </c>
      <c r="M244" s="583"/>
      <c r="N244" s="583"/>
      <c r="O244" s="583"/>
      <c r="P244" s="583"/>
      <c r="Q244" s="516"/>
      <c r="R244" s="582"/>
      <c r="S244" s="582"/>
      <c r="T244" s="582"/>
      <c r="U244" s="240">
        <v>29.46</v>
      </c>
      <c r="V244" s="582"/>
      <c r="W244" s="588"/>
      <c r="X244" s="588"/>
      <c r="Y244" s="516"/>
      <c r="Z244" s="583"/>
      <c r="AA244" s="583"/>
      <c r="AB244" s="587"/>
      <c r="AC244" s="587"/>
      <c r="AD244" s="587"/>
      <c r="AE244" s="583"/>
      <c r="AF244" s="583"/>
      <c r="AG244" s="112"/>
      <c r="AH244" s="112"/>
      <c r="AI244" s="112"/>
      <c r="AJ244" s="516"/>
      <c r="AK244" s="333"/>
      <c r="AL244" s="309"/>
    </row>
    <row r="245" spans="1:38" ht="15.75" x14ac:dyDescent="0.25">
      <c r="A245" s="514" t="s">
        <v>21</v>
      </c>
      <c r="B245" s="581"/>
      <c r="C245" s="581"/>
      <c r="D245" s="581"/>
      <c r="E245" s="581"/>
      <c r="F245" s="581"/>
      <c r="G245" s="581"/>
      <c r="H245" s="581"/>
      <c r="I245" s="357"/>
      <c r="J245" s="581"/>
      <c r="K245" s="581"/>
      <c r="L245" s="581"/>
      <c r="M245" s="581"/>
      <c r="N245" s="581"/>
      <c r="O245" s="581"/>
      <c r="P245" s="581"/>
      <c r="Q245" s="357"/>
      <c r="R245" s="585"/>
      <c r="S245" s="585"/>
      <c r="T245" s="585"/>
      <c r="U245" s="585"/>
      <c r="V245" s="585"/>
      <c r="W245" s="586"/>
      <c r="X245" s="586"/>
      <c r="Y245" s="357"/>
      <c r="Z245" s="581"/>
      <c r="AA245" s="581"/>
      <c r="AB245" s="576"/>
      <c r="AC245" s="576"/>
      <c r="AD245" s="576"/>
      <c r="AE245" s="581"/>
      <c r="AF245" s="581"/>
      <c r="AG245" s="356"/>
      <c r="AH245" s="356"/>
      <c r="AI245" s="356"/>
      <c r="AJ245" s="357"/>
      <c r="AK245" s="117">
        <v>1075.28</v>
      </c>
      <c r="AL245" s="359"/>
    </row>
    <row r="246" spans="1:38" ht="15.75" x14ac:dyDescent="0.25">
      <c r="A246" s="514" t="s">
        <v>99</v>
      </c>
      <c r="B246" s="581"/>
      <c r="C246" s="581"/>
      <c r="D246" s="581"/>
      <c r="E246" s="581"/>
      <c r="F246" s="581"/>
      <c r="G246" s="581"/>
      <c r="H246" s="581"/>
      <c r="I246" s="357"/>
      <c r="J246" s="581"/>
      <c r="K246" s="581"/>
      <c r="L246" s="581"/>
      <c r="M246" s="581"/>
      <c r="N246" s="581"/>
      <c r="O246" s="581"/>
      <c r="P246" s="581"/>
      <c r="Q246" s="357"/>
      <c r="R246" s="585"/>
      <c r="S246" s="585"/>
      <c r="T246" s="585"/>
      <c r="U246" s="585"/>
      <c r="V246" s="585"/>
      <c r="W246" s="586"/>
      <c r="X246" s="586"/>
      <c r="Y246" s="357"/>
      <c r="Z246" s="581"/>
      <c r="AA246" s="581"/>
      <c r="AB246" s="576"/>
      <c r="AC246" s="576"/>
      <c r="AD246" s="576"/>
      <c r="AE246" s="581"/>
      <c r="AF246" s="581"/>
      <c r="AG246" s="356"/>
      <c r="AH246" s="356"/>
      <c r="AI246" s="356"/>
      <c r="AJ246" s="357"/>
      <c r="AK246" s="117">
        <v>1360.35</v>
      </c>
      <c r="AL246" s="359"/>
    </row>
    <row r="247" spans="1:38" ht="15.75" x14ac:dyDescent="0.25">
      <c r="A247" s="515" t="s">
        <v>91</v>
      </c>
      <c r="B247" s="586"/>
      <c r="C247" s="586"/>
      <c r="D247" s="367">
        <v>31.08</v>
      </c>
      <c r="E247" s="586"/>
      <c r="F247" s="586"/>
      <c r="G247" s="586"/>
      <c r="H247" s="586"/>
      <c r="I247" s="374"/>
      <c r="J247" s="586"/>
      <c r="K247" s="367">
        <v>34.22</v>
      </c>
      <c r="L247" s="586"/>
      <c r="M247" s="586"/>
      <c r="N247" s="586"/>
      <c r="O247" s="586"/>
      <c r="P247" s="586"/>
      <c r="Q247" s="290"/>
      <c r="R247" s="367">
        <v>34.58</v>
      </c>
      <c r="S247" s="585"/>
      <c r="T247" s="585"/>
      <c r="U247" s="585"/>
      <c r="V247" s="585"/>
      <c r="W247" s="586"/>
      <c r="X247" s="586"/>
      <c r="Y247" s="290"/>
      <c r="Z247" s="584"/>
      <c r="AA247" s="338">
        <v>34.51</v>
      </c>
      <c r="AB247" s="589"/>
      <c r="AC247" s="589"/>
      <c r="AD247" s="589"/>
      <c r="AE247" s="584"/>
      <c r="AF247" s="584"/>
      <c r="AG247" s="288"/>
      <c r="AH247" s="288"/>
      <c r="AI247" s="288"/>
      <c r="AJ247" s="290"/>
      <c r="AK247" s="117">
        <v>987.31</v>
      </c>
      <c r="AL247" s="204"/>
    </row>
    <row r="248" spans="1:38" ht="15.75" x14ac:dyDescent="0.25">
      <c r="A248" s="514" t="s">
        <v>101</v>
      </c>
      <c r="B248" s="588"/>
      <c r="C248" s="588"/>
      <c r="D248" s="588"/>
      <c r="E248" s="588"/>
      <c r="F248" s="588"/>
      <c r="G248" s="588"/>
      <c r="H248" s="588"/>
      <c r="I248" s="409"/>
      <c r="J248" s="588"/>
      <c r="K248" s="588"/>
      <c r="L248" s="242">
        <v>51.48</v>
      </c>
      <c r="M248" s="588"/>
      <c r="N248" s="588"/>
      <c r="O248" s="588"/>
      <c r="P248" s="588"/>
      <c r="Q248" s="410"/>
      <c r="R248" s="588"/>
      <c r="S248" s="582"/>
      <c r="T248" s="582"/>
      <c r="U248" s="582"/>
      <c r="V248" s="582"/>
      <c r="W248" s="588"/>
      <c r="X248" s="588"/>
      <c r="Y248" s="49"/>
      <c r="Z248" s="583"/>
      <c r="AA248" s="582"/>
      <c r="AB248" s="587"/>
      <c r="AC248" s="242">
        <v>72.959999999999994</v>
      </c>
      <c r="AD248" s="587"/>
      <c r="AE248" s="583"/>
      <c r="AF248" s="582"/>
      <c r="AG248" s="134"/>
      <c r="AH248" s="134"/>
      <c r="AI248" s="134"/>
      <c r="AJ248" s="49"/>
      <c r="AK248" s="657">
        <v>1201.7</v>
      </c>
      <c r="AL248" s="197"/>
    </row>
    <row r="249" spans="1:38" ht="15" customHeight="1" thickBot="1" x14ac:dyDescent="0.35">
      <c r="A249" s="514"/>
      <c r="B249" s="591"/>
      <c r="C249" s="591"/>
      <c r="D249" s="591"/>
      <c r="E249" s="591"/>
      <c r="F249" s="591"/>
      <c r="G249" s="591"/>
      <c r="H249" s="591"/>
      <c r="I249" s="334"/>
      <c r="J249" s="591"/>
      <c r="K249" s="591"/>
      <c r="L249" s="591"/>
      <c r="M249" s="591"/>
      <c r="N249" s="591"/>
      <c r="O249" s="591"/>
      <c r="P249" s="591"/>
      <c r="Q249" s="334"/>
      <c r="R249" s="685"/>
      <c r="S249" s="685"/>
      <c r="T249" s="685"/>
      <c r="U249" s="685"/>
      <c r="V249" s="685"/>
      <c r="W249" s="686"/>
      <c r="X249" s="686"/>
      <c r="Y249" s="334"/>
      <c r="Z249" s="591"/>
      <c r="AA249" s="591"/>
      <c r="AB249" s="590"/>
      <c r="AC249" s="590"/>
      <c r="AD249" s="590"/>
      <c r="AE249" s="591"/>
      <c r="AF249" s="591"/>
      <c r="AG249" s="396"/>
      <c r="AH249" s="396"/>
      <c r="AI249" s="396"/>
      <c r="AJ249" s="334"/>
      <c r="AK249" s="397"/>
      <c r="AL249" s="228"/>
    </row>
    <row r="250" spans="1:38" ht="18.75" x14ac:dyDescent="0.3">
      <c r="A250" s="281" t="s">
        <v>2</v>
      </c>
      <c r="B250" s="241">
        <f t="shared" ref="B250:G250" si="20">SUM(B209:B249)</f>
        <v>158.86000000000001</v>
      </c>
      <c r="C250" s="241">
        <f t="shared" si="20"/>
        <v>115.99999999999999</v>
      </c>
      <c r="D250" s="241">
        <f t="shared" si="20"/>
        <v>166.76999999999998</v>
      </c>
      <c r="E250" s="241">
        <f t="shared" si="20"/>
        <v>83.610000000000014</v>
      </c>
      <c r="F250" s="241">
        <f t="shared" si="20"/>
        <v>229.84</v>
      </c>
      <c r="G250" s="241">
        <f t="shared" si="20"/>
        <v>72.38</v>
      </c>
      <c r="H250" s="241">
        <f>SUM(H209:H249)</f>
        <v>247.82000000000002</v>
      </c>
      <c r="I250" s="380">
        <f>SUM(B250:H250)</f>
        <v>1075.28</v>
      </c>
      <c r="J250" s="241">
        <f>SUM(J210:J248)</f>
        <v>148.07</v>
      </c>
      <c r="K250" s="241">
        <f t="shared" ref="K250:P250" si="21">SUM(K209:K249)</f>
        <v>174.44</v>
      </c>
      <c r="L250" s="241">
        <f t="shared" si="21"/>
        <v>242.24</v>
      </c>
      <c r="M250" s="241">
        <f t="shared" si="21"/>
        <v>161.18</v>
      </c>
      <c r="N250" s="241">
        <f t="shared" si="21"/>
        <v>215.38</v>
      </c>
      <c r="O250" s="241">
        <f t="shared" si="21"/>
        <v>237.73</v>
      </c>
      <c r="P250" s="241">
        <f t="shared" si="21"/>
        <v>181.31</v>
      </c>
      <c r="Q250" s="377">
        <f>SUM(J250:P250)</f>
        <v>1360.35</v>
      </c>
      <c r="R250" s="241">
        <f t="shared" ref="R250:W250" si="22">SUM(R209:R249)</f>
        <v>216.96000000000004</v>
      </c>
      <c r="S250" s="241">
        <f t="shared" si="22"/>
        <v>143.43</v>
      </c>
      <c r="T250" s="241">
        <f t="shared" si="22"/>
        <v>123.11000000000001</v>
      </c>
      <c r="U250" s="241">
        <f t="shared" si="22"/>
        <v>88.97999999999999</v>
      </c>
      <c r="V250" s="241">
        <f t="shared" si="22"/>
        <v>63.379999999999995</v>
      </c>
      <c r="W250" s="241">
        <f t="shared" si="22"/>
        <v>155.13999999999999</v>
      </c>
      <c r="X250" s="241">
        <f>SUM(X209:X249)</f>
        <v>196.31</v>
      </c>
      <c r="Y250" s="380">
        <f>SUM(R250:X250)</f>
        <v>987.31</v>
      </c>
      <c r="Z250" s="241">
        <f t="shared" ref="Z250:AE250" si="23">SUM(Z209:Z249)</f>
        <v>98.88000000000001</v>
      </c>
      <c r="AA250" s="241">
        <f t="shared" si="23"/>
        <v>171.19</v>
      </c>
      <c r="AB250" s="241">
        <f t="shared" si="23"/>
        <v>188.32999999999998</v>
      </c>
      <c r="AC250" s="241">
        <f t="shared" si="23"/>
        <v>473.01</v>
      </c>
      <c r="AD250" s="241">
        <f t="shared" si="23"/>
        <v>30.3</v>
      </c>
      <c r="AE250" s="241">
        <f t="shared" si="23"/>
        <v>89.56</v>
      </c>
      <c r="AF250" s="241">
        <f>SUM(AF209:AF249)</f>
        <v>150.43</v>
      </c>
      <c r="AG250" s="241"/>
      <c r="AH250" s="424"/>
      <c r="AI250" s="425"/>
      <c r="AJ250" s="377">
        <f>SUM(Z250:AI250)</f>
        <v>1201.7</v>
      </c>
      <c r="AK250" s="696">
        <f>SUM(AK245:AK249)</f>
        <v>4624.6400000000003</v>
      </c>
      <c r="AL250" s="284"/>
    </row>
    <row r="251" spans="1:38" ht="19.5" thickBot="1" x14ac:dyDescent="0.35">
      <c r="A251" s="272"/>
      <c r="B251" s="265" t="s">
        <v>342</v>
      </c>
      <c r="C251" s="265" t="s">
        <v>342</v>
      </c>
      <c r="D251" s="265" t="s">
        <v>342</v>
      </c>
      <c r="E251" s="265" t="s">
        <v>350</v>
      </c>
      <c r="F251" s="265" t="s">
        <v>352</v>
      </c>
      <c r="G251" s="265" t="s">
        <v>356</v>
      </c>
      <c r="H251" s="265">
        <v>39.700000000000003</v>
      </c>
      <c r="I251" s="273"/>
      <c r="J251" s="265" t="s">
        <v>342</v>
      </c>
      <c r="K251" s="265" t="s">
        <v>358</v>
      </c>
      <c r="L251" s="265" t="s">
        <v>352</v>
      </c>
      <c r="M251" s="265" t="s">
        <v>342</v>
      </c>
      <c r="N251" s="265" t="s">
        <v>352</v>
      </c>
      <c r="O251" s="265" t="s">
        <v>352</v>
      </c>
      <c r="P251" s="265" t="s">
        <v>342</v>
      </c>
      <c r="Q251" s="273"/>
      <c r="R251" s="265" t="s">
        <v>352</v>
      </c>
      <c r="S251" s="265" t="s">
        <v>342</v>
      </c>
      <c r="T251" s="265" t="s">
        <v>350</v>
      </c>
      <c r="U251" s="265">
        <v>39.299999999999997</v>
      </c>
      <c r="V251" s="265" t="s">
        <v>356</v>
      </c>
      <c r="W251" s="265" t="s">
        <v>342</v>
      </c>
      <c r="X251" s="265" t="s">
        <v>352</v>
      </c>
      <c r="Y251" s="273"/>
      <c r="Z251" s="265" t="s">
        <v>368</v>
      </c>
      <c r="AA251" s="265" t="s">
        <v>342</v>
      </c>
      <c r="AB251" s="265" t="s">
        <v>342</v>
      </c>
      <c r="AC251" s="265" t="s">
        <v>370</v>
      </c>
      <c r="AD251" s="265" t="s">
        <v>371</v>
      </c>
      <c r="AE251" s="265" t="s">
        <v>368</v>
      </c>
      <c r="AF251" s="265" t="s">
        <v>342</v>
      </c>
      <c r="AG251" s="265"/>
      <c r="AH251" s="265"/>
      <c r="AI251" s="265"/>
      <c r="AJ251" s="273"/>
      <c r="AK251" s="273"/>
      <c r="AL251" s="228"/>
    </row>
    <row r="252" spans="1:38" ht="24" thickBot="1" x14ac:dyDescent="0.4">
      <c r="A252" s="294" t="s">
        <v>120</v>
      </c>
      <c r="B252" s="295"/>
      <c r="C252" s="295"/>
      <c r="D252" s="295"/>
      <c r="E252" s="295"/>
      <c r="F252" s="295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  <c r="AD252" s="296"/>
      <c r="AE252" s="296"/>
      <c r="AF252" s="296"/>
      <c r="AG252" s="296"/>
      <c r="AH252" s="296"/>
      <c r="AI252" s="296"/>
      <c r="AJ252" s="301"/>
      <c r="AK252" s="462"/>
      <c r="AL252" s="301"/>
    </row>
    <row r="253" spans="1:38" ht="16.5" thickBot="1" x14ac:dyDescent="0.3">
      <c r="A253" s="644" t="s">
        <v>336</v>
      </c>
      <c r="B253" s="624">
        <v>1</v>
      </c>
      <c r="C253" s="328">
        <v>2</v>
      </c>
      <c r="D253" s="328">
        <v>3</v>
      </c>
      <c r="E253" s="328">
        <v>4</v>
      </c>
      <c r="F253" s="328">
        <v>5</v>
      </c>
      <c r="G253" s="328">
        <v>6</v>
      </c>
      <c r="H253" s="328">
        <v>7</v>
      </c>
      <c r="I253" s="629" t="s">
        <v>338</v>
      </c>
      <c r="J253" s="328">
        <v>8</v>
      </c>
      <c r="K253" s="328">
        <v>9</v>
      </c>
      <c r="L253" s="328">
        <v>10</v>
      </c>
      <c r="M253" s="328">
        <v>11</v>
      </c>
      <c r="N253" s="328">
        <v>12</v>
      </c>
      <c r="O253" s="328">
        <v>13</v>
      </c>
      <c r="P253" s="328">
        <v>14</v>
      </c>
      <c r="Q253" s="629" t="s">
        <v>338</v>
      </c>
      <c r="R253" s="328">
        <v>15</v>
      </c>
      <c r="S253" s="328">
        <v>16</v>
      </c>
      <c r="T253" s="328">
        <v>17</v>
      </c>
      <c r="U253" s="328">
        <v>18</v>
      </c>
      <c r="V253" s="328">
        <v>19</v>
      </c>
      <c r="W253" s="328">
        <v>20</v>
      </c>
      <c r="X253" s="328">
        <v>21</v>
      </c>
      <c r="Y253" s="629" t="s">
        <v>338</v>
      </c>
      <c r="Z253" s="328">
        <v>22</v>
      </c>
      <c r="AA253" s="328">
        <v>23</v>
      </c>
      <c r="AB253" s="328">
        <v>24</v>
      </c>
      <c r="AC253" s="328">
        <v>25</v>
      </c>
      <c r="AD253" s="328">
        <v>26</v>
      </c>
      <c r="AE253" s="328">
        <v>27</v>
      </c>
      <c r="AF253" s="328">
        <v>28</v>
      </c>
      <c r="AG253" s="328">
        <v>29</v>
      </c>
      <c r="AH253" s="328">
        <v>30</v>
      </c>
      <c r="AI253" s="328">
        <v>31</v>
      </c>
      <c r="AJ253" s="629" t="s">
        <v>338</v>
      </c>
      <c r="AK253" s="630" t="s">
        <v>339</v>
      </c>
      <c r="AL253" s="631" t="s">
        <v>42</v>
      </c>
    </row>
    <row r="254" spans="1:38" ht="15.75" x14ac:dyDescent="0.25">
      <c r="A254" s="61" t="s">
        <v>57</v>
      </c>
      <c r="B254" s="303">
        <v>42.84</v>
      </c>
      <c r="C254" s="303">
        <v>50</v>
      </c>
      <c r="D254" s="303">
        <v>45.72</v>
      </c>
      <c r="E254" s="303">
        <v>50</v>
      </c>
      <c r="F254" s="303">
        <v>50</v>
      </c>
      <c r="G254" s="303">
        <v>46.27</v>
      </c>
      <c r="H254" s="303">
        <v>49.48</v>
      </c>
      <c r="I254" s="304"/>
      <c r="J254" s="303">
        <v>46.32</v>
      </c>
      <c r="K254" s="303">
        <v>50</v>
      </c>
      <c r="L254" s="303">
        <v>49.45</v>
      </c>
      <c r="M254" s="303">
        <v>50</v>
      </c>
      <c r="N254" s="303">
        <v>50</v>
      </c>
      <c r="O254" s="303">
        <v>50</v>
      </c>
      <c r="P254" s="303">
        <v>50.38</v>
      </c>
      <c r="Q254" s="304"/>
      <c r="R254" s="303">
        <v>38.04</v>
      </c>
      <c r="S254" s="303">
        <v>50</v>
      </c>
      <c r="T254" s="411">
        <v>50</v>
      </c>
      <c r="U254" s="303">
        <v>50</v>
      </c>
      <c r="V254" s="303">
        <v>47.85</v>
      </c>
      <c r="W254" s="303">
        <v>46.81</v>
      </c>
      <c r="X254" s="303">
        <v>46.2</v>
      </c>
      <c r="Y254" s="304"/>
      <c r="Z254" s="303">
        <v>50</v>
      </c>
      <c r="AA254" s="303">
        <v>50</v>
      </c>
      <c r="AB254" s="303">
        <v>50</v>
      </c>
      <c r="AC254" s="303">
        <v>50</v>
      </c>
      <c r="AD254" s="303">
        <v>50</v>
      </c>
      <c r="AE254" s="575"/>
      <c r="AF254" s="303">
        <v>49.58</v>
      </c>
      <c r="AG254" s="303"/>
      <c r="AH254" s="303"/>
      <c r="AI254" s="510"/>
      <c r="AJ254" s="304"/>
      <c r="AK254" s="649">
        <v>999.37</v>
      </c>
      <c r="AL254" s="207"/>
    </row>
    <row r="255" spans="1:38" ht="15.75" x14ac:dyDescent="0.25">
      <c r="A255" s="11" t="s">
        <v>58</v>
      </c>
      <c r="B255" s="1">
        <v>50</v>
      </c>
      <c r="C255" s="1">
        <v>50</v>
      </c>
      <c r="D255" s="1">
        <v>50</v>
      </c>
      <c r="E255" s="1">
        <v>45.91</v>
      </c>
      <c r="F255" s="1">
        <v>46.34</v>
      </c>
      <c r="G255" s="1">
        <v>41.07</v>
      </c>
      <c r="H255" s="1">
        <v>50</v>
      </c>
      <c r="I255" s="37"/>
      <c r="J255" s="1">
        <v>50</v>
      </c>
      <c r="K255" s="1">
        <v>38.65</v>
      </c>
      <c r="L255" s="1">
        <v>45.86</v>
      </c>
      <c r="M255" s="1">
        <v>44.68</v>
      </c>
      <c r="N255" s="1">
        <v>50.08</v>
      </c>
      <c r="O255" s="1">
        <v>41.76</v>
      </c>
      <c r="P255" s="1">
        <v>50</v>
      </c>
      <c r="Q255" s="37"/>
      <c r="R255" s="1">
        <v>50</v>
      </c>
      <c r="S255" s="1">
        <v>50</v>
      </c>
      <c r="T255" s="57">
        <v>50</v>
      </c>
      <c r="U255" s="1">
        <v>50</v>
      </c>
      <c r="V255" s="1">
        <v>42.46</v>
      </c>
      <c r="W255" s="1">
        <v>42.86</v>
      </c>
      <c r="X255" s="1">
        <v>50</v>
      </c>
      <c r="Y255" s="37"/>
      <c r="Z255" s="1">
        <v>48.45</v>
      </c>
      <c r="AA255" s="1">
        <v>50</v>
      </c>
      <c r="AB255" s="1">
        <v>50</v>
      </c>
      <c r="AC255" s="1">
        <v>50</v>
      </c>
      <c r="AD255" s="1">
        <v>50</v>
      </c>
      <c r="AE255" s="1">
        <v>48.19</v>
      </c>
      <c r="AF255" s="1">
        <v>49.53</v>
      </c>
      <c r="AG255" s="336"/>
      <c r="AH255" s="2"/>
      <c r="AI255" s="52"/>
      <c r="AJ255" s="37"/>
      <c r="AK255" s="652">
        <v>991.36</v>
      </c>
      <c r="AL255" s="197"/>
    </row>
    <row r="256" spans="1:38" ht="15.75" x14ac:dyDescent="0.25">
      <c r="A256" s="62" t="s">
        <v>59</v>
      </c>
      <c r="B256" s="123">
        <v>49.59</v>
      </c>
      <c r="C256" s="123">
        <v>45.34</v>
      </c>
      <c r="D256" s="123">
        <v>43.69</v>
      </c>
      <c r="E256" s="123">
        <v>48.47</v>
      </c>
      <c r="F256" s="123">
        <v>46.06</v>
      </c>
      <c r="G256" s="123">
        <v>50</v>
      </c>
      <c r="H256" s="123">
        <v>48.59</v>
      </c>
      <c r="I256" s="43"/>
      <c r="J256" s="178">
        <v>50</v>
      </c>
      <c r="K256" s="123">
        <v>50</v>
      </c>
      <c r="L256" s="123">
        <v>50</v>
      </c>
      <c r="M256" s="123">
        <v>50</v>
      </c>
      <c r="N256" s="123">
        <v>42.35</v>
      </c>
      <c r="O256" s="123">
        <v>36.99</v>
      </c>
      <c r="P256" s="123">
        <v>44.84</v>
      </c>
      <c r="Q256" s="43"/>
      <c r="R256" s="123">
        <v>50</v>
      </c>
      <c r="S256" s="123">
        <v>44.43</v>
      </c>
      <c r="T256" s="178">
        <v>50</v>
      </c>
      <c r="U256" s="123">
        <v>49.23</v>
      </c>
      <c r="V256" s="123">
        <v>50</v>
      </c>
      <c r="W256" s="123">
        <v>50</v>
      </c>
      <c r="X256" s="123">
        <v>50</v>
      </c>
      <c r="Y256" s="43"/>
      <c r="Z256" s="123">
        <v>37.130000000000003</v>
      </c>
      <c r="AA256" s="123">
        <v>50</v>
      </c>
      <c r="AB256" s="123">
        <v>50</v>
      </c>
      <c r="AC256" s="123">
        <v>50</v>
      </c>
      <c r="AD256" s="119">
        <v>46.58</v>
      </c>
      <c r="AE256" s="123">
        <v>50</v>
      </c>
      <c r="AF256" s="123">
        <v>50.44</v>
      </c>
      <c r="AG256" s="366"/>
      <c r="AH256" s="42"/>
      <c r="AI256" s="243"/>
      <c r="AJ256" s="43"/>
      <c r="AK256" s="661">
        <v>1007.88</v>
      </c>
      <c r="AL256" s="204"/>
    </row>
    <row r="257" spans="1:43" ht="15" customHeight="1" thickBot="1" x14ac:dyDescent="0.35">
      <c r="A257" s="349"/>
      <c r="B257" s="274"/>
      <c r="C257" s="274"/>
      <c r="D257" s="274"/>
      <c r="E257" s="274"/>
      <c r="F257" s="274"/>
      <c r="G257" s="275"/>
      <c r="H257" s="275"/>
      <c r="I257" s="269"/>
      <c r="J257" s="270"/>
      <c r="K257" s="268"/>
      <c r="L257" s="275"/>
      <c r="M257" s="268"/>
      <c r="N257" s="275"/>
      <c r="O257" s="268"/>
      <c r="P257" s="275"/>
      <c r="Q257" s="269"/>
      <c r="R257" s="153"/>
      <c r="S257" s="275"/>
      <c r="T257" s="239"/>
      <c r="U257" s="268"/>
      <c r="V257" s="275"/>
      <c r="W257" s="275"/>
      <c r="X257" s="268"/>
      <c r="Y257" s="269"/>
      <c r="Z257" s="275"/>
      <c r="AA257" s="153"/>
      <c r="AB257" s="268"/>
      <c r="AC257" s="275"/>
      <c r="AD257" s="268"/>
      <c r="AE257" s="275"/>
      <c r="AF257" s="275"/>
      <c r="AG257" s="429"/>
      <c r="AH257" s="270"/>
      <c r="AI257" s="270"/>
      <c r="AJ257" s="269"/>
      <c r="AK257" s="692">
        <v>979.9</v>
      </c>
      <c r="AL257" s="204"/>
    </row>
    <row r="258" spans="1:43" ht="15" customHeight="1" x14ac:dyDescent="0.3">
      <c r="A258" s="281" t="s">
        <v>2</v>
      </c>
      <c r="B258" s="307">
        <f t="shared" ref="B258:G258" si="24">SUM(B254:B257)</f>
        <v>142.43</v>
      </c>
      <c r="C258" s="307">
        <f t="shared" si="24"/>
        <v>145.34</v>
      </c>
      <c r="D258" s="307">
        <f t="shared" si="24"/>
        <v>139.41</v>
      </c>
      <c r="E258" s="307">
        <f t="shared" si="24"/>
        <v>144.38</v>
      </c>
      <c r="F258" s="307">
        <f t="shared" si="24"/>
        <v>142.4</v>
      </c>
      <c r="G258" s="307">
        <f t="shared" si="24"/>
        <v>137.34</v>
      </c>
      <c r="H258" s="307">
        <f>SUM(H254:H257)</f>
        <v>148.07</v>
      </c>
      <c r="I258" s="376">
        <f>SUM(B258:H258)</f>
        <v>999.36999999999989</v>
      </c>
      <c r="J258" s="307">
        <f>SUM(J254:J257)</f>
        <v>146.32</v>
      </c>
      <c r="K258" s="307">
        <f>SUM(K254:K256)</f>
        <v>138.65</v>
      </c>
      <c r="L258" s="307">
        <f>SUM(L254:L257)</f>
        <v>145.31</v>
      </c>
      <c r="M258" s="307">
        <f>SUM(M254:M257)</f>
        <v>144.68</v>
      </c>
      <c r="N258" s="307">
        <f>SUM(N254:N257)</f>
        <v>142.43</v>
      </c>
      <c r="O258" s="307">
        <f>SUM(O254:O257)</f>
        <v>128.75</v>
      </c>
      <c r="P258" s="307">
        <f>SUM(P254:P257)</f>
        <v>145.22</v>
      </c>
      <c r="Q258" s="376">
        <f>SUM(J258:P258)</f>
        <v>991.36000000000013</v>
      </c>
      <c r="R258" s="307">
        <f t="shared" ref="R258:W258" si="25">SUM(R254:R257)</f>
        <v>138.04</v>
      </c>
      <c r="S258" s="307">
        <f t="shared" si="25"/>
        <v>144.43</v>
      </c>
      <c r="T258" s="163">
        <f t="shared" si="25"/>
        <v>150</v>
      </c>
      <c r="U258" s="307">
        <f t="shared" si="25"/>
        <v>149.22999999999999</v>
      </c>
      <c r="V258" s="307">
        <f t="shared" si="25"/>
        <v>140.31</v>
      </c>
      <c r="W258" s="307">
        <f t="shared" si="25"/>
        <v>139.67000000000002</v>
      </c>
      <c r="X258" s="307">
        <f>SUM(X254:X257)</f>
        <v>146.19999999999999</v>
      </c>
      <c r="Y258" s="376">
        <f>SUM(R258:X258)</f>
        <v>1007.8800000000001</v>
      </c>
      <c r="Z258" s="307">
        <f>SUM(Z254:Z256)</f>
        <v>135.58000000000001</v>
      </c>
      <c r="AA258" s="307">
        <f t="shared" ref="AA258:AF258" si="26">SUM(AA254:AA257)</f>
        <v>150</v>
      </c>
      <c r="AB258" s="307">
        <f t="shared" si="26"/>
        <v>150</v>
      </c>
      <c r="AC258" s="307">
        <f t="shared" si="26"/>
        <v>150</v>
      </c>
      <c r="AD258" s="307">
        <f t="shared" si="26"/>
        <v>146.57999999999998</v>
      </c>
      <c r="AE258" s="307">
        <f t="shared" si="26"/>
        <v>98.19</v>
      </c>
      <c r="AF258" s="307">
        <f t="shared" si="26"/>
        <v>149.55000000000001</v>
      </c>
      <c r="AG258" s="428"/>
      <c r="AH258" s="308"/>
      <c r="AI258" s="308"/>
      <c r="AJ258" s="376">
        <f>SUM(Z258:AI258)</f>
        <v>979.90000000000009</v>
      </c>
      <c r="AK258" s="695">
        <f>SUM(AK254:AK257)</f>
        <v>3978.51</v>
      </c>
      <c r="AL258" s="284"/>
    </row>
    <row r="259" spans="1:43" ht="15.75" thickBot="1" x14ac:dyDescent="0.3">
      <c r="A259" s="264"/>
      <c r="B259" s="265" t="s">
        <v>285</v>
      </c>
      <c r="C259" s="265" t="s">
        <v>285</v>
      </c>
      <c r="D259" s="265" t="s">
        <v>285</v>
      </c>
      <c r="E259" s="265" t="s">
        <v>285</v>
      </c>
      <c r="F259" s="265" t="s">
        <v>285</v>
      </c>
      <c r="G259" s="265" t="s">
        <v>285</v>
      </c>
      <c r="H259" s="265" t="s">
        <v>285</v>
      </c>
      <c r="I259" s="362"/>
      <c r="J259" s="265" t="s">
        <v>285</v>
      </c>
      <c r="K259" s="265" t="s">
        <v>285</v>
      </c>
      <c r="L259" s="265" t="s">
        <v>285</v>
      </c>
      <c r="M259" s="265" t="s">
        <v>285</v>
      </c>
      <c r="N259" s="265" t="s">
        <v>285</v>
      </c>
      <c r="O259" s="265" t="s">
        <v>285</v>
      </c>
      <c r="P259" s="265" t="s">
        <v>285</v>
      </c>
      <c r="Q259" s="362"/>
      <c r="R259" s="265" t="s">
        <v>285</v>
      </c>
      <c r="S259" s="265" t="s">
        <v>285</v>
      </c>
      <c r="T259" s="265" t="s">
        <v>285</v>
      </c>
      <c r="U259" s="265" t="s">
        <v>285</v>
      </c>
      <c r="V259" s="265" t="s">
        <v>285</v>
      </c>
      <c r="W259" s="265" t="s">
        <v>285</v>
      </c>
      <c r="X259" s="265" t="s">
        <v>285</v>
      </c>
      <c r="Y259" s="362"/>
      <c r="Z259" s="265" t="s">
        <v>285</v>
      </c>
      <c r="AA259" s="265" t="s">
        <v>285</v>
      </c>
      <c r="AB259" s="265" t="s">
        <v>285</v>
      </c>
      <c r="AC259" s="265" t="s">
        <v>285</v>
      </c>
      <c r="AD259" s="265" t="s">
        <v>285</v>
      </c>
      <c r="AE259" s="265" t="s">
        <v>331</v>
      </c>
      <c r="AF259" s="265" t="s">
        <v>285</v>
      </c>
      <c r="AG259" s="265"/>
      <c r="AH259" s="265"/>
      <c r="AI259" s="265"/>
      <c r="AJ259" s="362"/>
      <c r="AK259" s="362"/>
      <c r="AL259" s="363"/>
    </row>
    <row r="260" spans="1:43" ht="24" thickBot="1" x14ac:dyDescent="0.4">
      <c r="A260" s="294" t="s">
        <v>121</v>
      </c>
      <c r="B260" s="295"/>
      <c r="C260" s="295"/>
      <c r="D260" s="295"/>
      <c r="E260" s="295"/>
      <c r="F260" s="295"/>
      <c r="G260" s="296"/>
      <c r="H260" s="296"/>
      <c r="I260" s="296"/>
      <c r="J260" s="296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  <c r="AD260" s="296"/>
      <c r="AE260" s="296"/>
      <c r="AF260" s="296"/>
      <c r="AG260" s="296"/>
      <c r="AH260" s="296"/>
      <c r="AI260" s="296"/>
      <c r="AJ260" s="301"/>
      <c r="AK260" s="462"/>
      <c r="AL260" s="301"/>
    </row>
    <row r="261" spans="1:43" s="2" customFormat="1" ht="15" customHeight="1" thickBot="1" x14ac:dyDescent="0.3">
      <c r="A261" s="645" t="s">
        <v>337</v>
      </c>
      <c r="B261" s="624">
        <v>1</v>
      </c>
      <c r="C261" s="328">
        <v>2</v>
      </c>
      <c r="D261" s="328">
        <v>3</v>
      </c>
      <c r="E261" s="328">
        <v>4</v>
      </c>
      <c r="F261" s="328">
        <v>5</v>
      </c>
      <c r="G261" s="328">
        <v>6</v>
      </c>
      <c r="H261" s="328">
        <v>7</v>
      </c>
      <c r="I261" s="629" t="s">
        <v>338</v>
      </c>
      <c r="J261" s="328">
        <v>8</v>
      </c>
      <c r="K261" s="328">
        <v>9</v>
      </c>
      <c r="L261" s="328">
        <v>10</v>
      </c>
      <c r="M261" s="328">
        <v>11</v>
      </c>
      <c r="N261" s="328">
        <v>12</v>
      </c>
      <c r="O261" s="328">
        <v>13</v>
      </c>
      <c r="P261" s="328">
        <v>14</v>
      </c>
      <c r="Q261" s="629" t="s">
        <v>338</v>
      </c>
      <c r="R261" s="328">
        <v>15</v>
      </c>
      <c r="S261" s="328">
        <v>16</v>
      </c>
      <c r="T261" s="328">
        <v>17</v>
      </c>
      <c r="U261" s="328">
        <v>18</v>
      </c>
      <c r="V261" s="328">
        <v>19</v>
      </c>
      <c r="W261" s="328">
        <v>20</v>
      </c>
      <c r="X261" s="328">
        <v>21</v>
      </c>
      <c r="Y261" s="629" t="s">
        <v>338</v>
      </c>
      <c r="Z261" s="328">
        <v>22</v>
      </c>
      <c r="AA261" s="328">
        <v>23</v>
      </c>
      <c r="AB261" s="328">
        <v>24</v>
      </c>
      <c r="AC261" s="328">
        <v>25</v>
      </c>
      <c r="AD261" s="328">
        <v>26</v>
      </c>
      <c r="AE261" s="328">
        <v>27</v>
      </c>
      <c r="AF261" s="328">
        <v>28</v>
      </c>
      <c r="AG261" s="328">
        <v>29</v>
      </c>
      <c r="AH261" s="328">
        <v>30</v>
      </c>
      <c r="AI261" s="328">
        <v>31</v>
      </c>
      <c r="AJ261" s="629" t="s">
        <v>338</v>
      </c>
      <c r="AK261" s="630" t="s">
        <v>339</v>
      </c>
      <c r="AL261" s="631" t="s">
        <v>42</v>
      </c>
      <c r="AM261" s="673"/>
      <c r="AN261" s="167"/>
      <c r="AO261" s="167"/>
      <c r="AP261" s="167"/>
      <c r="AQ261" s="218"/>
    </row>
    <row r="262" spans="1:43" ht="15.75" x14ac:dyDescent="0.25">
      <c r="A262" s="61" t="s">
        <v>54</v>
      </c>
      <c r="B262" s="303">
        <v>32.049999999999997</v>
      </c>
      <c r="C262" s="303">
        <v>29.16</v>
      </c>
      <c r="D262" s="303">
        <v>39.69</v>
      </c>
      <c r="E262" s="303">
        <v>35.42</v>
      </c>
      <c r="F262" s="303">
        <v>38.04</v>
      </c>
      <c r="G262" s="303">
        <v>35.380000000000003</v>
      </c>
      <c r="H262" s="303">
        <v>32.42</v>
      </c>
      <c r="I262" s="305"/>
      <c r="J262" s="620">
        <v>36.72</v>
      </c>
      <c r="K262" s="620">
        <v>37.97</v>
      </c>
      <c r="L262" s="303">
        <v>31.11</v>
      </c>
      <c r="M262" s="303">
        <v>40</v>
      </c>
      <c r="N262" s="303">
        <v>40</v>
      </c>
      <c r="O262" s="303">
        <v>40</v>
      </c>
      <c r="P262" s="303">
        <v>31</v>
      </c>
      <c r="Q262" s="305"/>
      <c r="R262" s="620">
        <v>32.54</v>
      </c>
      <c r="S262" s="303">
        <v>36.979999999999997</v>
      </c>
      <c r="T262" s="620">
        <v>29.25</v>
      </c>
      <c r="U262" s="303">
        <v>40</v>
      </c>
      <c r="V262" s="620">
        <v>35.72</v>
      </c>
      <c r="W262" s="303">
        <v>40</v>
      </c>
      <c r="X262" s="303">
        <v>40</v>
      </c>
      <c r="Y262" s="305"/>
      <c r="Z262" s="620">
        <v>26.64</v>
      </c>
      <c r="AA262" s="303">
        <v>36.380000000000003</v>
      </c>
      <c r="AB262" s="303">
        <v>33.21</v>
      </c>
      <c r="AC262" s="303">
        <v>29.94</v>
      </c>
      <c r="AD262" s="303">
        <v>31.34</v>
      </c>
      <c r="AE262" s="620">
        <v>39.51</v>
      </c>
      <c r="AF262" s="620">
        <v>33.39</v>
      </c>
      <c r="AG262" s="621"/>
      <c r="AH262" s="621"/>
      <c r="AI262" s="622"/>
      <c r="AJ262" s="305"/>
      <c r="AK262" s="649">
        <v>706.93</v>
      </c>
      <c r="AL262" s="207"/>
    </row>
    <row r="263" spans="1:43" ht="15.75" x14ac:dyDescent="0.25">
      <c r="A263" s="11" t="s">
        <v>55</v>
      </c>
      <c r="B263" s="1">
        <v>32.590000000000003</v>
      </c>
      <c r="C263" s="1">
        <v>40</v>
      </c>
      <c r="D263" s="1">
        <v>28.45</v>
      </c>
      <c r="E263" s="1">
        <v>38.049999999999997</v>
      </c>
      <c r="F263" s="1">
        <v>30.02</v>
      </c>
      <c r="G263" s="1">
        <v>29.78</v>
      </c>
      <c r="H263" s="1">
        <v>26.69</v>
      </c>
      <c r="I263" s="37"/>
      <c r="J263" s="118">
        <v>31.73</v>
      </c>
      <c r="K263" s="1">
        <v>40</v>
      </c>
      <c r="L263" s="1">
        <v>34.869999999999997</v>
      </c>
      <c r="M263" s="118">
        <v>27.18</v>
      </c>
      <c r="N263" s="118">
        <v>33.78</v>
      </c>
      <c r="O263" s="1">
        <v>36.880000000000003</v>
      </c>
      <c r="P263" s="1">
        <v>31.11</v>
      </c>
      <c r="Q263" s="37"/>
      <c r="R263" s="118">
        <v>29.2</v>
      </c>
      <c r="S263" s="1">
        <v>39.71</v>
      </c>
      <c r="T263" s="118">
        <v>35.99</v>
      </c>
      <c r="U263" s="1">
        <v>40</v>
      </c>
      <c r="V263" s="1">
        <v>40</v>
      </c>
      <c r="W263" s="118">
        <v>34.57</v>
      </c>
      <c r="X263" s="118">
        <v>35.53</v>
      </c>
      <c r="Y263" s="37"/>
      <c r="Z263" s="118">
        <v>37.61</v>
      </c>
      <c r="AA263" s="1">
        <v>35.67</v>
      </c>
      <c r="AB263" s="1">
        <v>31.22</v>
      </c>
      <c r="AC263" s="1">
        <v>36.090000000000003</v>
      </c>
      <c r="AD263" s="1">
        <v>34.24</v>
      </c>
      <c r="AE263" s="1">
        <v>34.6</v>
      </c>
      <c r="AF263" s="118">
        <v>34.01</v>
      </c>
      <c r="AG263" s="2"/>
      <c r="AH263" s="2"/>
      <c r="AI263" s="52"/>
      <c r="AJ263" s="37"/>
      <c r="AK263" s="652">
        <v>699.6</v>
      </c>
      <c r="AL263" s="197"/>
    </row>
    <row r="264" spans="1:43" ht="15.75" x14ac:dyDescent="0.25">
      <c r="A264" s="62" t="s">
        <v>56</v>
      </c>
      <c r="B264" s="123">
        <v>34.08</v>
      </c>
      <c r="C264" s="123">
        <v>36.03</v>
      </c>
      <c r="D264" s="123">
        <v>40</v>
      </c>
      <c r="E264" s="123">
        <v>31.4</v>
      </c>
      <c r="F264" s="123">
        <v>32.69</v>
      </c>
      <c r="G264" s="123">
        <v>36.26</v>
      </c>
      <c r="H264" s="123">
        <v>28.73</v>
      </c>
      <c r="I264" s="43"/>
      <c r="J264" s="119">
        <v>29.83</v>
      </c>
      <c r="K264" s="119">
        <v>35.04</v>
      </c>
      <c r="L264" s="651" t="s">
        <v>362</v>
      </c>
      <c r="M264" s="119">
        <v>27.37</v>
      </c>
      <c r="N264" s="123">
        <v>39.28</v>
      </c>
      <c r="O264" s="119">
        <v>36.69</v>
      </c>
      <c r="P264" s="123">
        <v>39.04</v>
      </c>
      <c r="Q264" s="43"/>
      <c r="R264" s="123">
        <v>35.15</v>
      </c>
      <c r="S264" s="123">
        <v>40</v>
      </c>
      <c r="T264" s="119">
        <v>32.299999999999997</v>
      </c>
      <c r="U264" s="119">
        <v>33.57</v>
      </c>
      <c r="V264" s="119">
        <v>36.090000000000003</v>
      </c>
      <c r="W264" s="119">
        <v>29.79</v>
      </c>
      <c r="X264" s="119">
        <v>26.32</v>
      </c>
      <c r="Y264" s="43"/>
      <c r="Z264" s="119">
        <v>25.25</v>
      </c>
      <c r="AA264" s="123">
        <v>37.53</v>
      </c>
      <c r="AB264" s="123">
        <v>27.39</v>
      </c>
      <c r="AC264" s="123">
        <v>31.19</v>
      </c>
      <c r="AD264" s="123">
        <v>36.29</v>
      </c>
      <c r="AE264" s="119">
        <v>31.09</v>
      </c>
      <c r="AF264" s="123">
        <v>40</v>
      </c>
      <c r="AG264" s="42"/>
      <c r="AH264" s="42"/>
      <c r="AI264" s="243"/>
      <c r="AJ264" s="43"/>
      <c r="AK264" s="661">
        <v>742.71</v>
      </c>
      <c r="AL264" s="204"/>
    </row>
    <row r="265" spans="1:43" ht="15.75" x14ac:dyDescent="0.25">
      <c r="A265" s="67"/>
      <c r="B265" s="124"/>
      <c r="C265" s="124"/>
      <c r="D265" s="124"/>
      <c r="E265" s="124"/>
      <c r="F265" s="124"/>
      <c r="G265" s="124"/>
      <c r="H265" s="124"/>
      <c r="I265" s="47"/>
      <c r="J265" s="124"/>
      <c r="K265" s="124"/>
      <c r="L265" s="124"/>
      <c r="M265" s="124"/>
      <c r="N265" s="124"/>
      <c r="O265" s="124"/>
      <c r="P265" s="124"/>
      <c r="Q265" s="47"/>
      <c r="R265" s="124"/>
      <c r="S265" s="124"/>
      <c r="T265" s="124"/>
      <c r="U265" s="124"/>
      <c r="V265" s="124"/>
      <c r="W265" s="124"/>
      <c r="X265" s="124"/>
      <c r="Y265" s="47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37"/>
      <c r="AK265" s="669">
        <v>702.59</v>
      </c>
      <c r="AL265" s="197"/>
    </row>
    <row r="266" spans="1:43" ht="18.75" x14ac:dyDescent="0.3">
      <c r="A266" s="402" t="s">
        <v>2</v>
      </c>
      <c r="B266" s="403">
        <f t="shared" ref="B266:G266" si="27">SUM(B262:B265)</f>
        <v>98.72</v>
      </c>
      <c r="C266" s="403">
        <f t="shared" si="27"/>
        <v>105.19</v>
      </c>
      <c r="D266" s="403">
        <f t="shared" si="27"/>
        <v>108.14</v>
      </c>
      <c r="E266" s="403">
        <f t="shared" si="27"/>
        <v>104.87</v>
      </c>
      <c r="F266" s="403">
        <f t="shared" si="27"/>
        <v>100.75</v>
      </c>
      <c r="G266" s="403">
        <f t="shared" si="27"/>
        <v>101.41999999999999</v>
      </c>
      <c r="H266" s="403">
        <f>SUM(H262:H265)</f>
        <v>87.84</v>
      </c>
      <c r="I266" s="404">
        <f>SUM(B266:H266)</f>
        <v>706.93000000000006</v>
      </c>
      <c r="J266" s="403">
        <f t="shared" ref="J266:O266" si="28">SUM(J262:J265)</f>
        <v>98.28</v>
      </c>
      <c r="K266" s="405">
        <f t="shared" si="28"/>
        <v>113.00999999999999</v>
      </c>
      <c r="L266" s="403">
        <f t="shared" si="28"/>
        <v>65.97999999999999</v>
      </c>
      <c r="M266" s="403">
        <f t="shared" si="28"/>
        <v>94.550000000000011</v>
      </c>
      <c r="N266" s="403">
        <f t="shared" si="28"/>
        <v>113.06</v>
      </c>
      <c r="O266" s="403">
        <f t="shared" si="28"/>
        <v>113.57</v>
      </c>
      <c r="P266" s="403">
        <f>SUM(P262:P265)</f>
        <v>101.15</v>
      </c>
      <c r="Q266" s="404">
        <f>SUM(J266:P266)</f>
        <v>699.6</v>
      </c>
      <c r="R266" s="403">
        <f t="shared" ref="R266:W266" si="29">SUM(R262:R265)</f>
        <v>96.889999999999986</v>
      </c>
      <c r="S266" s="403">
        <f t="shared" si="29"/>
        <v>116.69</v>
      </c>
      <c r="T266" s="405">
        <f t="shared" si="29"/>
        <v>97.54</v>
      </c>
      <c r="U266" s="403">
        <f t="shared" si="29"/>
        <v>113.57</v>
      </c>
      <c r="V266" s="405">
        <f t="shared" si="29"/>
        <v>111.81</v>
      </c>
      <c r="W266" s="403">
        <f t="shared" si="29"/>
        <v>104.35999999999999</v>
      </c>
      <c r="X266" s="403">
        <f>SUM(X262:X265)</f>
        <v>101.85</v>
      </c>
      <c r="Y266" s="404">
        <f>SUM(R266:X266)</f>
        <v>742.71</v>
      </c>
      <c r="Z266" s="403">
        <f t="shared" ref="Z266:AE266" si="30">SUM(Z262:Z265)</f>
        <v>89.5</v>
      </c>
      <c r="AA266" s="403">
        <f t="shared" si="30"/>
        <v>109.58000000000001</v>
      </c>
      <c r="AB266" s="403">
        <f t="shared" si="30"/>
        <v>91.820000000000007</v>
      </c>
      <c r="AC266" s="403">
        <f t="shared" si="30"/>
        <v>97.22</v>
      </c>
      <c r="AD266" s="403">
        <f t="shared" si="30"/>
        <v>101.87</v>
      </c>
      <c r="AE266" s="403">
        <f t="shared" si="30"/>
        <v>105.2</v>
      </c>
      <c r="AF266" s="403">
        <f>SUM(AF262:AF265)</f>
        <v>107.4</v>
      </c>
      <c r="AG266" s="430"/>
      <c r="AH266" s="406"/>
      <c r="AI266" s="406"/>
      <c r="AJ266" s="404">
        <f>SUM(Z266:AI266)</f>
        <v>702.59</v>
      </c>
      <c r="AK266" s="694">
        <f>SUM(AK262:AK265)</f>
        <v>2851.83</v>
      </c>
      <c r="AL266" s="408"/>
    </row>
    <row r="267" spans="1:43" ht="15.75" thickBot="1" x14ac:dyDescent="0.3">
      <c r="A267" s="364"/>
      <c r="B267" s="265" t="s">
        <v>285</v>
      </c>
      <c r="C267" s="265" t="s">
        <v>285</v>
      </c>
      <c r="D267" s="265" t="s">
        <v>285</v>
      </c>
      <c r="E267" s="265" t="s">
        <v>285</v>
      </c>
      <c r="F267" s="265" t="s">
        <v>285</v>
      </c>
      <c r="G267" s="265" t="s">
        <v>285</v>
      </c>
      <c r="H267" s="265" t="s">
        <v>285</v>
      </c>
      <c r="I267" s="362"/>
      <c r="J267" s="265" t="s">
        <v>285</v>
      </c>
      <c r="K267" s="265" t="s">
        <v>285</v>
      </c>
      <c r="L267" s="265" t="s">
        <v>285</v>
      </c>
      <c r="M267" s="265" t="s">
        <v>285</v>
      </c>
      <c r="N267" s="265" t="s">
        <v>285</v>
      </c>
      <c r="O267" s="265" t="s">
        <v>285</v>
      </c>
      <c r="P267" s="265" t="s">
        <v>285</v>
      </c>
      <c r="Q267" s="362"/>
      <c r="R267" s="265" t="s">
        <v>285</v>
      </c>
      <c r="S267" s="265" t="s">
        <v>285</v>
      </c>
      <c r="T267" s="265" t="s">
        <v>285</v>
      </c>
      <c r="U267" s="265" t="s">
        <v>285</v>
      </c>
      <c r="V267" s="265" t="s">
        <v>285</v>
      </c>
      <c r="W267" s="265" t="s">
        <v>285</v>
      </c>
      <c r="X267" s="265" t="s">
        <v>285</v>
      </c>
      <c r="Y267" s="362"/>
      <c r="Z267" s="265" t="s">
        <v>285</v>
      </c>
      <c r="AA267" s="265" t="s">
        <v>285</v>
      </c>
      <c r="AB267" s="265" t="s">
        <v>285</v>
      </c>
      <c r="AC267" s="265" t="s">
        <v>285</v>
      </c>
      <c r="AD267" s="265" t="s">
        <v>285</v>
      </c>
      <c r="AE267" s="265" t="s">
        <v>285</v>
      </c>
      <c r="AF267" s="265" t="s">
        <v>285</v>
      </c>
      <c r="AG267" s="265"/>
      <c r="AH267" s="265"/>
      <c r="AI267" s="265"/>
      <c r="AJ267" s="362"/>
      <c r="AK267" s="362"/>
      <c r="AL267" s="363"/>
    </row>
    <row r="268" spans="1:43" ht="24" thickBot="1" x14ac:dyDescent="0.4">
      <c r="A268" s="512" t="s">
        <v>122</v>
      </c>
      <c r="B268" s="295"/>
      <c r="C268" s="295"/>
      <c r="D268" s="295"/>
      <c r="E268" s="295"/>
      <c r="F268" s="295"/>
      <c r="G268" s="296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  <c r="AD268" s="296"/>
      <c r="AE268" s="296"/>
      <c r="AF268" s="296"/>
      <c r="AG268" s="296"/>
      <c r="AH268" s="296"/>
      <c r="AI268" s="296"/>
      <c r="AJ268" s="301"/>
      <c r="AK268" s="462"/>
      <c r="AL268" s="301"/>
    </row>
    <row r="269" spans="1:43" ht="16.5" thickBot="1" x14ac:dyDescent="0.3">
      <c r="A269" s="319" t="s">
        <v>24</v>
      </c>
      <c r="B269" s="624">
        <v>1</v>
      </c>
      <c r="C269" s="328">
        <v>2</v>
      </c>
      <c r="D269" s="328">
        <v>3</v>
      </c>
      <c r="E269" s="328">
        <v>4</v>
      </c>
      <c r="F269" s="328">
        <v>5</v>
      </c>
      <c r="G269" s="328">
        <v>6</v>
      </c>
      <c r="H269" s="328">
        <v>7</v>
      </c>
      <c r="I269" s="629" t="s">
        <v>338</v>
      </c>
      <c r="J269" s="328">
        <v>8</v>
      </c>
      <c r="K269" s="328">
        <v>9</v>
      </c>
      <c r="L269" s="328">
        <v>10</v>
      </c>
      <c r="M269" s="328">
        <v>11</v>
      </c>
      <c r="N269" s="328">
        <v>12</v>
      </c>
      <c r="O269" s="328">
        <v>13</v>
      </c>
      <c r="P269" s="328">
        <v>14</v>
      </c>
      <c r="Q269" s="629" t="s">
        <v>338</v>
      </c>
      <c r="R269" s="328">
        <v>15</v>
      </c>
      <c r="S269" s="328">
        <v>16</v>
      </c>
      <c r="T269" s="328">
        <v>17</v>
      </c>
      <c r="U269" s="328">
        <v>18</v>
      </c>
      <c r="V269" s="328">
        <v>19</v>
      </c>
      <c r="W269" s="328">
        <v>20</v>
      </c>
      <c r="X269" s="328">
        <v>21</v>
      </c>
      <c r="Y269" s="629" t="s">
        <v>338</v>
      </c>
      <c r="Z269" s="328">
        <v>22</v>
      </c>
      <c r="AA269" s="328">
        <v>23</v>
      </c>
      <c r="AB269" s="328">
        <v>24</v>
      </c>
      <c r="AC269" s="328">
        <v>25</v>
      </c>
      <c r="AD269" s="328">
        <v>26</v>
      </c>
      <c r="AE269" s="328">
        <v>27</v>
      </c>
      <c r="AF269" s="328">
        <v>28</v>
      </c>
      <c r="AG269" s="328">
        <v>29</v>
      </c>
      <c r="AH269" s="328">
        <v>30</v>
      </c>
      <c r="AI269" s="328">
        <v>31</v>
      </c>
      <c r="AJ269" s="629" t="s">
        <v>338</v>
      </c>
      <c r="AK269" s="630" t="s">
        <v>339</v>
      </c>
      <c r="AL269" s="631" t="s">
        <v>42</v>
      </c>
    </row>
    <row r="270" spans="1:43" x14ac:dyDescent="0.25">
      <c r="A270" s="61" t="s">
        <v>92</v>
      </c>
      <c r="B270" s="303">
        <v>0</v>
      </c>
      <c r="C270" s="303">
        <v>0</v>
      </c>
      <c r="D270" s="303">
        <v>0</v>
      </c>
      <c r="E270" s="303">
        <v>0</v>
      </c>
      <c r="F270" s="303">
        <v>0</v>
      </c>
      <c r="G270" s="303">
        <v>0</v>
      </c>
      <c r="H270" s="303">
        <v>0</v>
      </c>
      <c r="I270" s="304"/>
      <c r="J270" s="303">
        <v>0</v>
      </c>
      <c r="K270" s="303">
        <v>0</v>
      </c>
      <c r="L270" s="303">
        <v>0</v>
      </c>
      <c r="M270" s="303">
        <v>0</v>
      </c>
      <c r="N270" s="303">
        <v>0</v>
      </c>
      <c r="O270" s="303">
        <v>0</v>
      </c>
      <c r="P270" s="303">
        <v>0</v>
      </c>
      <c r="Q270" s="304"/>
      <c r="R270" s="303">
        <v>0</v>
      </c>
      <c r="S270" s="303">
        <v>0</v>
      </c>
      <c r="T270" s="303">
        <v>0</v>
      </c>
      <c r="U270" s="303">
        <v>0</v>
      </c>
      <c r="V270" s="411">
        <v>0</v>
      </c>
      <c r="W270" s="303">
        <v>0</v>
      </c>
      <c r="X270" s="303">
        <v>0</v>
      </c>
      <c r="Y270" s="304"/>
      <c r="Z270" s="577">
        <v>0</v>
      </c>
      <c r="AA270" s="577">
        <v>0</v>
      </c>
      <c r="AB270" s="577">
        <v>0</v>
      </c>
      <c r="AC270" s="577">
        <v>0</v>
      </c>
      <c r="AD270" s="577">
        <v>0</v>
      </c>
      <c r="AE270" s="577">
        <v>0</v>
      </c>
      <c r="AF270" s="577">
        <v>0</v>
      </c>
      <c r="AG270" s="411"/>
      <c r="AH270" s="411"/>
      <c r="AI270" s="513"/>
      <c r="AJ270" s="304"/>
      <c r="AK270" s="184"/>
      <c r="AL270" s="207"/>
    </row>
    <row r="271" spans="1:43" ht="15" customHeight="1" x14ac:dyDescent="0.3">
      <c r="A271" s="11" t="s">
        <v>94</v>
      </c>
      <c r="B271" s="2"/>
      <c r="C271" s="2"/>
      <c r="D271" s="2"/>
      <c r="E271" s="2"/>
      <c r="F271" s="2"/>
      <c r="G271" s="2"/>
      <c r="H271" s="2"/>
      <c r="I271" s="37"/>
      <c r="J271" s="2"/>
      <c r="K271" s="2"/>
      <c r="L271" s="2"/>
      <c r="M271" s="2"/>
      <c r="N271" s="2"/>
      <c r="O271" s="2"/>
      <c r="P271" s="2"/>
      <c r="Q271" s="37"/>
      <c r="R271" s="2"/>
      <c r="S271" s="1"/>
      <c r="T271" s="57"/>
      <c r="U271" s="2"/>
      <c r="V271" s="161"/>
      <c r="W271" s="2"/>
      <c r="X271" s="2"/>
      <c r="Y271" s="37"/>
      <c r="Z271" s="537"/>
      <c r="AA271" s="537"/>
      <c r="AB271" s="537"/>
      <c r="AC271" s="537"/>
      <c r="AD271" s="537"/>
      <c r="AE271" s="594"/>
      <c r="AF271" s="594"/>
      <c r="AG271" s="59"/>
      <c r="AH271" s="59"/>
      <c r="AI271" s="60"/>
      <c r="AJ271" s="37"/>
      <c r="AK271" s="340"/>
      <c r="AL271" s="197"/>
    </row>
    <row r="272" spans="1:43" ht="15" customHeight="1" x14ac:dyDescent="0.25">
      <c r="A272" s="11" t="s">
        <v>95</v>
      </c>
      <c r="B272" s="2"/>
      <c r="C272" s="2"/>
      <c r="D272" s="2"/>
      <c r="E272" s="2"/>
      <c r="F272" s="2"/>
      <c r="G272" s="2"/>
      <c r="H272" s="2"/>
      <c r="I272" s="37"/>
      <c r="J272" s="2"/>
      <c r="K272" s="2"/>
      <c r="L272" s="2"/>
      <c r="M272" s="2"/>
      <c r="N272" s="2"/>
      <c r="O272" s="2"/>
      <c r="P272" s="2"/>
      <c r="Q272" s="37"/>
      <c r="R272" s="2"/>
      <c r="S272" s="2"/>
      <c r="T272" s="2"/>
      <c r="U272" s="2"/>
      <c r="V272" s="57"/>
      <c r="W272" s="2"/>
      <c r="X272" s="2"/>
      <c r="Y272" s="37"/>
      <c r="Z272" s="537"/>
      <c r="AA272" s="537"/>
      <c r="AB272" s="537"/>
      <c r="AC272" s="537"/>
      <c r="AD272" s="537"/>
      <c r="AE272" s="594"/>
      <c r="AF272" s="594"/>
      <c r="AG272" s="59"/>
      <c r="AH272" s="59"/>
      <c r="AI272" s="60"/>
      <c r="AJ272" s="37"/>
      <c r="AK272" s="652">
        <v>0</v>
      </c>
      <c r="AL272" s="197"/>
    </row>
    <row r="273" spans="1:39" ht="15" customHeight="1" x14ac:dyDescent="0.25">
      <c r="A273" s="11" t="s">
        <v>96</v>
      </c>
      <c r="B273" s="2"/>
      <c r="C273" s="2"/>
      <c r="D273" s="2"/>
      <c r="E273" s="2"/>
      <c r="F273" s="2"/>
      <c r="G273" s="2"/>
      <c r="H273" s="2"/>
      <c r="I273" s="37"/>
      <c r="J273" s="2"/>
      <c r="K273" s="2"/>
      <c r="L273" s="2"/>
      <c r="M273" s="2"/>
      <c r="N273" s="2"/>
      <c r="O273" s="2"/>
      <c r="P273" s="2"/>
      <c r="Q273" s="37"/>
      <c r="R273" s="2"/>
      <c r="S273" s="2"/>
      <c r="T273" s="2"/>
      <c r="U273" s="2"/>
      <c r="V273" s="161"/>
      <c r="W273" s="2"/>
      <c r="X273" s="2"/>
      <c r="Y273" s="37"/>
      <c r="Z273" s="537"/>
      <c r="AA273" s="537"/>
      <c r="AB273" s="537"/>
      <c r="AC273" s="537"/>
      <c r="AD273" s="537"/>
      <c r="AE273" s="594"/>
      <c r="AF273" s="594"/>
      <c r="AG273" s="59"/>
      <c r="AH273" s="59"/>
      <c r="AI273" s="60"/>
      <c r="AJ273" s="37"/>
      <c r="AK273" s="652">
        <v>0</v>
      </c>
      <c r="AL273" s="197"/>
    </row>
    <row r="274" spans="1:39" ht="15.75" x14ac:dyDescent="0.25">
      <c r="A274" s="11" t="s">
        <v>97</v>
      </c>
      <c r="B274" s="124"/>
      <c r="C274" s="124"/>
      <c r="D274" s="124"/>
      <c r="E274" s="124"/>
      <c r="F274" s="124"/>
      <c r="G274" s="124"/>
      <c r="H274" s="124"/>
      <c r="I274" s="37"/>
      <c r="J274" s="124"/>
      <c r="K274" s="124"/>
      <c r="L274" s="124"/>
      <c r="M274" s="124"/>
      <c r="N274" s="124"/>
      <c r="O274" s="124"/>
      <c r="P274" s="124"/>
      <c r="Q274" s="37"/>
      <c r="R274" s="124"/>
      <c r="S274" s="124"/>
      <c r="T274" s="124"/>
      <c r="U274" s="124"/>
      <c r="V274" s="135"/>
      <c r="W274" s="124"/>
      <c r="X274" s="124"/>
      <c r="Y274" s="37"/>
      <c r="Z274" s="530"/>
      <c r="AA274" s="530"/>
      <c r="AB274" s="530"/>
      <c r="AC274" s="530"/>
      <c r="AD274" s="530"/>
      <c r="AE274" s="531"/>
      <c r="AF274" s="531"/>
      <c r="AG274" s="124"/>
      <c r="AH274" s="124"/>
      <c r="AI274" s="125"/>
      <c r="AJ274" s="37"/>
      <c r="AK274" s="652">
        <v>0</v>
      </c>
      <c r="AL274" s="197"/>
    </row>
    <row r="275" spans="1:39" ht="15" customHeight="1" thickBot="1" x14ac:dyDescent="0.3">
      <c r="A275" s="11" t="s">
        <v>343</v>
      </c>
      <c r="B275" s="175"/>
      <c r="C275" s="175"/>
      <c r="D275" s="175"/>
      <c r="E275" s="175"/>
      <c r="F275" s="175"/>
      <c r="G275" s="175"/>
      <c r="H275" s="175"/>
      <c r="I275" s="43"/>
      <c r="J275" s="245"/>
      <c r="K275" s="245"/>
      <c r="L275" s="245"/>
      <c r="M275" s="245"/>
      <c r="N275" s="245"/>
      <c r="O275" s="245"/>
      <c r="P275" s="245"/>
      <c r="Q275" s="43"/>
      <c r="R275" s="245"/>
      <c r="S275" s="245"/>
      <c r="T275" s="245"/>
      <c r="U275" s="245"/>
      <c r="V275" s="175"/>
      <c r="W275" s="245"/>
      <c r="X275" s="245"/>
      <c r="Y275" s="43"/>
      <c r="Z275" s="576"/>
      <c r="AA275" s="576"/>
      <c r="AB275" s="576"/>
      <c r="AC275" s="576"/>
      <c r="AD275" s="576"/>
      <c r="AE275" s="596"/>
      <c r="AF275" s="596"/>
      <c r="AG275" s="245"/>
      <c r="AH275" s="245"/>
      <c r="AI275" s="246"/>
      <c r="AJ275" s="43"/>
      <c r="AK275" s="662">
        <v>0</v>
      </c>
      <c r="AL275" s="204"/>
    </row>
    <row r="276" spans="1:39" ht="15" customHeight="1" thickBot="1" x14ac:dyDescent="0.3">
      <c r="A276" s="11" t="s">
        <v>344</v>
      </c>
      <c r="B276" s="398"/>
      <c r="C276" s="398"/>
      <c r="D276" s="398"/>
      <c r="E276" s="398"/>
      <c r="F276" s="398"/>
      <c r="G276" s="398"/>
      <c r="H276" s="398"/>
      <c r="I276" s="375"/>
      <c r="J276" s="398"/>
      <c r="K276" s="398"/>
      <c r="L276" s="398"/>
      <c r="M276" s="398"/>
      <c r="N276" s="398"/>
      <c r="O276" s="398"/>
      <c r="P276" s="398"/>
      <c r="Q276" s="375"/>
      <c r="R276" s="398"/>
      <c r="S276" s="399"/>
      <c r="T276" s="399"/>
      <c r="U276" s="399"/>
      <c r="V276" s="398"/>
      <c r="W276" s="399"/>
      <c r="X276" s="399"/>
      <c r="Y276" s="278"/>
      <c r="Z276" s="687"/>
      <c r="AA276" s="687"/>
      <c r="AB276" s="687"/>
      <c r="AC276" s="687"/>
      <c r="AD276" s="687"/>
      <c r="AE276" s="688"/>
      <c r="AF276" s="688"/>
      <c r="AG276" s="399"/>
      <c r="AH276" s="399"/>
      <c r="AI276" s="400"/>
      <c r="AJ276" s="278"/>
      <c r="AK276" s="168"/>
      <c r="AL276" s="401"/>
    </row>
    <row r="277" spans="1:39" ht="19.5" thickBot="1" x14ac:dyDescent="0.35">
      <c r="A277" s="280" t="s">
        <v>2</v>
      </c>
      <c r="B277" s="277">
        <f t="shared" ref="B277:H277" si="31">SUM(B270:B276)</f>
        <v>0</v>
      </c>
      <c r="C277" s="277">
        <f t="shared" si="31"/>
        <v>0</v>
      </c>
      <c r="D277" s="277">
        <f t="shared" si="31"/>
        <v>0</v>
      </c>
      <c r="E277" s="277">
        <f t="shared" si="31"/>
        <v>0</v>
      </c>
      <c r="F277" s="277">
        <f t="shared" si="31"/>
        <v>0</v>
      </c>
      <c r="G277" s="277">
        <f t="shared" si="31"/>
        <v>0</v>
      </c>
      <c r="H277" s="277">
        <f t="shared" si="31"/>
        <v>0</v>
      </c>
      <c r="I277" s="375">
        <f>SUM(B277:H277)</f>
        <v>0</v>
      </c>
      <c r="J277" s="277">
        <f t="shared" ref="J277:P277" si="32">SUM(J270:J276)</f>
        <v>0</v>
      </c>
      <c r="K277" s="277">
        <f t="shared" si="32"/>
        <v>0</v>
      </c>
      <c r="L277" s="277">
        <f t="shared" si="32"/>
        <v>0</v>
      </c>
      <c r="M277" s="277">
        <f t="shared" si="32"/>
        <v>0</v>
      </c>
      <c r="N277" s="277">
        <f t="shared" si="32"/>
        <v>0</v>
      </c>
      <c r="O277" s="277">
        <f t="shared" si="32"/>
        <v>0</v>
      </c>
      <c r="P277" s="277">
        <f t="shared" si="32"/>
        <v>0</v>
      </c>
      <c r="Q277" s="375">
        <f>SUM(J277:P277)</f>
        <v>0</v>
      </c>
      <c r="R277" s="277">
        <f t="shared" ref="R277:W277" si="33">SUM(R270:R276)</f>
        <v>0</v>
      </c>
      <c r="S277" s="277">
        <f t="shared" si="33"/>
        <v>0</v>
      </c>
      <c r="T277" s="277">
        <f t="shared" si="33"/>
        <v>0</v>
      </c>
      <c r="U277" s="277">
        <f t="shared" si="33"/>
        <v>0</v>
      </c>
      <c r="V277" s="277">
        <f t="shared" si="33"/>
        <v>0</v>
      </c>
      <c r="W277" s="277">
        <f t="shared" si="33"/>
        <v>0</v>
      </c>
      <c r="X277" s="277">
        <f>SUM(X270:X276)</f>
        <v>0</v>
      </c>
      <c r="Y277" s="375">
        <f>SUM(R277:X277)</f>
        <v>0</v>
      </c>
      <c r="Z277" s="277">
        <f t="shared" ref="Z277:AF277" si="34">SUM(Z270:Z276)</f>
        <v>0</v>
      </c>
      <c r="AA277" s="277">
        <f t="shared" si="34"/>
        <v>0</v>
      </c>
      <c r="AB277" s="277">
        <f t="shared" si="34"/>
        <v>0</v>
      </c>
      <c r="AC277" s="277">
        <f t="shared" si="34"/>
        <v>0</v>
      </c>
      <c r="AD277" s="277">
        <f t="shared" si="34"/>
        <v>0</v>
      </c>
      <c r="AE277" s="691">
        <f t="shared" si="34"/>
        <v>0</v>
      </c>
      <c r="AF277" s="691">
        <f t="shared" si="34"/>
        <v>0</v>
      </c>
      <c r="AG277" s="277"/>
      <c r="AH277" s="277"/>
      <c r="AI277" s="423"/>
      <c r="AJ277" s="375">
        <f>SUM(Z277:AI277)</f>
        <v>0</v>
      </c>
      <c r="AK277" s="693">
        <f>SUM(AK272:AK276)</f>
        <v>0</v>
      </c>
      <c r="AL277" s="283"/>
    </row>
    <row r="278" spans="1:39" ht="27" thickBot="1" x14ac:dyDescent="0.45">
      <c r="A278" s="311" t="s">
        <v>123</v>
      </c>
      <c r="B278" s="219"/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  <c r="AB278" s="219"/>
      <c r="AC278" s="219"/>
      <c r="AD278" s="219"/>
      <c r="AE278" s="219"/>
      <c r="AF278" s="219"/>
      <c r="AG278" s="219"/>
      <c r="AH278" s="219"/>
      <c r="AI278" s="219"/>
      <c r="AJ278" s="219"/>
      <c r="AK278" s="219"/>
      <c r="AL278" s="312"/>
    </row>
    <row r="279" spans="1:39" ht="16.5" thickBot="1" x14ac:dyDescent="0.3">
      <c r="A279" s="319" t="s">
        <v>8</v>
      </c>
      <c r="B279" s="624">
        <v>1</v>
      </c>
      <c r="C279" s="328">
        <v>2</v>
      </c>
      <c r="D279" s="328">
        <v>3</v>
      </c>
      <c r="E279" s="328">
        <v>4</v>
      </c>
      <c r="F279" s="328">
        <v>5</v>
      </c>
      <c r="G279" s="328">
        <v>6</v>
      </c>
      <c r="H279" s="328">
        <v>7</v>
      </c>
      <c r="I279" s="629" t="s">
        <v>338</v>
      </c>
      <c r="J279" s="328">
        <v>8</v>
      </c>
      <c r="K279" s="328">
        <v>9</v>
      </c>
      <c r="L279" s="328">
        <v>10</v>
      </c>
      <c r="M279" s="328">
        <v>11</v>
      </c>
      <c r="N279" s="328">
        <v>12</v>
      </c>
      <c r="O279" s="328">
        <v>13</v>
      </c>
      <c r="P279" s="328">
        <v>14</v>
      </c>
      <c r="Q279" s="629" t="s">
        <v>338</v>
      </c>
      <c r="R279" s="328">
        <v>15</v>
      </c>
      <c r="S279" s="328">
        <v>16</v>
      </c>
      <c r="T279" s="328">
        <v>17</v>
      </c>
      <c r="U279" s="328">
        <v>18</v>
      </c>
      <c r="V279" s="328">
        <v>19</v>
      </c>
      <c r="W279" s="328">
        <v>20</v>
      </c>
      <c r="X279" s="328">
        <v>21</v>
      </c>
      <c r="Y279" s="629" t="s">
        <v>338</v>
      </c>
      <c r="Z279" s="328">
        <v>22</v>
      </c>
      <c r="AA279" s="328">
        <v>23</v>
      </c>
      <c r="AB279" s="328">
        <v>24</v>
      </c>
      <c r="AC279" s="328">
        <v>25</v>
      </c>
      <c r="AD279" s="328">
        <v>26</v>
      </c>
      <c r="AE279" s="328">
        <v>27</v>
      </c>
      <c r="AF279" s="328">
        <v>28</v>
      </c>
      <c r="AG279" s="328">
        <v>29</v>
      </c>
      <c r="AH279" s="328">
        <v>30</v>
      </c>
      <c r="AI279" s="328">
        <v>31</v>
      </c>
      <c r="AJ279" s="629" t="s">
        <v>338</v>
      </c>
      <c r="AK279" s="630" t="s">
        <v>339</v>
      </c>
      <c r="AL279" s="631" t="s">
        <v>42</v>
      </c>
    </row>
    <row r="280" spans="1:39" x14ac:dyDescent="0.25">
      <c r="A280" s="666" t="s">
        <v>25</v>
      </c>
      <c r="B280" s="303">
        <v>12242</v>
      </c>
      <c r="C280" s="303">
        <v>10076</v>
      </c>
      <c r="D280" s="303">
        <v>12716</v>
      </c>
      <c r="E280" s="303">
        <v>13496</v>
      </c>
      <c r="F280" s="303">
        <v>13271</v>
      </c>
      <c r="G280" s="303">
        <v>13353</v>
      </c>
      <c r="H280" s="313">
        <v>13468.8</v>
      </c>
      <c r="I280" s="304"/>
      <c r="J280" s="303">
        <v>13062.8</v>
      </c>
      <c r="K280" s="303">
        <v>13993.4</v>
      </c>
      <c r="L280" s="303">
        <v>14022.5</v>
      </c>
      <c r="M280" s="303">
        <v>14049</v>
      </c>
      <c r="N280" s="303">
        <v>16952.8</v>
      </c>
      <c r="O280" s="303">
        <v>11529.3</v>
      </c>
      <c r="P280" s="303">
        <v>12878</v>
      </c>
      <c r="Q280" s="305"/>
      <c r="R280" s="303">
        <v>11906</v>
      </c>
      <c r="S280" s="303">
        <v>14422</v>
      </c>
      <c r="T280" s="303">
        <v>12786</v>
      </c>
      <c r="U280" s="303">
        <v>12595</v>
      </c>
      <c r="V280" s="303">
        <v>13524</v>
      </c>
      <c r="W280" s="303">
        <v>13687</v>
      </c>
      <c r="X280" s="303">
        <v>11190</v>
      </c>
      <c r="Y280" s="305"/>
      <c r="Z280" s="303">
        <v>12828</v>
      </c>
      <c r="AA280" s="303">
        <v>13618</v>
      </c>
      <c r="AB280" s="303">
        <v>13407</v>
      </c>
      <c r="AC280" s="303">
        <v>13667</v>
      </c>
      <c r="AD280" s="303">
        <v>12936</v>
      </c>
      <c r="AE280" s="303">
        <v>11152</v>
      </c>
      <c r="AF280" s="303">
        <v>13314</v>
      </c>
      <c r="AG280" s="303"/>
      <c r="AH280" s="303"/>
      <c r="AI280" s="303"/>
      <c r="AJ280" s="305"/>
      <c r="AK280" s="653"/>
      <c r="AL280" s="315"/>
    </row>
    <row r="281" spans="1:39" ht="15.75" x14ac:dyDescent="0.25">
      <c r="A281" s="667" t="s">
        <v>36</v>
      </c>
      <c r="B281" s="1">
        <v>5060</v>
      </c>
      <c r="C281" s="1">
        <v>6690.01</v>
      </c>
      <c r="D281" s="1">
        <v>5839.15</v>
      </c>
      <c r="E281" s="1">
        <v>6760.19</v>
      </c>
      <c r="F281" s="1">
        <v>5039.95</v>
      </c>
      <c r="G281" s="118">
        <v>6226.87</v>
      </c>
      <c r="H281" s="173">
        <v>6363.57</v>
      </c>
      <c r="I281" s="36"/>
      <c r="J281" s="173">
        <v>6332.26</v>
      </c>
      <c r="K281" s="1">
        <v>5461.5</v>
      </c>
      <c r="L281" s="1">
        <v>6983.03</v>
      </c>
      <c r="M281" s="1">
        <v>5948.77</v>
      </c>
      <c r="N281" s="1">
        <v>6921.37</v>
      </c>
      <c r="O281" s="1">
        <v>6375.52</v>
      </c>
      <c r="P281" s="1">
        <v>5837.48</v>
      </c>
      <c r="Q281" s="37"/>
      <c r="R281" s="1">
        <v>6237.73</v>
      </c>
      <c r="S281" s="1">
        <v>6726.03</v>
      </c>
      <c r="T281" s="1">
        <v>6131.15</v>
      </c>
      <c r="U281" s="1">
        <v>6009.1</v>
      </c>
      <c r="V281" s="118">
        <v>5870.06</v>
      </c>
      <c r="W281" s="1">
        <v>5679.28</v>
      </c>
      <c r="X281" s="1">
        <v>5528.81</v>
      </c>
      <c r="Y281" s="37"/>
      <c r="Z281" s="1">
        <v>5867.4</v>
      </c>
      <c r="AA281" s="1">
        <v>6242.3</v>
      </c>
      <c r="AB281" s="1">
        <v>5367.22</v>
      </c>
      <c r="AC281" s="1">
        <v>6008.26</v>
      </c>
      <c r="AD281" s="1">
        <v>4730.79</v>
      </c>
      <c r="AE281" s="1">
        <v>5307.58</v>
      </c>
      <c r="AF281" s="1">
        <v>5253</v>
      </c>
      <c r="AG281" s="1"/>
      <c r="AH281" s="1"/>
      <c r="AI281" s="1"/>
      <c r="AJ281" s="37"/>
      <c r="AK281" s="654">
        <f>SUM(B281:AJ281)</f>
        <v>166798.37999999998</v>
      </c>
      <c r="AL281" s="223">
        <v>161770.96</v>
      </c>
      <c r="AM281" s="13"/>
    </row>
    <row r="282" spans="1:39" ht="15.75" x14ac:dyDescent="0.25">
      <c r="A282" s="667" t="s">
        <v>46</v>
      </c>
      <c r="B282" s="1">
        <v>160.18</v>
      </c>
      <c r="C282" s="1">
        <v>53</v>
      </c>
      <c r="D282" s="1">
        <v>124.7</v>
      </c>
      <c r="E282" s="1">
        <v>87.2</v>
      </c>
      <c r="F282" s="1">
        <v>100</v>
      </c>
      <c r="G282" s="1">
        <v>0</v>
      </c>
      <c r="H282" s="211">
        <v>85.58</v>
      </c>
      <c r="I282" s="36"/>
      <c r="J282" s="1">
        <v>64.45</v>
      </c>
      <c r="K282" s="1">
        <v>65.3</v>
      </c>
      <c r="L282" s="1">
        <v>59.81</v>
      </c>
      <c r="M282" s="1">
        <v>90.61</v>
      </c>
      <c r="N282" s="1">
        <v>146.22999999999999</v>
      </c>
      <c r="O282" s="1">
        <v>68.650000000000006</v>
      </c>
      <c r="P282" s="118">
        <v>74.58</v>
      </c>
      <c r="Q282" s="37"/>
      <c r="R282" s="1">
        <v>98.38</v>
      </c>
      <c r="S282" s="1">
        <v>111.63</v>
      </c>
      <c r="T282" s="1">
        <v>49.48</v>
      </c>
      <c r="U282" s="1">
        <v>33.950000000000003</v>
      </c>
      <c r="V282" s="1">
        <v>113.99</v>
      </c>
      <c r="W282" s="1">
        <v>0</v>
      </c>
      <c r="X282" s="1">
        <v>96.16</v>
      </c>
      <c r="Y282" s="37"/>
      <c r="Z282" s="1">
        <v>47.21</v>
      </c>
      <c r="AA282" s="1">
        <v>29.35</v>
      </c>
      <c r="AB282" s="1">
        <v>0</v>
      </c>
      <c r="AC282" s="1">
        <v>184.4</v>
      </c>
      <c r="AD282" s="1">
        <v>66.489999999999995</v>
      </c>
      <c r="AE282" s="1">
        <v>0</v>
      </c>
      <c r="AF282" s="1">
        <v>0</v>
      </c>
      <c r="AG282" s="1"/>
      <c r="AH282" s="1"/>
      <c r="AI282" s="1"/>
      <c r="AJ282" s="37"/>
      <c r="AK282" s="655"/>
      <c r="AL282" s="223"/>
    </row>
    <row r="283" spans="1:39" ht="15" customHeight="1" x14ac:dyDescent="0.3">
      <c r="A283" s="667" t="s">
        <v>47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73">
        <v>0</v>
      </c>
      <c r="I283" s="36"/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18">
        <v>0</v>
      </c>
      <c r="Q283" s="37"/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37"/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/>
      <c r="AH283" s="1"/>
      <c r="AI283" s="1"/>
      <c r="AJ283" s="37"/>
      <c r="AK283" s="656"/>
      <c r="AL283" s="223"/>
    </row>
    <row r="284" spans="1:39" ht="15" customHeight="1" x14ac:dyDescent="0.3">
      <c r="A284" s="667" t="s">
        <v>48</v>
      </c>
      <c r="B284" s="1">
        <v>34.299999999999997</v>
      </c>
      <c r="C284" s="1">
        <v>34.049999999999997</v>
      </c>
      <c r="D284" s="1">
        <v>36.03</v>
      </c>
      <c r="E284" s="1">
        <v>70.959999999999994</v>
      </c>
      <c r="F284" s="1">
        <v>63.09</v>
      </c>
      <c r="G284" s="1">
        <v>18.73</v>
      </c>
      <c r="H284" s="173">
        <v>15.6</v>
      </c>
      <c r="I284" s="36"/>
      <c r="J284" s="1">
        <v>14.77</v>
      </c>
      <c r="K284" s="1">
        <v>0</v>
      </c>
      <c r="L284" s="1">
        <v>112.94</v>
      </c>
      <c r="M284" s="1">
        <v>30.67</v>
      </c>
      <c r="N284" s="1">
        <v>14.88</v>
      </c>
      <c r="O284" s="1">
        <v>130.84</v>
      </c>
      <c r="P284" s="118">
        <v>38.42</v>
      </c>
      <c r="Q284" s="37"/>
      <c r="R284" s="1">
        <v>17.62</v>
      </c>
      <c r="S284" s="1">
        <v>40.25</v>
      </c>
      <c r="T284" s="1">
        <v>73.78</v>
      </c>
      <c r="U284" s="1">
        <v>0</v>
      </c>
      <c r="V284" s="1">
        <v>27.98</v>
      </c>
      <c r="W284" s="1">
        <v>0</v>
      </c>
      <c r="X284" s="1">
        <v>54.52</v>
      </c>
      <c r="Y284" s="37"/>
      <c r="Z284" s="1">
        <v>46.2</v>
      </c>
      <c r="AA284" s="1">
        <v>31.92</v>
      </c>
      <c r="AB284" s="1">
        <v>84.51</v>
      </c>
      <c r="AC284" s="1">
        <v>0</v>
      </c>
      <c r="AD284" s="1">
        <v>113.02</v>
      </c>
      <c r="AE284" s="1">
        <v>0</v>
      </c>
      <c r="AF284" s="1">
        <v>30.03</v>
      </c>
      <c r="AG284" s="1"/>
      <c r="AH284" s="1"/>
      <c r="AI284" s="1"/>
      <c r="AJ284" s="37"/>
      <c r="AK284" s="656"/>
      <c r="AL284" s="223"/>
    </row>
    <row r="285" spans="1:39" ht="15" customHeight="1" x14ac:dyDescent="0.25">
      <c r="A285" s="667" t="s">
        <v>37</v>
      </c>
      <c r="B285" s="1">
        <v>158.86000000000001</v>
      </c>
      <c r="C285" s="1">
        <v>116</v>
      </c>
      <c r="D285" s="1">
        <v>166.77</v>
      </c>
      <c r="E285" s="1">
        <v>83.61</v>
      </c>
      <c r="F285" s="1">
        <v>229.84</v>
      </c>
      <c r="G285" s="1">
        <v>72.38</v>
      </c>
      <c r="H285" s="173">
        <v>247.82</v>
      </c>
      <c r="I285" s="36"/>
      <c r="J285" s="1">
        <v>148.07</v>
      </c>
      <c r="K285" s="1">
        <v>174.44</v>
      </c>
      <c r="L285" s="1">
        <v>242.24</v>
      </c>
      <c r="M285" s="1">
        <v>161.18</v>
      </c>
      <c r="N285" s="1">
        <v>215.38</v>
      </c>
      <c r="O285" s="1">
        <v>237.73</v>
      </c>
      <c r="P285" s="118">
        <v>181.31</v>
      </c>
      <c r="Q285" s="37"/>
      <c r="R285" s="1">
        <v>216.96</v>
      </c>
      <c r="S285" s="1">
        <v>143.43</v>
      </c>
      <c r="T285" s="1">
        <v>123.11</v>
      </c>
      <c r="U285" s="1">
        <v>88.98</v>
      </c>
      <c r="V285" s="1">
        <v>63.38</v>
      </c>
      <c r="W285" s="1">
        <v>155.13999999999999</v>
      </c>
      <c r="X285" s="1">
        <v>196.31</v>
      </c>
      <c r="Y285" s="37"/>
      <c r="Z285" s="1">
        <v>98.88</v>
      </c>
      <c r="AA285" s="1">
        <v>171.19</v>
      </c>
      <c r="AB285" s="1">
        <v>188.33</v>
      </c>
      <c r="AC285" s="1">
        <v>473.01</v>
      </c>
      <c r="AD285" s="1">
        <v>30.3</v>
      </c>
      <c r="AE285" s="1">
        <v>89.56</v>
      </c>
      <c r="AF285" s="1">
        <v>150.43</v>
      </c>
      <c r="AG285" s="1"/>
      <c r="AH285" s="1"/>
      <c r="AI285" s="1"/>
      <c r="AJ285" s="37"/>
      <c r="AK285" s="657">
        <v>134267.54</v>
      </c>
      <c r="AL285" s="223"/>
    </row>
    <row r="286" spans="1:39" ht="15" customHeight="1" x14ac:dyDescent="0.25">
      <c r="A286" s="667" t="s">
        <v>26</v>
      </c>
      <c r="B286" s="1">
        <v>142.43</v>
      </c>
      <c r="C286" s="1">
        <v>145.34</v>
      </c>
      <c r="D286" s="1">
        <v>139.41</v>
      </c>
      <c r="E286" s="1">
        <v>144.38</v>
      </c>
      <c r="F286" s="1">
        <v>142.4</v>
      </c>
      <c r="G286" s="118">
        <v>137.34</v>
      </c>
      <c r="H286" s="173">
        <v>148.07</v>
      </c>
      <c r="I286" s="36"/>
      <c r="J286" s="1">
        <v>146.32</v>
      </c>
      <c r="K286" s="1">
        <v>138.65</v>
      </c>
      <c r="L286" s="1">
        <v>145.31</v>
      </c>
      <c r="M286" s="1">
        <v>144.68</v>
      </c>
      <c r="N286" s="1">
        <v>142.43</v>
      </c>
      <c r="O286" s="1">
        <v>128.75</v>
      </c>
      <c r="P286" s="1">
        <v>145.22</v>
      </c>
      <c r="Q286" s="37"/>
      <c r="R286" s="1">
        <v>138.04</v>
      </c>
      <c r="S286" s="1">
        <v>144.43</v>
      </c>
      <c r="T286" s="1">
        <v>150</v>
      </c>
      <c r="U286" s="1">
        <v>149.22999999999999</v>
      </c>
      <c r="V286" s="1">
        <v>140.31</v>
      </c>
      <c r="W286" s="1">
        <v>139.66999999999999</v>
      </c>
      <c r="X286" s="1">
        <v>146.19999999999999</v>
      </c>
      <c r="Y286" s="37"/>
      <c r="Z286" s="118">
        <v>135.58000000000001</v>
      </c>
      <c r="AA286" s="1">
        <v>150</v>
      </c>
      <c r="AB286" s="1">
        <v>150</v>
      </c>
      <c r="AC286" s="1">
        <v>150</v>
      </c>
      <c r="AD286" s="1">
        <v>146.58000000000001</v>
      </c>
      <c r="AE286" s="1">
        <v>98.19</v>
      </c>
      <c r="AF286" s="1">
        <v>149.55000000000001</v>
      </c>
      <c r="AG286" s="1"/>
      <c r="AH286" s="1"/>
      <c r="AI286" s="1"/>
      <c r="AJ286" s="37"/>
      <c r="AK286" s="657">
        <v>144311.19</v>
      </c>
      <c r="AL286" s="223"/>
    </row>
    <row r="287" spans="1:39" ht="15" customHeight="1" x14ac:dyDescent="0.25">
      <c r="A287" s="667" t="s">
        <v>27</v>
      </c>
      <c r="B287" s="1">
        <v>98.72</v>
      </c>
      <c r="C287" s="1">
        <v>105.19</v>
      </c>
      <c r="D287" s="1">
        <v>108.14</v>
      </c>
      <c r="E287" s="1">
        <v>104.87</v>
      </c>
      <c r="F287" s="1">
        <v>100.75</v>
      </c>
      <c r="G287" s="118">
        <v>101.42</v>
      </c>
      <c r="H287" s="211">
        <v>87.84</v>
      </c>
      <c r="I287" s="36"/>
      <c r="J287" s="1">
        <v>98.28</v>
      </c>
      <c r="K287" s="1">
        <v>113.01</v>
      </c>
      <c r="L287" s="1">
        <v>65.98</v>
      </c>
      <c r="M287" s="1">
        <v>94.55</v>
      </c>
      <c r="N287" s="1">
        <v>113.06</v>
      </c>
      <c r="O287" s="1">
        <v>113.57</v>
      </c>
      <c r="P287" s="1">
        <v>101.15</v>
      </c>
      <c r="Q287" s="37"/>
      <c r="R287" s="118">
        <v>96.89</v>
      </c>
      <c r="S287" s="1">
        <v>116.69</v>
      </c>
      <c r="T287" s="118">
        <v>97.54</v>
      </c>
      <c r="U287" s="1">
        <v>113.57</v>
      </c>
      <c r="V287" s="1">
        <v>111.81</v>
      </c>
      <c r="W287" s="1">
        <v>104.36</v>
      </c>
      <c r="X287" s="1">
        <v>101.85</v>
      </c>
      <c r="Y287" s="37"/>
      <c r="Z287" s="1">
        <v>89.5</v>
      </c>
      <c r="AA287" s="1">
        <v>109.58</v>
      </c>
      <c r="AB287" s="1">
        <v>91.82</v>
      </c>
      <c r="AC287" s="1">
        <v>97.22</v>
      </c>
      <c r="AD287" s="1">
        <v>101.87</v>
      </c>
      <c r="AE287" s="1">
        <v>105.2</v>
      </c>
      <c r="AF287" s="1">
        <v>107.4</v>
      </c>
      <c r="AG287" s="1"/>
      <c r="AH287" s="1"/>
      <c r="AI287" s="1"/>
      <c r="AJ287" s="37"/>
      <c r="AK287" s="657">
        <v>135747.79999999999</v>
      </c>
      <c r="AL287" s="223"/>
    </row>
    <row r="288" spans="1:39" ht="15" customHeight="1" x14ac:dyDescent="0.25">
      <c r="A288" s="668" t="s">
        <v>366</v>
      </c>
      <c r="B288" s="123">
        <v>0</v>
      </c>
      <c r="C288" s="123">
        <v>0</v>
      </c>
      <c r="D288" s="123">
        <v>0</v>
      </c>
      <c r="E288" s="123">
        <v>0</v>
      </c>
      <c r="F288" s="123">
        <v>0</v>
      </c>
      <c r="G288" s="123">
        <v>0</v>
      </c>
      <c r="H288" s="213">
        <v>0</v>
      </c>
      <c r="I288" s="126"/>
      <c r="J288" s="123">
        <v>0</v>
      </c>
      <c r="K288" s="123">
        <v>0</v>
      </c>
      <c r="L288" s="123">
        <v>0</v>
      </c>
      <c r="M288" s="123">
        <v>0</v>
      </c>
      <c r="N288" s="123">
        <v>0</v>
      </c>
      <c r="O288" s="123">
        <v>0</v>
      </c>
      <c r="P288" s="123">
        <v>0</v>
      </c>
      <c r="Q288" s="43"/>
      <c r="R288" s="123">
        <v>0</v>
      </c>
      <c r="S288" s="123">
        <v>0</v>
      </c>
      <c r="T288" s="123">
        <v>0</v>
      </c>
      <c r="U288" s="123">
        <v>0</v>
      </c>
      <c r="V288" s="123">
        <v>0</v>
      </c>
      <c r="W288" s="123">
        <v>0</v>
      </c>
      <c r="X288" s="123">
        <v>0</v>
      </c>
      <c r="Y288" s="43"/>
      <c r="Z288" s="123">
        <v>0</v>
      </c>
      <c r="AA288" s="123">
        <v>0</v>
      </c>
      <c r="AB288" s="123">
        <v>0</v>
      </c>
      <c r="AC288" s="123">
        <v>0</v>
      </c>
      <c r="AD288" s="123">
        <v>0</v>
      </c>
      <c r="AE288" s="123">
        <v>0</v>
      </c>
      <c r="AF288" s="123">
        <v>0</v>
      </c>
      <c r="AG288" s="123"/>
      <c r="AH288" s="123"/>
      <c r="AI288" s="123"/>
      <c r="AJ288" s="43"/>
      <c r="AK288" s="692">
        <v>133215.87</v>
      </c>
      <c r="AL288" s="229"/>
    </row>
    <row r="289" spans="1:38" ht="15" customHeight="1" thickBot="1" x14ac:dyDescent="0.35">
      <c r="A289" s="668" t="s">
        <v>28</v>
      </c>
      <c r="B289" s="123">
        <v>0</v>
      </c>
      <c r="C289" s="123">
        <v>0</v>
      </c>
      <c r="D289" s="123">
        <v>0</v>
      </c>
      <c r="E289" s="123">
        <v>0</v>
      </c>
      <c r="F289" s="123">
        <v>0</v>
      </c>
      <c r="G289" s="123">
        <v>0</v>
      </c>
      <c r="H289" s="213">
        <v>0</v>
      </c>
      <c r="I289" s="126"/>
      <c r="J289" s="123">
        <v>0</v>
      </c>
      <c r="K289" s="123">
        <v>0</v>
      </c>
      <c r="L289" s="123">
        <v>0</v>
      </c>
      <c r="M289" s="123">
        <v>0</v>
      </c>
      <c r="N289" s="123">
        <v>0</v>
      </c>
      <c r="O289" s="123">
        <v>0</v>
      </c>
      <c r="P289" s="123">
        <v>0</v>
      </c>
      <c r="Q289" s="43"/>
      <c r="R289" s="123">
        <v>0</v>
      </c>
      <c r="S289" s="123">
        <v>0</v>
      </c>
      <c r="T289" s="123">
        <v>0</v>
      </c>
      <c r="U289" s="123">
        <v>0</v>
      </c>
      <c r="V289" s="123">
        <v>0</v>
      </c>
      <c r="W289" s="123">
        <v>0</v>
      </c>
      <c r="X289" s="123">
        <v>0</v>
      </c>
      <c r="Y289" s="43"/>
      <c r="Z289" s="123">
        <v>0</v>
      </c>
      <c r="AA289" s="123">
        <v>0</v>
      </c>
      <c r="AB289" s="123">
        <v>0</v>
      </c>
      <c r="AC289" s="123">
        <v>0</v>
      </c>
      <c r="AD289" s="123">
        <v>0</v>
      </c>
      <c r="AE289" s="123">
        <v>0</v>
      </c>
      <c r="AF289" s="123">
        <v>0</v>
      </c>
      <c r="AG289" s="123"/>
      <c r="AH289" s="123"/>
      <c r="AI289" s="123"/>
      <c r="AJ289" s="43"/>
      <c r="AK289" s="658"/>
      <c r="AL289" s="229"/>
    </row>
    <row r="290" spans="1:38" ht="18.75" x14ac:dyDescent="0.3">
      <c r="A290" s="230" t="s">
        <v>2</v>
      </c>
      <c r="B290" s="232">
        <f t="shared" ref="B290:G290" si="35">SUM(B280:B289)</f>
        <v>17896.490000000002</v>
      </c>
      <c r="C290" s="232">
        <f t="shared" si="35"/>
        <v>17219.59</v>
      </c>
      <c r="D290" s="232">
        <f t="shared" si="35"/>
        <v>19130.2</v>
      </c>
      <c r="E290" s="232">
        <f t="shared" si="35"/>
        <v>20747.21</v>
      </c>
      <c r="F290" s="232">
        <f t="shared" si="35"/>
        <v>18947.030000000002</v>
      </c>
      <c r="G290" s="232">
        <f t="shared" si="35"/>
        <v>19909.739999999998</v>
      </c>
      <c r="H290" s="248">
        <f>SUM(H280:H289)</f>
        <v>20417.28</v>
      </c>
      <c r="I290" s="249">
        <f>SUM(B290:H290)</f>
        <v>134267.53999999998</v>
      </c>
      <c r="J290" s="231">
        <f t="shared" ref="J290:O290" si="36">SUM(J280:J289)</f>
        <v>19866.949999999997</v>
      </c>
      <c r="K290" s="231">
        <f t="shared" si="36"/>
        <v>19946.3</v>
      </c>
      <c r="L290" s="231">
        <f t="shared" si="36"/>
        <v>21631.81</v>
      </c>
      <c r="M290" s="231">
        <f t="shared" si="36"/>
        <v>20519.46</v>
      </c>
      <c r="N290" s="231">
        <f t="shared" si="36"/>
        <v>24506.15</v>
      </c>
      <c r="O290" s="231">
        <f t="shared" si="36"/>
        <v>18584.36</v>
      </c>
      <c r="P290" s="231">
        <f>SUM(P280:P289)</f>
        <v>19256.160000000003</v>
      </c>
      <c r="Q290" s="249">
        <f>SUM(J290:P290)</f>
        <v>144311.19</v>
      </c>
      <c r="R290" s="233">
        <f>SUM(R280:R288)</f>
        <v>18711.62</v>
      </c>
      <c r="S290" s="233">
        <f t="shared" ref="S290:X290" si="37">SUM(S280:S289)</f>
        <v>21704.46</v>
      </c>
      <c r="T290" s="233">
        <f t="shared" si="37"/>
        <v>19411.060000000001</v>
      </c>
      <c r="U290" s="233">
        <f t="shared" si="37"/>
        <v>18989.829999999998</v>
      </c>
      <c r="V290" s="233">
        <f t="shared" si="37"/>
        <v>19851.530000000006</v>
      </c>
      <c r="W290" s="233">
        <f t="shared" si="37"/>
        <v>19765.449999999997</v>
      </c>
      <c r="X290" s="233">
        <f t="shared" si="37"/>
        <v>17313.850000000002</v>
      </c>
      <c r="Y290" s="249">
        <f>SUM(R290:X290)</f>
        <v>135747.79999999999</v>
      </c>
      <c r="Z290" s="233">
        <f t="shared" ref="Z290:AE290" si="38">SUM(Z280:Z289)</f>
        <v>19112.770000000004</v>
      </c>
      <c r="AA290" s="233">
        <f t="shared" si="38"/>
        <v>20352.339999999997</v>
      </c>
      <c r="AB290" s="233">
        <f t="shared" si="38"/>
        <v>19288.88</v>
      </c>
      <c r="AC290" s="233">
        <f t="shared" si="38"/>
        <v>20579.890000000003</v>
      </c>
      <c r="AD290" s="233">
        <f t="shared" si="38"/>
        <v>18125.050000000003</v>
      </c>
      <c r="AE290" s="233">
        <f t="shared" si="38"/>
        <v>16752.530000000002</v>
      </c>
      <c r="AF290" s="233">
        <f>SUM(AF280:AF289)</f>
        <v>19004.41</v>
      </c>
      <c r="AG290" s="233"/>
      <c r="AH290" s="233"/>
      <c r="AI290" s="233"/>
      <c r="AJ290" s="249">
        <f>SUM(Z290:AI290)</f>
        <v>133215.87</v>
      </c>
      <c r="AK290" s="232">
        <f>SUM(AK285:AK289)</f>
        <v>547542.39999999991</v>
      </c>
      <c r="AL290" s="235"/>
    </row>
    <row r="291" spans="1:38" ht="15.75" thickBot="1" x14ac:dyDescent="0.3">
      <c r="A291" s="224"/>
      <c r="B291" s="335"/>
      <c r="C291" s="225"/>
      <c r="D291" s="225"/>
      <c r="E291" s="225"/>
      <c r="F291" s="225"/>
      <c r="G291" s="225"/>
      <c r="H291" s="225"/>
      <c r="I291" s="56"/>
      <c r="J291" s="225"/>
      <c r="K291" s="225"/>
      <c r="L291" s="225"/>
      <c r="M291" s="225"/>
      <c r="N291" s="225"/>
      <c r="O291" s="225"/>
      <c r="P291" s="225"/>
      <c r="Q291" s="56"/>
      <c r="R291" s="225"/>
      <c r="S291" s="225"/>
      <c r="T291" s="225"/>
      <c r="U291" s="225"/>
      <c r="V291" s="225"/>
      <c r="W291" s="225"/>
      <c r="X291" s="225"/>
      <c r="Y291" s="56"/>
      <c r="Z291" s="226"/>
      <c r="AA291" s="225"/>
      <c r="AB291" s="227"/>
      <c r="AC291" s="225"/>
      <c r="AD291" s="225"/>
      <c r="AE291" s="225"/>
      <c r="AF291" s="225"/>
      <c r="AG291" s="225"/>
      <c r="AH291" s="225"/>
      <c r="AI291" s="225"/>
      <c r="AJ291" s="56"/>
      <c r="AK291" s="225"/>
      <c r="AL291" s="228"/>
    </row>
    <row r="292" spans="1:38" x14ac:dyDescent="0.25">
      <c r="A292" s="136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</row>
    <row r="293" spans="1:38" x14ac:dyDescent="0.25">
      <c r="A293" s="80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9"/>
      <c r="AK293" s="19"/>
      <c r="AL293" s="19"/>
    </row>
    <row r="294" spans="1:38" x14ac:dyDescent="0.25">
      <c r="A294" s="80"/>
      <c r="B294" s="23"/>
      <c r="C294" s="23"/>
      <c r="D294" s="23"/>
      <c r="E294" s="23"/>
      <c r="F294" s="23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32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</row>
    <row r="295" spans="1:38" x14ac:dyDescent="0.25">
      <c r="A295" s="24"/>
      <c r="B295" s="23"/>
      <c r="C295" s="23"/>
      <c r="D295" s="23"/>
      <c r="E295" s="23"/>
      <c r="F295" s="23"/>
      <c r="G295" s="19"/>
      <c r="H295" s="19"/>
      <c r="I295" s="19"/>
      <c r="J295" s="32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</row>
    <row r="296" spans="1:38" x14ac:dyDescent="0.25">
      <c r="A296" s="80"/>
      <c r="B296" s="138"/>
      <c r="C296" s="138"/>
      <c r="D296" s="138"/>
      <c r="E296" s="138"/>
      <c r="F296" s="138"/>
      <c r="G296" s="138"/>
      <c r="H296" s="138"/>
      <c r="I296" s="79"/>
      <c r="J296" s="138"/>
      <c r="K296" s="138"/>
      <c r="L296" s="138"/>
      <c r="M296" s="138"/>
      <c r="N296" s="138"/>
      <c r="O296" s="138"/>
      <c r="P296" s="138"/>
      <c r="Q296" s="79"/>
      <c r="R296" s="138"/>
      <c r="S296" s="138"/>
      <c r="T296" s="138"/>
      <c r="U296" s="138"/>
      <c r="V296" s="138"/>
      <c r="W296" s="138"/>
      <c r="X296" s="138"/>
      <c r="Y296" s="79"/>
      <c r="Z296" s="138"/>
      <c r="AA296" s="138"/>
      <c r="AB296" s="138"/>
      <c r="AC296" s="138"/>
      <c r="AD296" s="138"/>
      <c r="AE296" s="138"/>
      <c r="AF296" s="138"/>
      <c r="AG296" s="138"/>
      <c r="AH296" s="138"/>
      <c r="AI296" s="138"/>
      <c r="AJ296" s="79"/>
      <c r="AK296" s="139"/>
      <c r="AL296" s="19"/>
    </row>
    <row r="297" spans="1:38" x14ac:dyDescent="0.25">
      <c r="A297" s="136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25"/>
      <c r="AK297" s="19"/>
      <c r="AL297" s="19"/>
    </row>
    <row r="298" spans="1:38" x14ac:dyDescent="0.25">
      <c r="A298" s="136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32"/>
      <c r="T298" s="19"/>
      <c r="U298" s="19"/>
      <c r="V298" s="19"/>
      <c r="W298" s="19"/>
      <c r="X298" s="19"/>
      <c r="Y298" s="1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9"/>
      <c r="AK298" s="19"/>
      <c r="AL298" s="19"/>
    </row>
    <row r="299" spans="1:38" x14ac:dyDescent="0.25">
      <c r="A299" s="136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9"/>
      <c r="AK299" s="19"/>
      <c r="AL299" s="19"/>
    </row>
    <row r="300" spans="1:38" x14ac:dyDescent="0.25">
      <c r="A300" s="136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9"/>
      <c r="AK300" s="19"/>
      <c r="AL300" s="19"/>
    </row>
    <row r="301" spans="1:38" x14ac:dyDescent="0.25">
      <c r="A301" s="80"/>
      <c r="B301" s="137"/>
      <c r="C301" s="137"/>
      <c r="D301" s="137"/>
      <c r="E301" s="137"/>
      <c r="F301" s="137"/>
      <c r="G301" s="137"/>
      <c r="H301" s="137"/>
      <c r="I301" s="19"/>
      <c r="J301" s="137"/>
      <c r="K301" s="137"/>
      <c r="L301" s="137"/>
      <c r="M301" s="137"/>
      <c r="N301" s="137"/>
      <c r="O301" s="137"/>
      <c r="P301" s="137"/>
      <c r="Q301" s="19"/>
      <c r="R301" s="137"/>
      <c r="S301" s="137"/>
      <c r="T301" s="137"/>
      <c r="U301" s="137"/>
      <c r="V301" s="137"/>
      <c r="W301" s="137"/>
      <c r="X301" s="137"/>
      <c r="Y301" s="19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9"/>
      <c r="AK301" s="19"/>
      <c r="AL301" s="19"/>
    </row>
    <row r="302" spans="1:38" x14ac:dyDescent="0.25">
      <c r="A302" s="80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</row>
    <row r="303" spans="1:38" ht="18.75" x14ac:dyDescent="0.3">
      <c r="A303" s="144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  <c r="AC303" s="145"/>
      <c r="AD303" s="145"/>
      <c r="AE303" s="145"/>
      <c r="AF303" s="145"/>
      <c r="AG303" s="145"/>
      <c r="AH303" s="145"/>
      <c r="AI303" s="145"/>
      <c r="AJ303" s="145"/>
      <c r="AK303" s="145"/>
    </row>
    <row r="304" spans="1:38" ht="18.75" x14ac:dyDescent="0.3">
      <c r="A304" s="146"/>
      <c r="B304" s="138"/>
      <c r="C304" s="138"/>
      <c r="D304" s="138"/>
      <c r="E304" s="138"/>
      <c r="F304" s="138"/>
      <c r="G304" s="138"/>
      <c r="H304" s="138"/>
      <c r="I304" s="80"/>
      <c r="J304" s="138"/>
      <c r="K304" s="138"/>
      <c r="L304" s="138"/>
      <c r="M304" s="138"/>
      <c r="N304" s="138"/>
      <c r="O304" s="138"/>
      <c r="P304" s="138"/>
      <c r="Q304" s="80"/>
      <c r="R304" s="138"/>
      <c r="S304" s="138"/>
      <c r="T304" s="138"/>
      <c r="U304" s="138"/>
      <c r="V304" s="138"/>
      <c r="W304" s="138"/>
      <c r="X304" s="138"/>
      <c r="Y304" s="80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80"/>
      <c r="AK304" s="142"/>
    </row>
    <row r="305" spans="1:37" ht="18.75" x14ac:dyDescent="0.3">
      <c r="A305" s="129"/>
      <c r="B305" s="140"/>
      <c r="C305" s="140"/>
      <c r="D305" s="140"/>
      <c r="E305" s="140"/>
      <c r="F305" s="140"/>
      <c r="G305" s="140"/>
      <c r="H305" s="140"/>
      <c r="I305" s="147"/>
      <c r="J305" s="140"/>
      <c r="K305" s="140"/>
      <c r="L305" s="140"/>
      <c r="M305" s="140"/>
      <c r="N305" s="140"/>
      <c r="O305" s="140"/>
      <c r="P305" s="140"/>
      <c r="Q305" s="147"/>
      <c r="R305" s="141"/>
      <c r="S305" s="141"/>
      <c r="T305" s="141"/>
      <c r="U305" s="141"/>
      <c r="V305" s="141"/>
      <c r="W305" s="141"/>
      <c r="X305" s="141"/>
      <c r="Y305" s="147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7"/>
      <c r="AK305" s="143"/>
    </row>
    <row r="306" spans="1:37" ht="18.75" x14ac:dyDescent="0.3">
      <c r="A306" s="129"/>
      <c r="B306" s="140"/>
      <c r="C306" s="140"/>
      <c r="D306" s="142"/>
      <c r="E306" s="142"/>
      <c r="F306" s="142"/>
      <c r="G306" s="142"/>
      <c r="H306" s="142"/>
      <c r="I306" s="147"/>
      <c r="J306" s="140"/>
      <c r="K306" s="142"/>
      <c r="L306" s="142"/>
      <c r="M306" s="142"/>
      <c r="N306" s="142"/>
      <c r="O306" s="140"/>
      <c r="P306" s="140"/>
      <c r="Q306" s="147"/>
      <c r="R306" s="141"/>
      <c r="S306" s="143"/>
      <c r="T306" s="143"/>
      <c r="U306" s="143"/>
      <c r="V306" s="143"/>
      <c r="W306" s="143"/>
      <c r="X306" s="143"/>
      <c r="Y306" s="147"/>
      <c r="Z306" s="143"/>
      <c r="AA306" s="141"/>
      <c r="AB306" s="143"/>
      <c r="AC306" s="143"/>
      <c r="AD306" s="143"/>
      <c r="AE306" s="143"/>
      <c r="AF306" s="143"/>
      <c r="AG306" s="141"/>
      <c r="AH306" s="143"/>
      <c r="AI306" s="143"/>
      <c r="AJ306" s="147"/>
      <c r="AK306" s="143"/>
    </row>
    <row r="307" spans="1:37" ht="18.75" x14ac:dyDescent="0.3">
      <c r="A307" s="129"/>
      <c r="B307" s="140"/>
      <c r="C307" s="142"/>
      <c r="D307" s="142"/>
      <c r="E307" s="140"/>
      <c r="F307" s="142"/>
      <c r="G307" s="142"/>
      <c r="H307" s="142"/>
      <c r="I307" s="147"/>
      <c r="J307" s="142"/>
      <c r="K307" s="142"/>
      <c r="L307" s="142"/>
      <c r="M307" s="142"/>
      <c r="N307" s="142"/>
      <c r="O307" s="142"/>
      <c r="P307" s="142"/>
      <c r="Q307" s="148"/>
      <c r="R307" s="143"/>
      <c r="S307" s="143"/>
      <c r="T307" s="143"/>
      <c r="U307" s="143"/>
      <c r="V307" s="143"/>
      <c r="W307" s="143"/>
      <c r="X307" s="141"/>
      <c r="Y307" s="148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7"/>
      <c r="AK307" s="143"/>
    </row>
    <row r="308" spans="1:37" ht="18.75" x14ac:dyDescent="0.3">
      <c r="A308" s="129"/>
      <c r="B308" s="140"/>
      <c r="C308" s="140"/>
      <c r="D308" s="142"/>
      <c r="E308" s="142"/>
      <c r="F308" s="142"/>
      <c r="G308" s="142"/>
      <c r="H308" s="142"/>
      <c r="I308" s="147"/>
      <c r="J308" s="142"/>
      <c r="K308" s="142"/>
      <c r="L308" s="140"/>
      <c r="M308" s="142"/>
      <c r="N308" s="142"/>
      <c r="O308" s="142"/>
      <c r="P308" s="142"/>
      <c r="Q308" s="148"/>
      <c r="R308" s="143"/>
      <c r="S308" s="143"/>
      <c r="T308" s="143"/>
      <c r="U308" s="143"/>
      <c r="V308" s="143"/>
      <c r="W308" s="143"/>
      <c r="X308" s="141"/>
      <c r="Y308" s="148"/>
      <c r="Z308" s="143"/>
      <c r="AA308" s="143"/>
      <c r="AB308" s="143"/>
      <c r="AC308" s="143"/>
      <c r="AD308" s="141"/>
      <c r="AE308" s="143"/>
      <c r="AF308" s="143"/>
      <c r="AG308" s="143"/>
      <c r="AH308" s="143"/>
      <c r="AI308" s="143"/>
      <c r="AJ308" s="148"/>
      <c r="AK308" s="141"/>
    </row>
    <row r="309" spans="1:37" ht="18.75" x14ac:dyDescent="0.3">
      <c r="A309" s="129"/>
      <c r="B309" s="140"/>
      <c r="C309" s="142"/>
      <c r="D309" s="142"/>
      <c r="E309" s="142"/>
      <c r="F309" s="142"/>
      <c r="G309" s="142"/>
      <c r="H309" s="142"/>
      <c r="I309" s="147"/>
      <c r="J309" s="142"/>
      <c r="K309" s="142"/>
      <c r="L309" s="142"/>
      <c r="M309" s="142"/>
      <c r="N309" s="142"/>
      <c r="O309" s="142"/>
      <c r="P309" s="142"/>
      <c r="Q309" s="148"/>
      <c r="R309" s="143"/>
      <c r="S309" s="143"/>
      <c r="T309" s="143"/>
      <c r="U309" s="143"/>
      <c r="V309" s="143"/>
      <c r="W309" s="143"/>
      <c r="X309" s="143"/>
      <c r="Y309" s="147"/>
      <c r="Z309" s="143"/>
      <c r="AA309" s="141"/>
      <c r="AB309" s="141"/>
      <c r="AC309" s="143"/>
      <c r="AD309" s="143"/>
      <c r="AE309" s="143"/>
      <c r="AF309" s="143"/>
      <c r="AG309" s="143"/>
      <c r="AH309" s="143"/>
      <c r="AI309" s="143"/>
      <c r="AJ309" s="147"/>
      <c r="AK309" s="143"/>
    </row>
    <row r="310" spans="1:37" ht="18.75" x14ac:dyDescent="0.3">
      <c r="A310" s="129"/>
      <c r="B310" s="140"/>
      <c r="C310" s="142"/>
      <c r="D310" s="140"/>
      <c r="E310" s="142"/>
      <c r="F310" s="140"/>
      <c r="G310" s="142"/>
      <c r="H310" s="140"/>
      <c r="I310" s="147"/>
      <c r="J310" s="142"/>
      <c r="K310" s="142"/>
      <c r="L310" s="140"/>
      <c r="M310" s="142"/>
      <c r="N310" s="142"/>
      <c r="O310" s="142"/>
      <c r="P310" s="142"/>
      <c r="Q310" s="148"/>
      <c r="R310" s="143"/>
      <c r="S310" s="143"/>
      <c r="T310" s="143"/>
      <c r="U310" s="141"/>
      <c r="V310" s="143"/>
      <c r="W310" s="143"/>
      <c r="X310" s="143"/>
      <c r="Y310" s="147"/>
      <c r="Z310" s="143"/>
      <c r="AA310" s="141"/>
      <c r="AB310" s="143"/>
      <c r="AC310" s="143"/>
      <c r="AD310" s="141"/>
      <c r="AE310" s="143"/>
      <c r="AF310" s="141"/>
      <c r="AG310" s="143"/>
      <c r="AH310" s="143"/>
      <c r="AI310" s="143"/>
      <c r="AJ310" s="147"/>
      <c r="AK310" s="143"/>
    </row>
    <row r="311" spans="1:37" ht="18.75" x14ac:dyDescent="0.3">
      <c r="A311" s="129"/>
      <c r="B311" s="140"/>
      <c r="C311" s="140"/>
      <c r="D311" s="140"/>
      <c r="E311" s="140"/>
      <c r="F311" s="140"/>
      <c r="G311" s="140"/>
      <c r="H311" s="140"/>
      <c r="I311" s="147"/>
      <c r="J311" s="142"/>
      <c r="K311" s="142"/>
      <c r="L311" s="142"/>
      <c r="M311" s="142"/>
      <c r="N311" s="142"/>
      <c r="O311" s="142"/>
      <c r="P311" s="140"/>
      <c r="Q311" s="147"/>
      <c r="R311" s="141"/>
      <c r="S311" s="141"/>
      <c r="T311" s="141"/>
      <c r="U311" s="141"/>
      <c r="V311" s="141"/>
      <c r="W311" s="141"/>
      <c r="X311" s="141"/>
      <c r="Y311" s="147"/>
      <c r="Z311" s="141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7"/>
      <c r="AK311" s="143"/>
    </row>
    <row r="312" spans="1:37" ht="18.75" x14ac:dyDescent="0.3">
      <c r="A312" s="146"/>
      <c r="B312" s="147"/>
      <c r="C312" s="147"/>
      <c r="D312" s="147"/>
      <c r="E312" s="147"/>
      <c r="F312" s="147"/>
      <c r="G312" s="147"/>
      <c r="H312" s="147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8"/>
  <sheetViews>
    <sheetView topLeftCell="A250" workbookViewId="0">
      <selection activeCell="AL279" sqref="AL279"/>
    </sheetView>
  </sheetViews>
  <sheetFormatPr defaultRowHeight="15" x14ac:dyDescent="0.25"/>
  <cols>
    <col min="1" max="1" width="18.28515625" customWidth="1"/>
    <col min="2" max="3" width="1.140625" customWidth="1"/>
    <col min="4" max="5" width="1.28515625" customWidth="1"/>
    <col min="6" max="6" width="1.42578125" customWidth="1"/>
    <col min="7" max="7" width="1" customWidth="1"/>
    <col min="8" max="8" width="0.85546875" customWidth="1"/>
    <col min="9" max="9" width="10.5703125" customWidth="1"/>
    <col min="10" max="10" width="1.140625" customWidth="1"/>
    <col min="11" max="11" width="1.28515625" customWidth="1"/>
    <col min="12" max="12" width="1.140625" customWidth="1"/>
    <col min="13" max="13" width="1.28515625" customWidth="1"/>
    <col min="14" max="14" width="1.42578125" customWidth="1"/>
    <col min="15" max="15" width="1.5703125" customWidth="1"/>
    <col min="16" max="16" width="1.28515625" customWidth="1"/>
    <col min="17" max="17" width="10.5703125" customWidth="1"/>
    <col min="18" max="18" width="1.28515625" customWidth="1"/>
    <col min="19" max="19" width="1.7109375" customWidth="1"/>
    <col min="20" max="20" width="1.28515625" customWidth="1"/>
    <col min="21" max="22" width="1.7109375" customWidth="1"/>
    <col min="23" max="23" width="1.5703125" customWidth="1"/>
    <col min="24" max="24" width="1.140625" customWidth="1"/>
    <col min="25" max="25" width="10.5703125" customWidth="1"/>
    <col min="26" max="35" width="8.7109375" customWidth="1"/>
    <col min="36" max="36" width="10.5703125" customWidth="1"/>
    <col min="37" max="37" width="11.7109375" customWidth="1"/>
    <col min="38" max="38" width="22.42578125" customWidth="1"/>
  </cols>
  <sheetData>
    <row r="1" spans="1:40" ht="24" thickBot="1" x14ac:dyDescent="0.4">
      <c r="A1" s="636" t="s">
        <v>124</v>
      </c>
      <c r="B1" s="637"/>
      <c r="C1" s="637"/>
      <c r="D1" s="637"/>
      <c r="E1" s="637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251"/>
    </row>
    <row r="2" spans="1:40" ht="16.5" thickBot="1" x14ac:dyDescent="0.3">
      <c r="A2" s="319" t="s">
        <v>3</v>
      </c>
      <c r="B2" s="328">
        <v>1</v>
      </c>
      <c r="C2" s="328">
        <v>2</v>
      </c>
      <c r="D2" s="328">
        <v>3</v>
      </c>
      <c r="E2" s="328">
        <v>4</v>
      </c>
      <c r="F2" s="328">
        <v>5</v>
      </c>
      <c r="G2" s="328">
        <v>6</v>
      </c>
      <c r="H2" s="328">
        <v>7</v>
      </c>
      <c r="I2" s="329" t="s">
        <v>338</v>
      </c>
      <c r="J2" s="328">
        <v>8</v>
      </c>
      <c r="K2" s="328">
        <v>9</v>
      </c>
      <c r="L2" s="328">
        <v>10</v>
      </c>
      <c r="M2" s="328">
        <v>11</v>
      </c>
      <c r="N2" s="328">
        <v>12</v>
      </c>
      <c r="O2" s="328">
        <v>13</v>
      </c>
      <c r="P2" s="328">
        <v>14</v>
      </c>
      <c r="Q2" s="329" t="s">
        <v>338</v>
      </c>
      <c r="R2" s="328">
        <v>15</v>
      </c>
      <c r="S2" s="328">
        <v>16</v>
      </c>
      <c r="T2" s="328">
        <v>17</v>
      </c>
      <c r="U2" s="328">
        <v>18</v>
      </c>
      <c r="V2" s="328">
        <v>19</v>
      </c>
      <c r="W2" s="328">
        <v>20</v>
      </c>
      <c r="X2" s="328">
        <v>21</v>
      </c>
      <c r="Y2" s="329" t="s">
        <v>338</v>
      </c>
      <c r="Z2" s="328">
        <v>22</v>
      </c>
      <c r="AA2" s="328">
        <v>23</v>
      </c>
      <c r="AB2" s="328">
        <v>24</v>
      </c>
      <c r="AC2" s="328">
        <v>25</v>
      </c>
      <c r="AD2" s="328">
        <v>26</v>
      </c>
      <c r="AE2" s="328">
        <v>27</v>
      </c>
      <c r="AF2" s="328">
        <v>28</v>
      </c>
      <c r="AG2" s="328">
        <v>29</v>
      </c>
      <c r="AH2" s="328">
        <v>30</v>
      </c>
      <c r="AI2" s="328">
        <v>31</v>
      </c>
      <c r="AJ2" s="329" t="s">
        <v>338</v>
      </c>
      <c r="AK2" s="730" t="s">
        <v>377</v>
      </c>
      <c r="AL2" s="731" t="s">
        <v>42</v>
      </c>
    </row>
    <row r="3" spans="1:40" x14ac:dyDescent="0.25">
      <c r="A3" s="61">
        <v>1</v>
      </c>
      <c r="B3" s="639">
        <v>350</v>
      </c>
      <c r="C3" s="639">
        <v>350</v>
      </c>
      <c r="D3" s="639">
        <v>350</v>
      </c>
      <c r="E3" s="639">
        <v>349</v>
      </c>
      <c r="F3" s="639">
        <v>398</v>
      </c>
      <c r="G3" s="639">
        <v>350</v>
      </c>
      <c r="H3" s="639">
        <v>350</v>
      </c>
      <c r="I3" s="640"/>
      <c r="J3" s="639">
        <v>350</v>
      </c>
      <c r="K3" s="639">
        <v>350</v>
      </c>
      <c r="L3" s="639">
        <v>349</v>
      </c>
      <c r="M3" s="639">
        <v>330</v>
      </c>
      <c r="N3" s="639">
        <v>350</v>
      </c>
      <c r="O3" s="639">
        <v>324</v>
      </c>
      <c r="P3" s="639">
        <v>200</v>
      </c>
      <c r="Q3" s="641"/>
      <c r="R3" s="639">
        <v>300</v>
      </c>
      <c r="S3" s="639">
        <v>313</v>
      </c>
      <c r="T3" s="639">
        <v>298</v>
      </c>
      <c r="U3" s="639">
        <v>350</v>
      </c>
      <c r="V3" s="639">
        <v>346</v>
      </c>
      <c r="W3" s="639">
        <v>350</v>
      </c>
      <c r="X3" s="639"/>
      <c r="Y3" s="304"/>
      <c r="Z3" s="639">
        <v>300</v>
      </c>
      <c r="AA3" s="639">
        <v>151</v>
      </c>
      <c r="AB3" s="639">
        <v>300</v>
      </c>
      <c r="AC3" s="639">
        <v>300</v>
      </c>
      <c r="AD3" s="639">
        <v>349</v>
      </c>
      <c r="AE3" s="639">
        <v>300</v>
      </c>
      <c r="AF3" s="639">
        <v>300</v>
      </c>
      <c r="AG3" s="639">
        <v>350</v>
      </c>
      <c r="AH3" s="639">
        <v>265</v>
      </c>
      <c r="AI3" s="639">
        <v>350</v>
      </c>
      <c r="AJ3" s="304"/>
      <c r="AK3" s="634"/>
      <c r="AL3" s="729"/>
      <c r="AN3" s="165"/>
    </row>
    <row r="4" spans="1:40" x14ac:dyDescent="0.25">
      <c r="A4" s="11">
        <v>2</v>
      </c>
      <c r="B4" s="106">
        <v>349</v>
      </c>
      <c r="C4" s="106">
        <v>350</v>
      </c>
      <c r="D4" s="106">
        <v>350</v>
      </c>
      <c r="E4" s="106">
        <v>349</v>
      </c>
      <c r="F4" s="106">
        <v>350</v>
      </c>
      <c r="G4" s="106">
        <v>350</v>
      </c>
      <c r="H4" s="106">
        <v>341</v>
      </c>
      <c r="I4" s="37"/>
      <c r="J4" s="106">
        <v>350</v>
      </c>
      <c r="K4" s="106">
        <v>350</v>
      </c>
      <c r="L4" s="106">
        <v>350</v>
      </c>
      <c r="M4" s="106">
        <v>350</v>
      </c>
      <c r="N4" s="106">
        <v>349</v>
      </c>
      <c r="O4" s="106">
        <v>350</v>
      </c>
      <c r="P4" s="106">
        <v>350</v>
      </c>
      <c r="Q4" s="37"/>
      <c r="R4" s="106">
        <v>350</v>
      </c>
      <c r="S4" s="106">
        <v>300</v>
      </c>
      <c r="T4" s="106">
        <v>300</v>
      </c>
      <c r="U4" s="106">
        <v>350</v>
      </c>
      <c r="V4" s="106">
        <v>300</v>
      </c>
      <c r="W4" s="106">
        <v>350</v>
      </c>
      <c r="X4" s="106"/>
      <c r="Y4" s="37"/>
      <c r="Z4" s="106">
        <v>300</v>
      </c>
      <c r="AA4" s="106">
        <v>350</v>
      </c>
      <c r="AB4" s="106">
        <v>350</v>
      </c>
      <c r="AC4" s="106">
        <v>350</v>
      </c>
      <c r="AD4" s="106">
        <v>350</v>
      </c>
      <c r="AE4" s="106">
        <v>350</v>
      </c>
      <c r="AF4" s="106">
        <v>350</v>
      </c>
      <c r="AG4" s="106">
        <v>150</v>
      </c>
      <c r="AH4" s="106" t="s">
        <v>289</v>
      </c>
      <c r="AI4" s="106">
        <v>351</v>
      </c>
      <c r="AJ4" s="37"/>
      <c r="AK4" s="38"/>
      <c r="AL4" s="154" t="s">
        <v>379</v>
      </c>
      <c r="AN4" s="165"/>
    </row>
    <row r="5" spans="1:40" x14ac:dyDescent="0.25">
      <c r="A5" s="11">
        <v>3</v>
      </c>
      <c r="B5" s="106">
        <v>348</v>
      </c>
      <c r="C5" s="106">
        <v>349</v>
      </c>
      <c r="D5" s="106">
        <v>350</v>
      </c>
      <c r="E5" s="106">
        <v>350</v>
      </c>
      <c r="F5" s="106">
        <v>350</v>
      </c>
      <c r="G5" s="106">
        <v>350</v>
      </c>
      <c r="H5" s="106" t="s">
        <v>289</v>
      </c>
      <c r="I5" s="37"/>
      <c r="J5" s="106">
        <v>350</v>
      </c>
      <c r="K5" s="106">
        <v>350</v>
      </c>
      <c r="L5" s="106">
        <v>350</v>
      </c>
      <c r="M5" s="106">
        <v>350</v>
      </c>
      <c r="N5" s="106">
        <v>350</v>
      </c>
      <c r="O5" s="106">
        <v>350</v>
      </c>
      <c r="P5" s="106">
        <v>350</v>
      </c>
      <c r="Q5" s="37"/>
      <c r="R5" s="106">
        <v>350</v>
      </c>
      <c r="S5" s="106">
        <v>350</v>
      </c>
      <c r="T5" s="106">
        <v>350</v>
      </c>
      <c r="U5" s="106">
        <v>350</v>
      </c>
      <c r="V5" s="106">
        <v>201</v>
      </c>
      <c r="W5" s="106">
        <v>350</v>
      </c>
      <c r="X5" s="106"/>
      <c r="Y5" s="37"/>
      <c r="Z5" s="106" t="s">
        <v>289</v>
      </c>
      <c r="AA5" s="106" t="s">
        <v>289</v>
      </c>
      <c r="AB5" s="106" t="s">
        <v>289</v>
      </c>
      <c r="AC5" s="106" t="s">
        <v>289</v>
      </c>
      <c r="AD5" s="106" t="s">
        <v>289</v>
      </c>
      <c r="AE5" s="106" t="s">
        <v>289</v>
      </c>
      <c r="AF5" s="106" t="s">
        <v>289</v>
      </c>
      <c r="AG5" s="106" t="s">
        <v>289</v>
      </c>
      <c r="AH5" s="106" t="s">
        <v>289</v>
      </c>
      <c r="AI5" s="106" t="s">
        <v>289</v>
      </c>
      <c r="AJ5" s="37"/>
      <c r="AK5" s="38"/>
      <c r="AL5" s="176" t="s">
        <v>380</v>
      </c>
      <c r="AN5" s="165"/>
    </row>
    <row r="6" spans="1:40" x14ac:dyDescent="0.25">
      <c r="A6" s="11">
        <v>4</v>
      </c>
      <c r="B6" s="106">
        <v>350</v>
      </c>
      <c r="C6" s="106">
        <v>350</v>
      </c>
      <c r="D6" s="106">
        <v>350</v>
      </c>
      <c r="E6" s="106">
        <v>350</v>
      </c>
      <c r="F6" s="106">
        <v>350</v>
      </c>
      <c r="G6" s="106">
        <v>350</v>
      </c>
      <c r="H6" s="106">
        <v>350</v>
      </c>
      <c r="I6" s="37"/>
      <c r="J6" s="106">
        <v>350</v>
      </c>
      <c r="K6" s="106">
        <v>350</v>
      </c>
      <c r="L6" s="106">
        <v>350</v>
      </c>
      <c r="M6" s="106">
        <v>349</v>
      </c>
      <c r="N6" s="106">
        <v>349</v>
      </c>
      <c r="O6" s="106">
        <v>350</v>
      </c>
      <c r="P6" s="106">
        <v>350</v>
      </c>
      <c r="Q6" s="37"/>
      <c r="R6" s="106">
        <v>350</v>
      </c>
      <c r="S6" s="106">
        <v>349</v>
      </c>
      <c r="T6" s="106">
        <v>349</v>
      </c>
      <c r="U6" s="106">
        <v>350</v>
      </c>
      <c r="V6" s="106">
        <v>350</v>
      </c>
      <c r="W6" s="106">
        <v>350</v>
      </c>
      <c r="X6" s="106"/>
      <c r="Y6" s="37"/>
      <c r="Z6" s="106">
        <v>351</v>
      </c>
      <c r="AA6" s="106">
        <v>349</v>
      </c>
      <c r="AB6" s="106">
        <v>349</v>
      </c>
      <c r="AC6" s="106">
        <v>350</v>
      </c>
      <c r="AD6" s="106">
        <v>349</v>
      </c>
      <c r="AE6" s="106">
        <v>111</v>
      </c>
      <c r="AF6" s="106">
        <v>350</v>
      </c>
      <c r="AG6" s="106">
        <v>350</v>
      </c>
      <c r="AH6" s="106" t="s">
        <v>289</v>
      </c>
      <c r="AI6" s="106">
        <v>351</v>
      </c>
      <c r="AJ6" s="37"/>
      <c r="AK6" s="38"/>
      <c r="AL6" s="176"/>
      <c r="AN6" s="165"/>
    </row>
    <row r="7" spans="1:40" x14ac:dyDescent="0.25">
      <c r="A7" s="11">
        <v>5</v>
      </c>
      <c r="B7" s="106" t="s">
        <v>289</v>
      </c>
      <c r="C7" s="106" t="s">
        <v>289</v>
      </c>
      <c r="D7" s="106" t="s">
        <v>289</v>
      </c>
      <c r="E7" s="106" t="s">
        <v>289</v>
      </c>
      <c r="F7" s="106" t="s">
        <v>289</v>
      </c>
      <c r="G7" s="106" t="s">
        <v>289</v>
      </c>
      <c r="H7" s="106" t="s">
        <v>289</v>
      </c>
      <c r="I7" s="37"/>
      <c r="J7" s="106" t="s">
        <v>289</v>
      </c>
      <c r="K7" s="106" t="s">
        <v>289</v>
      </c>
      <c r="L7" s="106" t="s">
        <v>289</v>
      </c>
      <c r="M7" s="106" t="s">
        <v>289</v>
      </c>
      <c r="N7" s="106" t="s">
        <v>289</v>
      </c>
      <c r="O7" s="106" t="s">
        <v>289</v>
      </c>
      <c r="P7" s="106" t="s">
        <v>289</v>
      </c>
      <c r="Q7" s="37"/>
      <c r="R7" s="106" t="s">
        <v>289</v>
      </c>
      <c r="S7" s="106" t="s">
        <v>289</v>
      </c>
      <c r="T7" s="106" t="s">
        <v>289</v>
      </c>
      <c r="U7" s="106" t="s">
        <v>289</v>
      </c>
      <c r="V7" s="106" t="s">
        <v>289</v>
      </c>
      <c r="W7" s="106" t="s">
        <v>289</v>
      </c>
      <c r="X7" s="106"/>
      <c r="Y7" s="37"/>
      <c r="Z7" s="106" t="s">
        <v>289</v>
      </c>
      <c r="AA7" s="106" t="s">
        <v>289</v>
      </c>
      <c r="AB7" s="106" t="s">
        <v>289</v>
      </c>
      <c r="AC7" s="106" t="s">
        <v>289</v>
      </c>
      <c r="AD7" s="106" t="s">
        <v>289</v>
      </c>
      <c r="AE7" s="106" t="s">
        <v>289</v>
      </c>
      <c r="AF7" s="106" t="s">
        <v>289</v>
      </c>
      <c r="AG7" s="106" t="s">
        <v>289</v>
      </c>
      <c r="AH7" s="106" t="s">
        <v>289</v>
      </c>
      <c r="AI7" s="106" t="s">
        <v>289</v>
      </c>
      <c r="AJ7" s="37"/>
      <c r="AK7" s="38"/>
      <c r="AL7" s="176" t="s">
        <v>381</v>
      </c>
      <c r="AN7" s="165"/>
    </row>
    <row r="8" spans="1:40" x14ac:dyDescent="0.25">
      <c r="A8" s="11">
        <v>6</v>
      </c>
      <c r="B8" s="106">
        <v>350</v>
      </c>
      <c r="C8" s="106">
        <v>350</v>
      </c>
      <c r="D8" s="106">
        <v>349</v>
      </c>
      <c r="E8" s="106">
        <v>343</v>
      </c>
      <c r="F8" s="106">
        <v>350</v>
      </c>
      <c r="G8" s="106">
        <v>349</v>
      </c>
      <c r="H8" s="106">
        <v>250</v>
      </c>
      <c r="I8" s="37"/>
      <c r="J8" s="106">
        <v>350</v>
      </c>
      <c r="K8" s="106">
        <v>350</v>
      </c>
      <c r="L8" s="106">
        <v>349</v>
      </c>
      <c r="M8" s="106">
        <v>349</v>
      </c>
      <c r="N8" s="106">
        <v>350</v>
      </c>
      <c r="O8" s="106">
        <v>350</v>
      </c>
      <c r="P8" s="106">
        <v>350</v>
      </c>
      <c r="Q8" s="37"/>
      <c r="R8" s="106">
        <v>350</v>
      </c>
      <c r="S8" s="106">
        <v>349</v>
      </c>
      <c r="T8" s="106">
        <v>349</v>
      </c>
      <c r="U8" s="106">
        <v>350</v>
      </c>
      <c r="V8" s="106">
        <v>300</v>
      </c>
      <c r="W8" s="106">
        <v>350</v>
      </c>
      <c r="X8" s="106"/>
      <c r="Y8" s="37"/>
      <c r="Z8" s="106">
        <v>350</v>
      </c>
      <c r="AA8" s="106">
        <v>200</v>
      </c>
      <c r="AB8" s="106">
        <v>200</v>
      </c>
      <c r="AC8" s="106">
        <v>300</v>
      </c>
      <c r="AD8" s="106" t="s">
        <v>289</v>
      </c>
      <c r="AE8" s="106">
        <v>150</v>
      </c>
      <c r="AF8" s="106" t="s">
        <v>289</v>
      </c>
      <c r="AG8" s="106" t="s">
        <v>289</v>
      </c>
      <c r="AH8" s="106" t="s">
        <v>289</v>
      </c>
      <c r="AI8" s="106">
        <v>120</v>
      </c>
      <c r="AJ8" s="37"/>
      <c r="AK8" s="38"/>
      <c r="AL8" s="176" t="s">
        <v>382</v>
      </c>
      <c r="AN8" s="165"/>
    </row>
    <row r="9" spans="1:40" x14ac:dyDescent="0.25">
      <c r="A9" s="11">
        <v>7</v>
      </c>
      <c r="B9" s="703" t="s">
        <v>290</v>
      </c>
      <c r="C9" s="703" t="s">
        <v>290</v>
      </c>
      <c r="D9" s="703" t="s">
        <v>290</v>
      </c>
      <c r="E9" s="703" t="s">
        <v>290</v>
      </c>
      <c r="F9" s="703" t="s">
        <v>290</v>
      </c>
      <c r="G9" s="703" t="s">
        <v>290</v>
      </c>
      <c r="H9" s="703" t="s">
        <v>290</v>
      </c>
      <c r="I9" s="111"/>
      <c r="J9" s="703" t="s">
        <v>290</v>
      </c>
      <c r="K9" s="703" t="s">
        <v>290</v>
      </c>
      <c r="L9" s="703" t="s">
        <v>290</v>
      </c>
      <c r="M9" s="703" t="s">
        <v>290</v>
      </c>
      <c r="N9" s="703" t="s">
        <v>290</v>
      </c>
      <c r="O9" s="703" t="s">
        <v>290</v>
      </c>
      <c r="P9" s="703" t="s">
        <v>290</v>
      </c>
      <c r="Q9" s="111"/>
      <c r="R9" s="546" t="s">
        <v>290</v>
      </c>
      <c r="S9" s="546" t="s">
        <v>290</v>
      </c>
      <c r="T9" s="546" t="s">
        <v>290</v>
      </c>
      <c r="U9" s="546" t="s">
        <v>290</v>
      </c>
      <c r="V9" s="546" t="s">
        <v>290</v>
      </c>
      <c r="W9" s="546" t="s">
        <v>290</v>
      </c>
      <c r="X9" s="546"/>
      <c r="Y9" s="111"/>
      <c r="Z9" s="546" t="s">
        <v>290</v>
      </c>
      <c r="AA9" s="546" t="s">
        <v>290</v>
      </c>
      <c r="AB9" s="546" t="s">
        <v>290</v>
      </c>
      <c r="AC9" s="546" t="s">
        <v>290</v>
      </c>
      <c r="AD9" s="546" t="s">
        <v>290</v>
      </c>
      <c r="AE9" s="546" t="s">
        <v>290</v>
      </c>
      <c r="AF9" s="546" t="s">
        <v>290</v>
      </c>
      <c r="AG9" s="546" t="s">
        <v>290</v>
      </c>
      <c r="AH9" s="546" t="s">
        <v>290</v>
      </c>
      <c r="AI9" s="546" t="s">
        <v>290</v>
      </c>
      <c r="AJ9" s="111"/>
      <c r="AK9" s="38"/>
      <c r="AL9" s="197"/>
      <c r="AN9" s="165"/>
    </row>
    <row r="10" spans="1:40" x14ac:dyDescent="0.25">
      <c r="A10" s="11">
        <v>8</v>
      </c>
      <c r="B10" s="106">
        <v>400</v>
      </c>
      <c r="C10" s="106">
        <v>399</v>
      </c>
      <c r="D10" s="106">
        <v>400</v>
      </c>
      <c r="E10" s="106">
        <v>400</v>
      </c>
      <c r="F10" s="106">
        <v>401</v>
      </c>
      <c r="G10" s="106">
        <v>350</v>
      </c>
      <c r="H10" s="106">
        <v>400</v>
      </c>
      <c r="I10" s="37"/>
      <c r="J10" s="106">
        <v>401</v>
      </c>
      <c r="K10" s="106">
        <v>400</v>
      </c>
      <c r="L10" s="106">
        <v>400</v>
      </c>
      <c r="M10" s="106">
        <v>400</v>
      </c>
      <c r="N10" s="106">
        <v>400</v>
      </c>
      <c r="O10" s="106">
        <v>350</v>
      </c>
      <c r="P10" s="106">
        <v>401</v>
      </c>
      <c r="Q10" s="37"/>
      <c r="R10" s="106">
        <v>401</v>
      </c>
      <c r="S10" s="106">
        <v>350</v>
      </c>
      <c r="T10" s="106">
        <v>400</v>
      </c>
      <c r="U10" s="106">
        <v>400</v>
      </c>
      <c r="V10" s="106">
        <v>326</v>
      </c>
      <c r="W10" s="106">
        <v>355</v>
      </c>
      <c r="X10" s="106"/>
      <c r="Y10" s="37"/>
      <c r="Z10" s="106">
        <v>400</v>
      </c>
      <c r="AA10" s="106">
        <v>300</v>
      </c>
      <c r="AB10" s="106">
        <v>400</v>
      </c>
      <c r="AC10" s="106">
        <v>339</v>
      </c>
      <c r="AD10" s="106">
        <v>370</v>
      </c>
      <c r="AE10" s="106">
        <v>399</v>
      </c>
      <c r="AF10" s="106">
        <v>250</v>
      </c>
      <c r="AG10" s="106">
        <v>350</v>
      </c>
      <c r="AH10" s="106" t="s">
        <v>289</v>
      </c>
      <c r="AI10" s="106" t="s">
        <v>289</v>
      </c>
      <c r="AJ10" s="37"/>
      <c r="AK10" s="38"/>
      <c r="AL10" s="176" t="s">
        <v>383</v>
      </c>
      <c r="AN10" s="165"/>
    </row>
    <row r="11" spans="1:40" x14ac:dyDescent="0.25">
      <c r="A11" s="11">
        <v>9</v>
      </c>
      <c r="B11" s="106" t="s">
        <v>289</v>
      </c>
      <c r="C11" s="106" t="s">
        <v>289</v>
      </c>
      <c r="D11" s="106" t="s">
        <v>289</v>
      </c>
      <c r="E11" s="106" t="s">
        <v>289</v>
      </c>
      <c r="F11" s="106" t="s">
        <v>289</v>
      </c>
      <c r="G11" s="106" t="s">
        <v>289</v>
      </c>
      <c r="H11" s="106" t="s">
        <v>289</v>
      </c>
      <c r="I11" s="37"/>
      <c r="J11" s="106" t="s">
        <v>289</v>
      </c>
      <c r="K11" s="106" t="s">
        <v>289</v>
      </c>
      <c r="L11" s="106" t="s">
        <v>289</v>
      </c>
      <c r="M11" s="106" t="s">
        <v>289</v>
      </c>
      <c r="N11" s="106" t="s">
        <v>289</v>
      </c>
      <c r="O11" s="106" t="s">
        <v>289</v>
      </c>
      <c r="P11" s="106" t="s">
        <v>289</v>
      </c>
      <c r="Q11" s="37"/>
      <c r="R11" s="106" t="s">
        <v>289</v>
      </c>
      <c r="S11" s="106" t="s">
        <v>289</v>
      </c>
      <c r="T11" s="106" t="s">
        <v>289</v>
      </c>
      <c r="U11" s="106" t="s">
        <v>289</v>
      </c>
      <c r="V11" s="106" t="s">
        <v>289</v>
      </c>
      <c r="W11" s="106" t="s">
        <v>289</v>
      </c>
      <c r="X11" s="106"/>
      <c r="Y11" s="37"/>
      <c r="Z11" s="106" t="s">
        <v>289</v>
      </c>
      <c r="AA11" s="106" t="s">
        <v>289</v>
      </c>
      <c r="AB11" s="106" t="s">
        <v>289</v>
      </c>
      <c r="AC11" s="106" t="s">
        <v>289</v>
      </c>
      <c r="AD11" s="106" t="s">
        <v>289</v>
      </c>
      <c r="AE11" s="106" t="s">
        <v>289</v>
      </c>
      <c r="AF11" s="106" t="s">
        <v>289</v>
      </c>
      <c r="AG11" s="106" t="s">
        <v>289</v>
      </c>
      <c r="AH11" s="106" t="s">
        <v>289</v>
      </c>
      <c r="AI11" s="106" t="s">
        <v>289</v>
      </c>
      <c r="AJ11" s="37"/>
      <c r="AK11" s="38"/>
      <c r="AL11" s="176" t="s">
        <v>387</v>
      </c>
      <c r="AN11" s="165"/>
    </row>
    <row r="12" spans="1:40" x14ac:dyDescent="0.25">
      <c r="A12" s="11">
        <v>10</v>
      </c>
      <c r="B12" s="106">
        <v>399</v>
      </c>
      <c r="C12" s="106">
        <v>399</v>
      </c>
      <c r="D12" s="106">
        <v>399</v>
      </c>
      <c r="E12" s="106">
        <v>400</v>
      </c>
      <c r="F12" s="106">
        <v>400</v>
      </c>
      <c r="G12" s="106">
        <v>400</v>
      </c>
      <c r="H12" s="106">
        <v>399</v>
      </c>
      <c r="I12" s="37"/>
      <c r="J12" s="106">
        <v>399</v>
      </c>
      <c r="K12" s="106">
        <v>400</v>
      </c>
      <c r="L12" s="106">
        <v>350</v>
      </c>
      <c r="M12" s="106">
        <v>399</v>
      </c>
      <c r="N12" s="106">
        <v>401</v>
      </c>
      <c r="O12" s="106">
        <v>399</v>
      </c>
      <c r="P12" s="106">
        <v>400</v>
      </c>
      <c r="Q12" s="37"/>
      <c r="R12" s="106">
        <v>400</v>
      </c>
      <c r="S12" s="106">
        <v>400</v>
      </c>
      <c r="T12" s="106">
        <v>400</v>
      </c>
      <c r="U12" s="106">
        <v>400</v>
      </c>
      <c r="V12" s="106">
        <v>400</v>
      </c>
      <c r="W12" s="106">
        <v>400</v>
      </c>
      <c r="X12" s="106"/>
      <c r="Y12" s="37"/>
      <c r="Z12" s="106">
        <v>249</v>
      </c>
      <c r="AA12" s="106" t="s">
        <v>289</v>
      </c>
      <c r="AB12" s="106" t="s">
        <v>289</v>
      </c>
      <c r="AC12" s="106" t="s">
        <v>289</v>
      </c>
      <c r="AD12" s="106">
        <v>150</v>
      </c>
      <c r="AE12" s="106">
        <v>299</v>
      </c>
      <c r="AF12" s="106">
        <v>350</v>
      </c>
      <c r="AG12" s="106">
        <v>250</v>
      </c>
      <c r="AH12" s="106" t="s">
        <v>289</v>
      </c>
      <c r="AI12" s="106">
        <v>149</v>
      </c>
      <c r="AJ12" s="37"/>
      <c r="AK12" s="38"/>
      <c r="AL12" s="176"/>
      <c r="AN12" s="165"/>
    </row>
    <row r="13" spans="1:40" x14ac:dyDescent="0.25">
      <c r="A13" s="11">
        <v>11</v>
      </c>
      <c r="B13" s="106">
        <v>400</v>
      </c>
      <c r="C13" s="106">
        <v>400</v>
      </c>
      <c r="D13" s="106">
        <v>400</v>
      </c>
      <c r="E13" s="106">
        <v>400</v>
      </c>
      <c r="F13" s="106">
        <v>400</v>
      </c>
      <c r="G13" s="106">
        <v>400</v>
      </c>
      <c r="H13" s="106">
        <v>400</v>
      </c>
      <c r="I13" s="37"/>
      <c r="J13" s="106">
        <v>400</v>
      </c>
      <c r="K13" s="106">
        <v>400</v>
      </c>
      <c r="L13" s="106">
        <v>400</v>
      </c>
      <c r="M13" s="106">
        <v>400</v>
      </c>
      <c r="N13" s="106">
        <v>400</v>
      </c>
      <c r="O13" s="106">
        <v>400</v>
      </c>
      <c r="P13" s="106">
        <v>400</v>
      </c>
      <c r="Q13" s="37"/>
      <c r="R13" s="106">
        <v>400</v>
      </c>
      <c r="S13" s="106">
        <v>401</v>
      </c>
      <c r="T13" s="106">
        <v>399</v>
      </c>
      <c r="U13" s="106">
        <v>401</v>
      </c>
      <c r="V13" s="106">
        <v>400</v>
      </c>
      <c r="W13" s="106">
        <v>400</v>
      </c>
      <c r="X13" s="106"/>
      <c r="Y13" s="37"/>
      <c r="Z13" s="106">
        <v>400</v>
      </c>
      <c r="AA13" s="106">
        <v>400</v>
      </c>
      <c r="AB13" s="106">
        <v>380</v>
      </c>
      <c r="AC13" s="106" t="s">
        <v>289</v>
      </c>
      <c r="AD13" s="106">
        <v>150</v>
      </c>
      <c r="AE13" s="106">
        <v>400</v>
      </c>
      <c r="AF13" s="106">
        <v>400</v>
      </c>
      <c r="AG13" s="106">
        <v>400</v>
      </c>
      <c r="AH13" s="106">
        <v>400</v>
      </c>
      <c r="AI13" s="106">
        <v>319</v>
      </c>
      <c r="AJ13" s="37"/>
      <c r="AK13" s="38"/>
      <c r="AL13" s="176" t="s">
        <v>384</v>
      </c>
      <c r="AN13" s="165"/>
    </row>
    <row r="14" spans="1:40" x14ac:dyDescent="0.25">
      <c r="A14" s="11">
        <v>12</v>
      </c>
      <c r="B14" s="106" t="s">
        <v>289</v>
      </c>
      <c r="C14" s="106" t="s">
        <v>289</v>
      </c>
      <c r="D14" s="106" t="s">
        <v>289</v>
      </c>
      <c r="E14" s="106" t="s">
        <v>289</v>
      </c>
      <c r="F14" s="106" t="s">
        <v>289</v>
      </c>
      <c r="G14" s="106" t="s">
        <v>289</v>
      </c>
      <c r="H14" s="106" t="s">
        <v>289</v>
      </c>
      <c r="I14" s="37"/>
      <c r="J14" s="106" t="s">
        <v>289</v>
      </c>
      <c r="K14" s="106" t="s">
        <v>289</v>
      </c>
      <c r="L14" s="106" t="s">
        <v>289</v>
      </c>
      <c r="M14" s="106" t="s">
        <v>289</v>
      </c>
      <c r="N14" s="106" t="s">
        <v>289</v>
      </c>
      <c r="O14" s="106" t="s">
        <v>289</v>
      </c>
      <c r="P14" s="106" t="s">
        <v>289</v>
      </c>
      <c r="Q14" s="37"/>
      <c r="R14" s="106" t="s">
        <v>289</v>
      </c>
      <c r="S14" s="106" t="s">
        <v>289</v>
      </c>
      <c r="T14" s="106" t="s">
        <v>289</v>
      </c>
      <c r="U14" s="106" t="s">
        <v>289</v>
      </c>
      <c r="V14" s="106" t="s">
        <v>289</v>
      </c>
      <c r="W14" s="106" t="s">
        <v>289</v>
      </c>
      <c r="X14" s="106"/>
      <c r="Y14" s="37"/>
      <c r="Z14" s="106" t="s">
        <v>289</v>
      </c>
      <c r="AA14" s="106" t="s">
        <v>289</v>
      </c>
      <c r="AB14" s="106" t="s">
        <v>289</v>
      </c>
      <c r="AC14" s="106" t="s">
        <v>289</v>
      </c>
      <c r="AD14" s="106" t="s">
        <v>289</v>
      </c>
      <c r="AE14" s="106" t="s">
        <v>289</v>
      </c>
      <c r="AF14" s="106" t="s">
        <v>289</v>
      </c>
      <c r="AG14" s="106" t="s">
        <v>289</v>
      </c>
      <c r="AH14" s="106" t="s">
        <v>289</v>
      </c>
      <c r="AI14" s="106" t="s">
        <v>289</v>
      </c>
      <c r="AJ14" s="37"/>
      <c r="AK14" s="38"/>
      <c r="AL14" s="176" t="s">
        <v>385</v>
      </c>
      <c r="AN14" s="165"/>
    </row>
    <row r="15" spans="1:40" x14ac:dyDescent="0.25">
      <c r="A15" s="11">
        <v>13</v>
      </c>
      <c r="B15" s="106">
        <v>400</v>
      </c>
      <c r="C15" s="106">
        <v>400</v>
      </c>
      <c r="D15" s="106">
        <v>400</v>
      </c>
      <c r="E15" s="106">
        <v>401</v>
      </c>
      <c r="F15" s="106">
        <v>401</v>
      </c>
      <c r="G15" s="106">
        <v>400</v>
      </c>
      <c r="H15" s="106">
        <v>400</v>
      </c>
      <c r="I15" s="37"/>
      <c r="J15" s="106">
        <v>400</v>
      </c>
      <c r="K15" s="106">
        <v>399</v>
      </c>
      <c r="L15" s="106">
        <v>406</v>
      </c>
      <c r="M15" s="106">
        <v>400</v>
      </c>
      <c r="N15" s="106">
        <v>400</v>
      </c>
      <c r="O15" s="106">
        <v>400</v>
      </c>
      <c r="P15" s="106">
        <v>400</v>
      </c>
      <c r="Q15" s="37"/>
      <c r="R15" s="106">
        <v>400</v>
      </c>
      <c r="S15" s="106">
        <v>399</v>
      </c>
      <c r="T15" s="106">
        <v>332</v>
      </c>
      <c r="U15" s="106">
        <v>401</v>
      </c>
      <c r="V15" s="106">
        <v>401</v>
      </c>
      <c r="W15" s="106">
        <v>400</v>
      </c>
      <c r="X15" s="106"/>
      <c r="Y15" s="37"/>
      <c r="Z15" s="106">
        <v>369</v>
      </c>
      <c r="AA15" s="106">
        <v>399</v>
      </c>
      <c r="AB15" s="106">
        <v>241</v>
      </c>
      <c r="AC15" s="106">
        <v>223</v>
      </c>
      <c r="AD15" s="106">
        <v>17</v>
      </c>
      <c r="AE15" s="106">
        <v>401</v>
      </c>
      <c r="AF15" s="106">
        <v>306</v>
      </c>
      <c r="AG15" s="106">
        <v>400</v>
      </c>
      <c r="AH15" s="106">
        <v>203</v>
      </c>
      <c r="AI15" s="106">
        <v>379</v>
      </c>
      <c r="AJ15" s="37"/>
      <c r="AK15" s="38"/>
      <c r="AL15" s="176" t="s">
        <v>386</v>
      </c>
      <c r="AN15" s="165"/>
    </row>
    <row r="16" spans="1:40" x14ac:dyDescent="0.25">
      <c r="A16" s="11">
        <v>14</v>
      </c>
      <c r="B16" s="106">
        <v>399</v>
      </c>
      <c r="C16" s="106">
        <v>400</v>
      </c>
      <c r="D16" s="106">
        <v>402</v>
      </c>
      <c r="E16" s="106">
        <v>401</v>
      </c>
      <c r="F16" s="106">
        <v>400</v>
      </c>
      <c r="G16" s="106">
        <v>400</v>
      </c>
      <c r="H16" s="106">
        <v>400</v>
      </c>
      <c r="I16" s="37"/>
      <c r="J16" s="106">
        <v>400</v>
      </c>
      <c r="K16" s="106">
        <v>400</v>
      </c>
      <c r="L16" s="106">
        <v>400</v>
      </c>
      <c r="M16" s="106">
        <v>400</v>
      </c>
      <c r="N16" s="106">
        <v>400</v>
      </c>
      <c r="O16" s="106">
        <v>400</v>
      </c>
      <c r="P16" s="106">
        <v>400</v>
      </c>
      <c r="Q16" s="37"/>
      <c r="R16" s="106">
        <v>400</v>
      </c>
      <c r="S16" s="106">
        <v>400</v>
      </c>
      <c r="T16" s="106">
        <v>400</v>
      </c>
      <c r="U16" s="106">
        <v>400</v>
      </c>
      <c r="V16" s="106">
        <v>400</v>
      </c>
      <c r="W16" s="106">
        <v>399</v>
      </c>
      <c r="X16" s="106"/>
      <c r="Y16" s="37"/>
      <c r="Z16" s="106">
        <v>350</v>
      </c>
      <c r="AA16" s="106" t="s">
        <v>289</v>
      </c>
      <c r="AB16" s="106" t="s">
        <v>289</v>
      </c>
      <c r="AC16" s="106" t="s">
        <v>289</v>
      </c>
      <c r="AD16" s="106">
        <v>149</v>
      </c>
      <c r="AE16" s="106" t="s">
        <v>289</v>
      </c>
      <c r="AF16" s="106">
        <v>252</v>
      </c>
      <c r="AG16" s="106">
        <v>350</v>
      </c>
      <c r="AH16" s="106">
        <v>150</v>
      </c>
      <c r="AI16" s="106">
        <v>300</v>
      </c>
      <c r="AJ16" s="37"/>
      <c r="AK16" s="38"/>
      <c r="AL16" s="197"/>
      <c r="AN16" s="165"/>
    </row>
    <row r="17" spans="1:40" x14ac:dyDescent="0.25">
      <c r="A17" s="11">
        <v>15</v>
      </c>
      <c r="B17" s="106">
        <v>400</v>
      </c>
      <c r="C17" s="106">
        <v>349</v>
      </c>
      <c r="D17" s="106">
        <v>400</v>
      </c>
      <c r="E17" s="106">
        <v>400</v>
      </c>
      <c r="F17" s="106">
        <v>400</v>
      </c>
      <c r="G17" s="106">
        <v>400</v>
      </c>
      <c r="H17" s="106">
        <v>400</v>
      </c>
      <c r="I17" s="37"/>
      <c r="J17" s="106">
        <v>400</v>
      </c>
      <c r="K17" s="106">
        <v>401</v>
      </c>
      <c r="L17" s="106">
        <v>400</v>
      </c>
      <c r="M17" s="106">
        <v>400</v>
      </c>
      <c r="N17" s="106">
        <v>400</v>
      </c>
      <c r="O17" s="106">
        <v>400</v>
      </c>
      <c r="P17" s="106">
        <v>400</v>
      </c>
      <c r="Q17" s="37"/>
      <c r="R17" s="106">
        <v>400</v>
      </c>
      <c r="S17" s="106">
        <v>399</v>
      </c>
      <c r="T17" s="106">
        <v>400</v>
      </c>
      <c r="U17" s="106">
        <v>400</v>
      </c>
      <c r="V17" s="106">
        <v>401</v>
      </c>
      <c r="W17" s="106">
        <v>385</v>
      </c>
      <c r="X17" s="106"/>
      <c r="Y17" s="37"/>
      <c r="Z17" s="106">
        <v>349</v>
      </c>
      <c r="AA17" s="106">
        <v>365</v>
      </c>
      <c r="AB17" s="106">
        <v>324</v>
      </c>
      <c r="AC17" s="106">
        <v>399</v>
      </c>
      <c r="AD17" s="106">
        <v>204</v>
      </c>
      <c r="AE17" s="106">
        <v>309</v>
      </c>
      <c r="AF17" s="106">
        <v>324</v>
      </c>
      <c r="AG17" s="106">
        <v>369</v>
      </c>
      <c r="AH17" s="106">
        <v>339</v>
      </c>
      <c r="AI17" s="106">
        <v>400</v>
      </c>
      <c r="AJ17" s="37"/>
      <c r="AK17" s="38"/>
      <c r="AL17" s="197"/>
      <c r="AN17" s="165"/>
    </row>
    <row r="18" spans="1:40" x14ac:dyDescent="0.25">
      <c r="A18" s="11">
        <v>16</v>
      </c>
      <c r="B18" s="109" t="s">
        <v>291</v>
      </c>
      <c r="C18" s="109" t="s">
        <v>291</v>
      </c>
      <c r="D18" s="109" t="s">
        <v>291</v>
      </c>
      <c r="E18" s="109" t="s">
        <v>291</v>
      </c>
      <c r="F18" s="109" t="s">
        <v>291</v>
      </c>
      <c r="G18" s="109" t="s">
        <v>291</v>
      </c>
      <c r="H18" s="109" t="s">
        <v>291</v>
      </c>
      <c r="I18" s="39"/>
      <c r="J18" s="109" t="s">
        <v>291</v>
      </c>
      <c r="K18" s="109" t="s">
        <v>291</v>
      </c>
      <c r="L18" s="109" t="s">
        <v>291</v>
      </c>
      <c r="M18" s="109" t="s">
        <v>291</v>
      </c>
      <c r="N18" s="109" t="s">
        <v>291</v>
      </c>
      <c r="O18" s="109" t="s">
        <v>291</v>
      </c>
      <c r="P18" s="109" t="s">
        <v>291</v>
      </c>
      <c r="Q18" s="39"/>
      <c r="R18" s="109" t="s">
        <v>291</v>
      </c>
      <c r="S18" s="109" t="s">
        <v>291</v>
      </c>
      <c r="T18" s="109" t="s">
        <v>291</v>
      </c>
      <c r="U18" s="109" t="s">
        <v>291</v>
      </c>
      <c r="V18" s="109" t="s">
        <v>291</v>
      </c>
      <c r="W18" s="109" t="s">
        <v>291</v>
      </c>
      <c r="X18" s="109"/>
      <c r="Y18" s="39"/>
      <c r="Z18" s="109" t="s">
        <v>291</v>
      </c>
      <c r="AA18" s="109" t="s">
        <v>291</v>
      </c>
      <c r="AB18" s="109" t="s">
        <v>291</v>
      </c>
      <c r="AC18" s="109" t="s">
        <v>291</v>
      </c>
      <c r="AD18" s="109" t="s">
        <v>291</v>
      </c>
      <c r="AE18" s="109" t="s">
        <v>291</v>
      </c>
      <c r="AF18" s="109" t="s">
        <v>291</v>
      </c>
      <c r="AG18" s="109" t="s">
        <v>291</v>
      </c>
      <c r="AH18" s="109" t="s">
        <v>291</v>
      </c>
      <c r="AI18" s="109" t="s">
        <v>291</v>
      </c>
      <c r="AJ18" s="39" t="s">
        <v>392</v>
      </c>
      <c r="AK18" s="41"/>
      <c r="AL18" s="202"/>
      <c r="AN18" s="165"/>
    </row>
    <row r="19" spans="1:40" x14ac:dyDescent="0.25">
      <c r="A19" s="11">
        <v>17</v>
      </c>
      <c r="B19" s="106">
        <v>400</v>
      </c>
      <c r="C19" s="106">
        <v>400</v>
      </c>
      <c r="D19" s="106">
        <v>400</v>
      </c>
      <c r="E19" s="106">
        <v>399</v>
      </c>
      <c r="F19" s="106">
        <v>400</v>
      </c>
      <c r="G19" s="106">
        <v>400</v>
      </c>
      <c r="H19" s="106">
        <v>399</v>
      </c>
      <c r="I19" s="37"/>
      <c r="J19" s="106">
        <v>395</v>
      </c>
      <c r="K19" s="106">
        <v>350</v>
      </c>
      <c r="L19" s="106">
        <v>400</v>
      </c>
      <c r="M19" s="106">
        <v>400</v>
      </c>
      <c r="N19" s="106">
        <v>400</v>
      </c>
      <c r="O19" s="106">
        <v>399</v>
      </c>
      <c r="P19" s="106">
        <v>400</v>
      </c>
      <c r="Q19" s="37"/>
      <c r="R19" s="106">
        <v>400</v>
      </c>
      <c r="S19" s="106">
        <v>399</v>
      </c>
      <c r="T19" s="106">
        <v>400</v>
      </c>
      <c r="U19" s="106">
        <v>400</v>
      </c>
      <c r="V19" s="106">
        <v>369</v>
      </c>
      <c r="W19" s="106">
        <v>398</v>
      </c>
      <c r="X19" s="106"/>
      <c r="Y19" s="37"/>
      <c r="Z19" s="106">
        <v>350</v>
      </c>
      <c r="AA19" s="106">
        <v>352</v>
      </c>
      <c r="AB19" s="106">
        <v>400</v>
      </c>
      <c r="AC19" s="106">
        <v>400</v>
      </c>
      <c r="AD19" s="106">
        <v>300</v>
      </c>
      <c r="AE19" s="106">
        <v>150</v>
      </c>
      <c r="AF19" s="106" t="s">
        <v>289</v>
      </c>
      <c r="AG19" s="106">
        <v>400</v>
      </c>
      <c r="AH19" s="106">
        <v>400</v>
      </c>
      <c r="AI19" s="106">
        <v>400</v>
      </c>
      <c r="AJ19" s="37"/>
      <c r="AK19" s="38"/>
      <c r="AL19" s="197"/>
      <c r="AN19" s="165"/>
    </row>
    <row r="20" spans="1:40" x14ac:dyDescent="0.25">
      <c r="A20" s="11">
        <v>18</v>
      </c>
      <c r="B20" s="106" t="s">
        <v>289</v>
      </c>
      <c r="C20" s="106" t="s">
        <v>289</v>
      </c>
      <c r="D20" s="106" t="s">
        <v>289</v>
      </c>
      <c r="E20" s="106" t="s">
        <v>289</v>
      </c>
      <c r="F20" s="106" t="s">
        <v>289</v>
      </c>
      <c r="G20" s="106" t="s">
        <v>289</v>
      </c>
      <c r="H20" s="106" t="s">
        <v>289</v>
      </c>
      <c r="I20" s="37"/>
      <c r="J20" s="106" t="s">
        <v>289</v>
      </c>
      <c r="K20" s="106" t="s">
        <v>289</v>
      </c>
      <c r="L20" s="106" t="s">
        <v>289</v>
      </c>
      <c r="M20" s="106" t="s">
        <v>289</v>
      </c>
      <c r="N20" s="106" t="s">
        <v>289</v>
      </c>
      <c r="O20" s="106" t="s">
        <v>289</v>
      </c>
      <c r="P20" s="106" t="s">
        <v>289</v>
      </c>
      <c r="Q20" s="37"/>
      <c r="R20" s="106" t="s">
        <v>289</v>
      </c>
      <c r="S20" s="106" t="s">
        <v>289</v>
      </c>
      <c r="T20" s="106" t="s">
        <v>289</v>
      </c>
      <c r="U20" s="106" t="s">
        <v>289</v>
      </c>
      <c r="V20" s="106" t="s">
        <v>289</v>
      </c>
      <c r="W20" s="106" t="s">
        <v>289</v>
      </c>
      <c r="X20" s="106"/>
      <c r="Y20" s="37"/>
      <c r="Z20" s="106" t="s">
        <v>289</v>
      </c>
      <c r="AA20" s="106" t="s">
        <v>289</v>
      </c>
      <c r="AB20" s="106" t="s">
        <v>289</v>
      </c>
      <c r="AC20" s="106" t="s">
        <v>289</v>
      </c>
      <c r="AD20" s="106" t="s">
        <v>289</v>
      </c>
      <c r="AE20" s="106" t="s">
        <v>289</v>
      </c>
      <c r="AF20" s="106" t="s">
        <v>289</v>
      </c>
      <c r="AG20" s="106" t="s">
        <v>289</v>
      </c>
      <c r="AH20" s="106" t="s">
        <v>289</v>
      </c>
      <c r="AI20" s="106" t="s">
        <v>289</v>
      </c>
      <c r="AJ20" s="37"/>
      <c r="AK20" s="38"/>
      <c r="AL20" s="197"/>
      <c r="AN20" s="165"/>
    </row>
    <row r="21" spans="1:40" x14ac:dyDescent="0.25">
      <c r="A21" s="11">
        <v>19</v>
      </c>
      <c r="B21" s="106" t="s">
        <v>289</v>
      </c>
      <c r="C21" s="106" t="s">
        <v>289</v>
      </c>
      <c r="D21" s="106" t="s">
        <v>289</v>
      </c>
      <c r="E21" s="106" t="s">
        <v>289</v>
      </c>
      <c r="F21" s="106" t="s">
        <v>289</v>
      </c>
      <c r="G21" s="106" t="s">
        <v>289</v>
      </c>
      <c r="H21" s="106" t="s">
        <v>289</v>
      </c>
      <c r="I21" s="37"/>
      <c r="J21" s="106" t="s">
        <v>289</v>
      </c>
      <c r="K21" s="106" t="s">
        <v>289</v>
      </c>
      <c r="L21" s="106" t="s">
        <v>289</v>
      </c>
      <c r="M21" s="106" t="s">
        <v>289</v>
      </c>
      <c r="N21" s="106" t="s">
        <v>289</v>
      </c>
      <c r="O21" s="106" t="s">
        <v>289</v>
      </c>
      <c r="P21" s="106" t="s">
        <v>289</v>
      </c>
      <c r="Q21" s="37"/>
      <c r="R21" s="106" t="s">
        <v>289</v>
      </c>
      <c r="S21" s="106" t="s">
        <v>289</v>
      </c>
      <c r="T21" s="106" t="s">
        <v>289</v>
      </c>
      <c r="U21" s="106" t="s">
        <v>289</v>
      </c>
      <c r="V21" s="106" t="s">
        <v>289</v>
      </c>
      <c r="W21" s="106" t="s">
        <v>289</v>
      </c>
      <c r="X21" s="106"/>
      <c r="Y21" s="37"/>
      <c r="Z21" s="106" t="s">
        <v>289</v>
      </c>
      <c r="AA21" s="106" t="s">
        <v>289</v>
      </c>
      <c r="AB21" s="106" t="s">
        <v>289</v>
      </c>
      <c r="AC21" s="106" t="s">
        <v>289</v>
      </c>
      <c r="AD21" s="106" t="s">
        <v>289</v>
      </c>
      <c r="AE21" s="106" t="s">
        <v>289</v>
      </c>
      <c r="AF21" s="106" t="s">
        <v>289</v>
      </c>
      <c r="AG21" s="106" t="s">
        <v>289</v>
      </c>
      <c r="AH21" s="106" t="s">
        <v>289</v>
      </c>
      <c r="AI21" s="106" t="s">
        <v>289</v>
      </c>
      <c r="AJ21" s="37"/>
      <c r="AK21" s="38"/>
      <c r="AL21" s="197"/>
      <c r="AN21" s="165"/>
    </row>
    <row r="22" spans="1:40" x14ac:dyDescent="0.25">
      <c r="A22" s="11">
        <v>20</v>
      </c>
      <c r="B22" s="106">
        <v>400</v>
      </c>
      <c r="C22" s="106">
        <v>400</v>
      </c>
      <c r="D22" s="106">
        <v>400</v>
      </c>
      <c r="E22" s="106">
        <v>401</v>
      </c>
      <c r="F22" s="106">
        <v>400</v>
      </c>
      <c r="G22" s="106">
        <v>400</v>
      </c>
      <c r="H22" s="106">
        <v>400</v>
      </c>
      <c r="I22" s="37"/>
      <c r="J22" s="106">
        <v>400</v>
      </c>
      <c r="K22" s="106">
        <v>350</v>
      </c>
      <c r="L22" s="106">
        <v>400</v>
      </c>
      <c r="M22" s="106">
        <v>400</v>
      </c>
      <c r="N22" s="106">
        <v>400</v>
      </c>
      <c r="O22" s="106">
        <v>400</v>
      </c>
      <c r="P22" s="106">
        <v>400</v>
      </c>
      <c r="Q22" s="37"/>
      <c r="R22" s="106">
        <v>400</v>
      </c>
      <c r="S22" s="106">
        <v>401</v>
      </c>
      <c r="T22" s="106">
        <v>401</v>
      </c>
      <c r="U22" s="106">
        <v>400</v>
      </c>
      <c r="V22" s="106">
        <v>400</v>
      </c>
      <c r="W22" s="106">
        <v>400</v>
      </c>
      <c r="X22" s="106"/>
      <c r="Y22" s="37"/>
      <c r="Z22" s="106">
        <v>400</v>
      </c>
      <c r="AA22" s="106">
        <v>400</v>
      </c>
      <c r="AB22" s="106">
        <v>399</v>
      </c>
      <c r="AC22" s="106">
        <v>200</v>
      </c>
      <c r="AD22" s="106">
        <v>350</v>
      </c>
      <c r="AE22" s="106">
        <v>400</v>
      </c>
      <c r="AF22" s="106">
        <v>400</v>
      </c>
      <c r="AG22" s="106" t="s">
        <v>289</v>
      </c>
      <c r="AH22" s="106" t="s">
        <v>289</v>
      </c>
      <c r="AI22" s="106">
        <v>100</v>
      </c>
      <c r="AJ22" s="37"/>
      <c r="AK22" s="38"/>
      <c r="AL22" s="197"/>
      <c r="AN22" s="165"/>
    </row>
    <row r="23" spans="1:40" x14ac:dyDescent="0.25">
      <c r="A23" s="11">
        <v>21</v>
      </c>
      <c r="B23" s="174"/>
      <c r="C23" s="174"/>
      <c r="D23" s="174"/>
      <c r="E23" s="174"/>
      <c r="F23" s="174"/>
      <c r="G23" s="174"/>
      <c r="H23" s="174"/>
      <c r="I23" s="111"/>
      <c r="J23" s="174"/>
      <c r="K23" s="174"/>
      <c r="L23" s="174"/>
      <c r="M23" s="174"/>
      <c r="N23" s="174"/>
      <c r="O23" s="174"/>
      <c r="P23" s="174"/>
      <c r="Q23" s="111"/>
      <c r="R23" s="174"/>
      <c r="S23" s="174"/>
      <c r="T23" s="174"/>
      <c r="U23" s="174"/>
      <c r="V23" s="174"/>
      <c r="W23" s="174"/>
      <c r="X23" s="174"/>
      <c r="Y23" s="111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760" t="s">
        <v>40</v>
      </c>
      <c r="AK23" s="38"/>
      <c r="AL23" s="197"/>
      <c r="AN23" s="165"/>
    </row>
    <row r="24" spans="1:40" x14ac:dyDescent="0.25">
      <c r="A24" s="11">
        <v>22</v>
      </c>
      <c r="B24" s="106" t="s">
        <v>289</v>
      </c>
      <c r="C24" s="106" t="s">
        <v>289</v>
      </c>
      <c r="D24" s="106" t="s">
        <v>289</v>
      </c>
      <c r="E24" s="106" t="s">
        <v>289</v>
      </c>
      <c r="F24" s="106" t="s">
        <v>289</v>
      </c>
      <c r="G24" s="106" t="s">
        <v>289</v>
      </c>
      <c r="H24" s="106" t="s">
        <v>289</v>
      </c>
      <c r="I24" s="37"/>
      <c r="J24" s="106" t="s">
        <v>289</v>
      </c>
      <c r="K24" s="106" t="s">
        <v>289</v>
      </c>
      <c r="L24" s="106" t="s">
        <v>289</v>
      </c>
      <c r="M24" s="106" t="s">
        <v>289</v>
      </c>
      <c r="N24" s="106" t="s">
        <v>289</v>
      </c>
      <c r="O24" s="106" t="s">
        <v>289</v>
      </c>
      <c r="P24" s="106" t="s">
        <v>289</v>
      </c>
      <c r="Q24" s="37"/>
      <c r="R24" s="106" t="s">
        <v>289</v>
      </c>
      <c r="S24" s="106" t="s">
        <v>289</v>
      </c>
      <c r="T24" s="106" t="s">
        <v>289</v>
      </c>
      <c r="U24" s="106" t="s">
        <v>289</v>
      </c>
      <c r="V24" s="106" t="s">
        <v>289</v>
      </c>
      <c r="W24" s="106" t="s">
        <v>289</v>
      </c>
      <c r="X24" s="106"/>
      <c r="Y24" s="37"/>
      <c r="Z24" s="106" t="s">
        <v>289</v>
      </c>
      <c r="AA24" s="106" t="s">
        <v>289</v>
      </c>
      <c r="AB24" s="106" t="s">
        <v>289</v>
      </c>
      <c r="AC24" s="106" t="s">
        <v>289</v>
      </c>
      <c r="AD24" s="106" t="s">
        <v>289</v>
      </c>
      <c r="AE24" s="106" t="s">
        <v>289</v>
      </c>
      <c r="AF24" s="106" t="s">
        <v>289</v>
      </c>
      <c r="AG24" s="106" t="s">
        <v>289</v>
      </c>
      <c r="AH24" s="106" t="s">
        <v>289</v>
      </c>
      <c r="AI24" s="106" t="s">
        <v>289</v>
      </c>
      <c r="AJ24" s="37"/>
      <c r="AK24" s="38"/>
      <c r="AL24" s="197"/>
      <c r="AN24" s="165"/>
    </row>
    <row r="25" spans="1:40" x14ac:dyDescent="0.25">
      <c r="A25" s="11">
        <v>23</v>
      </c>
      <c r="B25" s="174"/>
      <c r="C25" s="174"/>
      <c r="D25" s="174"/>
      <c r="E25" s="174"/>
      <c r="F25" s="174"/>
      <c r="G25" s="174"/>
      <c r="H25" s="174"/>
      <c r="I25" s="111"/>
      <c r="J25" s="174"/>
      <c r="K25" s="174"/>
      <c r="L25" s="174"/>
      <c r="M25" s="174"/>
      <c r="N25" s="174"/>
      <c r="O25" s="174"/>
      <c r="P25" s="174"/>
      <c r="Q25" s="111"/>
      <c r="R25" s="174"/>
      <c r="S25" s="174"/>
      <c r="T25" s="174"/>
      <c r="U25" s="174"/>
      <c r="V25" s="174"/>
      <c r="W25" s="174"/>
      <c r="X25" s="174"/>
      <c r="Y25" s="111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760" t="s">
        <v>40</v>
      </c>
      <c r="AK25" s="38"/>
      <c r="AL25" s="197"/>
      <c r="AN25" s="165"/>
    </row>
    <row r="26" spans="1:40" x14ac:dyDescent="0.25">
      <c r="A26" s="11">
        <v>24</v>
      </c>
      <c r="B26" s="174"/>
      <c r="C26" s="174"/>
      <c r="D26" s="174"/>
      <c r="E26" s="174"/>
      <c r="F26" s="174"/>
      <c r="G26" s="174"/>
      <c r="H26" s="174"/>
      <c r="I26" s="111"/>
      <c r="J26" s="174"/>
      <c r="K26" s="174"/>
      <c r="L26" s="174"/>
      <c r="M26" s="174"/>
      <c r="N26" s="174"/>
      <c r="O26" s="174"/>
      <c r="P26" s="174"/>
      <c r="Q26" s="111"/>
      <c r="R26" s="174"/>
      <c r="S26" s="174"/>
      <c r="T26" s="174"/>
      <c r="U26" s="174"/>
      <c r="V26" s="174"/>
      <c r="W26" s="174"/>
      <c r="X26" s="174"/>
      <c r="Y26" s="111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760" t="s">
        <v>40</v>
      </c>
      <c r="AK26" s="38"/>
      <c r="AL26" s="197"/>
      <c r="AN26" s="165"/>
    </row>
    <row r="27" spans="1:40" x14ac:dyDescent="0.25">
      <c r="A27" s="11">
        <v>25</v>
      </c>
      <c r="B27" s="174"/>
      <c r="C27" s="174"/>
      <c r="D27" s="174"/>
      <c r="E27" s="174"/>
      <c r="F27" s="174"/>
      <c r="G27" s="174"/>
      <c r="H27" s="174"/>
      <c r="I27" s="111"/>
      <c r="J27" s="174"/>
      <c r="K27" s="174"/>
      <c r="L27" s="174"/>
      <c r="M27" s="174"/>
      <c r="N27" s="174"/>
      <c r="O27" s="174"/>
      <c r="P27" s="174"/>
      <c r="Q27" s="111"/>
      <c r="R27" s="174"/>
      <c r="S27" s="174"/>
      <c r="T27" s="174"/>
      <c r="U27" s="174"/>
      <c r="V27" s="174"/>
      <c r="W27" s="174"/>
      <c r="X27" s="174"/>
      <c r="Y27" s="111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760" t="s">
        <v>40</v>
      </c>
      <c r="AK27" s="38"/>
      <c r="AL27" s="197"/>
      <c r="AN27" s="165"/>
    </row>
    <row r="28" spans="1:40" x14ac:dyDescent="0.25">
      <c r="A28" s="11">
        <v>26</v>
      </c>
      <c r="B28" s="703" t="s">
        <v>290</v>
      </c>
      <c r="C28" s="703" t="s">
        <v>290</v>
      </c>
      <c r="D28" s="703" t="s">
        <v>290</v>
      </c>
      <c r="E28" s="703" t="s">
        <v>290</v>
      </c>
      <c r="F28" s="703" t="s">
        <v>290</v>
      </c>
      <c r="G28" s="703" t="s">
        <v>290</v>
      </c>
      <c r="H28" s="703" t="s">
        <v>290</v>
      </c>
      <c r="I28" s="111"/>
      <c r="J28" s="703" t="s">
        <v>290</v>
      </c>
      <c r="K28" s="703" t="s">
        <v>290</v>
      </c>
      <c r="L28" s="703" t="s">
        <v>290</v>
      </c>
      <c r="M28" s="703" t="s">
        <v>290</v>
      </c>
      <c r="N28" s="703" t="s">
        <v>290</v>
      </c>
      <c r="O28" s="703" t="s">
        <v>290</v>
      </c>
      <c r="P28" s="703" t="s">
        <v>290</v>
      </c>
      <c r="Q28" s="111"/>
      <c r="R28" s="546" t="s">
        <v>290</v>
      </c>
      <c r="S28" s="546" t="s">
        <v>290</v>
      </c>
      <c r="T28" s="546" t="s">
        <v>290</v>
      </c>
      <c r="U28" s="546" t="s">
        <v>290</v>
      </c>
      <c r="V28" s="546" t="s">
        <v>290</v>
      </c>
      <c r="W28" s="546" t="s">
        <v>290</v>
      </c>
      <c r="X28" s="546"/>
      <c r="Y28" s="111"/>
      <c r="Z28" s="546" t="s">
        <v>290</v>
      </c>
      <c r="AA28" s="546" t="s">
        <v>290</v>
      </c>
      <c r="AB28" s="546" t="s">
        <v>290</v>
      </c>
      <c r="AC28" s="546" t="s">
        <v>290</v>
      </c>
      <c r="AD28" s="546" t="s">
        <v>290</v>
      </c>
      <c r="AE28" s="546" t="s">
        <v>290</v>
      </c>
      <c r="AF28" s="546" t="s">
        <v>290</v>
      </c>
      <c r="AG28" s="546" t="s">
        <v>290</v>
      </c>
      <c r="AH28" s="546" t="s">
        <v>290</v>
      </c>
      <c r="AI28" s="546" t="s">
        <v>290</v>
      </c>
      <c r="AJ28" s="111"/>
      <c r="AK28" s="38"/>
      <c r="AL28" s="197"/>
      <c r="AN28" s="165"/>
    </row>
    <row r="29" spans="1:40" x14ac:dyDescent="0.25">
      <c r="A29" s="11">
        <v>27</v>
      </c>
      <c r="B29" s="106">
        <v>349</v>
      </c>
      <c r="C29" s="106">
        <v>349</v>
      </c>
      <c r="D29" s="106">
        <v>349</v>
      </c>
      <c r="E29" s="106">
        <v>321</v>
      </c>
      <c r="F29" s="106">
        <v>350</v>
      </c>
      <c r="G29" s="106">
        <v>249</v>
      </c>
      <c r="H29" s="106">
        <v>299</v>
      </c>
      <c r="I29" s="37"/>
      <c r="J29" s="106">
        <v>297</v>
      </c>
      <c r="K29" s="106" t="s">
        <v>289</v>
      </c>
      <c r="L29" s="106" t="s">
        <v>289</v>
      </c>
      <c r="M29" s="106" t="s">
        <v>289</v>
      </c>
      <c r="N29" s="106">
        <v>349</v>
      </c>
      <c r="O29" s="106" t="s">
        <v>289</v>
      </c>
      <c r="P29" s="106">
        <v>200</v>
      </c>
      <c r="Q29" s="37"/>
      <c r="R29" s="106">
        <v>300</v>
      </c>
      <c r="S29" s="106">
        <v>251</v>
      </c>
      <c r="T29" s="106">
        <v>350</v>
      </c>
      <c r="U29" s="106">
        <v>350</v>
      </c>
      <c r="V29" s="106">
        <v>350</v>
      </c>
      <c r="W29" s="106">
        <v>350</v>
      </c>
      <c r="X29" s="106"/>
      <c r="Y29" s="37"/>
      <c r="Z29" s="106">
        <v>300</v>
      </c>
      <c r="AA29" s="106">
        <v>350</v>
      </c>
      <c r="AB29" s="106">
        <v>300</v>
      </c>
      <c r="AC29" s="106">
        <v>200</v>
      </c>
      <c r="AD29" s="106">
        <v>250</v>
      </c>
      <c r="AE29" s="106">
        <v>200</v>
      </c>
      <c r="AF29" s="106">
        <v>200</v>
      </c>
      <c r="AG29" s="106">
        <v>201</v>
      </c>
      <c r="AH29" s="106">
        <v>250</v>
      </c>
      <c r="AI29" s="106">
        <v>300</v>
      </c>
      <c r="AJ29" s="37"/>
      <c r="AK29" s="38"/>
      <c r="AL29" s="197"/>
      <c r="AN29" s="165"/>
    </row>
    <row r="30" spans="1:40" x14ac:dyDescent="0.25">
      <c r="A30" s="11">
        <v>28</v>
      </c>
      <c r="B30" s="106">
        <v>350</v>
      </c>
      <c r="C30" s="106">
        <v>401</v>
      </c>
      <c r="D30" s="106">
        <v>350</v>
      </c>
      <c r="E30" s="106">
        <v>349</v>
      </c>
      <c r="F30" s="106">
        <v>348</v>
      </c>
      <c r="G30" s="106">
        <v>349</v>
      </c>
      <c r="H30" s="106">
        <v>350</v>
      </c>
      <c r="I30" s="37"/>
      <c r="J30" s="106">
        <v>350</v>
      </c>
      <c r="K30" s="106">
        <v>350</v>
      </c>
      <c r="L30" s="106">
        <v>350</v>
      </c>
      <c r="M30" s="106">
        <v>350</v>
      </c>
      <c r="N30" s="106">
        <v>350</v>
      </c>
      <c r="O30" s="106">
        <v>346</v>
      </c>
      <c r="P30" s="106">
        <v>350</v>
      </c>
      <c r="Q30" s="37"/>
      <c r="R30" s="106">
        <v>350</v>
      </c>
      <c r="S30" s="106">
        <v>350</v>
      </c>
      <c r="T30" s="106">
        <v>350</v>
      </c>
      <c r="U30" s="106">
        <v>350</v>
      </c>
      <c r="V30" s="106">
        <v>350</v>
      </c>
      <c r="W30" s="106">
        <v>350</v>
      </c>
      <c r="X30" s="106"/>
      <c r="Y30" s="37"/>
      <c r="Z30" s="106">
        <v>349</v>
      </c>
      <c r="AA30" s="106">
        <v>301</v>
      </c>
      <c r="AB30" s="106">
        <v>350</v>
      </c>
      <c r="AC30" s="106">
        <v>300</v>
      </c>
      <c r="AD30" s="106">
        <v>200</v>
      </c>
      <c r="AE30" s="106">
        <v>250</v>
      </c>
      <c r="AF30" s="106">
        <v>250</v>
      </c>
      <c r="AG30" s="106">
        <v>200</v>
      </c>
      <c r="AH30" s="106">
        <v>350</v>
      </c>
      <c r="AI30" s="106">
        <v>300</v>
      </c>
      <c r="AJ30" s="37"/>
      <c r="AK30" s="38"/>
      <c r="AL30" s="197"/>
      <c r="AN30" s="165"/>
    </row>
    <row r="31" spans="1:40" x14ac:dyDescent="0.25">
      <c r="A31" s="11">
        <v>29</v>
      </c>
      <c r="B31" s="703" t="s">
        <v>290</v>
      </c>
      <c r="C31" s="703" t="s">
        <v>290</v>
      </c>
      <c r="D31" s="703" t="s">
        <v>290</v>
      </c>
      <c r="E31" s="703" t="s">
        <v>290</v>
      </c>
      <c r="F31" s="703" t="s">
        <v>290</v>
      </c>
      <c r="G31" s="703" t="s">
        <v>290</v>
      </c>
      <c r="H31" s="703" t="s">
        <v>290</v>
      </c>
      <c r="I31" s="111"/>
      <c r="J31" s="703" t="s">
        <v>290</v>
      </c>
      <c r="K31" s="703" t="s">
        <v>290</v>
      </c>
      <c r="L31" s="703" t="s">
        <v>290</v>
      </c>
      <c r="M31" s="703" t="s">
        <v>290</v>
      </c>
      <c r="N31" s="703" t="s">
        <v>290</v>
      </c>
      <c r="O31" s="703" t="s">
        <v>290</v>
      </c>
      <c r="P31" s="703" t="s">
        <v>290</v>
      </c>
      <c r="Q31" s="111"/>
      <c r="R31" s="546" t="s">
        <v>290</v>
      </c>
      <c r="S31" s="546" t="s">
        <v>290</v>
      </c>
      <c r="T31" s="546" t="s">
        <v>290</v>
      </c>
      <c r="U31" s="546" t="s">
        <v>290</v>
      </c>
      <c r="V31" s="546" t="s">
        <v>290</v>
      </c>
      <c r="W31" s="546" t="s">
        <v>290</v>
      </c>
      <c r="X31" s="546"/>
      <c r="Y31" s="111"/>
      <c r="Z31" s="546" t="s">
        <v>290</v>
      </c>
      <c r="AA31" s="546" t="s">
        <v>290</v>
      </c>
      <c r="AB31" s="546" t="s">
        <v>290</v>
      </c>
      <c r="AC31" s="546" t="s">
        <v>290</v>
      </c>
      <c r="AD31" s="546" t="s">
        <v>290</v>
      </c>
      <c r="AE31" s="546" t="s">
        <v>290</v>
      </c>
      <c r="AF31" s="546" t="s">
        <v>290</v>
      </c>
      <c r="AG31" s="546" t="s">
        <v>290</v>
      </c>
      <c r="AH31" s="546" t="s">
        <v>290</v>
      </c>
      <c r="AI31" s="546" t="s">
        <v>290</v>
      </c>
      <c r="AJ31" s="111"/>
      <c r="AK31" s="38"/>
      <c r="AL31" s="197"/>
      <c r="AN31" s="165"/>
    </row>
    <row r="32" spans="1:40" x14ac:dyDescent="0.25">
      <c r="A32" s="11">
        <v>30</v>
      </c>
      <c r="B32" s="106" t="s">
        <v>289</v>
      </c>
      <c r="C32" s="106" t="s">
        <v>289</v>
      </c>
      <c r="D32" s="106">
        <v>350</v>
      </c>
      <c r="E32" s="106">
        <v>349</v>
      </c>
      <c r="F32" s="106">
        <v>350</v>
      </c>
      <c r="G32" s="106">
        <v>300</v>
      </c>
      <c r="H32" s="106">
        <v>298</v>
      </c>
      <c r="I32" s="37"/>
      <c r="J32" s="106">
        <v>350</v>
      </c>
      <c r="K32" s="106">
        <v>322</v>
      </c>
      <c r="L32" s="106">
        <v>350</v>
      </c>
      <c r="M32" s="106">
        <v>350</v>
      </c>
      <c r="N32" s="106">
        <v>350</v>
      </c>
      <c r="O32" s="106">
        <v>350</v>
      </c>
      <c r="P32" s="106">
        <v>350</v>
      </c>
      <c r="Q32" s="37"/>
      <c r="R32" s="106">
        <v>350</v>
      </c>
      <c r="S32" s="106">
        <v>350</v>
      </c>
      <c r="T32" s="106">
        <v>349</v>
      </c>
      <c r="U32" s="106">
        <v>350</v>
      </c>
      <c r="V32" s="106">
        <v>349</v>
      </c>
      <c r="W32" s="106">
        <v>350</v>
      </c>
      <c r="X32" s="106"/>
      <c r="Y32" s="37"/>
      <c r="Z32" s="106">
        <v>350</v>
      </c>
      <c r="AA32" s="106">
        <v>300</v>
      </c>
      <c r="AB32" s="106">
        <v>150</v>
      </c>
      <c r="AC32" s="106">
        <v>200</v>
      </c>
      <c r="AD32" s="106">
        <v>311</v>
      </c>
      <c r="AE32" s="106">
        <v>200</v>
      </c>
      <c r="AF32" s="106">
        <v>300</v>
      </c>
      <c r="AG32" s="106">
        <v>300</v>
      </c>
      <c r="AH32" s="106">
        <v>250</v>
      </c>
      <c r="AI32" s="106">
        <v>350</v>
      </c>
      <c r="AJ32" s="37"/>
      <c r="AK32" s="38"/>
      <c r="AL32" s="197"/>
      <c r="AN32" s="165"/>
    </row>
    <row r="33" spans="1:40" x14ac:dyDescent="0.25">
      <c r="A33" s="11">
        <v>31</v>
      </c>
      <c r="B33" s="106">
        <v>350</v>
      </c>
      <c r="C33" s="106">
        <v>350</v>
      </c>
      <c r="D33" s="106">
        <v>349</v>
      </c>
      <c r="E33" s="106">
        <v>350</v>
      </c>
      <c r="F33" s="106">
        <v>350</v>
      </c>
      <c r="G33" s="106">
        <v>350</v>
      </c>
      <c r="H33" s="106">
        <v>269</v>
      </c>
      <c r="I33" s="37"/>
      <c r="J33" s="106">
        <v>341</v>
      </c>
      <c r="K33" s="106">
        <v>350</v>
      </c>
      <c r="L33" s="106">
        <v>350</v>
      </c>
      <c r="M33" s="106">
        <v>348</v>
      </c>
      <c r="N33" s="106">
        <v>350</v>
      </c>
      <c r="O33" s="106">
        <v>350</v>
      </c>
      <c r="P33" s="106">
        <v>350</v>
      </c>
      <c r="Q33" s="37"/>
      <c r="R33" s="106">
        <v>350</v>
      </c>
      <c r="S33" s="106">
        <v>349</v>
      </c>
      <c r="T33" s="106">
        <v>349</v>
      </c>
      <c r="U33" s="106">
        <v>350</v>
      </c>
      <c r="V33" s="106">
        <v>250</v>
      </c>
      <c r="W33" s="106">
        <v>350</v>
      </c>
      <c r="X33" s="106"/>
      <c r="Y33" s="37"/>
      <c r="Z33" s="106">
        <v>350</v>
      </c>
      <c r="AA33" s="106">
        <v>102</v>
      </c>
      <c r="AB33" s="106">
        <v>200</v>
      </c>
      <c r="AC33" s="106">
        <v>250</v>
      </c>
      <c r="AD33" s="106">
        <v>299</v>
      </c>
      <c r="AE33" s="106">
        <v>200</v>
      </c>
      <c r="AF33" s="106">
        <v>300</v>
      </c>
      <c r="AG33" s="106">
        <v>250</v>
      </c>
      <c r="AH33" s="106">
        <v>300</v>
      </c>
      <c r="AI33" s="106">
        <v>300</v>
      </c>
      <c r="AJ33" s="37"/>
      <c r="AK33" s="38"/>
      <c r="AL33" s="197"/>
      <c r="AN33" s="165"/>
    </row>
    <row r="34" spans="1:40" x14ac:dyDescent="0.25">
      <c r="A34" s="11">
        <v>32</v>
      </c>
      <c r="B34" s="106">
        <v>350</v>
      </c>
      <c r="C34" s="106" t="s">
        <v>289</v>
      </c>
      <c r="D34" s="106">
        <v>350</v>
      </c>
      <c r="E34" s="106">
        <v>350</v>
      </c>
      <c r="F34" s="106">
        <v>350</v>
      </c>
      <c r="G34" s="106">
        <v>350</v>
      </c>
      <c r="H34" s="106">
        <v>350</v>
      </c>
      <c r="I34" s="37"/>
      <c r="J34" s="106">
        <v>350</v>
      </c>
      <c r="K34" s="106">
        <v>350</v>
      </c>
      <c r="L34" s="106">
        <v>350</v>
      </c>
      <c r="M34" s="106">
        <v>350</v>
      </c>
      <c r="N34" s="106">
        <v>350</v>
      </c>
      <c r="O34" s="106">
        <v>350</v>
      </c>
      <c r="P34" s="106">
        <v>350</v>
      </c>
      <c r="Q34" s="37"/>
      <c r="R34" s="106">
        <v>350</v>
      </c>
      <c r="S34" s="106">
        <v>349</v>
      </c>
      <c r="T34" s="106">
        <v>351</v>
      </c>
      <c r="U34" s="106">
        <v>349</v>
      </c>
      <c r="V34" s="106">
        <v>350</v>
      </c>
      <c r="W34" s="106">
        <v>350</v>
      </c>
      <c r="X34" s="106"/>
      <c r="Y34" s="37"/>
      <c r="Z34" s="106">
        <v>350</v>
      </c>
      <c r="AA34" s="106">
        <v>349</v>
      </c>
      <c r="AB34" s="106">
        <v>349</v>
      </c>
      <c r="AC34" s="106">
        <v>350</v>
      </c>
      <c r="AD34" s="106">
        <v>349</v>
      </c>
      <c r="AE34" s="106">
        <v>350</v>
      </c>
      <c r="AF34" s="106">
        <v>300</v>
      </c>
      <c r="AG34" s="106">
        <v>350</v>
      </c>
      <c r="AH34" s="106">
        <v>150</v>
      </c>
      <c r="AI34" s="106">
        <v>175</v>
      </c>
      <c r="AJ34" s="37"/>
      <c r="AK34" s="38"/>
      <c r="AL34" s="197"/>
      <c r="AN34" s="165"/>
    </row>
    <row r="35" spans="1:40" x14ac:dyDescent="0.25">
      <c r="A35" s="11">
        <v>33</v>
      </c>
      <c r="B35" s="106">
        <v>350</v>
      </c>
      <c r="C35" s="106">
        <v>350</v>
      </c>
      <c r="D35" s="106">
        <v>350</v>
      </c>
      <c r="E35" s="106">
        <v>350</v>
      </c>
      <c r="F35" s="106">
        <v>350</v>
      </c>
      <c r="G35" s="106">
        <v>350</v>
      </c>
      <c r="H35" s="106">
        <v>350</v>
      </c>
      <c r="I35" s="37"/>
      <c r="J35" s="106">
        <v>350</v>
      </c>
      <c r="K35" s="106">
        <v>350</v>
      </c>
      <c r="L35" s="106">
        <v>350</v>
      </c>
      <c r="M35" s="106">
        <v>350</v>
      </c>
      <c r="N35" s="106">
        <v>350</v>
      </c>
      <c r="O35" s="106">
        <v>350</v>
      </c>
      <c r="P35" s="106">
        <v>350</v>
      </c>
      <c r="Q35" s="37"/>
      <c r="R35" s="106">
        <v>350</v>
      </c>
      <c r="S35" s="106">
        <v>301</v>
      </c>
      <c r="T35" s="106">
        <v>350</v>
      </c>
      <c r="U35" s="106">
        <v>350</v>
      </c>
      <c r="V35" s="106">
        <v>350</v>
      </c>
      <c r="W35" s="106">
        <v>350</v>
      </c>
      <c r="X35" s="106"/>
      <c r="Y35" s="37"/>
      <c r="Z35" s="106">
        <v>349</v>
      </c>
      <c r="AA35" s="106">
        <v>300</v>
      </c>
      <c r="AB35" s="106">
        <v>300</v>
      </c>
      <c r="AC35" s="106">
        <v>301</v>
      </c>
      <c r="AD35" s="106">
        <v>250</v>
      </c>
      <c r="AE35" s="106">
        <v>300</v>
      </c>
      <c r="AF35" s="106">
        <v>300</v>
      </c>
      <c r="AG35" s="106">
        <v>249</v>
      </c>
      <c r="AH35" s="106">
        <v>250</v>
      </c>
      <c r="AI35" s="106">
        <v>321</v>
      </c>
      <c r="AJ35" s="37"/>
      <c r="AK35" s="38"/>
      <c r="AL35" s="197"/>
      <c r="AN35" s="165"/>
    </row>
    <row r="36" spans="1:40" x14ac:dyDescent="0.25">
      <c r="A36" s="11">
        <v>34</v>
      </c>
      <c r="B36" s="106">
        <v>324</v>
      </c>
      <c r="C36" s="106">
        <v>350</v>
      </c>
      <c r="D36" s="106">
        <v>350</v>
      </c>
      <c r="E36" s="106">
        <v>350</v>
      </c>
      <c r="F36" s="106">
        <v>339</v>
      </c>
      <c r="G36" s="106">
        <v>318</v>
      </c>
      <c r="H36" s="106">
        <v>350</v>
      </c>
      <c r="I36" s="37"/>
      <c r="J36" s="106">
        <v>350</v>
      </c>
      <c r="K36" s="106">
        <v>350</v>
      </c>
      <c r="L36" s="106">
        <v>350</v>
      </c>
      <c r="M36" s="106">
        <v>313</v>
      </c>
      <c r="N36" s="106">
        <v>350</v>
      </c>
      <c r="O36" s="106">
        <v>350</v>
      </c>
      <c r="P36" s="106">
        <v>350</v>
      </c>
      <c r="Q36" s="37"/>
      <c r="R36" s="106">
        <v>350</v>
      </c>
      <c r="S36" s="106">
        <v>349</v>
      </c>
      <c r="T36" s="106">
        <v>337</v>
      </c>
      <c r="U36" s="106">
        <v>349</v>
      </c>
      <c r="V36" s="106">
        <v>300</v>
      </c>
      <c r="W36" s="106">
        <v>350</v>
      </c>
      <c r="X36" s="106"/>
      <c r="Y36" s="37"/>
      <c r="Z36" s="106">
        <v>350</v>
      </c>
      <c r="AA36" s="106">
        <v>300</v>
      </c>
      <c r="AB36" s="106">
        <v>200</v>
      </c>
      <c r="AC36" s="106">
        <v>158</v>
      </c>
      <c r="AD36" s="106">
        <v>250</v>
      </c>
      <c r="AE36" s="106">
        <v>250</v>
      </c>
      <c r="AF36" s="106">
        <v>200</v>
      </c>
      <c r="AG36" s="106" t="s">
        <v>289</v>
      </c>
      <c r="AH36" s="106" t="s">
        <v>289</v>
      </c>
      <c r="AI36" s="106">
        <v>100</v>
      </c>
      <c r="AJ36" s="37"/>
      <c r="AK36" s="38"/>
      <c r="AL36" s="197"/>
      <c r="AN36" s="165"/>
    </row>
    <row r="37" spans="1:40" x14ac:dyDescent="0.25">
      <c r="A37" s="11">
        <v>35</v>
      </c>
      <c r="B37" s="703" t="s">
        <v>290</v>
      </c>
      <c r="C37" s="703" t="s">
        <v>290</v>
      </c>
      <c r="D37" s="703" t="s">
        <v>290</v>
      </c>
      <c r="E37" s="703" t="s">
        <v>290</v>
      </c>
      <c r="F37" s="703" t="s">
        <v>290</v>
      </c>
      <c r="G37" s="703" t="s">
        <v>290</v>
      </c>
      <c r="H37" s="703" t="s">
        <v>290</v>
      </c>
      <c r="I37" s="37"/>
      <c r="J37" s="703" t="s">
        <v>290</v>
      </c>
      <c r="K37" s="703" t="s">
        <v>290</v>
      </c>
      <c r="L37" s="703" t="s">
        <v>290</v>
      </c>
      <c r="M37" s="703" t="s">
        <v>290</v>
      </c>
      <c r="N37" s="703" t="s">
        <v>290</v>
      </c>
      <c r="O37" s="703" t="s">
        <v>290</v>
      </c>
      <c r="P37" s="703" t="s">
        <v>290</v>
      </c>
      <c r="Q37" s="111"/>
      <c r="R37" s="546" t="s">
        <v>290</v>
      </c>
      <c r="S37" s="546" t="s">
        <v>290</v>
      </c>
      <c r="T37" s="546" t="s">
        <v>290</v>
      </c>
      <c r="U37" s="754" t="s">
        <v>289</v>
      </c>
      <c r="V37" s="754" t="s">
        <v>289</v>
      </c>
      <c r="W37" s="754" t="s">
        <v>289</v>
      </c>
      <c r="X37" s="754"/>
      <c r="Y37" s="37"/>
      <c r="Z37" s="754" t="s">
        <v>289</v>
      </c>
      <c r="AA37" s="755" t="s">
        <v>289</v>
      </c>
      <c r="AB37" s="755" t="s">
        <v>289</v>
      </c>
      <c r="AC37" s="755" t="s">
        <v>289</v>
      </c>
      <c r="AD37" s="755" t="s">
        <v>289</v>
      </c>
      <c r="AE37" s="755" t="s">
        <v>289</v>
      </c>
      <c r="AF37" s="755" t="s">
        <v>289</v>
      </c>
      <c r="AG37" s="755" t="s">
        <v>289</v>
      </c>
      <c r="AH37" s="755" t="s">
        <v>289</v>
      </c>
      <c r="AI37" s="755" t="s">
        <v>289</v>
      </c>
      <c r="AJ37" s="37"/>
      <c r="AK37" s="38"/>
      <c r="AL37" s="197"/>
      <c r="AN37" s="165"/>
    </row>
    <row r="38" spans="1:40" x14ac:dyDescent="0.25">
      <c r="A38" s="11">
        <v>36</v>
      </c>
      <c r="B38" s="703" t="s">
        <v>290</v>
      </c>
      <c r="C38" s="703" t="s">
        <v>290</v>
      </c>
      <c r="D38" s="703" t="s">
        <v>290</v>
      </c>
      <c r="E38" s="703" t="s">
        <v>290</v>
      </c>
      <c r="F38" s="703" t="s">
        <v>290</v>
      </c>
      <c r="G38" s="703" t="s">
        <v>290</v>
      </c>
      <c r="H38" s="703" t="s">
        <v>290</v>
      </c>
      <c r="I38" s="111"/>
      <c r="J38" s="703" t="s">
        <v>290</v>
      </c>
      <c r="K38" s="703" t="s">
        <v>290</v>
      </c>
      <c r="L38" s="703" t="s">
        <v>290</v>
      </c>
      <c r="M38" s="703" t="s">
        <v>290</v>
      </c>
      <c r="N38" s="703" t="s">
        <v>290</v>
      </c>
      <c r="O38" s="703" t="s">
        <v>290</v>
      </c>
      <c r="P38" s="703" t="s">
        <v>290</v>
      </c>
      <c r="Q38" s="111"/>
      <c r="R38" s="546" t="s">
        <v>290</v>
      </c>
      <c r="S38" s="546" t="s">
        <v>290</v>
      </c>
      <c r="T38" s="546" t="s">
        <v>290</v>
      </c>
      <c r="U38" s="546" t="s">
        <v>290</v>
      </c>
      <c r="V38" s="546" t="s">
        <v>290</v>
      </c>
      <c r="W38" s="546" t="s">
        <v>290</v>
      </c>
      <c r="X38" s="546"/>
      <c r="Y38" s="111"/>
      <c r="Z38" s="546" t="s">
        <v>290</v>
      </c>
      <c r="AA38" s="546" t="s">
        <v>290</v>
      </c>
      <c r="AB38" s="546" t="s">
        <v>290</v>
      </c>
      <c r="AC38" s="546" t="s">
        <v>290</v>
      </c>
      <c r="AD38" s="546" t="s">
        <v>290</v>
      </c>
      <c r="AE38" s="546" t="s">
        <v>290</v>
      </c>
      <c r="AF38" s="546" t="s">
        <v>290</v>
      </c>
      <c r="AG38" s="546" t="s">
        <v>290</v>
      </c>
      <c r="AH38" s="546" t="s">
        <v>290</v>
      </c>
      <c r="AI38" s="546" t="s">
        <v>290</v>
      </c>
      <c r="AJ38" s="111"/>
      <c r="AK38" s="38"/>
      <c r="AL38" s="197"/>
      <c r="AN38" s="165"/>
    </row>
    <row r="39" spans="1:40" x14ac:dyDescent="0.25">
      <c r="A39" s="11">
        <v>37</v>
      </c>
      <c r="B39" s="106">
        <v>350</v>
      </c>
      <c r="C39" s="106">
        <v>350</v>
      </c>
      <c r="D39" s="106">
        <v>350</v>
      </c>
      <c r="E39" s="106">
        <v>351</v>
      </c>
      <c r="F39" s="106">
        <v>294</v>
      </c>
      <c r="G39" s="106">
        <v>350</v>
      </c>
      <c r="H39" s="106">
        <v>350</v>
      </c>
      <c r="I39" s="37"/>
      <c r="J39" s="106">
        <v>300</v>
      </c>
      <c r="K39" s="106">
        <v>350</v>
      </c>
      <c r="L39" s="106">
        <v>349</v>
      </c>
      <c r="M39" s="106">
        <v>350</v>
      </c>
      <c r="N39" s="106">
        <v>350</v>
      </c>
      <c r="O39" s="106">
        <v>349</v>
      </c>
      <c r="P39" s="106">
        <v>350</v>
      </c>
      <c r="Q39" s="37"/>
      <c r="R39" s="106">
        <v>350</v>
      </c>
      <c r="S39" s="106">
        <v>349</v>
      </c>
      <c r="T39" s="106">
        <v>350</v>
      </c>
      <c r="U39" s="106">
        <v>350</v>
      </c>
      <c r="V39" s="106">
        <v>350</v>
      </c>
      <c r="W39" s="106">
        <v>350</v>
      </c>
      <c r="X39" s="106"/>
      <c r="Y39" s="37"/>
      <c r="Z39" s="106" t="s">
        <v>289</v>
      </c>
      <c r="AA39" s="106" t="s">
        <v>289</v>
      </c>
      <c r="AB39" s="106" t="s">
        <v>289</v>
      </c>
      <c r="AC39" s="106">
        <v>20</v>
      </c>
      <c r="AD39" s="106" t="s">
        <v>289</v>
      </c>
      <c r="AE39" s="106" t="s">
        <v>289</v>
      </c>
      <c r="AF39" s="106" t="s">
        <v>289</v>
      </c>
      <c r="AG39" s="106" t="s">
        <v>289</v>
      </c>
      <c r="AH39" s="106" t="s">
        <v>289</v>
      </c>
      <c r="AI39" s="106">
        <v>24</v>
      </c>
      <c r="AJ39" s="37"/>
      <c r="AK39" s="38"/>
      <c r="AL39" s="197"/>
      <c r="AN39" s="165"/>
    </row>
    <row r="40" spans="1:40" x14ac:dyDescent="0.25">
      <c r="A40" s="11">
        <v>38</v>
      </c>
      <c r="B40" s="106" t="s">
        <v>289</v>
      </c>
      <c r="C40" s="106" t="s">
        <v>289</v>
      </c>
      <c r="D40" s="106" t="s">
        <v>289</v>
      </c>
      <c r="E40" s="106" t="s">
        <v>289</v>
      </c>
      <c r="F40" s="106" t="s">
        <v>289</v>
      </c>
      <c r="G40" s="106" t="s">
        <v>289</v>
      </c>
      <c r="H40" s="106" t="s">
        <v>289</v>
      </c>
      <c r="I40" s="37"/>
      <c r="J40" s="106" t="s">
        <v>289</v>
      </c>
      <c r="K40" s="106" t="s">
        <v>289</v>
      </c>
      <c r="L40" s="106" t="s">
        <v>289</v>
      </c>
      <c r="M40" s="106" t="s">
        <v>289</v>
      </c>
      <c r="N40" s="106" t="s">
        <v>289</v>
      </c>
      <c r="O40" s="106" t="s">
        <v>289</v>
      </c>
      <c r="P40" s="106" t="s">
        <v>289</v>
      </c>
      <c r="Q40" s="37"/>
      <c r="R40" s="106" t="s">
        <v>289</v>
      </c>
      <c r="S40" s="106" t="s">
        <v>289</v>
      </c>
      <c r="T40" s="106" t="s">
        <v>289</v>
      </c>
      <c r="U40" s="106" t="s">
        <v>289</v>
      </c>
      <c r="V40" s="106" t="s">
        <v>289</v>
      </c>
      <c r="W40" s="106" t="s">
        <v>289</v>
      </c>
      <c r="X40" s="106"/>
      <c r="Y40" s="37"/>
      <c r="Z40" s="106" t="s">
        <v>289</v>
      </c>
      <c r="AA40" s="106" t="s">
        <v>289</v>
      </c>
      <c r="AB40" s="106" t="s">
        <v>289</v>
      </c>
      <c r="AC40" s="106" t="s">
        <v>289</v>
      </c>
      <c r="AD40" s="106" t="s">
        <v>289</v>
      </c>
      <c r="AE40" s="106" t="s">
        <v>289</v>
      </c>
      <c r="AF40" s="106" t="s">
        <v>289</v>
      </c>
      <c r="AG40" s="106" t="s">
        <v>289</v>
      </c>
      <c r="AH40" s="106" t="s">
        <v>289</v>
      </c>
      <c r="AI40" s="106" t="s">
        <v>289</v>
      </c>
      <c r="AJ40" s="37"/>
      <c r="AK40" s="38"/>
      <c r="AL40" s="197"/>
      <c r="AN40" s="165"/>
    </row>
    <row r="41" spans="1:40" x14ac:dyDescent="0.25">
      <c r="A41" s="11">
        <v>39</v>
      </c>
      <c r="B41" s="106">
        <v>349</v>
      </c>
      <c r="C41" s="106">
        <v>350</v>
      </c>
      <c r="D41" s="106">
        <v>350</v>
      </c>
      <c r="E41" s="106">
        <v>343</v>
      </c>
      <c r="F41" s="106">
        <v>350</v>
      </c>
      <c r="G41" s="106">
        <v>350</v>
      </c>
      <c r="H41" s="106">
        <v>350</v>
      </c>
      <c r="I41" s="37"/>
      <c r="J41" s="116">
        <v>350</v>
      </c>
      <c r="K41" s="116">
        <v>350</v>
      </c>
      <c r="L41" s="106">
        <v>350</v>
      </c>
      <c r="M41" s="106">
        <v>300</v>
      </c>
      <c r="N41" s="106">
        <v>350</v>
      </c>
      <c r="O41" s="106">
        <v>318</v>
      </c>
      <c r="P41" s="106">
        <v>350</v>
      </c>
      <c r="Q41" s="37"/>
      <c r="R41" s="106">
        <v>344</v>
      </c>
      <c r="S41" s="106">
        <v>350</v>
      </c>
      <c r="T41" s="106">
        <v>350</v>
      </c>
      <c r="U41" s="106">
        <v>350</v>
      </c>
      <c r="V41" s="106">
        <v>201</v>
      </c>
      <c r="W41" s="106">
        <v>351</v>
      </c>
      <c r="X41" s="106"/>
      <c r="Y41" s="37"/>
      <c r="Z41" s="106">
        <v>350</v>
      </c>
      <c r="AA41" s="106" t="s">
        <v>289</v>
      </c>
      <c r="AB41" s="106" t="s">
        <v>289</v>
      </c>
      <c r="AC41" s="106" t="s">
        <v>289</v>
      </c>
      <c r="AD41" s="106">
        <v>249</v>
      </c>
      <c r="AE41" s="106">
        <v>200</v>
      </c>
      <c r="AF41" s="106">
        <v>200</v>
      </c>
      <c r="AG41" s="106" t="s">
        <v>289</v>
      </c>
      <c r="AH41" s="106">
        <v>195</v>
      </c>
      <c r="AI41" s="106" t="s">
        <v>289</v>
      </c>
      <c r="AJ41" s="37"/>
      <c r="AK41" s="38"/>
      <c r="AL41" s="197"/>
      <c r="AN41" s="165"/>
    </row>
    <row r="42" spans="1:40" x14ac:dyDescent="0.25">
      <c r="A42" s="11">
        <v>40</v>
      </c>
      <c r="B42" s="106">
        <v>350</v>
      </c>
      <c r="C42" s="106">
        <v>350</v>
      </c>
      <c r="D42" s="106">
        <v>350</v>
      </c>
      <c r="E42" s="106">
        <v>350</v>
      </c>
      <c r="F42" s="106">
        <v>352</v>
      </c>
      <c r="G42" s="106">
        <v>350</v>
      </c>
      <c r="H42" s="106">
        <v>350</v>
      </c>
      <c r="I42" s="37"/>
      <c r="J42" s="106">
        <v>350</v>
      </c>
      <c r="K42" s="106">
        <v>314</v>
      </c>
      <c r="L42" s="106">
        <v>350</v>
      </c>
      <c r="M42" s="106">
        <v>350</v>
      </c>
      <c r="N42" s="106">
        <v>350</v>
      </c>
      <c r="O42" s="106">
        <v>350</v>
      </c>
      <c r="P42" s="106">
        <v>249</v>
      </c>
      <c r="Q42" s="37"/>
      <c r="R42" s="106">
        <v>350</v>
      </c>
      <c r="S42" s="106">
        <v>350</v>
      </c>
      <c r="T42" s="106">
        <v>350</v>
      </c>
      <c r="U42" s="106">
        <v>341</v>
      </c>
      <c r="V42" s="106">
        <v>350.00120099999998</v>
      </c>
      <c r="W42" s="106">
        <v>350</v>
      </c>
      <c r="X42" s="106"/>
      <c r="Y42" s="37"/>
      <c r="Z42" s="106">
        <v>349</v>
      </c>
      <c r="AA42" s="106" t="s">
        <v>289</v>
      </c>
      <c r="AB42" s="106" t="s">
        <v>289</v>
      </c>
      <c r="AC42" s="106" t="s">
        <v>289</v>
      </c>
      <c r="AD42" s="106">
        <v>270</v>
      </c>
      <c r="AE42" s="106">
        <v>300</v>
      </c>
      <c r="AF42" s="106">
        <v>250</v>
      </c>
      <c r="AG42" s="106">
        <v>201</v>
      </c>
      <c r="AH42" s="106" t="s">
        <v>289</v>
      </c>
      <c r="AI42" s="106">
        <v>288</v>
      </c>
      <c r="AJ42" s="37"/>
      <c r="AK42" s="38"/>
      <c r="AL42" s="197"/>
      <c r="AN42" s="165"/>
    </row>
    <row r="43" spans="1:40" x14ac:dyDescent="0.25">
      <c r="A43" s="11">
        <v>41</v>
      </c>
      <c r="B43" s="106">
        <v>350</v>
      </c>
      <c r="C43" s="106">
        <v>350</v>
      </c>
      <c r="D43" s="106">
        <v>349</v>
      </c>
      <c r="E43" s="106">
        <v>350</v>
      </c>
      <c r="F43" s="106">
        <v>351</v>
      </c>
      <c r="G43" s="106">
        <v>350</v>
      </c>
      <c r="H43" s="106">
        <v>350</v>
      </c>
      <c r="I43" s="37"/>
      <c r="J43" s="106">
        <v>350</v>
      </c>
      <c r="K43" s="106">
        <v>351</v>
      </c>
      <c r="L43" s="106">
        <v>349</v>
      </c>
      <c r="M43" s="106">
        <v>350</v>
      </c>
      <c r="N43" s="106">
        <v>350</v>
      </c>
      <c r="O43" s="106">
        <v>350</v>
      </c>
      <c r="P43" s="106">
        <v>350</v>
      </c>
      <c r="Q43" s="37"/>
      <c r="R43" s="106">
        <v>350</v>
      </c>
      <c r="S43" s="106">
        <v>350</v>
      </c>
      <c r="T43" s="106">
        <v>350</v>
      </c>
      <c r="U43" s="106">
        <v>350</v>
      </c>
      <c r="V43" s="106">
        <v>350</v>
      </c>
      <c r="W43" s="106">
        <v>350</v>
      </c>
      <c r="X43" s="106"/>
      <c r="Y43" s="37"/>
      <c r="Z43" s="106" t="s">
        <v>289</v>
      </c>
      <c r="AA43" s="106" t="s">
        <v>289</v>
      </c>
      <c r="AB43" s="106" t="s">
        <v>289</v>
      </c>
      <c r="AC43" s="106" t="s">
        <v>289</v>
      </c>
      <c r="AD43" s="106" t="s">
        <v>289</v>
      </c>
      <c r="AE43" s="106" t="s">
        <v>289</v>
      </c>
      <c r="AF43" s="106">
        <v>200</v>
      </c>
      <c r="AG43" s="106">
        <v>300</v>
      </c>
      <c r="AH43" s="106">
        <v>100</v>
      </c>
      <c r="AI43" s="106" t="s">
        <v>289</v>
      </c>
      <c r="AJ43" s="37"/>
      <c r="AK43" s="38"/>
      <c r="AL43" s="197"/>
      <c r="AN43" s="165"/>
    </row>
    <row r="44" spans="1:40" x14ac:dyDescent="0.25">
      <c r="A44" s="11">
        <v>42</v>
      </c>
      <c r="B44" s="703" t="s">
        <v>290</v>
      </c>
      <c r="C44" s="703" t="s">
        <v>290</v>
      </c>
      <c r="D44" s="703" t="s">
        <v>290</v>
      </c>
      <c r="E44" s="703" t="s">
        <v>290</v>
      </c>
      <c r="F44" s="703" t="s">
        <v>290</v>
      </c>
      <c r="G44" s="703" t="s">
        <v>290</v>
      </c>
      <c r="H44" s="703" t="s">
        <v>290</v>
      </c>
      <c r="I44" s="111"/>
      <c r="J44" s="703" t="s">
        <v>290</v>
      </c>
      <c r="K44" s="703" t="s">
        <v>290</v>
      </c>
      <c r="L44" s="703" t="s">
        <v>290</v>
      </c>
      <c r="M44" s="703" t="s">
        <v>290</v>
      </c>
      <c r="N44" s="703" t="s">
        <v>290</v>
      </c>
      <c r="O44" s="703" t="s">
        <v>290</v>
      </c>
      <c r="P44" s="703" t="s">
        <v>290</v>
      </c>
      <c r="Q44" s="111"/>
      <c r="R44" s="546" t="s">
        <v>290</v>
      </c>
      <c r="S44" s="546" t="s">
        <v>290</v>
      </c>
      <c r="T44" s="546" t="s">
        <v>290</v>
      </c>
      <c r="U44" s="546" t="s">
        <v>290</v>
      </c>
      <c r="V44" s="546" t="s">
        <v>290</v>
      </c>
      <c r="W44" s="546" t="s">
        <v>290</v>
      </c>
      <c r="X44" s="546"/>
      <c r="Y44" s="111"/>
      <c r="Z44" s="546" t="s">
        <v>290</v>
      </c>
      <c r="AA44" s="546" t="s">
        <v>290</v>
      </c>
      <c r="AB44" s="546" t="s">
        <v>290</v>
      </c>
      <c r="AC44" s="546" t="s">
        <v>290</v>
      </c>
      <c r="AD44" s="546" t="s">
        <v>290</v>
      </c>
      <c r="AE44" s="546" t="s">
        <v>290</v>
      </c>
      <c r="AF44" s="546" t="s">
        <v>290</v>
      </c>
      <c r="AG44" s="546" t="s">
        <v>290</v>
      </c>
      <c r="AH44" s="546" t="s">
        <v>290</v>
      </c>
      <c r="AI44" s="546" t="s">
        <v>290</v>
      </c>
      <c r="AJ44" s="111"/>
      <c r="AK44" s="38"/>
      <c r="AL44" s="197"/>
      <c r="AN44" s="166"/>
    </row>
    <row r="45" spans="1:40" x14ac:dyDescent="0.25">
      <c r="A45" s="11">
        <v>43</v>
      </c>
      <c r="B45" s="106" t="s">
        <v>289</v>
      </c>
      <c r="C45" s="106" t="s">
        <v>289</v>
      </c>
      <c r="D45" s="106" t="s">
        <v>289</v>
      </c>
      <c r="E45" s="106" t="s">
        <v>289</v>
      </c>
      <c r="F45" s="106" t="s">
        <v>289</v>
      </c>
      <c r="G45" s="106" t="s">
        <v>289</v>
      </c>
      <c r="H45" s="106" t="s">
        <v>289</v>
      </c>
      <c r="I45" s="37"/>
      <c r="J45" s="106" t="s">
        <v>289</v>
      </c>
      <c r="K45" s="106" t="s">
        <v>289</v>
      </c>
      <c r="L45" s="106" t="s">
        <v>289</v>
      </c>
      <c r="M45" s="106" t="s">
        <v>289</v>
      </c>
      <c r="N45" s="106" t="s">
        <v>289</v>
      </c>
      <c r="O45" s="106" t="s">
        <v>289</v>
      </c>
      <c r="P45" s="106" t="s">
        <v>289</v>
      </c>
      <c r="Q45" s="37"/>
      <c r="R45" s="106" t="s">
        <v>289</v>
      </c>
      <c r="S45" s="106" t="s">
        <v>289</v>
      </c>
      <c r="T45" s="106" t="s">
        <v>289</v>
      </c>
      <c r="U45" s="106" t="s">
        <v>289</v>
      </c>
      <c r="V45" s="106" t="s">
        <v>289</v>
      </c>
      <c r="W45" s="106" t="s">
        <v>289</v>
      </c>
      <c r="X45" s="106"/>
      <c r="Y45" s="37"/>
      <c r="Z45" s="106" t="s">
        <v>289</v>
      </c>
      <c r="AA45" s="106" t="s">
        <v>289</v>
      </c>
      <c r="AB45" s="106" t="s">
        <v>289</v>
      </c>
      <c r="AC45" s="106" t="s">
        <v>289</v>
      </c>
      <c r="AD45" s="106" t="s">
        <v>289</v>
      </c>
      <c r="AE45" s="106" t="s">
        <v>289</v>
      </c>
      <c r="AF45" s="106" t="s">
        <v>289</v>
      </c>
      <c r="AG45" s="106" t="s">
        <v>289</v>
      </c>
      <c r="AH45" s="106" t="s">
        <v>289</v>
      </c>
      <c r="AI45" s="106" t="s">
        <v>289</v>
      </c>
      <c r="AJ45" s="37"/>
      <c r="AK45" s="38"/>
      <c r="AL45" s="197"/>
      <c r="AN45" s="167"/>
    </row>
    <row r="46" spans="1:40" x14ac:dyDescent="0.25">
      <c r="A46" s="11">
        <v>44</v>
      </c>
      <c r="B46" s="106" t="s">
        <v>289</v>
      </c>
      <c r="C46" s="106" t="s">
        <v>289</v>
      </c>
      <c r="D46" s="106" t="s">
        <v>289</v>
      </c>
      <c r="E46" s="106" t="s">
        <v>289</v>
      </c>
      <c r="F46" s="106" t="s">
        <v>289</v>
      </c>
      <c r="G46" s="106" t="s">
        <v>289</v>
      </c>
      <c r="H46" s="106" t="s">
        <v>289</v>
      </c>
      <c r="I46" s="37"/>
      <c r="J46" s="106" t="s">
        <v>289</v>
      </c>
      <c r="K46" s="106" t="s">
        <v>289</v>
      </c>
      <c r="L46" s="106" t="s">
        <v>289</v>
      </c>
      <c r="M46" s="106" t="s">
        <v>289</v>
      </c>
      <c r="N46" s="106" t="s">
        <v>289</v>
      </c>
      <c r="O46" s="106" t="s">
        <v>289</v>
      </c>
      <c r="P46" s="106" t="s">
        <v>289</v>
      </c>
      <c r="Q46" s="37"/>
      <c r="R46" s="106" t="s">
        <v>289</v>
      </c>
      <c r="S46" s="106" t="s">
        <v>289</v>
      </c>
      <c r="T46" s="106" t="s">
        <v>289</v>
      </c>
      <c r="U46" s="106" t="s">
        <v>289</v>
      </c>
      <c r="V46" s="106" t="s">
        <v>289</v>
      </c>
      <c r="W46" s="106" t="s">
        <v>289</v>
      </c>
      <c r="X46" s="106"/>
      <c r="Y46" s="37"/>
      <c r="Z46" s="106" t="s">
        <v>289</v>
      </c>
      <c r="AA46" s="106" t="s">
        <v>289</v>
      </c>
      <c r="AB46" s="106" t="s">
        <v>289</v>
      </c>
      <c r="AC46" s="106" t="s">
        <v>289</v>
      </c>
      <c r="AD46" s="106" t="s">
        <v>289</v>
      </c>
      <c r="AE46" s="106" t="s">
        <v>289</v>
      </c>
      <c r="AF46" s="106" t="s">
        <v>289</v>
      </c>
      <c r="AG46" s="106" t="s">
        <v>289</v>
      </c>
      <c r="AH46" s="106" t="s">
        <v>289</v>
      </c>
      <c r="AI46" s="106" t="s">
        <v>289</v>
      </c>
      <c r="AJ46" s="37"/>
      <c r="AK46" s="38"/>
      <c r="AL46" s="197"/>
    </row>
    <row r="47" spans="1:40" x14ac:dyDescent="0.25">
      <c r="A47" s="11">
        <v>45</v>
      </c>
      <c r="B47" s="106">
        <v>349</v>
      </c>
      <c r="C47" s="106" t="s">
        <v>289</v>
      </c>
      <c r="D47" s="106">
        <v>350</v>
      </c>
      <c r="E47" s="106">
        <v>350</v>
      </c>
      <c r="F47" s="106">
        <v>350</v>
      </c>
      <c r="G47" s="106">
        <v>263</v>
      </c>
      <c r="H47" s="106">
        <v>336</v>
      </c>
      <c r="I47" s="37"/>
      <c r="J47" s="106">
        <v>350</v>
      </c>
      <c r="K47" s="106">
        <v>343</v>
      </c>
      <c r="L47" s="106">
        <v>301</v>
      </c>
      <c r="M47" s="106">
        <v>349</v>
      </c>
      <c r="N47" s="106">
        <v>349</v>
      </c>
      <c r="O47" s="106">
        <v>350</v>
      </c>
      <c r="P47" s="106">
        <v>341</v>
      </c>
      <c r="Q47" s="37"/>
      <c r="R47" s="106">
        <v>350</v>
      </c>
      <c r="S47" s="106">
        <v>349</v>
      </c>
      <c r="T47" s="106">
        <v>351</v>
      </c>
      <c r="U47" s="106">
        <v>349</v>
      </c>
      <c r="V47" s="106">
        <v>350</v>
      </c>
      <c r="W47" s="106">
        <v>351</v>
      </c>
      <c r="X47" s="106"/>
      <c r="Y47" s="37"/>
      <c r="Z47" s="106">
        <v>350</v>
      </c>
      <c r="AA47" s="106">
        <v>350</v>
      </c>
      <c r="AB47" s="106">
        <v>125</v>
      </c>
      <c r="AC47" s="106">
        <v>42</v>
      </c>
      <c r="AD47" s="106" t="s">
        <v>289</v>
      </c>
      <c r="AE47" s="106" t="s">
        <v>289</v>
      </c>
      <c r="AF47" s="106">
        <v>350</v>
      </c>
      <c r="AG47" s="106">
        <v>350</v>
      </c>
      <c r="AH47" s="106">
        <v>49</v>
      </c>
      <c r="AI47" s="106">
        <v>201</v>
      </c>
      <c r="AJ47" s="37"/>
      <c r="AK47" s="38"/>
      <c r="AL47" s="197"/>
    </row>
    <row r="48" spans="1:40" x14ac:dyDescent="0.25">
      <c r="A48" s="11">
        <v>46</v>
      </c>
      <c r="B48" s="106">
        <v>350</v>
      </c>
      <c r="C48" s="106">
        <v>350</v>
      </c>
      <c r="D48" s="106">
        <v>349</v>
      </c>
      <c r="E48" s="106">
        <v>350</v>
      </c>
      <c r="F48" s="106">
        <v>350</v>
      </c>
      <c r="G48" s="106">
        <v>350</v>
      </c>
      <c r="H48" s="106">
        <v>347</v>
      </c>
      <c r="I48" s="37"/>
      <c r="J48" s="106">
        <v>350</v>
      </c>
      <c r="K48" s="106">
        <v>350</v>
      </c>
      <c r="L48" s="106">
        <v>350</v>
      </c>
      <c r="M48" s="106">
        <v>349</v>
      </c>
      <c r="N48" s="106">
        <v>350</v>
      </c>
      <c r="O48" s="106">
        <v>250</v>
      </c>
      <c r="P48" s="106">
        <v>350</v>
      </c>
      <c r="Q48" s="37"/>
      <c r="R48" s="106">
        <v>350</v>
      </c>
      <c r="S48" s="106">
        <v>353</v>
      </c>
      <c r="T48" s="106">
        <v>349</v>
      </c>
      <c r="U48" s="106">
        <v>350</v>
      </c>
      <c r="V48" s="106">
        <v>350</v>
      </c>
      <c r="W48" s="106">
        <v>350</v>
      </c>
      <c r="X48" s="106"/>
      <c r="Y48" s="37"/>
      <c r="Z48" s="106">
        <v>350</v>
      </c>
      <c r="AA48" s="106">
        <v>349</v>
      </c>
      <c r="AB48" s="106">
        <v>349</v>
      </c>
      <c r="AC48" s="106">
        <v>350</v>
      </c>
      <c r="AD48" s="106">
        <v>349</v>
      </c>
      <c r="AE48" s="106">
        <v>350</v>
      </c>
      <c r="AF48" s="106">
        <v>271</v>
      </c>
      <c r="AG48" s="106">
        <v>250</v>
      </c>
      <c r="AH48" s="106">
        <v>350</v>
      </c>
      <c r="AI48" s="106">
        <v>350</v>
      </c>
      <c r="AJ48" s="37"/>
      <c r="AK48" s="38"/>
      <c r="AL48" s="197"/>
    </row>
    <row r="49" spans="1:38" x14ac:dyDescent="0.25">
      <c r="A49" s="11">
        <v>47</v>
      </c>
      <c r="B49" s="106">
        <v>349</v>
      </c>
      <c r="C49" s="106">
        <v>350</v>
      </c>
      <c r="D49" s="106">
        <v>349</v>
      </c>
      <c r="E49" s="106">
        <v>332</v>
      </c>
      <c r="F49" s="106">
        <v>350</v>
      </c>
      <c r="G49" s="106">
        <v>323</v>
      </c>
      <c r="H49" s="106">
        <v>268</v>
      </c>
      <c r="I49" s="37"/>
      <c r="J49" s="106">
        <v>350</v>
      </c>
      <c r="K49" s="106">
        <v>350</v>
      </c>
      <c r="L49" s="106">
        <v>350</v>
      </c>
      <c r="M49" s="106">
        <v>340</v>
      </c>
      <c r="N49" s="106">
        <v>350</v>
      </c>
      <c r="O49" s="106">
        <v>349</v>
      </c>
      <c r="P49" s="106">
        <v>350</v>
      </c>
      <c r="Q49" s="37"/>
      <c r="R49" s="106">
        <v>350</v>
      </c>
      <c r="S49" s="106">
        <v>333</v>
      </c>
      <c r="T49" s="106">
        <v>349</v>
      </c>
      <c r="U49" s="106">
        <v>350</v>
      </c>
      <c r="V49" s="106">
        <v>349</v>
      </c>
      <c r="W49" s="106">
        <v>350</v>
      </c>
      <c r="X49" s="106"/>
      <c r="Y49" s="37"/>
      <c r="Z49" s="106">
        <v>349</v>
      </c>
      <c r="AA49" s="106">
        <v>349</v>
      </c>
      <c r="AB49" s="106">
        <v>300</v>
      </c>
      <c r="AC49" s="106">
        <v>285</v>
      </c>
      <c r="AD49" s="106">
        <v>281</v>
      </c>
      <c r="AE49" s="106">
        <v>216</v>
      </c>
      <c r="AF49" s="106">
        <v>261</v>
      </c>
      <c r="AG49" s="106">
        <v>258</v>
      </c>
      <c r="AH49" s="106">
        <v>218</v>
      </c>
      <c r="AI49" s="106">
        <v>311</v>
      </c>
      <c r="AJ49" s="37"/>
      <c r="AK49" s="38"/>
      <c r="AL49" s="197"/>
    </row>
    <row r="50" spans="1:38" x14ac:dyDescent="0.25">
      <c r="A50" s="11">
        <v>48</v>
      </c>
      <c r="B50" s="106">
        <v>350</v>
      </c>
      <c r="C50" s="106">
        <v>350</v>
      </c>
      <c r="D50" s="106">
        <v>350</v>
      </c>
      <c r="E50" s="106">
        <v>337</v>
      </c>
      <c r="F50" s="106">
        <v>300</v>
      </c>
      <c r="G50" s="106">
        <v>350</v>
      </c>
      <c r="H50" s="106">
        <v>336</v>
      </c>
      <c r="I50" s="37"/>
      <c r="J50" s="106">
        <v>298</v>
      </c>
      <c r="K50" s="106">
        <v>251</v>
      </c>
      <c r="L50" s="106">
        <v>300</v>
      </c>
      <c r="M50" s="106">
        <v>309</v>
      </c>
      <c r="N50" s="106">
        <v>350</v>
      </c>
      <c r="O50" s="106">
        <v>251</v>
      </c>
      <c r="P50" s="106">
        <v>350</v>
      </c>
      <c r="Q50" s="37"/>
      <c r="R50" s="106">
        <v>350</v>
      </c>
      <c r="S50" s="106">
        <v>350</v>
      </c>
      <c r="T50" s="106">
        <v>349</v>
      </c>
      <c r="U50" s="106">
        <v>350</v>
      </c>
      <c r="V50" s="106">
        <v>350</v>
      </c>
      <c r="W50" s="106">
        <v>351</v>
      </c>
      <c r="X50" s="106"/>
      <c r="Y50" s="37"/>
      <c r="Z50" s="106">
        <v>300</v>
      </c>
      <c r="AA50" s="106">
        <v>349</v>
      </c>
      <c r="AB50" s="106">
        <v>300</v>
      </c>
      <c r="AC50" s="106">
        <v>349</v>
      </c>
      <c r="AD50" s="106">
        <v>340</v>
      </c>
      <c r="AE50" s="106">
        <v>300</v>
      </c>
      <c r="AF50" s="106">
        <v>137</v>
      </c>
      <c r="AG50" s="106">
        <v>186</v>
      </c>
      <c r="AH50" s="106">
        <v>244</v>
      </c>
      <c r="AI50" s="106">
        <v>351</v>
      </c>
      <c r="AJ50" s="37"/>
      <c r="AK50" s="38"/>
      <c r="AL50" s="197"/>
    </row>
    <row r="51" spans="1:38" x14ac:dyDescent="0.25">
      <c r="A51" s="11">
        <v>49</v>
      </c>
      <c r="B51" s="106">
        <v>329</v>
      </c>
      <c r="C51" s="106">
        <v>350</v>
      </c>
      <c r="D51" s="106">
        <v>350</v>
      </c>
      <c r="E51" s="106">
        <v>349</v>
      </c>
      <c r="F51" s="106">
        <v>300</v>
      </c>
      <c r="G51" s="106">
        <v>350</v>
      </c>
      <c r="H51" s="106">
        <v>350</v>
      </c>
      <c r="I51" s="37"/>
      <c r="J51" s="106">
        <v>350</v>
      </c>
      <c r="K51" s="106">
        <v>350</v>
      </c>
      <c r="L51" s="106">
        <v>307</v>
      </c>
      <c r="M51" s="106">
        <v>300</v>
      </c>
      <c r="N51" s="106">
        <v>348</v>
      </c>
      <c r="O51" s="106">
        <v>225</v>
      </c>
      <c r="P51" s="106">
        <v>350</v>
      </c>
      <c r="Q51" s="37"/>
      <c r="R51" s="106">
        <v>349</v>
      </c>
      <c r="S51" s="106">
        <v>349</v>
      </c>
      <c r="T51" s="106">
        <v>350</v>
      </c>
      <c r="U51" s="106">
        <v>349</v>
      </c>
      <c r="V51" s="106">
        <v>350</v>
      </c>
      <c r="W51" s="106">
        <v>350</v>
      </c>
      <c r="X51" s="106"/>
      <c r="Y51" s="37"/>
      <c r="Z51" s="106">
        <v>327</v>
      </c>
      <c r="AA51" s="106">
        <v>262</v>
      </c>
      <c r="AB51" s="106">
        <v>268</v>
      </c>
      <c r="AC51" s="106">
        <v>122</v>
      </c>
      <c r="AD51" s="106">
        <v>239</v>
      </c>
      <c r="AE51" s="106">
        <v>300</v>
      </c>
      <c r="AF51" s="106">
        <v>258</v>
      </c>
      <c r="AG51" s="106">
        <v>275</v>
      </c>
      <c r="AH51" s="106">
        <v>79</v>
      </c>
      <c r="AI51" s="106">
        <v>96</v>
      </c>
      <c r="AJ51" s="37"/>
      <c r="AK51" s="38"/>
      <c r="AL51" s="197"/>
    </row>
    <row r="52" spans="1:38" x14ac:dyDescent="0.25">
      <c r="A52" s="11">
        <v>50</v>
      </c>
      <c r="B52" s="106">
        <v>350</v>
      </c>
      <c r="C52" s="106">
        <v>250</v>
      </c>
      <c r="D52" s="106">
        <v>300</v>
      </c>
      <c r="E52" s="106">
        <v>349</v>
      </c>
      <c r="F52" s="106">
        <v>300</v>
      </c>
      <c r="G52" s="106">
        <v>349</v>
      </c>
      <c r="H52" s="106">
        <v>222</v>
      </c>
      <c r="I52" s="37"/>
      <c r="J52" s="106">
        <v>262</v>
      </c>
      <c r="K52" s="106">
        <v>197</v>
      </c>
      <c r="L52" s="106">
        <v>273</v>
      </c>
      <c r="M52" s="106">
        <v>350</v>
      </c>
      <c r="N52" s="106">
        <v>349</v>
      </c>
      <c r="O52" s="106">
        <v>350</v>
      </c>
      <c r="P52" s="106">
        <v>350</v>
      </c>
      <c r="Q52" s="37"/>
      <c r="R52" s="106">
        <v>350</v>
      </c>
      <c r="S52" s="106">
        <v>350</v>
      </c>
      <c r="T52" s="106">
        <v>350</v>
      </c>
      <c r="U52" s="106">
        <v>350</v>
      </c>
      <c r="V52" s="106">
        <v>349</v>
      </c>
      <c r="W52" s="106">
        <v>310</v>
      </c>
      <c r="X52" s="106"/>
      <c r="Y52" s="37"/>
      <c r="Z52" s="106" t="s">
        <v>289</v>
      </c>
      <c r="AA52" s="106">
        <v>211</v>
      </c>
      <c r="AB52" s="106">
        <v>246</v>
      </c>
      <c r="AC52" s="106">
        <v>195</v>
      </c>
      <c r="AD52" s="106">
        <v>224</v>
      </c>
      <c r="AE52" s="106">
        <v>228</v>
      </c>
      <c r="AF52" s="106">
        <v>238</v>
      </c>
      <c r="AG52" s="106">
        <v>177</v>
      </c>
      <c r="AH52" s="106">
        <v>179</v>
      </c>
      <c r="AI52" s="106">
        <v>134</v>
      </c>
      <c r="AJ52" s="37"/>
      <c r="AK52" s="38"/>
      <c r="AL52" s="197"/>
    </row>
    <row r="53" spans="1:38" x14ac:dyDescent="0.25">
      <c r="A53" s="11">
        <v>51</v>
      </c>
      <c r="B53" s="106">
        <v>350</v>
      </c>
      <c r="C53" s="106">
        <v>350</v>
      </c>
      <c r="D53" s="106">
        <v>350</v>
      </c>
      <c r="E53" s="106">
        <v>349</v>
      </c>
      <c r="F53" s="106">
        <v>350</v>
      </c>
      <c r="G53" s="106">
        <v>309</v>
      </c>
      <c r="H53" s="106">
        <v>300</v>
      </c>
      <c r="I53" s="37"/>
      <c r="J53" s="106">
        <v>300</v>
      </c>
      <c r="K53" s="106">
        <v>201</v>
      </c>
      <c r="L53" s="106">
        <v>293</v>
      </c>
      <c r="M53" s="106">
        <v>318</v>
      </c>
      <c r="N53" s="106">
        <v>350</v>
      </c>
      <c r="O53" s="106">
        <v>350</v>
      </c>
      <c r="P53" s="106">
        <v>239</v>
      </c>
      <c r="Q53" s="37"/>
      <c r="R53" s="106">
        <v>349</v>
      </c>
      <c r="S53" s="106">
        <v>350</v>
      </c>
      <c r="T53" s="106">
        <v>349</v>
      </c>
      <c r="U53" s="106">
        <v>350</v>
      </c>
      <c r="V53" s="106">
        <v>349</v>
      </c>
      <c r="W53" s="106">
        <v>350</v>
      </c>
      <c r="X53" s="106"/>
      <c r="Y53" s="37"/>
      <c r="Z53" s="106">
        <v>200</v>
      </c>
      <c r="AA53" s="106">
        <v>250</v>
      </c>
      <c r="AB53" s="106">
        <v>350</v>
      </c>
      <c r="AC53" s="106">
        <v>350</v>
      </c>
      <c r="AD53" s="106">
        <v>301</v>
      </c>
      <c r="AE53" s="106">
        <v>200</v>
      </c>
      <c r="AF53" s="106">
        <v>200</v>
      </c>
      <c r="AG53" s="106">
        <v>200</v>
      </c>
      <c r="AH53" s="106">
        <v>200</v>
      </c>
      <c r="AI53" s="106">
        <v>300</v>
      </c>
      <c r="AJ53" s="37"/>
      <c r="AK53" s="38"/>
      <c r="AL53" s="197"/>
    </row>
    <row r="54" spans="1:38" x14ac:dyDescent="0.25">
      <c r="A54" s="11">
        <v>52</v>
      </c>
      <c r="B54" s="106">
        <v>297</v>
      </c>
      <c r="C54" s="106">
        <v>347</v>
      </c>
      <c r="D54" s="106">
        <v>261</v>
      </c>
      <c r="E54" s="106">
        <v>250</v>
      </c>
      <c r="F54" s="116">
        <v>345</v>
      </c>
      <c r="G54" s="116">
        <v>259</v>
      </c>
      <c r="H54" s="116">
        <v>350</v>
      </c>
      <c r="I54" s="723"/>
      <c r="J54" s="116">
        <v>300</v>
      </c>
      <c r="K54" s="106">
        <v>251</v>
      </c>
      <c r="L54" s="106">
        <v>142</v>
      </c>
      <c r="M54" s="106">
        <v>267</v>
      </c>
      <c r="N54" s="106">
        <v>349</v>
      </c>
      <c r="O54" s="106">
        <v>349</v>
      </c>
      <c r="P54" s="106">
        <v>258</v>
      </c>
      <c r="Q54" s="37"/>
      <c r="R54" s="106">
        <v>342</v>
      </c>
      <c r="S54" s="106">
        <v>271</v>
      </c>
      <c r="T54" s="106">
        <v>252</v>
      </c>
      <c r="U54" s="106">
        <v>260</v>
      </c>
      <c r="V54" s="106">
        <v>229</v>
      </c>
      <c r="W54" s="106">
        <v>300</v>
      </c>
      <c r="X54" s="106"/>
      <c r="Y54" s="37"/>
      <c r="Z54" s="106" t="s">
        <v>289</v>
      </c>
      <c r="AA54" s="106" t="s">
        <v>289</v>
      </c>
      <c r="AB54" s="106">
        <v>203</v>
      </c>
      <c r="AC54" s="106">
        <v>181</v>
      </c>
      <c r="AD54" s="106">
        <v>229</v>
      </c>
      <c r="AE54" s="106">
        <v>193</v>
      </c>
      <c r="AF54" s="106">
        <v>242</v>
      </c>
      <c r="AG54" s="106">
        <v>160</v>
      </c>
      <c r="AH54" s="106">
        <v>82</v>
      </c>
      <c r="AI54" s="106">
        <v>227</v>
      </c>
      <c r="AJ54" s="37"/>
      <c r="AK54" s="38"/>
      <c r="AL54" s="197"/>
    </row>
    <row r="55" spans="1:38" x14ac:dyDescent="0.25">
      <c r="A55" s="11">
        <v>53</v>
      </c>
      <c r="B55" s="106">
        <v>347</v>
      </c>
      <c r="C55" s="106">
        <v>300</v>
      </c>
      <c r="D55" s="106">
        <v>301</v>
      </c>
      <c r="E55" s="106">
        <v>200</v>
      </c>
      <c r="F55" s="106">
        <v>350</v>
      </c>
      <c r="G55" s="106">
        <v>210</v>
      </c>
      <c r="H55" s="106">
        <v>350</v>
      </c>
      <c r="I55" s="37"/>
      <c r="J55" s="106">
        <v>303</v>
      </c>
      <c r="K55" s="106">
        <v>200</v>
      </c>
      <c r="L55" s="106">
        <v>147</v>
      </c>
      <c r="M55" s="106">
        <v>236</v>
      </c>
      <c r="N55" s="106">
        <v>263</v>
      </c>
      <c r="O55" s="106">
        <v>196</v>
      </c>
      <c r="P55" s="106">
        <v>257</v>
      </c>
      <c r="Q55" s="37"/>
      <c r="R55" s="106">
        <v>348</v>
      </c>
      <c r="S55" s="106">
        <v>201</v>
      </c>
      <c r="T55" s="106">
        <v>249</v>
      </c>
      <c r="U55" s="106">
        <v>350</v>
      </c>
      <c r="V55" s="106">
        <v>274</v>
      </c>
      <c r="W55" s="106">
        <v>304</v>
      </c>
      <c r="X55" s="106"/>
      <c r="Y55" s="37"/>
      <c r="Z55" s="106" t="s">
        <v>289</v>
      </c>
      <c r="AA55" s="106" t="s">
        <v>289</v>
      </c>
      <c r="AB55" s="106" t="s">
        <v>289</v>
      </c>
      <c r="AC55" s="106" t="s">
        <v>289</v>
      </c>
      <c r="AD55" s="106">
        <v>275</v>
      </c>
      <c r="AE55" s="106">
        <v>207</v>
      </c>
      <c r="AF55" s="106">
        <v>255</v>
      </c>
      <c r="AG55" s="106">
        <v>195</v>
      </c>
      <c r="AH55" s="106">
        <v>195</v>
      </c>
      <c r="AI55" s="106">
        <v>200</v>
      </c>
      <c r="AJ55" s="37"/>
      <c r="AK55" s="38"/>
      <c r="AL55" s="197"/>
    </row>
    <row r="56" spans="1:38" x14ac:dyDescent="0.25">
      <c r="A56" s="11">
        <v>54</v>
      </c>
      <c r="B56" s="106">
        <v>247</v>
      </c>
      <c r="C56" s="106">
        <v>300</v>
      </c>
      <c r="D56" s="106">
        <v>350</v>
      </c>
      <c r="E56" s="106">
        <v>250</v>
      </c>
      <c r="F56" s="106">
        <v>300</v>
      </c>
      <c r="G56" s="106">
        <v>323</v>
      </c>
      <c r="H56" s="106">
        <v>225</v>
      </c>
      <c r="I56" s="37"/>
      <c r="J56" s="106">
        <v>300</v>
      </c>
      <c r="K56" s="106">
        <v>288</v>
      </c>
      <c r="L56" s="106">
        <v>201</v>
      </c>
      <c r="M56" s="106">
        <v>243</v>
      </c>
      <c r="N56" s="106">
        <v>350</v>
      </c>
      <c r="O56" s="106">
        <v>323</v>
      </c>
      <c r="P56" s="106">
        <v>350</v>
      </c>
      <c r="Q56" s="37"/>
      <c r="R56" s="106">
        <v>331</v>
      </c>
      <c r="S56" s="106">
        <v>291</v>
      </c>
      <c r="T56" s="106">
        <v>334</v>
      </c>
      <c r="U56" s="106">
        <v>305</v>
      </c>
      <c r="V56" s="106">
        <v>233</v>
      </c>
      <c r="W56" s="106">
        <v>327</v>
      </c>
      <c r="X56" s="106"/>
      <c r="Y56" s="37"/>
      <c r="Z56" s="106">
        <v>254</v>
      </c>
      <c r="AA56" s="106">
        <v>201</v>
      </c>
      <c r="AB56" s="106">
        <v>201</v>
      </c>
      <c r="AC56" s="106">
        <v>244</v>
      </c>
      <c r="AD56" s="106">
        <v>256</v>
      </c>
      <c r="AE56" s="106">
        <v>223</v>
      </c>
      <c r="AF56" s="106">
        <v>229</v>
      </c>
      <c r="AG56" s="106">
        <v>176</v>
      </c>
      <c r="AH56" s="106">
        <v>265</v>
      </c>
      <c r="AI56" s="106">
        <v>214</v>
      </c>
      <c r="AJ56" s="37"/>
      <c r="AK56" s="38"/>
      <c r="AL56" s="197"/>
    </row>
    <row r="57" spans="1:38" x14ac:dyDescent="0.25">
      <c r="A57" s="11">
        <v>55</v>
      </c>
      <c r="B57" s="106">
        <v>346</v>
      </c>
      <c r="C57" s="106">
        <v>351</v>
      </c>
      <c r="D57" s="106">
        <v>250</v>
      </c>
      <c r="E57" s="106">
        <v>201</v>
      </c>
      <c r="F57" s="106">
        <v>260</v>
      </c>
      <c r="G57" s="106">
        <v>341</v>
      </c>
      <c r="H57" s="106">
        <v>350</v>
      </c>
      <c r="I57" s="37"/>
      <c r="J57" s="106">
        <v>217</v>
      </c>
      <c r="K57" s="106">
        <v>201</v>
      </c>
      <c r="L57" s="106">
        <v>250</v>
      </c>
      <c r="M57" s="106">
        <v>209</v>
      </c>
      <c r="N57" s="106">
        <v>237</v>
      </c>
      <c r="O57" s="106">
        <v>350</v>
      </c>
      <c r="P57" s="106">
        <v>231</v>
      </c>
      <c r="Q57" s="37"/>
      <c r="R57" s="106">
        <v>306</v>
      </c>
      <c r="S57" s="106">
        <v>316</v>
      </c>
      <c r="T57" s="106">
        <v>250</v>
      </c>
      <c r="U57" s="106">
        <v>350</v>
      </c>
      <c r="V57" s="106">
        <v>267</v>
      </c>
      <c r="W57" s="106">
        <v>255</v>
      </c>
      <c r="X57" s="106"/>
      <c r="Y57" s="37"/>
      <c r="Z57" s="106">
        <v>217</v>
      </c>
      <c r="AA57" s="106">
        <v>84</v>
      </c>
      <c r="AB57" s="106">
        <v>193</v>
      </c>
      <c r="AC57" s="106">
        <v>209</v>
      </c>
      <c r="AD57" s="106">
        <v>243</v>
      </c>
      <c r="AE57" s="106">
        <v>32</v>
      </c>
      <c r="AF57" s="106">
        <v>70</v>
      </c>
      <c r="AG57" s="106">
        <v>157</v>
      </c>
      <c r="AH57" s="106">
        <v>78</v>
      </c>
      <c r="AI57" s="106">
        <v>246</v>
      </c>
      <c r="AJ57" s="37"/>
      <c r="AK57" s="38"/>
      <c r="AL57" s="197"/>
    </row>
    <row r="58" spans="1:38" x14ac:dyDescent="0.25">
      <c r="A58" s="11">
        <v>56</v>
      </c>
      <c r="B58" s="106">
        <v>350</v>
      </c>
      <c r="C58" s="106">
        <v>350</v>
      </c>
      <c r="D58" s="106">
        <v>251</v>
      </c>
      <c r="E58" s="106">
        <v>251</v>
      </c>
      <c r="F58" s="106">
        <v>237</v>
      </c>
      <c r="G58" s="106">
        <v>251</v>
      </c>
      <c r="H58" s="106">
        <v>350</v>
      </c>
      <c r="I58" s="37"/>
      <c r="J58" s="106">
        <v>237</v>
      </c>
      <c r="K58" s="106">
        <v>284</v>
      </c>
      <c r="L58" s="106">
        <v>201</v>
      </c>
      <c r="M58" s="106">
        <v>286</v>
      </c>
      <c r="N58" s="106">
        <v>250</v>
      </c>
      <c r="O58" s="106">
        <v>350</v>
      </c>
      <c r="P58" s="106">
        <v>278</v>
      </c>
      <c r="Q58" s="37"/>
      <c r="R58" s="106">
        <v>250</v>
      </c>
      <c r="S58" s="106">
        <v>201</v>
      </c>
      <c r="T58" s="106">
        <v>267</v>
      </c>
      <c r="U58" s="106">
        <v>331</v>
      </c>
      <c r="V58" s="106">
        <v>233</v>
      </c>
      <c r="W58" s="106">
        <v>300</v>
      </c>
      <c r="X58" s="106"/>
      <c r="Y58" s="37"/>
      <c r="Z58" s="106">
        <v>220</v>
      </c>
      <c r="AA58" s="106">
        <v>108</v>
      </c>
      <c r="AB58" s="106">
        <v>176</v>
      </c>
      <c r="AC58" s="106">
        <v>156</v>
      </c>
      <c r="AD58" s="106">
        <v>226</v>
      </c>
      <c r="AE58" s="106">
        <v>201</v>
      </c>
      <c r="AF58" s="106">
        <v>256</v>
      </c>
      <c r="AG58" s="106">
        <v>163</v>
      </c>
      <c r="AH58" s="106">
        <v>72</v>
      </c>
      <c r="AI58" s="106">
        <v>225</v>
      </c>
      <c r="AJ58" s="37"/>
      <c r="AK58" s="38"/>
      <c r="AL58" s="197"/>
    </row>
    <row r="59" spans="1:38" x14ac:dyDescent="0.25">
      <c r="A59" s="11">
        <v>57</v>
      </c>
      <c r="B59" s="106">
        <v>350</v>
      </c>
      <c r="C59" s="106">
        <v>350</v>
      </c>
      <c r="D59" s="106">
        <v>250</v>
      </c>
      <c r="E59" s="106">
        <v>250</v>
      </c>
      <c r="F59" s="106">
        <v>301</v>
      </c>
      <c r="G59" s="106">
        <v>288</v>
      </c>
      <c r="H59" s="106">
        <v>350</v>
      </c>
      <c r="I59" s="37"/>
      <c r="J59" s="106">
        <v>281</v>
      </c>
      <c r="K59" s="106">
        <v>251</v>
      </c>
      <c r="L59" s="106">
        <v>349</v>
      </c>
      <c r="M59" s="106">
        <v>327</v>
      </c>
      <c r="N59" s="106">
        <v>306</v>
      </c>
      <c r="O59" s="106">
        <v>350</v>
      </c>
      <c r="P59" s="106">
        <v>242</v>
      </c>
      <c r="Q59" s="37"/>
      <c r="R59" s="106">
        <v>300</v>
      </c>
      <c r="S59" s="106">
        <v>329</v>
      </c>
      <c r="T59" s="106">
        <v>350</v>
      </c>
      <c r="U59" s="106">
        <v>300</v>
      </c>
      <c r="V59" s="106">
        <v>279</v>
      </c>
      <c r="W59" s="106">
        <v>279</v>
      </c>
      <c r="X59" s="106"/>
      <c r="Y59" s="37"/>
      <c r="Z59" s="106">
        <v>150</v>
      </c>
      <c r="AA59" s="106">
        <v>335</v>
      </c>
      <c r="AB59" s="106">
        <v>335</v>
      </c>
      <c r="AC59" s="106">
        <v>223</v>
      </c>
      <c r="AD59" s="106">
        <v>260</v>
      </c>
      <c r="AE59" s="106">
        <v>265</v>
      </c>
      <c r="AF59" s="106">
        <v>193</v>
      </c>
      <c r="AG59" s="106">
        <v>300</v>
      </c>
      <c r="AH59" s="106">
        <v>256</v>
      </c>
      <c r="AI59" s="106">
        <v>302</v>
      </c>
      <c r="AJ59" s="37"/>
      <c r="AK59" s="38"/>
      <c r="AL59" s="197"/>
    </row>
    <row r="60" spans="1:38" x14ac:dyDescent="0.25">
      <c r="A60" s="11">
        <v>58</v>
      </c>
      <c r="B60" s="106">
        <v>258</v>
      </c>
      <c r="C60" s="106">
        <v>250</v>
      </c>
      <c r="D60" s="106">
        <v>249</v>
      </c>
      <c r="E60" s="106">
        <v>223</v>
      </c>
      <c r="F60" s="106">
        <v>300</v>
      </c>
      <c r="G60" s="106">
        <v>229</v>
      </c>
      <c r="H60" s="106">
        <v>181</v>
      </c>
      <c r="I60" s="37"/>
      <c r="J60" s="106">
        <v>199</v>
      </c>
      <c r="K60" s="106">
        <v>327</v>
      </c>
      <c r="L60" s="106">
        <v>250</v>
      </c>
      <c r="M60" s="106">
        <v>199</v>
      </c>
      <c r="N60" s="106">
        <v>315</v>
      </c>
      <c r="O60" s="106">
        <v>350</v>
      </c>
      <c r="P60" s="106">
        <v>276</v>
      </c>
      <c r="Q60" s="37"/>
      <c r="R60" s="106">
        <v>350</v>
      </c>
      <c r="S60" s="106">
        <v>300</v>
      </c>
      <c r="T60" s="106">
        <v>350</v>
      </c>
      <c r="U60" s="106">
        <v>343</v>
      </c>
      <c r="V60" s="106">
        <v>350</v>
      </c>
      <c r="W60" s="106">
        <v>268</v>
      </c>
      <c r="X60" s="106"/>
      <c r="Y60" s="37"/>
      <c r="Z60" s="106" t="s">
        <v>289</v>
      </c>
      <c r="AA60" s="106">
        <v>204</v>
      </c>
      <c r="AB60" s="106">
        <v>217</v>
      </c>
      <c r="AC60" s="106">
        <v>193</v>
      </c>
      <c r="AD60" s="106">
        <v>224</v>
      </c>
      <c r="AE60" s="106">
        <v>187</v>
      </c>
      <c r="AF60" s="106">
        <v>265</v>
      </c>
      <c r="AG60" s="106">
        <v>195</v>
      </c>
      <c r="AH60" s="106" t="s">
        <v>289</v>
      </c>
      <c r="AI60" s="106">
        <v>347</v>
      </c>
      <c r="AJ60" s="37"/>
      <c r="AK60" s="38"/>
      <c r="AL60" s="197"/>
    </row>
    <row r="61" spans="1:38" ht="15.75" x14ac:dyDescent="0.25">
      <c r="A61" s="11">
        <v>59</v>
      </c>
      <c r="B61" s="106">
        <v>201</v>
      </c>
      <c r="C61" s="106">
        <v>249</v>
      </c>
      <c r="D61" s="106">
        <v>190</v>
      </c>
      <c r="E61" s="106">
        <v>348</v>
      </c>
      <c r="F61" s="106">
        <v>279</v>
      </c>
      <c r="G61" s="106">
        <v>350</v>
      </c>
      <c r="H61" s="106">
        <v>115</v>
      </c>
      <c r="I61" s="37"/>
      <c r="J61" s="106">
        <v>350</v>
      </c>
      <c r="K61" s="106">
        <v>255</v>
      </c>
      <c r="L61" s="106">
        <v>202</v>
      </c>
      <c r="M61" s="106">
        <v>240</v>
      </c>
      <c r="N61" s="106">
        <v>240</v>
      </c>
      <c r="O61" s="106">
        <v>350</v>
      </c>
      <c r="P61" s="106">
        <v>250</v>
      </c>
      <c r="Q61" s="37"/>
      <c r="R61" s="106">
        <v>324</v>
      </c>
      <c r="S61" s="106">
        <v>225</v>
      </c>
      <c r="T61" s="106">
        <v>259</v>
      </c>
      <c r="U61" s="106">
        <v>309</v>
      </c>
      <c r="V61" s="106">
        <v>211</v>
      </c>
      <c r="W61" s="106">
        <v>300</v>
      </c>
      <c r="X61" s="106"/>
      <c r="Y61" s="37"/>
      <c r="Z61" s="106" t="s">
        <v>289</v>
      </c>
      <c r="AA61" s="106">
        <v>124</v>
      </c>
      <c r="AB61" s="106">
        <v>192</v>
      </c>
      <c r="AC61" s="106">
        <v>241</v>
      </c>
      <c r="AD61" s="106">
        <v>131</v>
      </c>
      <c r="AE61" s="106" t="s">
        <v>289</v>
      </c>
      <c r="AF61" s="106">
        <v>196</v>
      </c>
      <c r="AG61" s="106">
        <v>160</v>
      </c>
      <c r="AH61" s="106">
        <v>141</v>
      </c>
      <c r="AI61" s="106">
        <v>199</v>
      </c>
      <c r="AJ61" s="37"/>
      <c r="AK61" s="652">
        <v>97745</v>
      </c>
      <c r="AL61" s="197"/>
    </row>
    <row r="62" spans="1:38" ht="15.75" x14ac:dyDescent="0.25">
      <c r="A62" s="11">
        <v>60</v>
      </c>
      <c r="B62" s="106">
        <v>299</v>
      </c>
      <c r="C62" s="106">
        <v>346</v>
      </c>
      <c r="D62" s="106">
        <v>351</v>
      </c>
      <c r="E62" s="106">
        <v>250</v>
      </c>
      <c r="F62" s="106">
        <v>351</v>
      </c>
      <c r="G62" s="106">
        <v>233</v>
      </c>
      <c r="H62" s="106">
        <v>244</v>
      </c>
      <c r="I62" s="37"/>
      <c r="J62" s="106">
        <v>247</v>
      </c>
      <c r="K62" s="106">
        <v>220</v>
      </c>
      <c r="L62" s="106">
        <v>302</v>
      </c>
      <c r="M62" s="106">
        <v>321</v>
      </c>
      <c r="N62" s="106">
        <v>300</v>
      </c>
      <c r="O62" s="106">
        <v>350</v>
      </c>
      <c r="P62" s="106">
        <v>250</v>
      </c>
      <c r="Q62" s="37"/>
      <c r="R62" s="106">
        <v>235</v>
      </c>
      <c r="S62" s="106">
        <v>251</v>
      </c>
      <c r="T62" s="106">
        <v>267</v>
      </c>
      <c r="U62" s="106">
        <v>286</v>
      </c>
      <c r="V62" s="106">
        <v>250</v>
      </c>
      <c r="W62" s="106">
        <v>286</v>
      </c>
      <c r="X62" s="106"/>
      <c r="Y62" s="37"/>
      <c r="Z62" s="106">
        <v>200</v>
      </c>
      <c r="AA62" s="106">
        <v>158</v>
      </c>
      <c r="AB62" s="106">
        <v>221</v>
      </c>
      <c r="AC62" s="106" t="s">
        <v>289</v>
      </c>
      <c r="AD62" s="106">
        <v>193</v>
      </c>
      <c r="AE62" s="106">
        <v>200</v>
      </c>
      <c r="AF62" s="106">
        <v>274</v>
      </c>
      <c r="AG62" s="106">
        <v>170</v>
      </c>
      <c r="AH62" s="106">
        <v>93</v>
      </c>
      <c r="AI62" s="106">
        <v>231</v>
      </c>
      <c r="AJ62" s="37"/>
      <c r="AK62" s="652">
        <v>96196</v>
      </c>
      <c r="AL62" s="197"/>
    </row>
    <row r="63" spans="1:38" ht="15.75" x14ac:dyDescent="0.25">
      <c r="A63" s="11">
        <v>61</v>
      </c>
      <c r="B63" s="106">
        <v>299</v>
      </c>
      <c r="C63" s="106">
        <v>300</v>
      </c>
      <c r="D63" s="106">
        <v>270</v>
      </c>
      <c r="E63" s="106">
        <v>351</v>
      </c>
      <c r="F63" s="106">
        <v>339</v>
      </c>
      <c r="G63" s="106">
        <v>316</v>
      </c>
      <c r="H63" s="106">
        <v>220</v>
      </c>
      <c r="I63" s="37"/>
      <c r="J63" s="106">
        <v>300</v>
      </c>
      <c r="K63" s="106">
        <v>300</v>
      </c>
      <c r="L63" s="106">
        <v>234</v>
      </c>
      <c r="M63" s="106">
        <v>244</v>
      </c>
      <c r="N63" s="106">
        <v>323</v>
      </c>
      <c r="O63" s="106">
        <v>298</v>
      </c>
      <c r="P63" s="106">
        <v>300</v>
      </c>
      <c r="Q63" s="37"/>
      <c r="R63" s="106">
        <v>324</v>
      </c>
      <c r="S63" s="106">
        <v>301</v>
      </c>
      <c r="T63" s="106">
        <v>309</v>
      </c>
      <c r="U63" s="106">
        <v>273</v>
      </c>
      <c r="V63" s="106">
        <v>350</v>
      </c>
      <c r="W63" s="106">
        <v>300</v>
      </c>
      <c r="X63" s="106"/>
      <c r="Y63" s="37"/>
      <c r="Z63" s="106" t="s">
        <v>289</v>
      </c>
      <c r="AA63" s="106">
        <v>102</v>
      </c>
      <c r="AB63" s="106">
        <v>337</v>
      </c>
      <c r="AC63" s="106">
        <v>221</v>
      </c>
      <c r="AD63" s="106">
        <v>231</v>
      </c>
      <c r="AE63" s="106">
        <v>169</v>
      </c>
      <c r="AF63" s="106">
        <v>268</v>
      </c>
      <c r="AG63" s="106">
        <v>209</v>
      </c>
      <c r="AH63" s="106">
        <v>180</v>
      </c>
      <c r="AI63" s="106">
        <v>219</v>
      </c>
      <c r="AJ63" s="37"/>
      <c r="AK63" s="652">
        <v>85300</v>
      </c>
      <c r="AL63" s="197"/>
    </row>
    <row r="64" spans="1:38" ht="15.75" x14ac:dyDescent="0.25">
      <c r="A64" s="11">
        <v>62</v>
      </c>
      <c r="B64" s="106">
        <v>348</v>
      </c>
      <c r="C64" s="106">
        <v>322</v>
      </c>
      <c r="D64" s="106">
        <v>263</v>
      </c>
      <c r="E64" s="106">
        <v>199</v>
      </c>
      <c r="F64" s="106">
        <v>333</v>
      </c>
      <c r="G64" s="106">
        <v>346</v>
      </c>
      <c r="H64" s="106">
        <v>339</v>
      </c>
      <c r="I64" s="37"/>
      <c r="J64" s="106">
        <v>300</v>
      </c>
      <c r="K64" s="106">
        <v>302</v>
      </c>
      <c r="L64" s="106">
        <v>350</v>
      </c>
      <c r="M64" s="106">
        <v>301</v>
      </c>
      <c r="N64" s="106">
        <v>309</v>
      </c>
      <c r="O64" s="106">
        <v>347</v>
      </c>
      <c r="P64" s="106">
        <v>300</v>
      </c>
      <c r="Q64" s="37"/>
      <c r="R64" s="106">
        <v>306</v>
      </c>
      <c r="S64" s="106">
        <v>299</v>
      </c>
      <c r="T64" s="106">
        <v>299</v>
      </c>
      <c r="U64" s="106">
        <v>299</v>
      </c>
      <c r="V64" s="106">
        <v>235</v>
      </c>
      <c r="W64" s="106">
        <v>351</v>
      </c>
      <c r="X64" s="106"/>
      <c r="Y64" s="37"/>
      <c r="Z64" s="106" t="s">
        <v>289</v>
      </c>
      <c r="AA64" s="106">
        <v>255</v>
      </c>
      <c r="AB64" s="106">
        <v>157</v>
      </c>
      <c r="AC64" s="106">
        <v>261</v>
      </c>
      <c r="AD64" s="106" t="s">
        <v>289</v>
      </c>
      <c r="AE64" s="106">
        <v>241</v>
      </c>
      <c r="AF64" s="106">
        <v>285</v>
      </c>
      <c r="AG64" s="106">
        <v>176</v>
      </c>
      <c r="AH64" s="106">
        <v>104</v>
      </c>
      <c r="AI64" s="106">
        <v>206</v>
      </c>
      <c r="AJ64" s="37"/>
      <c r="AK64" s="652">
        <v>90294</v>
      </c>
      <c r="AL64" s="197"/>
    </row>
    <row r="65" spans="1:38" ht="15.75" thickBot="1" x14ac:dyDescent="0.3">
      <c r="A65" s="62">
        <v>63</v>
      </c>
      <c r="B65" s="703" t="s">
        <v>290</v>
      </c>
      <c r="C65" s="703" t="s">
        <v>290</v>
      </c>
      <c r="D65" s="703" t="s">
        <v>290</v>
      </c>
      <c r="E65" s="703" t="s">
        <v>290</v>
      </c>
      <c r="F65" s="703" t="s">
        <v>290</v>
      </c>
      <c r="G65" s="703" t="s">
        <v>290</v>
      </c>
      <c r="H65" s="703" t="s">
        <v>290</v>
      </c>
      <c r="I65" s="110"/>
      <c r="J65" s="703" t="s">
        <v>290</v>
      </c>
      <c r="K65" s="703" t="s">
        <v>290</v>
      </c>
      <c r="L65" s="703" t="s">
        <v>290</v>
      </c>
      <c r="M65" s="703" t="s">
        <v>290</v>
      </c>
      <c r="N65" s="703" t="s">
        <v>290</v>
      </c>
      <c r="O65" s="703" t="s">
        <v>290</v>
      </c>
      <c r="P65" s="703" t="s">
        <v>290</v>
      </c>
      <c r="Q65" s="110"/>
      <c r="R65" s="547" t="s">
        <v>290</v>
      </c>
      <c r="S65" s="547" t="s">
        <v>290</v>
      </c>
      <c r="T65" s="547" t="s">
        <v>290</v>
      </c>
      <c r="U65" s="547" t="s">
        <v>290</v>
      </c>
      <c r="V65" s="547" t="s">
        <v>290</v>
      </c>
      <c r="W65" s="547" t="s">
        <v>290</v>
      </c>
      <c r="X65" s="547"/>
      <c r="Y65" s="114"/>
      <c r="Z65" s="547" t="s">
        <v>290</v>
      </c>
      <c r="AA65" s="547" t="s">
        <v>290</v>
      </c>
      <c r="AB65" s="547" t="s">
        <v>290</v>
      </c>
      <c r="AC65" s="547" t="s">
        <v>290</v>
      </c>
      <c r="AD65" s="547" t="s">
        <v>290</v>
      </c>
      <c r="AE65" s="547" t="s">
        <v>290</v>
      </c>
      <c r="AF65" s="547" t="s">
        <v>290</v>
      </c>
      <c r="AG65" s="547" t="s">
        <v>290</v>
      </c>
      <c r="AH65" s="547" t="s">
        <v>290</v>
      </c>
      <c r="AI65" s="547" t="s">
        <v>290</v>
      </c>
      <c r="AJ65" s="114"/>
      <c r="AK65" s="44"/>
      <c r="AL65" s="204"/>
    </row>
    <row r="66" spans="1:38" ht="18.75" x14ac:dyDescent="0.3">
      <c r="A66" s="281" t="s">
        <v>2</v>
      </c>
      <c r="B66" s="163">
        <f t="shared" ref="B66:G66" si="0">SUM(B3:B65)</f>
        <v>14186</v>
      </c>
      <c r="C66" s="163">
        <f t="shared" si="0"/>
        <v>13561</v>
      </c>
      <c r="D66" s="163">
        <f t="shared" si="0"/>
        <v>14181</v>
      </c>
      <c r="E66" s="163">
        <f t="shared" si="0"/>
        <v>13945</v>
      </c>
      <c r="F66" s="163">
        <f t="shared" si="0"/>
        <v>14479</v>
      </c>
      <c r="G66" s="163">
        <f t="shared" si="0"/>
        <v>14005</v>
      </c>
      <c r="H66" s="163">
        <f>SUM(H3:H65)</f>
        <v>13388</v>
      </c>
      <c r="I66" s="158">
        <f>SUM(B66:H66)</f>
        <v>97745</v>
      </c>
      <c r="J66" s="163">
        <f t="shared" ref="J66:O66" si="1">SUM(J3:J65)</f>
        <v>13977</v>
      </c>
      <c r="K66" s="163">
        <f t="shared" si="1"/>
        <v>13208</v>
      </c>
      <c r="L66" s="163">
        <f t="shared" si="1"/>
        <v>13204</v>
      </c>
      <c r="M66" s="163">
        <f t="shared" si="1"/>
        <v>13526</v>
      </c>
      <c r="N66" s="163">
        <f t="shared" si="1"/>
        <v>14486</v>
      </c>
      <c r="O66" s="163">
        <f t="shared" si="1"/>
        <v>14073</v>
      </c>
      <c r="P66" s="163">
        <f>SUM(P3:P65)</f>
        <v>13722</v>
      </c>
      <c r="Q66" s="221">
        <f>SUM(J66:P66)</f>
        <v>96196</v>
      </c>
      <c r="R66" s="163">
        <f t="shared" ref="R66:W66" si="2">SUM(R3:R65)</f>
        <v>14559</v>
      </c>
      <c r="S66" s="163">
        <f t="shared" si="2"/>
        <v>13927</v>
      </c>
      <c r="T66" s="163">
        <f t="shared" si="2"/>
        <v>14247</v>
      </c>
      <c r="U66" s="163">
        <f t="shared" si="2"/>
        <v>14645</v>
      </c>
      <c r="V66" s="163">
        <f t="shared" si="2"/>
        <v>13502.001200999999</v>
      </c>
      <c r="W66" s="163">
        <f t="shared" si="2"/>
        <v>14420</v>
      </c>
      <c r="X66" s="163"/>
      <c r="Y66" s="221">
        <f>SUM(R66:X66)</f>
        <v>85300.001201000006</v>
      </c>
      <c r="Z66" s="163">
        <f t="shared" ref="Z66:AE66" si="3">SUM(Z3:Z65)</f>
        <v>10182</v>
      </c>
      <c r="AA66" s="163">
        <f t="shared" si="3"/>
        <v>8959</v>
      </c>
      <c r="AB66" s="163">
        <f t="shared" si="3"/>
        <v>9362</v>
      </c>
      <c r="AC66" s="163">
        <f t="shared" si="3"/>
        <v>8262</v>
      </c>
      <c r="AD66" s="163">
        <f t="shared" si="3"/>
        <v>9168</v>
      </c>
      <c r="AE66" s="163">
        <f t="shared" si="3"/>
        <v>9031</v>
      </c>
      <c r="AF66" s="163">
        <f>SUM(AF3:AF65)</f>
        <v>10030</v>
      </c>
      <c r="AG66" s="163">
        <f>SUM(AG3:AG65)</f>
        <v>9177</v>
      </c>
      <c r="AH66" s="163">
        <f>SUM(AH3:AH65)</f>
        <v>6387</v>
      </c>
      <c r="AI66" s="163">
        <f>SUM(AI3:AI65)</f>
        <v>9736</v>
      </c>
      <c r="AJ66" s="221">
        <f>SUM(Z66:AI66)</f>
        <v>90294</v>
      </c>
      <c r="AK66" s="701">
        <f>SUM(AK61:AK65)</f>
        <v>369535</v>
      </c>
      <c r="AL66" s="285"/>
    </row>
    <row r="67" spans="1:38" ht="15.75" thickBot="1" x14ac:dyDescent="0.3">
      <c r="A67" s="264"/>
      <c r="B67" s="265" t="s">
        <v>263</v>
      </c>
      <c r="C67" s="265" t="s">
        <v>261</v>
      </c>
      <c r="D67" s="265" t="s">
        <v>374</v>
      </c>
      <c r="E67" s="265" t="s">
        <v>374</v>
      </c>
      <c r="F67" s="265" t="s">
        <v>263</v>
      </c>
      <c r="G67" s="265" t="s">
        <v>263</v>
      </c>
      <c r="H67" s="265" t="s">
        <v>263</v>
      </c>
      <c r="I67" s="56"/>
      <c r="J67" s="265" t="s">
        <v>263</v>
      </c>
      <c r="K67" s="265" t="s">
        <v>263</v>
      </c>
      <c r="L67" s="265" t="s">
        <v>263</v>
      </c>
      <c r="M67" s="265" t="s">
        <v>262</v>
      </c>
      <c r="N67" s="265" t="s">
        <v>263</v>
      </c>
      <c r="O67" s="265" t="s">
        <v>263</v>
      </c>
      <c r="P67" s="265" t="s">
        <v>260</v>
      </c>
      <c r="Q67" s="56"/>
      <c r="R67" s="265" t="s">
        <v>388</v>
      </c>
      <c r="S67" s="265" t="s">
        <v>263</v>
      </c>
      <c r="T67" s="265" t="s">
        <v>374</v>
      </c>
      <c r="U67" s="265" t="s">
        <v>263</v>
      </c>
      <c r="V67" s="265" t="s">
        <v>374</v>
      </c>
      <c r="W67" s="265" t="s">
        <v>263</v>
      </c>
      <c r="X67" s="265"/>
      <c r="Y67" s="56"/>
      <c r="Z67" s="265" t="s">
        <v>391</v>
      </c>
      <c r="AA67" s="265" t="s">
        <v>333</v>
      </c>
      <c r="AB67" s="265" t="s">
        <v>335</v>
      </c>
      <c r="AC67" s="265" t="s">
        <v>333</v>
      </c>
      <c r="AD67" s="265" t="s">
        <v>292</v>
      </c>
      <c r="AE67" s="265" t="s">
        <v>292</v>
      </c>
      <c r="AF67" s="265" t="s">
        <v>259</v>
      </c>
      <c r="AG67" s="265" t="s">
        <v>292</v>
      </c>
      <c r="AH67" s="265" t="s">
        <v>391</v>
      </c>
      <c r="AI67" s="265" t="s">
        <v>329</v>
      </c>
      <c r="AJ67" s="56"/>
      <c r="AK67" s="225"/>
      <c r="AL67" s="228"/>
    </row>
    <row r="68" spans="1:38" ht="24" thickBot="1" x14ac:dyDescent="0.4">
      <c r="A68" s="252" t="s">
        <v>125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301"/>
    </row>
    <row r="69" spans="1:38" ht="16.5" thickBot="1" x14ac:dyDescent="0.3">
      <c r="A69" s="319" t="s">
        <v>7</v>
      </c>
      <c r="B69" s="328">
        <v>1</v>
      </c>
      <c r="C69" s="328">
        <v>2</v>
      </c>
      <c r="D69" s="328">
        <v>3</v>
      </c>
      <c r="E69" s="328">
        <v>4</v>
      </c>
      <c r="F69" s="328">
        <v>5</v>
      </c>
      <c r="G69" s="328">
        <v>6</v>
      </c>
      <c r="H69" s="328">
        <v>7</v>
      </c>
      <c r="I69" s="329" t="s">
        <v>338</v>
      </c>
      <c r="J69" s="328">
        <v>8</v>
      </c>
      <c r="K69" s="328">
        <v>9</v>
      </c>
      <c r="L69" s="328">
        <v>10</v>
      </c>
      <c r="M69" s="328">
        <v>11</v>
      </c>
      <c r="N69" s="328">
        <v>12</v>
      </c>
      <c r="O69" s="328">
        <v>13</v>
      </c>
      <c r="P69" s="328">
        <v>14</v>
      </c>
      <c r="Q69" s="329" t="s">
        <v>338</v>
      </c>
      <c r="R69" s="328">
        <v>15</v>
      </c>
      <c r="S69" s="328">
        <v>16</v>
      </c>
      <c r="T69" s="328">
        <v>17</v>
      </c>
      <c r="U69" s="328">
        <v>18</v>
      </c>
      <c r="V69" s="328">
        <v>19</v>
      </c>
      <c r="W69" s="328">
        <v>20</v>
      </c>
      <c r="X69" s="328">
        <v>21</v>
      </c>
      <c r="Y69" s="329" t="s">
        <v>338</v>
      </c>
      <c r="Z69" s="328">
        <v>22</v>
      </c>
      <c r="AA69" s="328">
        <v>23</v>
      </c>
      <c r="AB69" s="328">
        <v>24</v>
      </c>
      <c r="AC69" s="328">
        <v>25</v>
      </c>
      <c r="AD69" s="328">
        <v>26</v>
      </c>
      <c r="AE69" s="328">
        <v>27</v>
      </c>
      <c r="AF69" s="328">
        <v>28</v>
      </c>
      <c r="AG69" s="328">
        <v>29</v>
      </c>
      <c r="AH69" s="328">
        <v>30</v>
      </c>
      <c r="AI69" s="328">
        <v>31</v>
      </c>
      <c r="AJ69" s="329" t="s">
        <v>338</v>
      </c>
      <c r="AK69" s="730" t="s">
        <v>377</v>
      </c>
      <c r="AL69" s="728"/>
    </row>
    <row r="70" spans="1:38" x14ac:dyDescent="0.25">
      <c r="A70" s="633">
        <v>23</v>
      </c>
      <c r="B70" s="732"/>
      <c r="C70" s="732"/>
      <c r="D70" s="732"/>
      <c r="E70" s="732"/>
      <c r="F70" s="732"/>
      <c r="G70" s="732"/>
      <c r="H70" s="732"/>
      <c r="I70" s="602"/>
      <c r="J70" s="575"/>
      <c r="K70" s="575"/>
      <c r="L70" s="575"/>
      <c r="M70" s="575"/>
      <c r="N70" s="575"/>
      <c r="O70" s="575"/>
      <c r="P70" s="575"/>
      <c r="Q70" s="602"/>
      <c r="R70" s="575"/>
      <c r="S70" s="575"/>
      <c r="T70" s="575"/>
      <c r="U70" s="575"/>
      <c r="V70" s="575"/>
      <c r="W70" s="575"/>
      <c r="X70" s="575"/>
      <c r="Y70" s="602"/>
      <c r="Z70" s="575"/>
      <c r="AA70" s="575"/>
      <c r="AB70" s="575"/>
      <c r="AC70" s="575"/>
      <c r="AD70" s="575"/>
      <c r="AE70" s="575"/>
      <c r="AF70" s="575"/>
      <c r="AG70" s="575"/>
      <c r="AH70" s="575"/>
      <c r="AI70" s="575"/>
      <c r="AJ70" s="602"/>
      <c r="AK70" s="634"/>
      <c r="AL70" s="635" t="s">
        <v>234</v>
      </c>
    </row>
    <row r="71" spans="1:38" x14ac:dyDescent="0.25">
      <c r="A71" s="381">
        <v>83</v>
      </c>
      <c r="B71" s="530"/>
      <c r="C71" s="530"/>
      <c r="D71" s="532">
        <v>278.12</v>
      </c>
      <c r="E71" s="12">
        <v>82.49</v>
      </c>
      <c r="F71" s="135">
        <v>109.61</v>
      </c>
      <c r="G71" s="135">
        <v>118.47</v>
      </c>
      <c r="H71" s="135">
        <v>82.18</v>
      </c>
      <c r="I71" s="723"/>
      <c r="J71" s="135">
        <v>121.04</v>
      </c>
      <c r="K71" s="135">
        <v>97.77</v>
      </c>
      <c r="L71" s="135">
        <v>106.88</v>
      </c>
      <c r="M71" s="135">
        <v>101.23</v>
      </c>
      <c r="N71" s="135">
        <v>85.43</v>
      </c>
      <c r="O71" s="155">
        <v>78.98</v>
      </c>
      <c r="P71" s="155">
        <v>95.16</v>
      </c>
      <c r="Q71" s="37"/>
      <c r="R71" s="530"/>
      <c r="S71" s="548">
        <v>156.16999999999999</v>
      </c>
      <c r="T71" s="131">
        <v>109.77</v>
      </c>
      <c r="U71" s="12">
        <v>99.82</v>
      </c>
      <c r="V71" s="131">
        <v>87.21</v>
      </c>
      <c r="W71" s="530"/>
      <c r="X71" s="135"/>
      <c r="Y71" s="37"/>
      <c r="Z71" s="12">
        <v>54.61</v>
      </c>
      <c r="AA71" s="131">
        <v>105.29</v>
      </c>
      <c r="AB71" s="532">
        <v>127</v>
      </c>
      <c r="AC71" s="532">
        <v>132.63999999999999</v>
      </c>
      <c r="AD71" s="12">
        <v>80.790000000000006</v>
      </c>
      <c r="AE71" s="131">
        <v>63.22</v>
      </c>
      <c r="AF71" s="131">
        <v>119.56</v>
      </c>
      <c r="AG71" s="131">
        <v>68.88</v>
      </c>
      <c r="AH71" s="131">
        <v>6.34</v>
      </c>
      <c r="AI71" s="131">
        <v>22.28</v>
      </c>
      <c r="AJ71" s="37"/>
      <c r="AK71" s="38"/>
      <c r="AL71" s="448" t="s">
        <v>235</v>
      </c>
    </row>
    <row r="72" spans="1:38" x14ac:dyDescent="0.25">
      <c r="A72" s="381">
        <v>90</v>
      </c>
      <c r="B72" s="530"/>
      <c r="C72" s="530"/>
      <c r="D72" s="530"/>
      <c r="E72" s="537"/>
      <c r="F72" s="537"/>
      <c r="G72" s="537"/>
      <c r="H72" s="537"/>
      <c r="I72" s="111"/>
      <c r="J72" s="537"/>
      <c r="K72" s="537"/>
      <c r="L72" s="537"/>
      <c r="M72" s="537"/>
      <c r="N72" s="537"/>
      <c r="O72" s="537"/>
      <c r="P72" s="537"/>
      <c r="Q72" s="111"/>
      <c r="R72" s="537"/>
      <c r="S72" s="537"/>
      <c r="T72" s="537"/>
      <c r="U72" s="537"/>
      <c r="V72" s="537"/>
      <c r="W72" s="530"/>
      <c r="X72" s="530"/>
      <c r="Y72" s="111"/>
      <c r="Z72" s="530"/>
      <c r="AA72" s="530"/>
      <c r="AB72" s="530"/>
      <c r="AC72" s="530"/>
      <c r="AD72" s="530"/>
      <c r="AE72" s="530"/>
      <c r="AF72" s="530"/>
      <c r="AG72" s="530"/>
      <c r="AH72" s="530"/>
      <c r="AI72" s="530"/>
      <c r="AJ72" s="111"/>
      <c r="AK72" s="38"/>
      <c r="AL72" s="448"/>
    </row>
    <row r="73" spans="1:38" x14ac:dyDescent="0.25">
      <c r="A73" s="381">
        <v>93</v>
      </c>
      <c r="B73" s="537"/>
      <c r="C73" s="537"/>
      <c r="D73" s="537"/>
      <c r="E73" s="537"/>
      <c r="F73" s="537"/>
      <c r="G73" s="537"/>
      <c r="H73" s="537"/>
      <c r="I73" s="111"/>
      <c r="J73" s="530"/>
      <c r="K73" s="530"/>
      <c r="L73" s="530"/>
      <c r="M73" s="537"/>
      <c r="N73" s="537"/>
      <c r="O73" s="537"/>
      <c r="P73" s="537"/>
      <c r="Q73" s="111"/>
      <c r="R73" s="530"/>
      <c r="S73" s="537"/>
      <c r="T73" s="537"/>
      <c r="U73" s="530"/>
      <c r="V73" s="530"/>
      <c r="W73" s="530"/>
      <c r="X73" s="530"/>
      <c r="Y73" s="111"/>
      <c r="Z73" s="537"/>
      <c r="AA73" s="530"/>
      <c r="AB73" s="530"/>
      <c r="AC73" s="530"/>
      <c r="AD73" s="530"/>
      <c r="AE73" s="537"/>
      <c r="AF73" s="530"/>
      <c r="AG73" s="537"/>
      <c r="AH73" s="537"/>
      <c r="AI73" s="537"/>
      <c r="AJ73" s="111"/>
      <c r="AK73" s="38"/>
      <c r="AL73" s="449" t="s">
        <v>236</v>
      </c>
    </row>
    <row r="74" spans="1:38" x14ac:dyDescent="0.25">
      <c r="A74" s="381">
        <v>95</v>
      </c>
      <c r="B74" s="131">
        <v>102.02</v>
      </c>
      <c r="C74" s="135">
        <v>79.739999999999995</v>
      </c>
      <c r="D74" s="135">
        <v>82.83</v>
      </c>
      <c r="E74" s="135">
        <v>93.2</v>
      </c>
      <c r="F74" s="135">
        <v>99.64</v>
      </c>
      <c r="G74" s="135">
        <v>76.319999999999993</v>
      </c>
      <c r="H74" s="530"/>
      <c r="I74" s="723"/>
      <c r="J74" s="135">
        <v>95.87</v>
      </c>
      <c r="K74" s="135">
        <v>97.91</v>
      </c>
      <c r="L74" s="131">
        <v>90.41</v>
      </c>
      <c r="M74" s="530"/>
      <c r="N74" s="530"/>
      <c r="O74" s="530"/>
      <c r="P74" s="537"/>
      <c r="Q74" s="37"/>
      <c r="R74" s="537"/>
      <c r="S74" s="537"/>
      <c r="T74" s="537"/>
      <c r="U74" s="530"/>
      <c r="V74" s="537"/>
      <c r="W74" s="530"/>
      <c r="X74" s="530"/>
      <c r="Y74" s="111"/>
      <c r="Z74" s="537"/>
      <c r="AA74" s="537"/>
      <c r="AB74" s="530"/>
      <c r="AC74" s="530"/>
      <c r="AD74" s="530"/>
      <c r="AE74" s="537"/>
      <c r="AF74" s="131">
        <v>60.35</v>
      </c>
      <c r="AG74" s="131">
        <v>49.94</v>
      </c>
      <c r="AH74" s="131">
        <v>0.96</v>
      </c>
      <c r="AI74" s="131">
        <v>83.18</v>
      </c>
      <c r="AJ74" s="111"/>
      <c r="AK74" s="38"/>
      <c r="AL74" s="448" t="s">
        <v>237</v>
      </c>
    </row>
    <row r="75" spans="1:38" x14ac:dyDescent="0.25">
      <c r="A75" s="381">
        <v>98</v>
      </c>
      <c r="B75" s="671"/>
      <c r="C75" s="671"/>
      <c r="D75" s="671"/>
      <c r="E75" s="671"/>
      <c r="F75" s="671"/>
      <c r="G75" s="671"/>
      <c r="H75" s="671"/>
      <c r="I75" s="111"/>
      <c r="J75" s="537"/>
      <c r="K75" s="537"/>
      <c r="L75" s="537"/>
      <c r="M75" s="537"/>
      <c r="N75" s="537"/>
      <c r="O75" s="537"/>
      <c r="P75" s="537"/>
      <c r="Q75" s="111"/>
      <c r="R75" s="537"/>
      <c r="S75" s="537"/>
      <c r="T75" s="537"/>
      <c r="U75" s="537"/>
      <c r="V75" s="537"/>
      <c r="W75" s="530"/>
      <c r="X75" s="530"/>
      <c r="Y75" s="111"/>
      <c r="Z75" s="530"/>
      <c r="AA75" s="530"/>
      <c r="AB75" s="530"/>
      <c r="AC75" s="530"/>
      <c r="AD75" s="530"/>
      <c r="AE75" s="530"/>
      <c r="AF75" s="530"/>
      <c r="AG75" s="530"/>
      <c r="AH75" s="530"/>
      <c r="AI75" s="530"/>
      <c r="AJ75" s="111"/>
      <c r="AK75" s="38"/>
      <c r="AL75" s="448" t="s">
        <v>238</v>
      </c>
    </row>
    <row r="76" spans="1:38" x14ac:dyDescent="0.25">
      <c r="A76" s="381">
        <v>104</v>
      </c>
      <c r="B76" s="537"/>
      <c r="C76" s="530"/>
      <c r="D76" s="135">
        <v>76.55</v>
      </c>
      <c r="E76" s="135">
        <v>52.76</v>
      </c>
      <c r="F76" s="135">
        <v>110.61</v>
      </c>
      <c r="G76" s="135">
        <v>124.63</v>
      </c>
      <c r="H76" s="135">
        <v>97.33</v>
      </c>
      <c r="I76" s="725"/>
      <c r="J76" s="135">
        <v>110.25</v>
      </c>
      <c r="K76" s="135">
        <v>64.209999999999994</v>
      </c>
      <c r="L76" s="135">
        <v>88.59</v>
      </c>
      <c r="M76" s="135">
        <v>120.21</v>
      </c>
      <c r="N76" s="131">
        <v>60.89</v>
      </c>
      <c r="O76" s="135">
        <v>115.13</v>
      </c>
      <c r="P76" s="537"/>
      <c r="Q76" s="37"/>
      <c r="R76" s="135">
        <v>110.32</v>
      </c>
      <c r="S76" s="537"/>
      <c r="T76" s="537"/>
      <c r="U76" s="530"/>
      <c r="V76" s="537"/>
      <c r="W76" s="530"/>
      <c r="X76" s="530"/>
      <c r="Y76" s="37"/>
      <c r="Z76" s="12">
        <v>57.08</v>
      </c>
      <c r="AA76" s="12">
        <v>80.7</v>
      </c>
      <c r="AB76" s="530"/>
      <c r="AC76" s="530"/>
      <c r="AD76" s="530"/>
      <c r="AE76" s="135">
        <v>16.600000000000001</v>
      </c>
      <c r="AF76" s="537"/>
      <c r="AG76" s="537"/>
      <c r="AH76" s="537"/>
      <c r="AI76" s="131">
        <v>80.28</v>
      </c>
      <c r="AJ76" s="37"/>
      <c r="AK76" s="38"/>
      <c r="AL76" s="448"/>
    </row>
    <row r="77" spans="1:38" x14ac:dyDescent="0.25">
      <c r="A77" s="393">
        <v>118</v>
      </c>
      <c r="B77" s="671"/>
      <c r="C77" s="671"/>
      <c r="D77" s="118">
        <v>66.56</v>
      </c>
      <c r="E77" s="672">
        <v>29.49</v>
      </c>
      <c r="F77" s="537"/>
      <c r="G77" s="537"/>
      <c r="H77" s="537"/>
      <c r="I77" s="725"/>
      <c r="J77" s="537"/>
      <c r="K77" s="537"/>
      <c r="L77" s="537"/>
      <c r="M77" s="537"/>
      <c r="N77" s="537"/>
      <c r="O77" s="570">
        <v>53.66</v>
      </c>
      <c r="P77" s="537"/>
      <c r="Q77" s="37"/>
      <c r="R77" s="537"/>
      <c r="S77" s="537"/>
      <c r="T77" s="537"/>
      <c r="U77" s="537"/>
      <c r="V77" s="537"/>
      <c r="W77" s="537"/>
      <c r="X77" s="537"/>
      <c r="Y77" s="111"/>
      <c r="Z77" s="530"/>
      <c r="AA77" s="530"/>
      <c r="AB77" s="530"/>
      <c r="AC77" s="530"/>
      <c r="AD77" s="530"/>
      <c r="AE77" s="530"/>
      <c r="AF77" s="135">
        <v>28.56</v>
      </c>
      <c r="AG77" s="537"/>
      <c r="AH77" s="537"/>
      <c r="AI77" s="537"/>
      <c r="AJ77" s="111"/>
      <c r="AK77" s="38"/>
      <c r="AL77" s="112" t="s">
        <v>239</v>
      </c>
    </row>
    <row r="78" spans="1:38" x14ac:dyDescent="0.25">
      <c r="A78" s="382">
        <v>128</v>
      </c>
      <c r="B78" s="131">
        <v>107.22</v>
      </c>
      <c r="C78" s="12">
        <v>77.19</v>
      </c>
      <c r="D78" s="135">
        <v>87.35</v>
      </c>
      <c r="E78" s="135">
        <v>79.47</v>
      </c>
      <c r="F78" s="135">
        <v>90.22</v>
      </c>
      <c r="G78" s="135">
        <v>94.37</v>
      </c>
      <c r="H78" s="537"/>
      <c r="I78" s="725"/>
      <c r="J78" s="537"/>
      <c r="K78" s="530"/>
      <c r="L78" s="530"/>
      <c r="M78" s="530"/>
      <c r="N78" s="135">
        <v>113.84</v>
      </c>
      <c r="O78" s="155">
        <v>84.66</v>
      </c>
      <c r="P78" s="155">
        <v>64.849999999999994</v>
      </c>
      <c r="Q78" s="37"/>
      <c r="R78" s="131">
        <v>107.37</v>
      </c>
      <c r="S78" s="131">
        <v>79.209999999999994</v>
      </c>
      <c r="T78" s="12">
        <v>78.2</v>
      </c>
      <c r="U78" s="12">
        <v>72.459999999999994</v>
      </c>
      <c r="V78" s="131">
        <v>94.05</v>
      </c>
      <c r="W78" s="135">
        <v>77.72</v>
      </c>
      <c r="X78" s="135"/>
      <c r="Y78" s="37"/>
      <c r="Z78" s="12">
        <v>100.56</v>
      </c>
      <c r="AA78" s="131">
        <v>62.59</v>
      </c>
      <c r="AB78" s="530"/>
      <c r="AC78" s="530"/>
      <c r="AD78" s="12">
        <v>13.44</v>
      </c>
      <c r="AE78" s="131">
        <v>21.96</v>
      </c>
      <c r="AF78" s="131">
        <v>98.23</v>
      </c>
      <c r="AG78" s="131">
        <v>103.79</v>
      </c>
      <c r="AH78" s="131">
        <v>4.2699999999999996</v>
      </c>
      <c r="AI78" s="12">
        <v>36.9</v>
      </c>
      <c r="AJ78" s="37"/>
      <c r="AK78" s="38"/>
      <c r="AL78" s="450" t="s">
        <v>240</v>
      </c>
    </row>
    <row r="79" spans="1:38" x14ac:dyDescent="0.25">
      <c r="A79" s="382">
        <v>131</v>
      </c>
      <c r="B79" s="155">
        <v>68.63</v>
      </c>
      <c r="C79" s="135">
        <v>74.760000000000005</v>
      </c>
      <c r="D79" s="135">
        <v>87.7</v>
      </c>
      <c r="E79" s="135">
        <v>78.19</v>
      </c>
      <c r="F79" s="131">
        <v>69.260000000000005</v>
      </c>
      <c r="G79" s="135">
        <v>75.05</v>
      </c>
      <c r="H79" s="155">
        <v>88.55</v>
      </c>
      <c r="I79" s="725"/>
      <c r="J79" s="135">
        <v>98.4</v>
      </c>
      <c r="K79" s="131">
        <v>88.41</v>
      </c>
      <c r="L79" s="135">
        <v>95.14</v>
      </c>
      <c r="M79" s="135">
        <v>72.11</v>
      </c>
      <c r="N79" s="135">
        <v>90.4</v>
      </c>
      <c r="O79" s="135">
        <v>97.73</v>
      </c>
      <c r="P79" s="155">
        <v>74.14</v>
      </c>
      <c r="Q79" s="37"/>
      <c r="R79" s="12">
        <v>63</v>
      </c>
      <c r="S79" s="131">
        <v>120.82</v>
      </c>
      <c r="T79" s="12">
        <v>92.74</v>
      </c>
      <c r="U79" s="530"/>
      <c r="V79" s="548">
        <v>140.37</v>
      </c>
      <c r="W79" s="135">
        <v>83.26</v>
      </c>
      <c r="X79" s="135"/>
      <c r="Y79" s="37"/>
      <c r="Z79" s="131">
        <v>77.959999999999994</v>
      </c>
      <c r="AA79" s="131">
        <v>76.510000000000005</v>
      </c>
      <c r="AB79" s="12">
        <v>93.93</v>
      </c>
      <c r="AC79" s="12">
        <v>75.760000000000005</v>
      </c>
      <c r="AD79" s="135">
        <v>70.739999999999995</v>
      </c>
      <c r="AE79" s="155">
        <v>29.34</v>
      </c>
      <c r="AF79" s="131">
        <v>110.52</v>
      </c>
      <c r="AG79" s="12">
        <v>47.9</v>
      </c>
      <c r="AH79" s="131">
        <v>5.44</v>
      </c>
      <c r="AI79" s="131">
        <v>81.02</v>
      </c>
      <c r="AJ79" s="37"/>
      <c r="AK79" s="38"/>
      <c r="AL79" s="450" t="s">
        <v>241</v>
      </c>
    </row>
    <row r="80" spans="1:38" x14ac:dyDescent="0.25">
      <c r="A80" s="382">
        <v>132</v>
      </c>
      <c r="B80" s="12">
        <v>78.3</v>
      </c>
      <c r="C80" s="135">
        <v>89.87</v>
      </c>
      <c r="D80" s="135">
        <v>96.77</v>
      </c>
      <c r="E80" s="131">
        <v>61.17</v>
      </c>
      <c r="F80" s="135">
        <v>82.12</v>
      </c>
      <c r="G80" s="135">
        <v>98.45</v>
      </c>
      <c r="H80" s="135">
        <v>95</v>
      </c>
      <c r="I80" s="725"/>
      <c r="J80" s="155">
        <v>70.349999999999994</v>
      </c>
      <c r="K80" s="135">
        <v>80.64</v>
      </c>
      <c r="L80" s="135">
        <v>57.66</v>
      </c>
      <c r="M80" s="135">
        <v>89.76</v>
      </c>
      <c r="N80" s="135">
        <v>89.8</v>
      </c>
      <c r="O80" s="135">
        <v>102.23</v>
      </c>
      <c r="P80" s="155">
        <v>76.25</v>
      </c>
      <c r="Q80" s="37"/>
      <c r="R80" s="131">
        <v>85.25</v>
      </c>
      <c r="S80" s="131">
        <v>72.739999999999995</v>
      </c>
      <c r="T80" s="131">
        <v>85.16</v>
      </c>
      <c r="U80" s="12">
        <v>56.39</v>
      </c>
      <c r="V80" s="12">
        <v>107.81</v>
      </c>
      <c r="W80" s="135">
        <v>30.24</v>
      </c>
      <c r="X80" s="135"/>
      <c r="Y80" s="37"/>
      <c r="Z80" s="131">
        <v>82.17</v>
      </c>
      <c r="AA80" s="12">
        <v>85.31</v>
      </c>
      <c r="AB80" s="12">
        <v>86.73</v>
      </c>
      <c r="AC80" s="12">
        <v>90.93</v>
      </c>
      <c r="AD80" s="135">
        <v>52.43</v>
      </c>
      <c r="AE80" s="135">
        <v>96.66</v>
      </c>
      <c r="AF80" s="131">
        <v>84.65</v>
      </c>
      <c r="AG80" s="131">
        <v>59.19</v>
      </c>
      <c r="AH80" s="131">
        <v>16.68</v>
      </c>
      <c r="AI80" s="131">
        <v>79.38</v>
      </c>
      <c r="AJ80" s="37"/>
      <c r="AK80" s="38"/>
      <c r="AL80" s="450"/>
    </row>
    <row r="81" spans="1:38" x14ac:dyDescent="0.25">
      <c r="A81" s="382">
        <v>133</v>
      </c>
      <c r="B81" s="131">
        <v>81.61</v>
      </c>
      <c r="C81" s="131">
        <v>93.31</v>
      </c>
      <c r="D81" s="135">
        <v>70.81</v>
      </c>
      <c r="E81" s="135">
        <v>78.37</v>
      </c>
      <c r="F81" s="131">
        <v>78.66</v>
      </c>
      <c r="G81" s="537"/>
      <c r="H81" s="135">
        <v>141.97999999999999</v>
      </c>
      <c r="I81" s="725"/>
      <c r="J81" s="135">
        <v>85.9</v>
      </c>
      <c r="K81" s="131">
        <v>70.67</v>
      </c>
      <c r="L81" s="12">
        <v>75.8</v>
      </c>
      <c r="M81" s="135">
        <v>59.68</v>
      </c>
      <c r="N81" s="135">
        <v>70.5</v>
      </c>
      <c r="O81" s="155">
        <v>70.98</v>
      </c>
      <c r="P81" s="135">
        <v>85.43</v>
      </c>
      <c r="Q81" s="37"/>
      <c r="R81" s="537"/>
      <c r="S81" s="131">
        <v>86.62</v>
      </c>
      <c r="T81" s="131">
        <v>65.260000000000005</v>
      </c>
      <c r="U81" s="12">
        <v>55.41</v>
      </c>
      <c r="V81" s="131">
        <v>97.73</v>
      </c>
      <c r="W81" s="135">
        <v>68.31</v>
      </c>
      <c r="X81" s="135"/>
      <c r="Y81" s="37"/>
      <c r="Z81" s="131">
        <v>90.01</v>
      </c>
      <c r="AA81" s="131">
        <v>88.05</v>
      </c>
      <c r="AB81" s="12">
        <v>75.959999999999994</v>
      </c>
      <c r="AC81" s="12">
        <v>90.37</v>
      </c>
      <c r="AD81" s="12">
        <v>50.99</v>
      </c>
      <c r="AE81" s="135">
        <v>86.37</v>
      </c>
      <c r="AF81" s="155">
        <v>72.069999999999993</v>
      </c>
      <c r="AG81" s="131">
        <v>72.72</v>
      </c>
      <c r="AH81" s="131">
        <v>15.91</v>
      </c>
      <c r="AI81" s="131">
        <v>97.13</v>
      </c>
      <c r="AJ81" s="37"/>
      <c r="AK81" s="38"/>
      <c r="AL81" s="689" t="s">
        <v>242</v>
      </c>
    </row>
    <row r="82" spans="1:38" x14ac:dyDescent="0.25">
      <c r="A82" s="382">
        <v>134</v>
      </c>
      <c r="B82" s="155">
        <v>89.18</v>
      </c>
      <c r="C82" s="131">
        <v>82.65</v>
      </c>
      <c r="D82" s="12">
        <v>101.04</v>
      </c>
      <c r="E82" s="530"/>
      <c r="F82" s="12">
        <v>83.9</v>
      </c>
      <c r="G82" s="724">
        <v>114.81</v>
      </c>
      <c r="H82" s="155">
        <v>77.59</v>
      </c>
      <c r="I82" s="725"/>
      <c r="J82" s="155">
        <v>102.61</v>
      </c>
      <c r="K82" s="131">
        <v>106.58</v>
      </c>
      <c r="L82" s="135">
        <v>96.48</v>
      </c>
      <c r="M82" s="135">
        <v>117.19</v>
      </c>
      <c r="N82" s="131">
        <v>80.94</v>
      </c>
      <c r="O82" s="131">
        <v>91.88</v>
      </c>
      <c r="P82" s="155">
        <v>89.51</v>
      </c>
      <c r="Q82" s="37"/>
      <c r="R82" s="131">
        <v>103.52</v>
      </c>
      <c r="S82" s="131">
        <v>87.96</v>
      </c>
      <c r="T82" s="131">
        <v>106.86</v>
      </c>
      <c r="U82" s="12">
        <v>77.8</v>
      </c>
      <c r="V82" s="131">
        <v>90.94</v>
      </c>
      <c r="W82" s="135">
        <v>70.59</v>
      </c>
      <c r="X82" s="135"/>
      <c r="Y82" s="37"/>
      <c r="Z82" s="131">
        <v>119.24</v>
      </c>
      <c r="AA82" s="131">
        <v>108.24</v>
      </c>
      <c r="AB82" s="12">
        <v>84.81</v>
      </c>
      <c r="AC82" s="530"/>
      <c r="AD82" s="12">
        <v>119.96</v>
      </c>
      <c r="AE82" s="131">
        <v>82.93</v>
      </c>
      <c r="AF82" s="131">
        <v>101.33</v>
      </c>
      <c r="AG82" s="131">
        <v>86.26</v>
      </c>
      <c r="AH82" s="131">
        <v>38.49</v>
      </c>
      <c r="AI82" s="131">
        <v>83.44</v>
      </c>
      <c r="AJ82" s="37"/>
      <c r="AK82" s="38"/>
      <c r="AL82" s="452" t="s">
        <v>243</v>
      </c>
    </row>
    <row r="83" spans="1:38" x14ac:dyDescent="0.25">
      <c r="A83" s="382">
        <v>135</v>
      </c>
      <c r="B83" s="131">
        <v>82.66</v>
      </c>
      <c r="C83" s="155">
        <v>79.36</v>
      </c>
      <c r="D83" s="135">
        <v>56.45</v>
      </c>
      <c r="E83" s="530"/>
      <c r="F83" s="131">
        <v>82.28</v>
      </c>
      <c r="G83" s="135">
        <v>90.5</v>
      </c>
      <c r="H83" s="135">
        <v>73.81</v>
      </c>
      <c r="I83" s="725"/>
      <c r="J83" s="135">
        <v>95.99</v>
      </c>
      <c r="K83" s="135">
        <v>98.65</v>
      </c>
      <c r="L83" s="135">
        <v>118.26</v>
      </c>
      <c r="M83" s="135">
        <v>70.19</v>
      </c>
      <c r="N83" s="135">
        <v>88.75</v>
      </c>
      <c r="O83" s="135">
        <v>113.51</v>
      </c>
      <c r="P83" s="135">
        <v>20.99</v>
      </c>
      <c r="Q83" s="37"/>
      <c r="R83" s="131">
        <v>83.1</v>
      </c>
      <c r="S83" s="131">
        <v>95.52</v>
      </c>
      <c r="T83" s="537"/>
      <c r="U83" s="12">
        <v>104.93</v>
      </c>
      <c r="V83" s="131">
        <v>75.92</v>
      </c>
      <c r="W83" s="135">
        <v>75.28</v>
      </c>
      <c r="X83" s="135"/>
      <c r="Y83" s="37"/>
      <c r="Z83" s="131">
        <v>92.62</v>
      </c>
      <c r="AA83" s="131">
        <v>90.24</v>
      </c>
      <c r="AB83" s="12">
        <v>94.21</v>
      </c>
      <c r="AC83" s="12">
        <v>77.650000000000006</v>
      </c>
      <c r="AD83" s="12">
        <v>63.79</v>
      </c>
      <c r="AE83" s="445">
        <v>56.87</v>
      </c>
      <c r="AF83" s="12">
        <v>101</v>
      </c>
      <c r="AG83" s="12">
        <v>86</v>
      </c>
      <c r="AH83" s="131">
        <v>9.94</v>
      </c>
      <c r="AI83" s="131">
        <v>92.34</v>
      </c>
      <c r="AJ83" s="37"/>
      <c r="AK83" s="38"/>
      <c r="AL83" s="452" t="s">
        <v>244</v>
      </c>
    </row>
    <row r="84" spans="1:38" x14ac:dyDescent="0.25">
      <c r="A84" s="382">
        <v>136</v>
      </c>
      <c r="B84" s="131">
        <v>76.66</v>
      </c>
      <c r="C84" s="135">
        <v>60.98</v>
      </c>
      <c r="D84" s="131">
        <v>76.75</v>
      </c>
      <c r="E84" s="12">
        <v>70.87</v>
      </c>
      <c r="F84" s="131">
        <v>65.17</v>
      </c>
      <c r="G84" s="135">
        <v>77.459999999999994</v>
      </c>
      <c r="H84" s="135">
        <v>53.22</v>
      </c>
      <c r="I84" s="725"/>
      <c r="J84" s="135">
        <v>84.15</v>
      </c>
      <c r="K84" s="135">
        <v>79.650000000000006</v>
      </c>
      <c r="L84" s="131">
        <v>89.99</v>
      </c>
      <c r="M84" s="155">
        <v>65.099999999999994</v>
      </c>
      <c r="N84" s="739">
        <v>62.24</v>
      </c>
      <c r="O84" s="131">
        <v>70.92</v>
      </c>
      <c r="P84" s="155">
        <v>72.66</v>
      </c>
      <c r="Q84" s="37"/>
      <c r="R84" s="131">
        <v>80.290000000000006</v>
      </c>
      <c r="S84" s="131">
        <v>65.13</v>
      </c>
      <c r="T84" s="12">
        <v>72.989999999999995</v>
      </c>
      <c r="U84" s="12">
        <v>60.24</v>
      </c>
      <c r="V84" s="12">
        <v>66.8</v>
      </c>
      <c r="W84" s="135">
        <v>62.32</v>
      </c>
      <c r="X84" s="135"/>
      <c r="Y84" s="37"/>
      <c r="Z84" s="12">
        <v>75.83</v>
      </c>
      <c r="AA84" s="135">
        <v>64.239999999999995</v>
      </c>
      <c r="AB84" s="12">
        <v>85.43</v>
      </c>
      <c r="AC84" s="12">
        <v>85.15</v>
      </c>
      <c r="AD84" s="12">
        <v>27.56</v>
      </c>
      <c r="AE84" s="131">
        <v>78.56</v>
      </c>
      <c r="AF84" s="445">
        <v>85.24</v>
      </c>
      <c r="AG84" s="131">
        <v>55.71</v>
      </c>
      <c r="AH84" s="131">
        <v>8.2799999999999994</v>
      </c>
      <c r="AI84" s="131">
        <v>72.430000000000007</v>
      </c>
      <c r="AJ84" s="37"/>
      <c r="AK84" s="38"/>
      <c r="AL84" s="452" t="s">
        <v>245</v>
      </c>
    </row>
    <row r="85" spans="1:38" x14ac:dyDescent="0.25">
      <c r="A85" s="382">
        <v>137</v>
      </c>
      <c r="B85" s="131">
        <v>97.98</v>
      </c>
      <c r="C85" s="155">
        <v>106.07</v>
      </c>
      <c r="D85" s="537"/>
      <c r="E85" s="530"/>
      <c r="F85" s="530"/>
      <c r="G85" s="135">
        <v>153.16</v>
      </c>
      <c r="H85" s="135">
        <v>54.64</v>
      </c>
      <c r="I85" s="725"/>
      <c r="J85" s="135">
        <v>90.57</v>
      </c>
      <c r="K85" s="131">
        <v>77.239999999999995</v>
      </c>
      <c r="L85" s="135">
        <v>98.07</v>
      </c>
      <c r="M85" s="135">
        <v>97.97</v>
      </c>
      <c r="N85" s="135">
        <v>61.19</v>
      </c>
      <c r="O85" s="131">
        <v>82.77</v>
      </c>
      <c r="P85" s="155">
        <v>69.67</v>
      </c>
      <c r="Q85" s="37"/>
      <c r="R85" s="155">
        <v>82.11</v>
      </c>
      <c r="S85" s="12">
        <v>82.09</v>
      </c>
      <c r="T85" s="12">
        <v>65.510000000000005</v>
      </c>
      <c r="U85" s="12">
        <v>61.18</v>
      </c>
      <c r="V85" s="131">
        <v>91.72</v>
      </c>
      <c r="W85" s="135">
        <v>81.58</v>
      </c>
      <c r="X85" s="573"/>
      <c r="Y85" s="37"/>
      <c r="Z85" s="131">
        <v>80.67</v>
      </c>
      <c r="AA85" s="12">
        <v>88.9</v>
      </c>
      <c r="AB85" s="12">
        <v>93.85</v>
      </c>
      <c r="AC85" s="12">
        <v>88.95</v>
      </c>
      <c r="AD85" s="12">
        <v>69.849999999999994</v>
      </c>
      <c r="AE85" s="131">
        <v>70.47</v>
      </c>
      <c r="AF85" s="12">
        <v>75.61</v>
      </c>
      <c r="AG85" s="131">
        <v>67.81</v>
      </c>
      <c r="AH85" s="537"/>
      <c r="AI85" s="131">
        <v>61.14</v>
      </c>
      <c r="AJ85" s="37"/>
      <c r="AK85" s="38"/>
      <c r="AL85" s="452" t="s">
        <v>246</v>
      </c>
    </row>
    <row r="86" spans="1:38" x14ac:dyDescent="0.25">
      <c r="A86" s="382">
        <v>138</v>
      </c>
      <c r="B86" s="131">
        <v>84.35</v>
      </c>
      <c r="C86" s="135">
        <v>106.91</v>
      </c>
      <c r="D86" s="135">
        <v>94.43</v>
      </c>
      <c r="E86" s="131">
        <v>76.33</v>
      </c>
      <c r="F86" s="131">
        <v>114.53</v>
      </c>
      <c r="G86" s="135">
        <v>94.64</v>
      </c>
      <c r="H86" s="135">
        <v>88.67</v>
      </c>
      <c r="I86" s="725"/>
      <c r="J86" s="135">
        <v>82.55</v>
      </c>
      <c r="K86" s="135">
        <v>83.77</v>
      </c>
      <c r="L86" s="135">
        <v>59.59</v>
      </c>
      <c r="M86" s="135">
        <v>70.7</v>
      </c>
      <c r="N86" s="135">
        <v>80.84</v>
      </c>
      <c r="O86" s="131">
        <v>98.46</v>
      </c>
      <c r="P86" s="155">
        <v>70.97</v>
      </c>
      <c r="Q86" s="37"/>
      <c r="R86" s="155">
        <v>99.63</v>
      </c>
      <c r="S86" s="131">
        <v>77.87</v>
      </c>
      <c r="T86" s="131">
        <v>77.11</v>
      </c>
      <c r="U86" s="131">
        <v>64.09</v>
      </c>
      <c r="V86" s="131">
        <v>84.88</v>
      </c>
      <c r="W86" s="131">
        <v>71.27</v>
      </c>
      <c r="X86" s="573"/>
      <c r="Y86" s="37"/>
      <c r="Z86" s="135">
        <v>93.31</v>
      </c>
      <c r="AA86" s="135">
        <v>92.99</v>
      </c>
      <c r="AB86" s="135">
        <v>91.16</v>
      </c>
      <c r="AC86" s="135">
        <v>85.77</v>
      </c>
      <c r="AD86" s="135">
        <v>67.38</v>
      </c>
      <c r="AE86" s="135">
        <v>80.489999999999995</v>
      </c>
      <c r="AF86" s="135">
        <v>94.47</v>
      </c>
      <c r="AG86" s="135">
        <v>106.69</v>
      </c>
      <c r="AH86" s="135">
        <v>10.72</v>
      </c>
      <c r="AI86" s="135">
        <v>66.7</v>
      </c>
      <c r="AJ86" s="37"/>
      <c r="AK86" s="38"/>
      <c r="AL86" s="452" t="s">
        <v>247</v>
      </c>
    </row>
    <row r="87" spans="1:38" x14ac:dyDescent="0.25">
      <c r="A87" s="382">
        <v>139</v>
      </c>
      <c r="B87" s="131">
        <v>75.61</v>
      </c>
      <c r="C87" s="135">
        <v>37.24</v>
      </c>
      <c r="D87" s="155">
        <v>69.02</v>
      </c>
      <c r="E87" s="131">
        <v>71.59</v>
      </c>
      <c r="F87" s="131">
        <v>100.05</v>
      </c>
      <c r="G87" s="135">
        <v>72.25</v>
      </c>
      <c r="H87" s="537"/>
      <c r="I87" s="725"/>
      <c r="J87" s="537"/>
      <c r="K87" s="537"/>
      <c r="L87" s="135">
        <v>27.11</v>
      </c>
      <c r="M87" s="135">
        <v>57.39</v>
      </c>
      <c r="N87" s="135">
        <v>73.489999999999995</v>
      </c>
      <c r="O87" s="131">
        <v>102.88</v>
      </c>
      <c r="P87" s="155">
        <v>88.97</v>
      </c>
      <c r="Q87" s="37"/>
      <c r="R87" s="131">
        <v>59.87</v>
      </c>
      <c r="S87" s="131">
        <v>75.63</v>
      </c>
      <c r="T87" s="131">
        <v>80.91</v>
      </c>
      <c r="U87" s="12">
        <v>59.02</v>
      </c>
      <c r="V87" s="131">
        <v>69.34</v>
      </c>
      <c r="W87" s="135">
        <v>80.78</v>
      </c>
      <c r="X87" s="135"/>
      <c r="Y87" s="37"/>
      <c r="Z87" s="131">
        <v>43.01</v>
      </c>
      <c r="AA87" s="131">
        <v>119.55</v>
      </c>
      <c r="AB87" s="12">
        <v>88.84</v>
      </c>
      <c r="AC87" s="12">
        <v>78.17</v>
      </c>
      <c r="AD87" s="12">
        <v>28.56</v>
      </c>
      <c r="AE87" s="12">
        <v>58.5</v>
      </c>
      <c r="AF87" s="12">
        <v>72.760000000000005</v>
      </c>
      <c r="AG87" s="131">
        <v>46.51</v>
      </c>
      <c r="AH87" s="131">
        <v>15.32</v>
      </c>
      <c r="AI87" s="131">
        <v>75.349999999999994</v>
      </c>
      <c r="AJ87" s="37"/>
      <c r="AK87" s="38"/>
      <c r="AL87" s="450"/>
    </row>
    <row r="88" spans="1:38" x14ac:dyDescent="0.25">
      <c r="A88" s="382">
        <v>140</v>
      </c>
      <c r="B88" s="155">
        <v>99.53</v>
      </c>
      <c r="C88" s="131">
        <v>80.64</v>
      </c>
      <c r="D88" s="135">
        <v>113.59</v>
      </c>
      <c r="E88" s="135">
        <v>56.83</v>
      </c>
      <c r="F88" s="135">
        <v>85.02</v>
      </c>
      <c r="G88" s="530"/>
      <c r="H88" s="155">
        <v>139.44</v>
      </c>
      <c r="I88" s="725"/>
      <c r="J88" s="155">
        <v>103.15</v>
      </c>
      <c r="K88" s="131">
        <v>75.260000000000005</v>
      </c>
      <c r="L88" s="131">
        <v>88.19</v>
      </c>
      <c r="M88" s="155">
        <v>79.91</v>
      </c>
      <c r="N88" s="131">
        <v>63.21</v>
      </c>
      <c r="O88" s="131">
        <v>68.94</v>
      </c>
      <c r="P88" s="155">
        <v>75.34</v>
      </c>
      <c r="Q88" s="37"/>
      <c r="R88" s="131">
        <v>85.75</v>
      </c>
      <c r="S88" s="131">
        <v>73.89</v>
      </c>
      <c r="T88" s="131">
        <v>77.150000000000006</v>
      </c>
      <c r="U88" s="12">
        <v>64.16</v>
      </c>
      <c r="V88" s="12">
        <v>97.87</v>
      </c>
      <c r="W88" s="135">
        <v>62.36</v>
      </c>
      <c r="X88" s="135"/>
      <c r="Y88" s="37"/>
      <c r="Z88" s="131">
        <v>64.22</v>
      </c>
      <c r="AA88" s="537"/>
      <c r="AB88" s="12">
        <v>89.19</v>
      </c>
      <c r="AC88" s="12">
        <v>93.45</v>
      </c>
      <c r="AD88" s="12">
        <v>55.06</v>
      </c>
      <c r="AE88" s="131">
        <v>41.49</v>
      </c>
      <c r="AF88" s="12">
        <v>69.28</v>
      </c>
      <c r="AG88" s="131">
        <v>59.71</v>
      </c>
      <c r="AH88" s="131">
        <v>22.83</v>
      </c>
      <c r="AI88" s="131">
        <v>64.38</v>
      </c>
      <c r="AJ88" s="37"/>
      <c r="AK88" s="38"/>
      <c r="AL88" s="452" t="s">
        <v>248</v>
      </c>
    </row>
    <row r="89" spans="1:38" x14ac:dyDescent="0.25">
      <c r="A89" s="382">
        <v>141</v>
      </c>
      <c r="B89" s="537"/>
      <c r="C89" s="537"/>
      <c r="D89" s="155">
        <v>27.63</v>
      </c>
      <c r="E89" s="135">
        <v>93.8</v>
      </c>
      <c r="F89" s="135">
        <v>74.239999999999995</v>
      </c>
      <c r="G89" s="135">
        <v>95.3</v>
      </c>
      <c r="H89" s="135">
        <v>80.73</v>
      </c>
      <c r="I89" s="725"/>
      <c r="J89" s="135">
        <v>89.72</v>
      </c>
      <c r="K89" s="135">
        <v>70.040000000000006</v>
      </c>
      <c r="L89" s="135">
        <v>71.650000000000006</v>
      </c>
      <c r="M89" s="135">
        <v>86.49</v>
      </c>
      <c r="N89" s="135">
        <v>66.010000000000005</v>
      </c>
      <c r="O89" s="135">
        <v>92.39</v>
      </c>
      <c r="P89" s="155">
        <v>83.01</v>
      </c>
      <c r="Q89" s="37"/>
      <c r="R89" s="131">
        <v>97.64</v>
      </c>
      <c r="S89" s="131">
        <v>89.71</v>
      </c>
      <c r="T89" s="131">
        <v>79.08</v>
      </c>
      <c r="U89" s="12">
        <v>76.459999999999994</v>
      </c>
      <c r="V89" s="12">
        <v>104.46</v>
      </c>
      <c r="W89" s="135">
        <v>75.83</v>
      </c>
      <c r="X89" s="135"/>
      <c r="Y89" s="37"/>
      <c r="Z89" s="12">
        <v>44.32</v>
      </c>
      <c r="AA89" s="12">
        <v>90.2</v>
      </c>
      <c r="AB89" s="12">
        <v>89.61</v>
      </c>
      <c r="AC89" s="12">
        <v>76.92</v>
      </c>
      <c r="AD89" s="12">
        <v>76.11</v>
      </c>
      <c r="AE89" s="131">
        <v>58.77</v>
      </c>
      <c r="AF89" s="131">
        <v>96.23</v>
      </c>
      <c r="AG89" s="131">
        <v>95.19</v>
      </c>
      <c r="AH89" s="131">
        <v>18.98</v>
      </c>
      <c r="AI89" s="131">
        <v>81.78</v>
      </c>
      <c r="AJ89" s="37"/>
      <c r="AK89" s="38"/>
      <c r="AL89" s="450"/>
    </row>
    <row r="90" spans="1:38" x14ac:dyDescent="0.25">
      <c r="A90" s="382">
        <v>142</v>
      </c>
      <c r="B90" s="131">
        <v>75.42</v>
      </c>
      <c r="C90" s="131">
        <v>90.06</v>
      </c>
      <c r="D90" s="135">
        <v>117.9</v>
      </c>
      <c r="E90" s="131">
        <v>77.62</v>
      </c>
      <c r="F90" s="131">
        <v>81.69</v>
      </c>
      <c r="G90" s="135">
        <v>78.180000000000007</v>
      </c>
      <c r="H90" s="135">
        <v>44.5</v>
      </c>
      <c r="I90" s="725"/>
      <c r="J90" s="135">
        <v>95.15</v>
      </c>
      <c r="K90" s="131">
        <v>81.63</v>
      </c>
      <c r="L90" s="131">
        <v>78.13</v>
      </c>
      <c r="M90" s="135">
        <v>62.74</v>
      </c>
      <c r="N90" s="131">
        <v>64.14</v>
      </c>
      <c r="O90" s="131">
        <v>92.06</v>
      </c>
      <c r="P90" s="155">
        <v>62.13</v>
      </c>
      <c r="Q90" s="37"/>
      <c r="R90" s="131">
        <v>87.99</v>
      </c>
      <c r="S90" s="131">
        <v>78.59</v>
      </c>
      <c r="T90" s="12">
        <v>81.599999999999994</v>
      </c>
      <c r="U90" s="12">
        <v>65.09</v>
      </c>
      <c r="V90" s="131">
        <v>91.11</v>
      </c>
      <c r="W90" s="135">
        <v>73.23</v>
      </c>
      <c r="X90" s="135"/>
      <c r="Y90" s="37"/>
      <c r="Z90" s="131">
        <v>74.319999999999993</v>
      </c>
      <c r="AA90" s="131">
        <v>74.180000000000007</v>
      </c>
      <c r="AB90" s="12">
        <v>44.52</v>
      </c>
      <c r="AC90" s="12">
        <v>73.89</v>
      </c>
      <c r="AD90" s="12">
        <v>48.97</v>
      </c>
      <c r="AE90" s="131">
        <v>79.98</v>
      </c>
      <c r="AF90" s="131">
        <v>76.03</v>
      </c>
      <c r="AG90" s="131">
        <v>27.88</v>
      </c>
      <c r="AH90" s="131">
        <v>6.24</v>
      </c>
      <c r="AI90" s="131">
        <v>83.39</v>
      </c>
      <c r="AJ90" s="37"/>
      <c r="AK90" s="38"/>
      <c r="AL90" s="451" t="s">
        <v>249</v>
      </c>
    </row>
    <row r="91" spans="1:38" x14ac:dyDescent="0.25">
      <c r="A91" s="382">
        <v>143</v>
      </c>
      <c r="B91" s="155">
        <v>88.53</v>
      </c>
      <c r="C91" s="155">
        <v>108.39</v>
      </c>
      <c r="D91" s="135">
        <v>94.57</v>
      </c>
      <c r="E91" s="135">
        <v>84.75</v>
      </c>
      <c r="F91" s="135">
        <v>90.47</v>
      </c>
      <c r="G91" s="530"/>
      <c r="H91" s="537"/>
      <c r="I91" s="725"/>
      <c r="J91" s="530"/>
      <c r="K91" s="533">
        <v>83.11</v>
      </c>
      <c r="L91" s="533">
        <v>73.540000000000006</v>
      </c>
      <c r="M91" s="533">
        <v>82.33</v>
      </c>
      <c r="N91" s="530"/>
      <c r="O91" s="530"/>
      <c r="P91" s="532">
        <v>149.59</v>
      </c>
      <c r="Q91" s="37"/>
      <c r="R91" s="131">
        <v>89.89</v>
      </c>
      <c r="S91" s="131">
        <v>104.04</v>
      </c>
      <c r="T91" s="131">
        <v>88.72</v>
      </c>
      <c r="U91" s="12">
        <v>81.150000000000006</v>
      </c>
      <c r="V91" s="12">
        <v>93.24</v>
      </c>
      <c r="W91" s="135">
        <v>81.37</v>
      </c>
      <c r="X91" s="135"/>
      <c r="Y91" s="37"/>
      <c r="Z91" s="131">
        <v>96.86</v>
      </c>
      <c r="AA91" s="131">
        <v>108.72</v>
      </c>
      <c r="AB91" s="12">
        <v>90.83</v>
      </c>
      <c r="AC91" s="12">
        <v>104.39</v>
      </c>
      <c r="AD91" s="530"/>
      <c r="AE91" s="131">
        <v>95.04</v>
      </c>
      <c r="AF91" s="131">
        <v>102.05</v>
      </c>
      <c r="AG91" s="131">
        <v>64.260000000000005</v>
      </c>
      <c r="AH91" s="131">
        <v>13.07</v>
      </c>
      <c r="AI91" s="131">
        <v>53.38</v>
      </c>
      <c r="AJ91" s="37"/>
      <c r="AK91" s="38"/>
      <c r="AL91" s="451" t="s">
        <v>250</v>
      </c>
    </row>
    <row r="92" spans="1:38" x14ac:dyDescent="0.25">
      <c r="A92" s="382">
        <v>144</v>
      </c>
      <c r="B92" s="530"/>
      <c r="C92" s="537"/>
      <c r="D92" s="530"/>
      <c r="E92" s="530"/>
      <c r="F92" s="537"/>
      <c r="G92" s="530"/>
      <c r="H92" s="530"/>
      <c r="I92" s="111"/>
      <c r="J92" s="530"/>
      <c r="K92" s="537"/>
      <c r="L92" s="530"/>
      <c r="M92" s="530"/>
      <c r="N92" s="530"/>
      <c r="O92" s="537"/>
      <c r="P92" s="537"/>
      <c r="Q92" s="111"/>
      <c r="R92" s="548">
        <v>211.68</v>
      </c>
      <c r="S92" s="537"/>
      <c r="T92" s="537"/>
      <c r="U92" s="12">
        <v>54.32</v>
      </c>
      <c r="V92" s="131">
        <v>86.11</v>
      </c>
      <c r="W92" s="530"/>
      <c r="X92" s="135"/>
      <c r="Y92" s="37"/>
      <c r="Z92" s="12">
        <v>24.39</v>
      </c>
      <c r="AA92" s="537"/>
      <c r="AB92" s="530"/>
      <c r="AC92" s="532">
        <v>153.59</v>
      </c>
      <c r="AD92" s="12">
        <v>73.41</v>
      </c>
      <c r="AE92" s="131">
        <v>74.19</v>
      </c>
      <c r="AF92" s="131">
        <v>76.66</v>
      </c>
      <c r="AG92" s="131">
        <v>74.349999999999994</v>
      </c>
      <c r="AH92" s="131">
        <v>24.49</v>
      </c>
      <c r="AI92" s="131">
        <v>63.49</v>
      </c>
      <c r="AJ92" s="37"/>
      <c r="AK92" s="38"/>
      <c r="AL92" s="450"/>
    </row>
    <row r="93" spans="1:38" x14ac:dyDescent="0.25">
      <c r="A93" s="382">
        <v>145</v>
      </c>
      <c r="B93" s="131">
        <v>65.819999999999993</v>
      </c>
      <c r="C93" s="155">
        <v>93.62</v>
      </c>
      <c r="D93" s="135">
        <v>85.99</v>
      </c>
      <c r="E93" s="135">
        <v>61.41</v>
      </c>
      <c r="F93" s="131">
        <v>66.91</v>
      </c>
      <c r="G93" s="135">
        <v>61.16</v>
      </c>
      <c r="H93" s="135">
        <v>82.68</v>
      </c>
      <c r="I93" s="37"/>
      <c r="J93" s="135">
        <v>19.170000000000002</v>
      </c>
      <c r="K93" s="135">
        <v>80.45</v>
      </c>
      <c r="L93" s="135">
        <v>85.94</v>
      </c>
      <c r="M93" s="135">
        <v>90.02</v>
      </c>
      <c r="N93" s="530"/>
      <c r="O93" s="530"/>
      <c r="P93" s="135">
        <v>35.4</v>
      </c>
      <c r="Q93" s="37"/>
      <c r="R93" s="131">
        <v>86.09</v>
      </c>
      <c r="S93" s="12">
        <v>79</v>
      </c>
      <c r="T93" s="131">
        <v>84.93</v>
      </c>
      <c r="U93" s="12">
        <v>82.49</v>
      </c>
      <c r="V93" s="155">
        <v>94.77</v>
      </c>
      <c r="W93" s="135">
        <v>64.010000000000005</v>
      </c>
      <c r="X93" s="135"/>
      <c r="Y93" s="37"/>
      <c r="Z93" s="131">
        <v>80.66</v>
      </c>
      <c r="AA93" s="12">
        <v>70.84</v>
      </c>
      <c r="AB93" s="530"/>
      <c r="AC93" s="12">
        <v>87.89</v>
      </c>
      <c r="AD93" s="12">
        <v>63.06</v>
      </c>
      <c r="AE93" s="131">
        <v>73.38</v>
      </c>
      <c r="AF93" s="12">
        <v>101.5</v>
      </c>
      <c r="AG93" s="131">
        <v>77.180000000000007</v>
      </c>
      <c r="AH93" s="131">
        <v>22.91</v>
      </c>
      <c r="AI93" s="131">
        <v>75.569999999999993</v>
      </c>
      <c r="AJ93" s="37"/>
      <c r="AK93" s="38"/>
      <c r="AL93" s="453"/>
    </row>
    <row r="94" spans="1:38" x14ac:dyDescent="0.25">
      <c r="A94" s="382">
        <v>147</v>
      </c>
      <c r="B94" s="135">
        <v>116.96</v>
      </c>
      <c r="C94" s="530"/>
      <c r="D94" s="530"/>
      <c r="E94" s="131">
        <v>79.290000000000006</v>
      </c>
      <c r="F94" s="135">
        <v>105.41</v>
      </c>
      <c r="G94" s="135">
        <v>72.98</v>
      </c>
      <c r="H94" s="135">
        <v>83.43</v>
      </c>
      <c r="I94" s="37"/>
      <c r="J94" s="135">
        <v>94.25</v>
      </c>
      <c r="K94" s="532">
        <v>200</v>
      </c>
      <c r="L94" s="532">
        <v>131.54</v>
      </c>
      <c r="M94" s="135">
        <v>101.28</v>
      </c>
      <c r="N94" s="135">
        <v>101.99</v>
      </c>
      <c r="O94" s="155">
        <v>98.61</v>
      </c>
      <c r="P94" s="155">
        <v>101.29</v>
      </c>
      <c r="Q94" s="37"/>
      <c r="R94" s="155">
        <v>95.83</v>
      </c>
      <c r="S94" s="131">
        <v>88.93</v>
      </c>
      <c r="T94" s="12">
        <v>77</v>
      </c>
      <c r="U94" s="12">
        <v>70.180000000000007</v>
      </c>
      <c r="V94" s="131">
        <v>97.72</v>
      </c>
      <c r="W94" s="135">
        <v>68.349999999999994</v>
      </c>
      <c r="X94" s="135"/>
      <c r="Y94" s="37"/>
      <c r="Z94" s="131">
        <v>101.75</v>
      </c>
      <c r="AA94" s="131">
        <v>87.06</v>
      </c>
      <c r="AB94" s="12">
        <v>102.8</v>
      </c>
      <c r="AC94" s="530"/>
      <c r="AD94" s="12">
        <v>24.46</v>
      </c>
      <c r="AE94" s="530"/>
      <c r="AF94" s="131">
        <v>98.51</v>
      </c>
      <c r="AG94" s="131">
        <v>54.47</v>
      </c>
      <c r="AH94" s="12">
        <v>19.8</v>
      </c>
      <c r="AI94" s="131">
        <v>90.48</v>
      </c>
      <c r="AJ94" s="37"/>
      <c r="AK94" s="38"/>
      <c r="AL94" s="453"/>
    </row>
    <row r="95" spans="1:38" x14ac:dyDescent="0.25">
      <c r="A95" s="382">
        <v>148</v>
      </c>
      <c r="B95" s="135">
        <v>84.35</v>
      </c>
      <c r="C95" s="131">
        <v>81.38</v>
      </c>
      <c r="D95" s="131">
        <v>110.49</v>
      </c>
      <c r="E95" s="135">
        <v>56.83</v>
      </c>
      <c r="F95" s="135">
        <v>61.2</v>
      </c>
      <c r="G95" s="135">
        <v>75.010000000000005</v>
      </c>
      <c r="H95" s="135">
        <v>105.99</v>
      </c>
      <c r="I95" s="37"/>
      <c r="J95" s="135">
        <v>95.89</v>
      </c>
      <c r="K95" s="135">
        <v>76.989999999999995</v>
      </c>
      <c r="L95" s="135">
        <v>100.1</v>
      </c>
      <c r="M95" s="155">
        <v>69.260000000000005</v>
      </c>
      <c r="N95" s="135">
        <v>45.12</v>
      </c>
      <c r="O95" s="135">
        <v>66.38</v>
      </c>
      <c r="P95" s="155">
        <v>102.44</v>
      </c>
      <c r="Q95" s="37"/>
      <c r="R95" s="131">
        <v>64.81</v>
      </c>
      <c r="S95" s="131">
        <v>75.44</v>
      </c>
      <c r="T95" s="131">
        <v>72.48</v>
      </c>
      <c r="U95" s="12">
        <v>61.24</v>
      </c>
      <c r="V95" s="12">
        <v>94.4</v>
      </c>
      <c r="W95" s="135">
        <v>57.49</v>
      </c>
      <c r="X95" s="135"/>
      <c r="Y95" s="37"/>
      <c r="Z95" s="131">
        <v>65.09</v>
      </c>
      <c r="AA95" s="131">
        <v>93.44</v>
      </c>
      <c r="AB95" s="12">
        <v>66.91</v>
      </c>
      <c r="AC95" s="12">
        <v>84.82</v>
      </c>
      <c r="AD95" s="12">
        <v>42.52</v>
      </c>
      <c r="AE95" s="12">
        <v>45.7</v>
      </c>
      <c r="AF95" s="131">
        <v>79.42</v>
      </c>
      <c r="AG95" s="12">
        <v>9.1999999999999993</v>
      </c>
      <c r="AH95" s="131">
        <v>14.82</v>
      </c>
      <c r="AI95" s="131">
        <v>63.34</v>
      </c>
      <c r="AJ95" s="37"/>
      <c r="AK95" s="38"/>
      <c r="AL95" s="453"/>
    </row>
    <row r="96" spans="1:38" x14ac:dyDescent="0.25">
      <c r="A96" s="382">
        <v>149</v>
      </c>
      <c r="B96" s="548">
        <v>125.15</v>
      </c>
      <c r="C96" s="135">
        <v>111.17</v>
      </c>
      <c r="D96" s="135">
        <v>126.08</v>
      </c>
      <c r="E96" s="135">
        <v>83.04</v>
      </c>
      <c r="F96" s="12">
        <v>102.9</v>
      </c>
      <c r="G96" s="135">
        <v>94.12</v>
      </c>
      <c r="H96" s="135">
        <v>112.35</v>
      </c>
      <c r="I96" s="37"/>
      <c r="J96" s="135">
        <v>100.87</v>
      </c>
      <c r="K96" s="135">
        <v>71.77</v>
      </c>
      <c r="L96" s="135">
        <v>106.19</v>
      </c>
      <c r="M96" s="135">
        <v>98.26</v>
      </c>
      <c r="N96" s="135">
        <v>84.77</v>
      </c>
      <c r="O96" s="135">
        <v>90.9</v>
      </c>
      <c r="P96" s="155">
        <v>78.64</v>
      </c>
      <c r="Q96" s="37"/>
      <c r="R96" s="131">
        <v>87.56</v>
      </c>
      <c r="S96" s="12">
        <v>108.88</v>
      </c>
      <c r="T96" s="131">
        <v>68.91</v>
      </c>
      <c r="U96" s="12">
        <v>67.39</v>
      </c>
      <c r="V96" s="131">
        <v>112.67</v>
      </c>
      <c r="W96" s="135">
        <v>71.349999999999994</v>
      </c>
      <c r="X96" s="135"/>
      <c r="Y96" s="37"/>
      <c r="Z96" s="131">
        <v>70.62</v>
      </c>
      <c r="AA96" s="131">
        <v>114.99</v>
      </c>
      <c r="AB96" s="530"/>
      <c r="AC96" s="12">
        <v>78.73</v>
      </c>
      <c r="AD96" s="12">
        <v>58.81</v>
      </c>
      <c r="AE96" s="131">
        <v>106.46</v>
      </c>
      <c r="AF96" s="131">
        <v>102.55</v>
      </c>
      <c r="AG96" s="131">
        <v>55.43</v>
      </c>
      <c r="AH96" s="131">
        <v>63.55</v>
      </c>
      <c r="AI96" s="131">
        <v>115.36</v>
      </c>
      <c r="AJ96" s="37"/>
      <c r="AK96" s="38"/>
      <c r="AL96" s="453"/>
    </row>
    <row r="97" spans="1:38" x14ac:dyDescent="0.25">
      <c r="A97" s="382">
        <v>150</v>
      </c>
      <c r="B97" s="131">
        <v>99.68</v>
      </c>
      <c r="C97" s="135">
        <v>95.63</v>
      </c>
      <c r="D97" s="135">
        <v>111.27</v>
      </c>
      <c r="E97" s="135">
        <v>87.08</v>
      </c>
      <c r="F97" s="135">
        <v>79.31</v>
      </c>
      <c r="G97" s="135">
        <v>101.97</v>
      </c>
      <c r="H97" s="135">
        <v>105.69</v>
      </c>
      <c r="I97" s="37"/>
      <c r="J97" s="135">
        <v>112.67</v>
      </c>
      <c r="K97" s="135">
        <v>88.23</v>
      </c>
      <c r="L97" s="135">
        <v>105.28</v>
      </c>
      <c r="M97" s="155">
        <v>91.53</v>
      </c>
      <c r="N97" s="135">
        <v>102.86</v>
      </c>
      <c r="O97" s="135">
        <v>66.95</v>
      </c>
      <c r="P97" s="155">
        <v>95.52</v>
      </c>
      <c r="Q97" s="37"/>
      <c r="R97" s="131">
        <v>104.88</v>
      </c>
      <c r="S97" s="12">
        <v>111.6</v>
      </c>
      <c r="T97" s="131">
        <v>93.15</v>
      </c>
      <c r="U97" s="530"/>
      <c r="V97" s="131">
        <v>81.39</v>
      </c>
      <c r="W97" s="135">
        <v>58.75</v>
      </c>
      <c r="X97" s="135"/>
      <c r="Y97" s="37"/>
      <c r="Z97" s="131">
        <v>99.03</v>
      </c>
      <c r="AA97" s="131">
        <v>91.62</v>
      </c>
      <c r="AB97" s="12">
        <v>114.02</v>
      </c>
      <c r="AC97" s="12">
        <v>85.51</v>
      </c>
      <c r="AD97" s="135">
        <v>91.95</v>
      </c>
      <c r="AE97" s="537"/>
      <c r="AF97" s="537"/>
      <c r="AG97" s="537"/>
      <c r="AH97" s="537"/>
      <c r="AI97" s="537"/>
      <c r="AJ97" s="37"/>
      <c r="AK97" s="38"/>
      <c r="AL97" s="453"/>
    </row>
    <row r="98" spans="1:38" x14ac:dyDescent="0.25">
      <c r="A98" s="382">
        <v>151</v>
      </c>
      <c r="B98" s="135">
        <v>75.150000000000006</v>
      </c>
      <c r="C98" s="155">
        <v>105.91</v>
      </c>
      <c r="D98" s="135">
        <v>80.069999999999993</v>
      </c>
      <c r="E98" s="135">
        <v>70.55</v>
      </c>
      <c r="F98" s="530"/>
      <c r="G98" s="530"/>
      <c r="H98" s="530"/>
      <c r="I98" s="37"/>
      <c r="J98" s="135">
        <v>72.87</v>
      </c>
      <c r="K98" s="12">
        <v>78.239999999999995</v>
      </c>
      <c r="L98" s="135">
        <v>96.22</v>
      </c>
      <c r="M98" s="135">
        <v>57.46</v>
      </c>
      <c r="N98" s="135">
        <v>76.44</v>
      </c>
      <c r="O98" s="135">
        <v>72.92</v>
      </c>
      <c r="P98" s="155">
        <v>91.12</v>
      </c>
      <c r="Q98" s="37"/>
      <c r="R98" s="155">
        <v>106.28</v>
      </c>
      <c r="S98" s="155">
        <v>74.819999999999993</v>
      </c>
      <c r="T98" s="12">
        <v>72.44</v>
      </c>
      <c r="U98" s="12">
        <v>83.57</v>
      </c>
      <c r="V98" s="131">
        <v>80.98</v>
      </c>
      <c r="W98" s="135">
        <v>77.040000000000006</v>
      </c>
      <c r="X98" s="135"/>
      <c r="Y98" s="37"/>
      <c r="Z98" s="12">
        <v>91.34</v>
      </c>
      <c r="AA98" s="131">
        <v>77.290000000000006</v>
      </c>
      <c r="AB98" s="12">
        <v>88.17</v>
      </c>
      <c r="AC98" s="12">
        <v>83.25</v>
      </c>
      <c r="AD98" s="12">
        <v>57.99</v>
      </c>
      <c r="AE98" s="12">
        <v>74</v>
      </c>
      <c r="AF98" s="131">
        <v>73.540000000000006</v>
      </c>
      <c r="AG98" s="131">
        <v>86.12</v>
      </c>
      <c r="AH98" s="131">
        <v>20.25</v>
      </c>
      <c r="AI98" s="131">
        <v>79.739999999999995</v>
      </c>
      <c r="AJ98" s="37"/>
      <c r="AK98" s="38"/>
      <c r="AL98" s="453"/>
    </row>
    <row r="99" spans="1:38" x14ac:dyDescent="0.25">
      <c r="A99" s="382">
        <v>152</v>
      </c>
      <c r="B99" s="671"/>
      <c r="C99" s="671"/>
      <c r="D99" s="671"/>
      <c r="E99" s="672">
        <v>35.58</v>
      </c>
      <c r="F99" s="118">
        <v>50.89</v>
      </c>
      <c r="G99" s="161">
        <v>88.32</v>
      </c>
      <c r="H99" s="161">
        <v>94.78</v>
      </c>
      <c r="I99" s="37"/>
      <c r="J99" s="155">
        <v>75.63</v>
      </c>
      <c r="K99" s="12">
        <v>87.8</v>
      </c>
      <c r="L99" s="131">
        <v>79.14</v>
      </c>
      <c r="M99" s="135">
        <v>84.6</v>
      </c>
      <c r="N99" s="131">
        <v>74.83</v>
      </c>
      <c r="O99" s="131">
        <v>107.38</v>
      </c>
      <c r="P99" s="702">
        <v>71.31</v>
      </c>
      <c r="Q99" s="37"/>
      <c r="R99" s="155">
        <v>112.26</v>
      </c>
      <c r="S99" s="131">
        <v>94.43</v>
      </c>
      <c r="T99" s="131">
        <v>76.92</v>
      </c>
      <c r="U99" s="131">
        <v>51.79</v>
      </c>
      <c r="V99" s="131">
        <v>78.989999999999995</v>
      </c>
      <c r="W99" s="135">
        <v>68</v>
      </c>
      <c r="X99" s="135"/>
      <c r="Y99" s="37"/>
      <c r="Z99" s="135">
        <v>96.28</v>
      </c>
      <c r="AA99" s="135">
        <v>102.75</v>
      </c>
      <c r="AB99" s="135">
        <v>86.11</v>
      </c>
      <c r="AC99" s="135">
        <v>82.53</v>
      </c>
      <c r="AD99" s="135">
        <v>71.22</v>
      </c>
      <c r="AE99" s="135">
        <v>71.41</v>
      </c>
      <c r="AF99" s="135">
        <v>72.790000000000006</v>
      </c>
      <c r="AG99" s="135">
        <v>63.1</v>
      </c>
      <c r="AH99" s="135">
        <v>14.03</v>
      </c>
      <c r="AI99" s="135">
        <v>73.790000000000006</v>
      </c>
      <c r="AJ99" s="37"/>
      <c r="AK99" s="38"/>
      <c r="AL99" s="453"/>
    </row>
    <row r="100" spans="1:38" x14ac:dyDescent="0.25">
      <c r="A100" s="382">
        <v>153</v>
      </c>
      <c r="B100" s="12">
        <v>86.81</v>
      </c>
      <c r="C100" s="135">
        <v>77.55</v>
      </c>
      <c r="D100" s="131">
        <v>107.33</v>
      </c>
      <c r="E100" s="12">
        <v>74.34</v>
      </c>
      <c r="F100" s="537"/>
      <c r="G100" s="135">
        <v>70.02</v>
      </c>
      <c r="H100" s="135">
        <v>66.650000000000006</v>
      </c>
      <c r="I100" s="37"/>
      <c r="J100" s="135">
        <v>62.76</v>
      </c>
      <c r="K100" s="12">
        <v>85.43</v>
      </c>
      <c r="L100" s="135">
        <v>75.42</v>
      </c>
      <c r="M100" s="155">
        <v>81.180000000000007</v>
      </c>
      <c r="N100" s="131">
        <v>84.93</v>
      </c>
      <c r="O100" s="135">
        <v>84.08</v>
      </c>
      <c r="P100" s="155">
        <v>93.21</v>
      </c>
      <c r="Q100" s="37"/>
      <c r="R100" s="12">
        <v>80.5</v>
      </c>
      <c r="S100" s="131">
        <v>80.14</v>
      </c>
      <c r="T100" s="131">
        <v>84.16</v>
      </c>
      <c r="U100" s="12">
        <v>75.42</v>
      </c>
      <c r="V100" s="131">
        <v>72.72</v>
      </c>
      <c r="W100" s="135">
        <v>66.89</v>
      </c>
      <c r="X100" s="135"/>
      <c r="Y100" s="37"/>
      <c r="Z100" s="131">
        <v>71.05</v>
      </c>
      <c r="AA100" s="131">
        <v>67.83</v>
      </c>
      <c r="AB100" s="12">
        <v>83.63</v>
      </c>
      <c r="AC100" s="12">
        <v>77.66</v>
      </c>
      <c r="AD100" s="12">
        <v>64.73</v>
      </c>
      <c r="AE100" s="131">
        <v>41.85</v>
      </c>
      <c r="AF100" s="131">
        <v>79.16</v>
      </c>
      <c r="AG100" s="131">
        <v>56.72</v>
      </c>
      <c r="AH100" s="131">
        <v>12.44</v>
      </c>
      <c r="AI100" s="131">
        <v>66.38</v>
      </c>
      <c r="AJ100" s="37"/>
      <c r="AK100" s="38"/>
      <c r="AL100" s="453"/>
    </row>
    <row r="101" spans="1:38" x14ac:dyDescent="0.25">
      <c r="A101" s="382">
        <v>154</v>
      </c>
      <c r="B101" s="131">
        <v>103.56</v>
      </c>
      <c r="C101" s="131">
        <v>88.26</v>
      </c>
      <c r="D101" s="135">
        <v>85.63</v>
      </c>
      <c r="E101" s="135">
        <v>100.87</v>
      </c>
      <c r="F101" s="135">
        <v>77.760000000000005</v>
      </c>
      <c r="G101" s="135">
        <v>93.02</v>
      </c>
      <c r="H101" s="135">
        <v>83.01</v>
      </c>
      <c r="I101" s="37"/>
      <c r="J101" s="135">
        <v>106.82</v>
      </c>
      <c r="K101" s="135">
        <v>91.36</v>
      </c>
      <c r="L101" s="135">
        <v>110.77</v>
      </c>
      <c r="M101" s="135">
        <v>66.349999999999994</v>
      </c>
      <c r="N101" s="135">
        <v>68.84</v>
      </c>
      <c r="O101" s="135">
        <v>81.87</v>
      </c>
      <c r="P101" s="155">
        <v>84.08</v>
      </c>
      <c r="Q101" s="37"/>
      <c r="R101" s="131">
        <v>94.95</v>
      </c>
      <c r="S101" s="131">
        <v>94.19</v>
      </c>
      <c r="T101" s="131">
        <v>101.48</v>
      </c>
      <c r="U101" s="12">
        <v>79.94</v>
      </c>
      <c r="V101" s="131">
        <v>87.08</v>
      </c>
      <c r="W101" s="135">
        <v>94.24</v>
      </c>
      <c r="X101" s="135"/>
      <c r="Y101" s="37"/>
      <c r="Z101" s="131">
        <v>64.03</v>
      </c>
      <c r="AA101" s="131">
        <v>80.430000000000007</v>
      </c>
      <c r="AB101" s="12">
        <v>87.94</v>
      </c>
      <c r="AC101" s="12">
        <v>70.98</v>
      </c>
      <c r="AD101" s="12">
        <v>43.61</v>
      </c>
      <c r="AE101" s="131">
        <v>104.39</v>
      </c>
      <c r="AF101" s="131">
        <v>49.02</v>
      </c>
      <c r="AG101" s="131">
        <v>117.89</v>
      </c>
      <c r="AH101" s="131">
        <v>14.37</v>
      </c>
      <c r="AI101" s="131">
        <v>93.98</v>
      </c>
      <c r="AJ101" s="37"/>
      <c r="AK101" s="38"/>
      <c r="AL101" s="453"/>
    </row>
    <row r="102" spans="1:38" x14ac:dyDescent="0.25">
      <c r="A102" s="382">
        <v>155</v>
      </c>
      <c r="B102" s="131">
        <v>96.02</v>
      </c>
      <c r="C102" s="131">
        <v>75.67</v>
      </c>
      <c r="D102" s="135">
        <v>80.39</v>
      </c>
      <c r="E102" s="131">
        <v>77.319999999999993</v>
      </c>
      <c r="F102" s="135">
        <v>91.36</v>
      </c>
      <c r="G102" s="135">
        <v>60.36</v>
      </c>
      <c r="H102" s="135">
        <v>97.2</v>
      </c>
      <c r="I102" s="37"/>
      <c r="J102" s="135">
        <v>121.12</v>
      </c>
      <c r="K102" s="135">
        <v>22.78</v>
      </c>
      <c r="L102" s="135">
        <v>98.54</v>
      </c>
      <c r="M102" s="135">
        <v>89.36</v>
      </c>
      <c r="N102" s="135">
        <v>56.86</v>
      </c>
      <c r="O102" s="135">
        <v>106.66</v>
      </c>
      <c r="P102" s="155">
        <v>89.74</v>
      </c>
      <c r="Q102" s="37"/>
      <c r="R102" s="12">
        <v>81.03</v>
      </c>
      <c r="S102" s="131">
        <v>111.85</v>
      </c>
      <c r="T102" s="131">
        <v>66.37</v>
      </c>
      <c r="U102" s="12">
        <v>75.87</v>
      </c>
      <c r="V102" s="131">
        <v>81.260000000000005</v>
      </c>
      <c r="W102" s="135">
        <v>85.16</v>
      </c>
      <c r="X102" s="135"/>
      <c r="Y102" s="37"/>
      <c r="Z102" s="12">
        <v>96</v>
      </c>
      <c r="AA102" s="131">
        <v>104.49</v>
      </c>
      <c r="AB102" s="12">
        <v>74.45</v>
      </c>
      <c r="AC102" s="12">
        <v>95</v>
      </c>
      <c r="AD102" s="12">
        <v>40.49</v>
      </c>
      <c r="AE102" s="131">
        <v>37.99</v>
      </c>
      <c r="AF102" s="12">
        <v>72.87</v>
      </c>
      <c r="AG102" s="131">
        <v>78.33</v>
      </c>
      <c r="AH102" s="537"/>
      <c r="AI102" s="537"/>
      <c r="AJ102" s="37"/>
      <c r="AK102" s="38"/>
      <c r="AL102" s="453"/>
    </row>
    <row r="103" spans="1:38" x14ac:dyDescent="0.25">
      <c r="A103" s="382">
        <v>156</v>
      </c>
      <c r="B103" s="131">
        <v>78.760000000000005</v>
      </c>
      <c r="C103" s="135">
        <v>79.849999999999994</v>
      </c>
      <c r="D103" s="135">
        <v>75.31</v>
      </c>
      <c r="E103" s="537"/>
      <c r="F103" s="537"/>
      <c r="G103" s="135">
        <v>127.77</v>
      </c>
      <c r="H103" s="135">
        <v>83.37</v>
      </c>
      <c r="I103" s="37"/>
      <c r="J103" s="135">
        <v>115.61</v>
      </c>
      <c r="K103" s="135">
        <v>71.38</v>
      </c>
      <c r="L103" s="135">
        <v>90.93</v>
      </c>
      <c r="M103" s="135">
        <v>99.71</v>
      </c>
      <c r="N103" s="135">
        <v>59.63</v>
      </c>
      <c r="O103" s="135">
        <v>76.78</v>
      </c>
      <c r="P103" s="155">
        <v>91.52</v>
      </c>
      <c r="Q103" s="37"/>
      <c r="R103" s="155">
        <v>74.88</v>
      </c>
      <c r="S103" s="131">
        <v>87.77</v>
      </c>
      <c r="T103" s="12">
        <v>70.430000000000007</v>
      </c>
      <c r="U103" s="12">
        <v>81.349999999999994</v>
      </c>
      <c r="V103" s="131">
        <v>92.89</v>
      </c>
      <c r="W103" s="135">
        <v>58.45</v>
      </c>
      <c r="X103" s="135"/>
      <c r="Y103" s="37"/>
      <c r="Z103" s="131">
        <v>86.81</v>
      </c>
      <c r="AA103" s="537"/>
      <c r="AB103" s="530"/>
      <c r="AC103" s="532">
        <v>125.47</v>
      </c>
      <c r="AD103" s="12">
        <v>65.8</v>
      </c>
      <c r="AE103" s="131">
        <v>69.739999999999995</v>
      </c>
      <c r="AF103" s="131">
        <v>85.16</v>
      </c>
      <c r="AG103" s="12">
        <v>85.8</v>
      </c>
      <c r="AH103" s="12">
        <v>4.0999999999999996</v>
      </c>
      <c r="AI103" s="131">
        <v>81.680000000000007</v>
      </c>
      <c r="AJ103" s="37"/>
      <c r="AK103" s="38"/>
      <c r="AL103" s="453"/>
    </row>
    <row r="104" spans="1:38" x14ac:dyDescent="0.25">
      <c r="A104" s="382">
        <v>157</v>
      </c>
      <c r="B104" s="537"/>
      <c r="C104" s="537"/>
      <c r="D104" s="537"/>
      <c r="E104" s="530"/>
      <c r="F104" s="548">
        <v>193.95</v>
      </c>
      <c r="G104" s="533">
        <v>69.12</v>
      </c>
      <c r="H104" s="533">
        <v>59.48</v>
      </c>
      <c r="I104" s="37"/>
      <c r="J104" s="537"/>
      <c r="K104" s="530"/>
      <c r="L104" s="131">
        <v>81.069999999999993</v>
      </c>
      <c r="M104" s="530"/>
      <c r="N104" s="131">
        <v>114.47</v>
      </c>
      <c r="O104" s="530"/>
      <c r="P104" s="155">
        <v>103.18</v>
      </c>
      <c r="Q104" s="37"/>
      <c r="R104" s="155">
        <v>81.42</v>
      </c>
      <c r="S104" s="131">
        <v>76.510000000000005</v>
      </c>
      <c r="T104" s="131">
        <v>81.86</v>
      </c>
      <c r="U104" s="131">
        <v>54.98</v>
      </c>
      <c r="V104" s="131">
        <v>71.180000000000007</v>
      </c>
      <c r="W104" s="135">
        <v>73.34</v>
      </c>
      <c r="X104" s="135"/>
      <c r="Y104" s="37"/>
      <c r="Z104" s="131">
        <v>59.16</v>
      </c>
      <c r="AA104" s="131">
        <v>78.42</v>
      </c>
      <c r="AB104" s="12">
        <v>71.39</v>
      </c>
      <c r="AC104" s="12">
        <v>71.569999999999993</v>
      </c>
      <c r="AD104" s="12">
        <v>58.11</v>
      </c>
      <c r="AE104" s="131">
        <v>65.459999999999994</v>
      </c>
      <c r="AF104" s="12">
        <v>73.2</v>
      </c>
      <c r="AG104" s="537"/>
      <c r="AH104" s="131">
        <v>66.819999999999993</v>
      </c>
      <c r="AI104" s="131">
        <v>63.43</v>
      </c>
      <c r="AJ104" s="37"/>
      <c r="AK104" s="38"/>
      <c r="AL104" s="453"/>
    </row>
    <row r="105" spans="1:38" x14ac:dyDescent="0.25">
      <c r="A105" s="382">
        <v>158</v>
      </c>
      <c r="B105" s="131">
        <v>71.260000000000005</v>
      </c>
      <c r="C105" s="155">
        <v>70.69</v>
      </c>
      <c r="D105" s="155">
        <v>90.22</v>
      </c>
      <c r="E105" s="12">
        <v>79.010000000000005</v>
      </c>
      <c r="F105" s="131">
        <v>65.989999999999995</v>
      </c>
      <c r="G105" s="135">
        <v>96.6</v>
      </c>
      <c r="H105" s="135">
        <v>95.42</v>
      </c>
      <c r="I105" s="37"/>
      <c r="J105" s="135">
        <v>85.51</v>
      </c>
      <c r="K105" s="135">
        <v>84.29</v>
      </c>
      <c r="L105" s="530"/>
      <c r="M105" s="532">
        <v>132.13</v>
      </c>
      <c r="N105" s="135">
        <v>66.760000000000005</v>
      </c>
      <c r="O105" s="155">
        <v>77.27</v>
      </c>
      <c r="P105" s="155">
        <v>72.680000000000007</v>
      </c>
      <c r="Q105" s="37"/>
      <c r="R105" s="131">
        <v>99.04</v>
      </c>
      <c r="S105" s="12">
        <v>73.88</v>
      </c>
      <c r="T105" s="131">
        <v>81.05</v>
      </c>
      <c r="U105" s="12">
        <v>61.53</v>
      </c>
      <c r="V105" s="131">
        <v>107.74</v>
      </c>
      <c r="W105" s="135">
        <v>62.9</v>
      </c>
      <c r="X105" s="135"/>
      <c r="Y105" s="37"/>
      <c r="Z105" s="12">
        <v>89.9</v>
      </c>
      <c r="AA105" s="135">
        <v>94.22</v>
      </c>
      <c r="AB105" s="12">
        <v>103.04</v>
      </c>
      <c r="AC105" s="12">
        <v>70.52</v>
      </c>
      <c r="AD105" s="12">
        <v>59.76</v>
      </c>
      <c r="AE105" s="131">
        <v>89.32</v>
      </c>
      <c r="AF105" s="131">
        <v>81.86</v>
      </c>
      <c r="AG105" s="131">
        <v>76.64</v>
      </c>
      <c r="AH105" s="131">
        <v>22.14</v>
      </c>
      <c r="AI105" s="131">
        <v>86.32</v>
      </c>
      <c r="AJ105" s="37"/>
      <c r="AK105" s="38"/>
      <c r="AL105" s="453"/>
    </row>
    <row r="106" spans="1:38" x14ac:dyDescent="0.25">
      <c r="A106" s="382">
        <v>159</v>
      </c>
      <c r="B106" s="131">
        <v>92.23</v>
      </c>
      <c r="C106" s="135">
        <v>66.3</v>
      </c>
      <c r="D106" s="135">
        <v>80.239999999999995</v>
      </c>
      <c r="E106" s="135">
        <v>79.86</v>
      </c>
      <c r="F106" s="131">
        <v>85.88</v>
      </c>
      <c r="G106" s="135">
        <v>70.52</v>
      </c>
      <c r="H106" s="135">
        <v>81.13</v>
      </c>
      <c r="I106" s="37"/>
      <c r="J106" s="135">
        <v>83.54</v>
      </c>
      <c r="K106" s="135">
        <v>74.64</v>
      </c>
      <c r="L106" s="530"/>
      <c r="M106" s="155">
        <v>103.92</v>
      </c>
      <c r="N106" s="135">
        <v>86.01</v>
      </c>
      <c r="O106" s="12">
        <v>83.24</v>
      </c>
      <c r="P106" s="155">
        <v>70.680000000000007</v>
      </c>
      <c r="Q106" s="37"/>
      <c r="R106" s="135">
        <v>82.7</v>
      </c>
      <c r="S106" s="12">
        <v>94.03</v>
      </c>
      <c r="T106" s="131">
        <v>74.12</v>
      </c>
      <c r="U106" s="12">
        <v>69.819999999999993</v>
      </c>
      <c r="V106" s="131">
        <v>73.72</v>
      </c>
      <c r="W106" s="135">
        <v>52.74</v>
      </c>
      <c r="X106" s="135"/>
      <c r="Y106" s="37"/>
      <c r="Z106" s="12">
        <v>62.27</v>
      </c>
      <c r="AA106" s="131">
        <v>77.569999999999993</v>
      </c>
      <c r="AB106" s="12">
        <v>83.19</v>
      </c>
      <c r="AC106" s="12">
        <v>82.32</v>
      </c>
      <c r="AD106" s="12">
        <v>60.44</v>
      </c>
      <c r="AE106" s="131">
        <v>76.010000000000005</v>
      </c>
      <c r="AF106" s="12">
        <v>84.9</v>
      </c>
      <c r="AG106" s="131">
        <v>77.62</v>
      </c>
      <c r="AH106" s="131">
        <v>9.4700000000000006</v>
      </c>
      <c r="AI106" s="131">
        <v>66.989999999999995</v>
      </c>
      <c r="AJ106" s="37"/>
      <c r="AK106" s="38"/>
      <c r="AL106" s="453"/>
    </row>
    <row r="107" spans="1:38" x14ac:dyDescent="0.25">
      <c r="A107" s="382">
        <v>161</v>
      </c>
      <c r="B107" s="570">
        <v>63.96</v>
      </c>
      <c r="C107" s="537"/>
      <c r="D107" s="548">
        <v>122.91</v>
      </c>
      <c r="E107" s="118">
        <v>69.36</v>
      </c>
      <c r="F107" s="118">
        <v>88.98</v>
      </c>
      <c r="G107" s="161">
        <v>89.64</v>
      </c>
      <c r="H107" s="161">
        <v>78.19</v>
      </c>
      <c r="I107" s="37"/>
      <c r="J107" s="135">
        <v>101.9</v>
      </c>
      <c r="K107" s="135">
        <v>79.069999999999993</v>
      </c>
      <c r="L107" s="135">
        <v>79.680000000000007</v>
      </c>
      <c r="M107" s="135">
        <v>86.13</v>
      </c>
      <c r="N107" s="135">
        <v>68.52</v>
      </c>
      <c r="O107" s="135">
        <v>75.34</v>
      </c>
      <c r="P107" s="155">
        <v>77.11</v>
      </c>
      <c r="Q107" s="37"/>
      <c r="R107" s="131">
        <v>71.680000000000007</v>
      </c>
      <c r="S107" s="12">
        <v>84.2</v>
      </c>
      <c r="T107" s="131">
        <v>64.510000000000005</v>
      </c>
      <c r="U107" s="12">
        <v>71.09</v>
      </c>
      <c r="V107" s="131">
        <v>61.46</v>
      </c>
      <c r="W107" s="135">
        <v>74.47</v>
      </c>
      <c r="X107" s="135"/>
      <c r="Y107" s="37"/>
      <c r="Z107" s="131">
        <v>66.209999999999994</v>
      </c>
      <c r="AA107" s="131">
        <v>88.84</v>
      </c>
      <c r="AB107" s="12">
        <v>94.43</v>
      </c>
      <c r="AC107" s="12">
        <v>79.52</v>
      </c>
      <c r="AD107" s="12">
        <v>66.58</v>
      </c>
      <c r="AE107" s="131">
        <v>38.659999999999997</v>
      </c>
      <c r="AF107" s="131">
        <v>87.07</v>
      </c>
      <c r="AG107" s="131">
        <v>78.28</v>
      </c>
      <c r="AH107" s="131">
        <v>6.89</v>
      </c>
      <c r="AI107" s="131">
        <v>67.03</v>
      </c>
      <c r="AJ107" s="37"/>
      <c r="AK107" s="38"/>
      <c r="AL107" s="453"/>
    </row>
    <row r="108" spans="1:38" x14ac:dyDescent="0.25">
      <c r="A108" s="382">
        <v>162</v>
      </c>
      <c r="B108" s="131">
        <v>73.17</v>
      </c>
      <c r="C108" s="135">
        <v>102.7</v>
      </c>
      <c r="D108" s="135">
        <v>82.52</v>
      </c>
      <c r="E108" s="12">
        <v>77.53</v>
      </c>
      <c r="F108" s="131">
        <v>69.23</v>
      </c>
      <c r="G108" s="135">
        <v>93.21</v>
      </c>
      <c r="H108" s="135">
        <v>100.03</v>
      </c>
      <c r="I108" s="37"/>
      <c r="J108" s="135">
        <v>101.18</v>
      </c>
      <c r="K108" s="12">
        <v>122.52</v>
      </c>
      <c r="L108" s="135">
        <v>85.52</v>
      </c>
      <c r="M108" s="135">
        <v>85.98</v>
      </c>
      <c r="N108" s="530"/>
      <c r="O108" s="12">
        <v>82.68</v>
      </c>
      <c r="P108" s="155">
        <v>75.36</v>
      </c>
      <c r="Q108" s="37"/>
      <c r="R108" s="131">
        <v>85.15</v>
      </c>
      <c r="S108" s="131">
        <v>95.11</v>
      </c>
      <c r="T108" s="131">
        <v>74.78</v>
      </c>
      <c r="U108" s="530"/>
      <c r="V108" s="548">
        <v>133.46</v>
      </c>
      <c r="W108" s="135">
        <v>61.02</v>
      </c>
      <c r="X108" s="135"/>
      <c r="Y108" s="37"/>
      <c r="Z108" s="759">
        <v>69.14</v>
      </c>
      <c r="AA108" s="131">
        <v>79.94</v>
      </c>
      <c r="AB108" s="12">
        <v>88.47</v>
      </c>
      <c r="AC108" s="12">
        <v>97.59</v>
      </c>
      <c r="AD108" s="12">
        <v>59.69</v>
      </c>
      <c r="AE108" s="131">
        <v>72.81</v>
      </c>
      <c r="AF108" s="131">
        <v>74.430000000000007</v>
      </c>
      <c r="AG108" s="131">
        <v>70.709999999999994</v>
      </c>
      <c r="AH108" s="131">
        <v>18.809999999999999</v>
      </c>
      <c r="AI108" s="131">
        <v>63.73</v>
      </c>
      <c r="AJ108" s="37"/>
      <c r="AK108" s="38"/>
      <c r="AL108" s="453"/>
    </row>
    <row r="109" spans="1:38" x14ac:dyDescent="0.25">
      <c r="A109" s="382">
        <v>163</v>
      </c>
      <c r="B109" s="155">
        <v>85.76</v>
      </c>
      <c r="C109" s="155">
        <v>8.23</v>
      </c>
      <c r="D109" s="135">
        <v>88.1</v>
      </c>
      <c r="E109" s="135">
        <v>96.43</v>
      </c>
      <c r="F109" s="135">
        <v>79.94</v>
      </c>
      <c r="G109" s="135">
        <v>74.44</v>
      </c>
      <c r="H109" s="135">
        <v>99.38</v>
      </c>
      <c r="I109" s="37"/>
      <c r="J109" s="135">
        <v>91.46</v>
      </c>
      <c r="K109" s="135">
        <v>80.75</v>
      </c>
      <c r="L109" s="155">
        <v>62.42</v>
      </c>
      <c r="M109" s="155">
        <v>89.95</v>
      </c>
      <c r="N109" s="737">
        <v>61.46</v>
      </c>
      <c r="O109" s="131">
        <v>92.67</v>
      </c>
      <c r="P109" s="131">
        <v>78.28</v>
      </c>
      <c r="Q109" s="37"/>
      <c r="R109" s="135">
        <v>72.77</v>
      </c>
      <c r="S109" s="131">
        <v>79.05</v>
      </c>
      <c r="T109" s="131">
        <v>67.87</v>
      </c>
      <c r="U109" s="12">
        <v>58.21</v>
      </c>
      <c r="V109" s="131">
        <v>84.07</v>
      </c>
      <c r="W109" s="135">
        <v>83.08</v>
      </c>
      <c r="X109" s="135"/>
      <c r="Y109" s="37"/>
      <c r="Z109" s="12">
        <v>68</v>
      </c>
      <c r="AA109" s="131">
        <v>80.069999999999993</v>
      </c>
      <c r="AB109" s="12">
        <v>94.96</v>
      </c>
      <c r="AC109" s="12">
        <v>90.96</v>
      </c>
      <c r="AD109" s="12">
        <v>54.41</v>
      </c>
      <c r="AE109" s="131">
        <v>83.31</v>
      </c>
      <c r="AF109" s="131">
        <v>88.76</v>
      </c>
      <c r="AG109" s="131">
        <v>59.04</v>
      </c>
      <c r="AH109" s="131">
        <v>15.94</v>
      </c>
      <c r="AI109" s="131">
        <v>64.540000000000006</v>
      </c>
      <c r="AJ109" s="37"/>
      <c r="AK109" s="38"/>
      <c r="AL109" s="453"/>
    </row>
    <row r="110" spans="1:38" x14ac:dyDescent="0.25">
      <c r="A110" s="382">
        <v>164</v>
      </c>
      <c r="B110" s="131">
        <v>71.930000000000007</v>
      </c>
      <c r="C110" s="135">
        <v>85.09</v>
      </c>
      <c r="D110" s="131">
        <v>76.290000000000006</v>
      </c>
      <c r="E110" s="12">
        <v>74.400000000000006</v>
      </c>
      <c r="F110" s="135">
        <v>82.31</v>
      </c>
      <c r="G110" s="135">
        <v>71.61</v>
      </c>
      <c r="H110" s="135">
        <v>68.69</v>
      </c>
      <c r="I110" s="37"/>
      <c r="J110" s="135">
        <v>107.71</v>
      </c>
      <c r="K110" s="135">
        <v>80.3</v>
      </c>
      <c r="L110" s="735">
        <v>69.81</v>
      </c>
      <c r="M110" s="135">
        <v>65.88</v>
      </c>
      <c r="N110" s="135">
        <v>85.03</v>
      </c>
      <c r="O110" s="135">
        <v>79.08</v>
      </c>
      <c r="P110" s="155">
        <v>73.540000000000006</v>
      </c>
      <c r="Q110" s="37"/>
      <c r="R110" s="131">
        <v>85.01</v>
      </c>
      <c r="S110" s="131">
        <v>72.64</v>
      </c>
      <c r="T110" s="131">
        <v>74.88</v>
      </c>
      <c r="U110" s="12">
        <v>75.66</v>
      </c>
      <c r="V110" s="131">
        <v>89.96</v>
      </c>
      <c r="W110" s="135">
        <v>67.239999999999995</v>
      </c>
      <c r="X110" s="135"/>
      <c r="Y110" s="37"/>
      <c r="Z110" s="131">
        <v>72.22</v>
      </c>
      <c r="AA110" s="131">
        <v>78.790000000000006</v>
      </c>
      <c r="AB110" s="12">
        <v>87.46</v>
      </c>
      <c r="AC110" s="12">
        <v>79.760000000000005</v>
      </c>
      <c r="AD110" s="12">
        <v>55.84</v>
      </c>
      <c r="AE110" s="131">
        <v>34.229999999999997</v>
      </c>
      <c r="AF110" s="131">
        <v>66.23</v>
      </c>
      <c r="AG110" s="131">
        <v>75.489999999999995</v>
      </c>
      <c r="AH110" s="131">
        <v>19.72</v>
      </c>
      <c r="AI110" s="131">
        <v>77.489999999999995</v>
      </c>
      <c r="AJ110" s="37"/>
      <c r="AK110" s="38"/>
      <c r="AL110" s="453"/>
    </row>
    <row r="111" spans="1:38" x14ac:dyDescent="0.25">
      <c r="A111" s="382">
        <v>165</v>
      </c>
      <c r="B111" s="155">
        <v>90.48</v>
      </c>
      <c r="C111" s="131">
        <v>74.27</v>
      </c>
      <c r="D111" s="135">
        <v>75.17</v>
      </c>
      <c r="E111" s="12">
        <v>86.9</v>
      </c>
      <c r="F111" s="135">
        <v>82.37</v>
      </c>
      <c r="G111" s="135">
        <v>66.430000000000007</v>
      </c>
      <c r="H111" s="135">
        <v>91.36</v>
      </c>
      <c r="I111" s="37"/>
      <c r="J111" s="135">
        <v>81.94</v>
      </c>
      <c r="K111" s="135">
        <v>82.87</v>
      </c>
      <c r="L111" s="135">
        <v>76.739999999999995</v>
      </c>
      <c r="M111" s="135">
        <v>74.61</v>
      </c>
      <c r="N111" s="135">
        <v>69.44</v>
      </c>
      <c r="O111" s="155">
        <v>73.83</v>
      </c>
      <c r="P111" s="155">
        <v>66.680000000000007</v>
      </c>
      <c r="Q111" s="37"/>
      <c r="R111" s="131">
        <v>86.43</v>
      </c>
      <c r="S111" s="12">
        <v>82.5</v>
      </c>
      <c r="T111" s="131">
        <v>75.38</v>
      </c>
      <c r="U111" s="12">
        <v>54.17</v>
      </c>
      <c r="V111" s="131">
        <v>98.38</v>
      </c>
      <c r="W111" s="135">
        <v>72.400000000000006</v>
      </c>
      <c r="X111" s="135"/>
      <c r="Y111" s="37"/>
      <c r="Z111" s="131">
        <v>88.71</v>
      </c>
      <c r="AA111" s="131">
        <v>73.150000000000006</v>
      </c>
      <c r="AB111" s="12">
        <v>80.8</v>
      </c>
      <c r="AC111" s="12">
        <v>79.19</v>
      </c>
      <c r="AD111" s="12">
        <v>54.03</v>
      </c>
      <c r="AE111" s="131">
        <v>65.760000000000005</v>
      </c>
      <c r="AF111" s="131">
        <v>93.34</v>
      </c>
      <c r="AG111" s="131">
        <v>81.09</v>
      </c>
      <c r="AH111" s="131">
        <v>19.96</v>
      </c>
      <c r="AI111" s="537"/>
      <c r="AJ111" s="37"/>
      <c r="AK111" s="38"/>
      <c r="AL111" s="453"/>
    </row>
    <row r="112" spans="1:38" x14ac:dyDescent="0.25">
      <c r="A112" s="382">
        <v>166</v>
      </c>
      <c r="B112" s="135">
        <v>81.92</v>
      </c>
      <c r="C112" s="135">
        <v>93.92</v>
      </c>
      <c r="D112" s="135">
        <v>87.6</v>
      </c>
      <c r="E112" s="135">
        <v>89.24</v>
      </c>
      <c r="F112" s="135">
        <v>74.45</v>
      </c>
      <c r="G112" s="135">
        <v>77.52</v>
      </c>
      <c r="H112" s="135">
        <v>89.77</v>
      </c>
      <c r="I112" s="37"/>
      <c r="J112" s="135">
        <v>80.790000000000006</v>
      </c>
      <c r="K112" s="12">
        <v>67.069999999999993</v>
      </c>
      <c r="L112" s="12">
        <v>85.16</v>
      </c>
      <c r="M112" s="135">
        <v>86.28</v>
      </c>
      <c r="N112" s="131">
        <v>62.05</v>
      </c>
      <c r="O112" s="155">
        <v>72.86</v>
      </c>
      <c r="P112" s="155">
        <v>104.99</v>
      </c>
      <c r="Q112" s="37"/>
      <c r="R112" s="131">
        <v>72.569999999999993</v>
      </c>
      <c r="S112" s="131">
        <v>83.23</v>
      </c>
      <c r="T112" s="131">
        <v>68.260000000000005</v>
      </c>
      <c r="U112" s="12">
        <v>67.12</v>
      </c>
      <c r="V112" s="131">
        <v>81.569999999999993</v>
      </c>
      <c r="W112" s="135">
        <v>65.02</v>
      </c>
      <c r="X112" s="135"/>
      <c r="Y112" s="37"/>
      <c r="Z112" s="131">
        <v>67.48</v>
      </c>
      <c r="AA112" s="131">
        <v>83.05</v>
      </c>
      <c r="AB112" s="12">
        <v>87.5</v>
      </c>
      <c r="AC112" s="12">
        <v>77.2</v>
      </c>
      <c r="AD112" s="12">
        <v>34.25</v>
      </c>
      <c r="AE112" s="131">
        <v>43.09</v>
      </c>
      <c r="AF112" s="12">
        <v>80.55</v>
      </c>
      <c r="AG112" s="12">
        <v>66.8</v>
      </c>
      <c r="AH112" s="131">
        <v>23.67</v>
      </c>
      <c r="AI112" s="131">
        <v>48.08</v>
      </c>
      <c r="AJ112" s="37"/>
      <c r="AK112" s="38"/>
      <c r="AL112" s="453"/>
    </row>
    <row r="113" spans="1:38" x14ac:dyDescent="0.25">
      <c r="A113" s="382">
        <v>167</v>
      </c>
      <c r="B113" s="155">
        <v>112.86</v>
      </c>
      <c r="C113" s="155">
        <v>94.54</v>
      </c>
      <c r="D113" s="135">
        <v>99.28</v>
      </c>
      <c r="E113" s="135">
        <v>100.02</v>
      </c>
      <c r="F113" s="131">
        <v>83.67</v>
      </c>
      <c r="G113" s="135">
        <v>86.55</v>
      </c>
      <c r="H113" s="135">
        <v>90.15</v>
      </c>
      <c r="I113" s="37"/>
      <c r="J113" s="135">
        <v>113.1</v>
      </c>
      <c r="K113" s="135">
        <v>108.24</v>
      </c>
      <c r="L113" s="135">
        <v>83.09</v>
      </c>
      <c r="M113" s="537"/>
      <c r="N113" s="155">
        <v>72.180000000000007</v>
      </c>
      <c r="O113" s="530"/>
      <c r="P113" s="548">
        <v>169.04</v>
      </c>
      <c r="Q113" s="37"/>
      <c r="R113" s="537"/>
      <c r="S113" s="548">
        <v>136.99</v>
      </c>
      <c r="T113" s="12">
        <v>85</v>
      </c>
      <c r="U113" s="12">
        <v>49.64</v>
      </c>
      <c r="V113" s="131">
        <v>99.54</v>
      </c>
      <c r="W113" s="135">
        <v>88.58</v>
      </c>
      <c r="X113" s="135"/>
      <c r="Y113" s="37"/>
      <c r="Z113" s="131">
        <v>96.14</v>
      </c>
      <c r="AA113" s="537"/>
      <c r="AB113" s="12">
        <v>17.96</v>
      </c>
      <c r="AC113" s="12">
        <v>102.77</v>
      </c>
      <c r="AD113" s="12">
        <v>54.68</v>
      </c>
      <c r="AE113" s="131">
        <v>61.12</v>
      </c>
      <c r="AF113" s="131">
        <v>88.56</v>
      </c>
      <c r="AG113" s="131">
        <v>49.47</v>
      </c>
      <c r="AH113" s="12">
        <v>7.7</v>
      </c>
      <c r="AI113" s="131">
        <v>75.12</v>
      </c>
      <c r="AJ113" s="37"/>
      <c r="AK113" s="38"/>
      <c r="AL113" s="453"/>
    </row>
    <row r="114" spans="1:38" x14ac:dyDescent="0.25">
      <c r="A114" s="382">
        <v>168</v>
      </c>
      <c r="B114" s="131">
        <v>76.97</v>
      </c>
      <c r="C114" s="131">
        <v>80.92</v>
      </c>
      <c r="D114" s="135">
        <v>89.79</v>
      </c>
      <c r="E114" s="533">
        <v>80.16</v>
      </c>
      <c r="F114" s="135">
        <v>61.53</v>
      </c>
      <c r="G114" s="135">
        <v>73.8</v>
      </c>
      <c r="H114" s="135">
        <v>62.43</v>
      </c>
      <c r="I114" s="37"/>
      <c r="J114" s="135">
        <v>111.05</v>
      </c>
      <c r="K114" s="135">
        <v>74.349999999999994</v>
      </c>
      <c r="L114" s="155">
        <v>84.11</v>
      </c>
      <c r="M114" s="155">
        <v>73.86</v>
      </c>
      <c r="N114" s="131">
        <v>72.59</v>
      </c>
      <c r="O114" s="155">
        <v>72.010000000000005</v>
      </c>
      <c r="P114" s="155">
        <v>80.88</v>
      </c>
      <c r="Q114" s="37"/>
      <c r="R114" s="131">
        <v>65.64</v>
      </c>
      <c r="S114" s="131">
        <v>82.17</v>
      </c>
      <c r="T114" s="131">
        <v>53.63</v>
      </c>
      <c r="U114" s="12">
        <v>60.18</v>
      </c>
      <c r="V114" s="131">
        <v>96.32</v>
      </c>
      <c r="W114" s="135">
        <v>54.2</v>
      </c>
      <c r="X114" s="135"/>
      <c r="Y114" s="37"/>
      <c r="Z114" s="131">
        <v>71.89</v>
      </c>
      <c r="AA114" s="12">
        <v>86.23</v>
      </c>
      <c r="AB114" s="12">
        <v>80.22</v>
      </c>
      <c r="AC114" s="12">
        <v>75.66</v>
      </c>
      <c r="AD114" s="12">
        <v>56.82</v>
      </c>
      <c r="AE114" s="131">
        <v>56.01</v>
      </c>
      <c r="AF114" s="131">
        <v>79.45</v>
      </c>
      <c r="AG114" s="131">
        <v>68.150000000000006</v>
      </c>
      <c r="AH114" s="131">
        <v>17.87</v>
      </c>
      <c r="AI114" s="131">
        <v>90.04</v>
      </c>
      <c r="AJ114" s="37"/>
      <c r="AK114" s="38"/>
      <c r="AL114" s="453"/>
    </row>
    <row r="115" spans="1:38" x14ac:dyDescent="0.25">
      <c r="A115" s="382">
        <v>169</v>
      </c>
      <c r="B115" s="12">
        <v>82.87</v>
      </c>
      <c r="C115" s="155">
        <v>88.74</v>
      </c>
      <c r="D115" s="135">
        <v>92.64</v>
      </c>
      <c r="E115" s="12">
        <v>66.099999999999994</v>
      </c>
      <c r="F115" s="135">
        <v>77.040000000000006</v>
      </c>
      <c r="G115" s="135">
        <v>74.11</v>
      </c>
      <c r="H115" s="530"/>
      <c r="I115" s="37"/>
      <c r="J115" s="135">
        <v>88.53</v>
      </c>
      <c r="K115" s="131">
        <v>45.67</v>
      </c>
      <c r="L115" s="131">
        <v>94.18</v>
      </c>
      <c r="M115" s="135">
        <v>72.23</v>
      </c>
      <c r="N115" s="12">
        <v>61.85</v>
      </c>
      <c r="O115" s="131">
        <v>79.67</v>
      </c>
      <c r="P115" s="155">
        <v>76.28</v>
      </c>
      <c r="Q115" s="37"/>
      <c r="R115" s="131">
        <v>59.39</v>
      </c>
      <c r="S115" s="131">
        <v>63.88</v>
      </c>
      <c r="T115" s="131">
        <v>79.19</v>
      </c>
      <c r="U115" s="12">
        <v>71.22</v>
      </c>
      <c r="V115" s="131">
        <v>85.57</v>
      </c>
      <c r="W115" s="135">
        <v>69.53</v>
      </c>
      <c r="X115" s="135"/>
      <c r="Y115" s="37"/>
      <c r="Z115" s="12">
        <v>68.73</v>
      </c>
      <c r="AA115" s="131">
        <v>79.790000000000006</v>
      </c>
      <c r="AB115" s="12">
        <v>74.02</v>
      </c>
      <c r="AC115" s="12">
        <v>69.489999999999995</v>
      </c>
      <c r="AD115" s="12">
        <v>66.66</v>
      </c>
      <c r="AE115" s="131">
        <v>49.73</v>
      </c>
      <c r="AF115" s="12">
        <v>74.13</v>
      </c>
      <c r="AG115" s="131">
        <v>64.36</v>
      </c>
      <c r="AH115" s="537"/>
      <c r="AI115" s="131">
        <v>76.430000000000007</v>
      </c>
      <c r="AJ115" s="37"/>
      <c r="AK115" s="38"/>
      <c r="AL115" s="453"/>
    </row>
    <row r="116" spans="1:38" x14ac:dyDescent="0.25">
      <c r="A116" s="382">
        <v>170</v>
      </c>
      <c r="B116" s="155">
        <v>107.64</v>
      </c>
      <c r="C116" s="135">
        <v>88.37</v>
      </c>
      <c r="D116" s="135">
        <v>74.13</v>
      </c>
      <c r="E116" s="135">
        <v>34.090000000000003</v>
      </c>
      <c r="F116" s="135">
        <v>86.36</v>
      </c>
      <c r="G116" s="135">
        <v>86.18</v>
      </c>
      <c r="H116" s="135">
        <v>86.53</v>
      </c>
      <c r="I116" s="37"/>
      <c r="J116" s="135">
        <v>104.62</v>
      </c>
      <c r="K116" s="135">
        <v>97.9</v>
      </c>
      <c r="L116" s="537"/>
      <c r="M116" s="135">
        <v>110.59</v>
      </c>
      <c r="N116" s="135">
        <v>82.7</v>
      </c>
      <c r="O116" s="135">
        <v>70.39</v>
      </c>
      <c r="P116" s="155">
        <v>101.49</v>
      </c>
      <c r="Q116" s="37"/>
      <c r="R116" s="131">
        <v>64.489999999999995</v>
      </c>
      <c r="S116" s="131">
        <v>117.07</v>
      </c>
      <c r="T116" s="131">
        <v>98.29</v>
      </c>
      <c r="U116" s="12">
        <v>61.99</v>
      </c>
      <c r="V116" s="12">
        <v>93.55</v>
      </c>
      <c r="W116" s="135">
        <v>75.72</v>
      </c>
      <c r="X116" s="135"/>
      <c r="Y116" s="37"/>
      <c r="Z116" s="131">
        <v>91.54</v>
      </c>
      <c r="AA116" s="131">
        <v>113.08</v>
      </c>
      <c r="AB116" s="12">
        <v>99.87</v>
      </c>
      <c r="AC116" s="12">
        <v>94.68</v>
      </c>
      <c r="AD116" s="12">
        <v>69.72</v>
      </c>
      <c r="AE116" s="131">
        <v>65.67</v>
      </c>
      <c r="AF116" s="135">
        <v>84.39</v>
      </c>
      <c r="AG116" s="131">
        <v>60.51</v>
      </c>
      <c r="AH116" s="131">
        <v>9.94</v>
      </c>
      <c r="AI116" s="131">
        <v>67.27</v>
      </c>
      <c r="AJ116" s="37"/>
      <c r="AK116" s="38"/>
      <c r="AL116" s="453"/>
    </row>
    <row r="117" spans="1:38" x14ac:dyDescent="0.25">
      <c r="A117" s="382">
        <v>171</v>
      </c>
      <c r="B117" s="12">
        <v>70.8</v>
      </c>
      <c r="C117" s="135">
        <v>77.81</v>
      </c>
      <c r="D117" s="155">
        <v>91.53</v>
      </c>
      <c r="E117" s="12">
        <v>79.209999999999994</v>
      </c>
      <c r="F117" s="131">
        <v>92.37</v>
      </c>
      <c r="G117" s="135">
        <v>74.05</v>
      </c>
      <c r="H117" s="135">
        <v>56.61</v>
      </c>
      <c r="I117" s="37"/>
      <c r="J117" s="135">
        <v>63.07</v>
      </c>
      <c r="K117" s="135">
        <v>78.959999999999994</v>
      </c>
      <c r="L117" s="135">
        <v>98.63</v>
      </c>
      <c r="M117" s="135">
        <v>71.88</v>
      </c>
      <c r="N117" s="135">
        <v>56.7</v>
      </c>
      <c r="O117" s="135">
        <v>68.760000000000005</v>
      </c>
      <c r="P117" s="155">
        <v>103.12</v>
      </c>
      <c r="Q117" s="37"/>
      <c r="R117" s="12">
        <v>55.82</v>
      </c>
      <c r="S117" s="131">
        <v>86.03</v>
      </c>
      <c r="T117" s="131">
        <v>81.55</v>
      </c>
      <c r="U117" s="12">
        <v>77.92</v>
      </c>
      <c r="V117" s="131">
        <v>60.52</v>
      </c>
      <c r="W117" s="530"/>
      <c r="X117" s="135"/>
      <c r="Y117" s="37"/>
      <c r="Z117" s="548">
        <v>141.31</v>
      </c>
      <c r="AA117" s="131">
        <v>95.76</v>
      </c>
      <c r="AB117" s="12">
        <v>81.96</v>
      </c>
      <c r="AC117" s="12">
        <v>73.92</v>
      </c>
      <c r="AD117" s="12">
        <v>57.17</v>
      </c>
      <c r="AE117" s="131">
        <v>82.19</v>
      </c>
      <c r="AF117" s="537"/>
      <c r="AG117" s="131">
        <v>48.72</v>
      </c>
      <c r="AH117" s="131">
        <v>12.64</v>
      </c>
      <c r="AI117" s="12">
        <v>92.6</v>
      </c>
      <c r="AJ117" s="37"/>
      <c r="AK117" s="38"/>
      <c r="AL117" s="453"/>
    </row>
    <row r="118" spans="1:38" x14ac:dyDescent="0.25">
      <c r="A118" s="382">
        <v>172</v>
      </c>
      <c r="B118" s="671"/>
      <c r="C118" s="671"/>
      <c r="D118" s="672">
        <v>97.28</v>
      </c>
      <c r="E118" s="537"/>
      <c r="F118" s="537"/>
      <c r="G118" s="537"/>
      <c r="H118" s="537"/>
      <c r="I118" s="37"/>
      <c r="J118" s="530"/>
      <c r="K118" s="537"/>
      <c r="L118" s="537"/>
      <c r="M118" s="537"/>
      <c r="N118" s="548">
        <v>142.66999999999999</v>
      </c>
      <c r="O118" s="537"/>
      <c r="P118" s="570">
        <v>26.67</v>
      </c>
      <c r="Q118" s="37"/>
      <c r="R118" s="537"/>
      <c r="S118" s="537"/>
      <c r="T118" s="537"/>
      <c r="U118" s="537"/>
      <c r="V118" s="537"/>
      <c r="W118" s="530"/>
      <c r="X118" s="135"/>
      <c r="Y118" s="111"/>
      <c r="Z118" s="537"/>
      <c r="AA118" s="530"/>
      <c r="AB118" s="530"/>
      <c r="AC118" s="530"/>
      <c r="AD118" s="530"/>
      <c r="AE118" s="530"/>
      <c r="AF118" s="532">
        <v>134.88</v>
      </c>
      <c r="AG118" s="537"/>
      <c r="AH118" s="537"/>
      <c r="AI118" s="537"/>
      <c r="AJ118" s="111"/>
      <c r="AK118" s="38"/>
      <c r="AL118" s="453"/>
    </row>
    <row r="119" spans="1:38" x14ac:dyDescent="0.25">
      <c r="A119" s="382">
        <v>173</v>
      </c>
      <c r="B119" s="671"/>
      <c r="C119" s="710">
        <v>197.58</v>
      </c>
      <c r="D119" s="537"/>
      <c r="E119" s="537"/>
      <c r="F119" s="537"/>
      <c r="G119" s="570">
        <v>76.45</v>
      </c>
      <c r="H119" s="537"/>
      <c r="I119" s="37"/>
      <c r="J119" s="530"/>
      <c r="K119" s="537"/>
      <c r="L119" s="537"/>
      <c r="M119" s="537"/>
      <c r="N119" s="537"/>
      <c r="O119" s="537"/>
      <c r="P119" s="537"/>
      <c r="Q119" s="111"/>
      <c r="R119" s="548">
        <v>182.06</v>
      </c>
      <c r="S119" s="537"/>
      <c r="T119" s="537"/>
      <c r="U119" s="530"/>
      <c r="V119" s="537"/>
      <c r="W119" s="537"/>
      <c r="X119" s="573"/>
      <c r="Y119" s="37"/>
      <c r="Z119" s="530"/>
      <c r="AA119" s="530"/>
      <c r="AB119" s="530"/>
      <c r="AC119" s="530"/>
      <c r="AD119" s="530"/>
      <c r="AE119" s="135">
        <v>61.27</v>
      </c>
      <c r="AF119" s="530"/>
      <c r="AG119" s="530"/>
      <c r="AH119" s="530"/>
      <c r="AI119" s="530"/>
      <c r="AJ119" s="111"/>
      <c r="AK119" s="38"/>
      <c r="AL119" s="453"/>
    </row>
    <row r="120" spans="1:38" x14ac:dyDescent="0.25">
      <c r="A120" s="385">
        <v>174</v>
      </c>
      <c r="B120" s="131">
        <v>59.12</v>
      </c>
      <c r="C120" s="131">
        <v>68.55</v>
      </c>
      <c r="D120" s="155">
        <v>69.739999999999995</v>
      </c>
      <c r="E120" s="12">
        <v>61.57</v>
      </c>
      <c r="F120" s="135">
        <v>68.17</v>
      </c>
      <c r="G120" s="155">
        <v>60.52</v>
      </c>
      <c r="H120" s="155">
        <v>33.96</v>
      </c>
      <c r="I120" s="37"/>
      <c r="J120" s="135">
        <v>65.59</v>
      </c>
      <c r="K120" s="131">
        <v>67.11</v>
      </c>
      <c r="L120" s="135">
        <v>55.47</v>
      </c>
      <c r="M120" s="135">
        <v>57</v>
      </c>
      <c r="N120" s="131">
        <v>68.86</v>
      </c>
      <c r="O120" s="131">
        <v>65.87</v>
      </c>
      <c r="P120" s="155">
        <v>71.72</v>
      </c>
      <c r="Q120" s="37"/>
      <c r="R120" s="12">
        <v>45.09</v>
      </c>
      <c r="S120" s="131">
        <v>59.61</v>
      </c>
      <c r="T120" s="131">
        <v>63.29</v>
      </c>
      <c r="U120" s="12">
        <v>51.79</v>
      </c>
      <c r="V120" s="131">
        <v>74.48</v>
      </c>
      <c r="W120" s="757">
        <v>30.39</v>
      </c>
      <c r="X120" s="135"/>
      <c r="Y120" s="37"/>
      <c r="Z120" s="758">
        <v>107.21</v>
      </c>
      <c r="AA120" s="131">
        <v>68.22</v>
      </c>
      <c r="AB120" s="12">
        <v>74.709999999999994</v>
      </c>
      <c r="AC120" s="12">
        <v>57.18</v>
      </c>
      <c r="AD120" s="530"/>
      <c r="AE120" s="12">
        <v>19.899999999999999</v>
      </c>
      <c r="AF120" s="131">
        <v>69.38</v>
      </c>
      <c r="AG120" s="131">
        <v>45.89</v>
      </c>
      <c r="AH120" s="131">
        <v>16.89</v>
      </c>
      <c r="AI120" s="131">
        <v>54.54</v>
      </c>
      <c r="AJ120" s="37"/>
      <c r="AK120" s="38"/>
      <c r="AL120" s="454" t="s">
        <v>251</v>
      </c>
    </row>
    <row r="121" spans="1:38" x14ac:dyDescent="0.25">
      <c r="A121" s="385">
        <v>175</v>
      </c>
      <c r="B121" s="155">
        <v>85.42</v>
      </c>
      <c r="C121" s="131">
        <v>71.55</v>
      </c>
      <c r="D121" s="12">
        <v>82.34</v>
      </c>
      <c r="E121" s="135">
        <v>69.19</v>
      </c>
      <c r="F121" s="155">
        <v>84.79</v>
      </c>
      <c r="G121" s="135">
        <v>79.16</v>
      </c>
      <c r="H121" s="135">
        <v>69.41</v>
      </c>
      <c r="I121" s="37"/>
      <c r="J121" s="135">
        <v>79.88</v>
      </c>
      <c r="K121" s="135">
        <v>60.97</v>
      </c>
      <c r="L121" s="135">
        <v>77.63</v>
      </c>
      <c r="M121" s="135">
        <v>86.29</v>
      </c>
      <c r="N121" s="738">
        <v>62.91</v>
      </c>
      <c r="O121" s="155">
        <v>60.15</v>
      </c>
      <c r="P121" s="135">
        <v>67.08</v>
      </c>
      <c r="Q121" s="37"/>
      <c r="R121" s="131">
        <v>63.74</v>
      </c>
      <c r="S121" s="537"/>
      <c r="T121" s="548">
        <v>130.97</v>
      </c>
      <c r="U121" s="12">
        <v>63.28</v>
      </c>
      <c r="V121" s="131">
        <v>80.180000000000007</v>
      </c>
      <c r="W121" s="135">
        <v>66.17</v>
      </c>
      <c r="X121" s="135"/>
      <c r="Y121" s="37"/>
      <c r="Z121" s="131">
        <v>53.13</v>
      </c>
      <c r="AA121" s="131">
        <v>81.790000000000006</v>
      </c>
      <c r="AB121" s="12">
        <v>72.16</v>
      </c>
      <c r="AC121" s="12">
        <v>69.09</v>
      </c>
      <c r="AD121" s="12">
        <v>44.27</v>
      </c>
      <c r="AE121" s="131">
        <v>31.34</v>
      </c>
      <c r="AF121" s="131">
        <v>63.76</v>
      </c>
      <c r="AG121" s="131">
        <v>76.09</v>
      </c>
      <c r="AH121" s="131">
        <v>8.6300000000000008</v>
      </c>
      <c r="AI121" s="131">
        <v>68.02</v>
      </c>
      <c r="AJ121" s="37"/>
      <c r="AK121" s="38"/>
      <c r="AL121" s="455" t="s">
        <v>376</v>
      </c>
    </row>
    <row r="122" spans="1:38" x14ac:dyDescent="0.25">
      <c r="A122" s="385">
        <v>176</v>
      </c>
      <c r="B122" s="671"/>
      <c r="C122" s="671"/>
      <c r="D122" s="671"/>
      <c r="E122" s="671"/>
      <c r="F122" s="671"/>
      <c r="G122" s="671"/>
      <c r="H122" s="671"/>
      <c r="I122" s="111"/>
      <c r="J122" s="537"/>
      <c r="K122" s="537"/>
      <c r="L122" s="537"/>
      <c r="M122" s="537"/>
      <c r="N122" s="537"/>
      <c r="O122" s="537"/>
      <c r="P122" s="537"/>
      <c r="Q122" s="111"/>
      <c r="R122" s="537"/>
      <c r="S122" s="537"/>
      <c r="T122" s="537"/>
      <c r="U122" s="537"/>
      <c r="V122" s="537"/>
      <c r="W122" s="530"/>
      <c r="X122" s="530"/>
      <c r="Y122" s="111"/>
      <c r="Z122" s="530"/>
      <c r="AA122" s="530"/>
      <c r="AB122" s="530"/>
      <c r="AC122" s="530"/>
      <c r="AD122" s="530"/>
      <c r="AE122" s="530"/>
      <c r="AF122" s="530"/>
      <c r="AG122" s="530"/>
      <c r="AH122" s="530"/>
      <c r="AI122" s="530"/>
      <c r="AJ122" s="114"/>
      <c r="AK122" s="44"/>
      <c r="AL122" s="455"/>
    </row>
    <row r="123" spans="1:38" x14ac:dyDescent="0.25">
      <c r="A123" s="385">
        <v>177</v>
      </c>
      <c r="B123" s="131">
        <v>106.52</v>
      </c>
      <c r="C123" s="155">
        <v>92.89</v>
      </c>
      <c r="D123" s="131">
        <v>81.97</v>
      </c>
      <c r="E123" s="131">
        <v>60.05</v>
      </c>
      <c r="F123" s="131">
        <v>82.22</v>
      </c>
      <c r="G123" s="131">
        <v>72.03</v>
      </c>
      <c r="H123" s="131">
        <v>83.48</v>
      </c>
      <c r="I123" s="37"/>
      <c r="J123" s="135">
        <v>75.010000000000005</v>
      </c>
      <c r="K123" s="131">
        <v>62.61</v>
      </c>
      <c r="L123" s="12">
        <v>34.32</v>
      </c>
      <c r="M123" s="155">
        <v>73.12</v>
      </c>
      <c r="N123" s="537"/>
      <c r="O123" s="131">
        <v>112.65</v>
      </c>
      <c r="P123" s="155">
        <v>65.290000000000006</v>
      </c>
      <c r="Q123" s="37"/>
      <c r="R123" s="537"/>
      <c r="S123" s="537"/>
      <c r="T123" s="131">
        <v>89.39</v>
      </c>
      <c r="U123" s="12">
        <v>70.33</v>
      </c>
      <c r="V123" s="131">
        <v>84.13</v>
      </c>
      <c r="W123" s="135">
        <v>59.01</v>
      </c>
      <c r="X123" s="135"/>
      <c r="Y123" s="37"/>
      <c r="Z123" s="135">
        <v>61.42</v>
      </c>
      <c r="AA123" s="131">
        <v>78.94</v>
      </c>
      <c r="AB123" s="12">
        <v>84.51</v>
      </c>
      <c r="AC123" s="12">
        <v>85.87</v>
      </c>
      <c r="AD123" s="12">
        <v>58.94</v>
      </c>
      <c r="AE123" s="135">
        <v>29.72</v>
      </c>
      <c r="AF123" s="12">
        <v>85.9</v>
      </c>
      <c r="AG123" s="537"/>
      <c r="AH123" s="131">
        <v>24.18</v>
      </c>
      <c r="AI123" s="131">
        <v>44.53</v>
      </c>
      <c r="AJ123" s="47"/>
      <c r="AK123" s="48"/>
      <c r="AL123" s="455"/>
    </row>
    <row r="124" spans="1:38" x14ac:dyDescent="0.25">
      <c r="A124" s="385">
        <v>178</v>
      </c>
      <c r="B124" s="131">
        <v>78.12</v>
      </c>
      <c r="C124" s="155">
        <v>71.53</v>
      </c>
      <c r="D124" s="135">
        <v>89.45</v>
      </c>
      <c r="E124" s="135">
        <v>85.26</v>
      </c>
      <c r="F124" s="530"/>
      <c r="G124" s="530"/>
      <c r="H124" s="530"/>
      <c r="I124" s="37"/>
      <c r="J124" s="135">
        <v>68.27</v>
      </c>
      <c r="K124" s="131">
        <v>58.29</v>
      </c>
      <c r="L124" s="155">
        <v>88.93</v>
      </c>
      <c r="M124" s="135">
        <v>83.36</v>
      </c>
      <c r="N124" s="135">
        <v>76.989999999999995</v>
      </c>
      <c r="O124" s="537"/>
      <c r="P124" s="135">
        <v>73.709999999999994</v>
      </c>
      <c r="Q124" s="37"/>
      <c r="R124" s="131">
        <v>65.53</v>
      </c>
      <c r="S124" s="131">
        <v>71.27</v>
      </c>
      <c r="T124" s="131">
        <v>82.46</v>
      </c>
      <c r="U124" s="12">
        <v>92.97</v>
      </c>
      <c r="V124" s="12">
        <v>78.650000000000006</v>
      </c>
      <c r="W124" s="135">
        <v>55.78</v>
      </c>
      <c r="X124" s="135"/>
      <c r="Y124" s="37"/>
      <c r="Z124" s="537"/>
      <c r="AA124" s="530"/>
      <c r="AB124" s="530"/>
      <c r="AC124" s="530"/>
      <c r="AD124" s="530"/>
      <c r="AE124" s="537"/>
      <c r="AF124" s="131">
        <v>93.48</v>
      </c>
      <c r="AG124" s="12">
        <v>85.2</v>
      </c>
      <c r="AH124" s="537"/>
      <c r="AI124" s="131">
        <v>49.91</v>
      </c>
      <c r="AJ124" s="49"/>
      <c r="AK124" s="48"/>
      <c r="AL124" s="455"/>
    </row>
    <row r="125" spans="1:38" x14ac:dyDescent="0.25">
      <c r="A125" s="385">
        <v>179</v>
      </c>
      <c r="B125" s="131">
        <v>75.39</v>
      </c>
      <c r="C125" s="155">
        <v>84.67</v>
      </c>
      <c r="D125" s="131">
        <v>82.12</v>
      </c>
      <c r="E125" s="12">
        <v>95.03</v>
      </c>
      <c r="F125" s="131">
        <v>77.81</v>
      </c>
      <c r="G125" s="131">
        <v>102.85</v>
      </c>
      <c r="H125" s="131">
        <v>84.69</v>
      </c>
      <c r="I125" s="37"/>
      <c r="J125" s="135">
        <v>136.59</v>
      </c>
      <c r="K125" s="131">
        <v>93.16</v>
      </c>
      <c r="L125" s="12">
        <v>97</v>
      </c>
      <c r="M125" s="135">
        <v>99.07</v>
      </c>
      <c r="N125" s="12">
        <v>15.79</v>
      </c>
      <c r="O125" s="12">
        <v>83.2</v>
      </c>
      <c r="P125" s="155">
        <v>59.08</v>
      </c>
      <c r="Q125" s="37"/>
      <c r="R125" s="131">
        <v>79.73</v>
      </c>
      <c r="S125" s="131">
        <v>75.73</v>
      </c>
      <c r="T125" s="131">
        <v>98.24</v>
      </c>
      <c r="U125" s="12">
        <v>72.06</v>
      </c>
      <c r="V125" s="548">
        <v>155.49</v>
      </c>
      <c r="W125" s="135">
        <v>61.32</v>
      </c>
      <c r="X125" s="135"/>
      <c r="Y125" s="37"/>
      <c r="Z125" s="131">
        <v>72.56</v>
      </c>
      <c r="AA125" s="131">
        <v>98.53</v>
      </c>
      <c r="AB125" s="12">
        <v>68.41</v>
      </c>
      <c r="AC125" s="12">
        <v>82.86</v>
      </c>
      <c r="AD125" s="12">
        <v>60.2</v>
      </c>
      <c r="AE125" s="570">
        <v>111.92</v>
      </c>
      <c r="AF125" s="131">
        <v>80.64</v>
      </c>
      <c r="AG125" s="537"/>
      <c r="AH125" s="131">
        <v>58.61</v>
      </c>
      <c r="AI125" s="131">
        <v>31.14</v>
      </c>
      <c r="AJ125" s="36"/>
      <c r="AK125" s="14"/>
      <c r="AL125" s="455"/>
    </row>
    <row r="126" spans="1:38" x14ac:dyDescent="0.25">
      <c r="A126" s="385">
        <v>180</v>
      </c>
      <c r="B126" s="537"/>
      <c r="C126" s="537"/>
      <c r="D126" s="131">
        <v>57.41</v>
      </c>
      <c r="E126" s="131">
        <v>31.13</v>
      </c>
      <c r="F126" s="131">
        <v>34.56</v>
      </c>
      <c r="G126" s="537"/>
      <c r="H126" s="537"/>
      <c r="I126" s="37"/>
      <c r="J126" s="530"/>
      <c r="K126" s="537"/>
      <c r="L126" s="548">
        <v>135.83000000000001</v>
      </c>
      <c r="M126" s="155">
        <v>72.849999999999994</v>
      </c>
      <c r="N126" s="131">
        <v>58.12</v>
      </c>
      <c r="O126" s="131">
        <v>56.24</v>
      </c>
      <c r="P126" s="131">
        <v>58.22</v>
      </c>
      <c r="Q126" s="37"/>
      <c r="R126" s="537"/>
      <c r="S126" s="537"/>
      <c r="T126" s="537"/>
      <c r="U126" s="537"/>
      <c r="V126" s="537"/>
      <c r="W126" s="530"/>
      <c r="X126" s="537"/>
      <c r="Y126" s="111"/>
      <c r="Z126" s="530"/>
      <c r="AA126" s="530"/>
      <c r="AB126" s="530"/>
      <c r="AC126" s="530"/>
      <c r="AD126" s="530"/>
      <c r="AE126" s="530"/>
      <c r="AF126" s="135">
        <v>85.4</v>
      </c>
      <c r="AG126" s="537"/>
      <c r="AH126" s="537"/>
      <c r="AI126" s="537"/>
      <c r="AJ126" s="37"/>
      <c r="AK126" s="38"/>
      <c r="AL126" s="455"/>
    </row>
    <row r="127" spans="1:38" x14ac:dyDescent="0.25">
      <c r="A127" s="385">
        <v>181</v>
      </c>
      <c r="B127" s="131">
        <v>86.13</v>
      </c>
      <c r="C127" s="155">
        <v>67.930000000000007</v>
      </c>
      <c r="D127" s="131">
        <v>81.02</v>
      </c>
      <c r="E127" s="135">
        <v>100.94</v>
      </c>
      <c r="F127" s="131">
        <v>78.72</v>
      </c>
      <c r="G127" s="131">
        <v>90.88</v>
      </c>
      <c r="H127" s="135">
        <v>78.650000000000006</v>
      </c>
      <c r="I127" s="37"/>
      <c r="J127" s="135">
        <v>87.64</v>
      </c>
      <c r="K127" s="131">
        <v>92.24</v>
      </c>
      <c r="L127" s="131">
        <v>82.11</v>
      </c>
      <c r="M127" s="155">
        <v>83.12</v>
      </c>
      <c r="N127" s="135">
        <v>76.150000000000006</v>
      </c>
      <c r="O127" s="155">
        <v>69.709999999999994</v>
      </c>
      <c r="P127" s="530"/>
      <c r="Q127" s="37"/>
      <c r="R127" s="537"/>
      <c r="S127" s="537"/>
      <c r="T127" s="131">
        <v>121.56</v>
      </c>
      <c r="U127" s="12">
        <v>70.680000000000007</v>
      </c>
      <c r="V127" s="131">
        <v>87.23</v>
      </c>
      <c r="W127" s="135">
        <v>72.11</v>
      </c>
      <c r="X127" s="135"/>
      <c r="Y127" s="37"/>
      <c r="Z127" s="12">
        <v>65.599999999999994</v>
      </c>
      <c r="AA127" s="131">
        <v>66.349999999999994</v>
      </c>
      <c r="AB127" s="12">
        <v>112.12</v>
      </c>
      <c r="AC127" s="12">
        <v>80.37</v>
      </c>
      <c r="AD127" s="12">
        <v>53.65</v>
      </c>
      <c r="AE127" s="537"/>
      <c r="AF127" s="131">
        <v>51.24</v>
      </c>
      <c r="AG127" s="12">
        <v>31.7</v>
      </c>
      <c r="AH127" s="131">
        <v>13.13</v>
      </c>
      <c r="AI127" s="12">
        <v>36.9</v>
      </c>
      <c r="AJ127" s="37"/>
      <c r="AK127" s="38"/>
      <c r="AL127" s="455"/>
    </row>
    <row r="128" spans="1:38" x14ac:dyDescent="0.25">
      <c r="A128" s="385">
        <v>182</v>
      </c>
      <c r="B128" s="537"/>
      <c r="C128" s="530"/>
      <c r="D128" s="530"/>
      <c r="E128" s="530"/>
      <c r="F128" s="530"/>
      <c r="G128" s="530"/>
      <c r="H128" s="530"/>
      <c r="I128" s="111"/>
      <c r="J128" s="530"/>
      <c r="K128" s="537"/>
      <c r="L128" s="537"/>
      <c r="M128" s="537"/>
      <c r="N128" s="537"/>
      <c r="O128" s="537"/>
      <c r="P128" s="537"/>
      <c r="Q128" s="111"/>
      <c r="R128" s="537"/>
      <c r="S128" s="537"/>
      <c r="T128" s="537"/>
      <c r="U128" s="530"/>
      <c r="V128" s="570">
        <v>56.85</v>
      </c>
      <c r="W128" s="533">
        <v>7.73</v>
      </c>
      <c r="X128" s="572"/>
      <c r="Y128" s="111"/>
      <c r="Z128" s="12">
        <v>59.7</v>
      </c>
      <c r="AA128" s="537"/>
      <c r="AB128" s="12">
        <v>61.41</v>
      </c>
      <c r="AC128" s="12">
        <v>90.12</v>
      </c>
      <c r="AD128" s="12">
        <v>46.91</v>
      </c>
      <c r="AE128" s="12">
        <v>52.37</v>
      </c>
      <c r="AF128" s="537"/>
      <c r="AG128" s="131">
        <v>52.36</v>
      </c>
      <c r="AH128" s="131">
        <v>3.54</v>
      </c>
      <c r="AI128" s="131">
        <v>75.55</v>
      </c>
      <c r="AJ128" s="37"/>
      <c r="AK128" s="38"/>
      <c r="AL128" s="455"/>
    </row>
    <row r="129" spans="1:38" x14ac:dyDescent="0.25">
      <c r="A129" s="385">
        <v>183</v>
      </c>
      <c r="B129" s="537"/>
      <c r="C129" s="537"/>
      <c r="D129" s="537"/>
      <c r="E129" s="537"/>
      <c r="F129" s="537"/>
      <c r="G129" s="537"/>
      <c r="H129" s="537"/>
      <c r="I129" s="111"/>
      <c r="J129" s="530"/>
      <c r="K129" s="530"/>
      <c r="L129" s="532">
        <v>163.46</v>
      </c>
      <c r="M129" s="533">
        <v>75.23</v>
      </c>
      <c r="N129" s="533">
        <v>71</v>
      </c>
      <c r="O129" s="570">
        <v>78.56</v>
      </c>
      <c r="P129" s="537"/>
      <c r="Q129" s="37"/>
      <c r="R129" s="131">
        <v>97.63</v>
      </c>
      <c r="S129" s="131">
        <v>62.85</v>
      </c>
      <c r="T129" s="131">
        <v>83.75</v>
      </c>
      <c r="U129" s="12">
        <v>68.349999999999994</v>
      </c>
      <c r="V129" s="131">
        <v>78.45</v>
      </c>
      <c r="W129" s="135">
        <v>38.19</v>
      </c>
      <c r="X129" s="135"/>
      <c r="Y129" s="37"/>
      <c r="Z129" s="131">
        <v>60.29</v>
      </c>
      <c r="AA129" s="131">
        <v>72.19</v>
      </c>
      <c r="AB129" s="12">
        <v>86.72</v>
      </c>
      <c r="AC129" s="12">
        <v>68.42</v>
      </c>
      <c r="AD129" s="12">
        <v>29.05</v>
      </c>
      <c r="AE129" s="12">
        <v>34.479999999999997</v>
      </c>
      <c r="AF129" s="131">
        <v>48.15</v>
      </c>
      <c r="AG129" s="537"/>
      <c r="AH129" s="537"/>
      <c r="AI129" s="131">
        <v>68.06</v>
      </c>
      <c r="AJ129" s="37"/>
      <c r="AK129" s="38"/>
      <c r="AL129" s="455"/>
    </row>
    <row r="130" spans="1:38" x14ac:dyDescent="0.25">
      <c r="A130" s="385">
        <v>184</v>
      </c>
      <c r="B130" s="155">
        <v>78.62</v>
      </c>
      <c r="C130" s="135">
        <v>41.65</v>
      </c>
      <c r="D130" s="135">
        <v>66.19</v>
      </c>
      <c r="E130" s="135">
        <v>80.87</v>
      </c>
      <c r="F130" s="537"/>
      <c r="G130" s="135">
        <v>38.78</v>
      </c>
      <c r="H130" s="155">
        <v>77.42</v>
      </c>
      <c r="I130" s="37"/>
      <c r="J130" s="135">
        <v>18.54</v>
      </c>
      <c r="K130" s="530"/>
      <c r="L130" s="135">
        <v>42.67</v>
      </c>
      <c r="M130" s="530"/>
      <c r="N130" s="135">
        <v>69.44</v>
      </c>
      <c r="O130" s="135">
        <v>32.49</v>
      </c>
      <c r="P130" s="537"/>
      <c r="Q130" s="37"/>
      <c r="R130" s="537"/>
      <c r="S130" s="537"/>
      <c r="T130" s="131">
        <v>51.69</v>
      </c>
      <c r="U130" s="12">
        <v>67.959999999999994</v>
      </c>
      <c r="V130" s="131">
        <v>51.32</v>
      </c>
      <c r="W130" s="135">
        <v>61.55</v>
      </c>
      <c r="X130" s="135"/>
      <c r="Y130" s="37"/>
      <c r="Z130" s="131">
        <v>83.54</v>
      </c>
      <c r="AA130" s="131">
        <v>77.88</v>
      </c>
      <c r="AB130" s="12">
        <v>80.44</v>
      </c>
      <c r="AC130" s="530"/>
      <c r="AD130" s="530"/>
      <c r="AE130" s="131">
        <v>33.65</v>
      </c>
      <c r="AF130" s="131">
        <v>54.08</v>
      </c>
      <c r="AG130" s="537"/>
      <c r="AH130" s="537"/>
      <c r="AI130" s="131">
        <v>9.2899999999999991</v>
      </c>
      <c r="AJ130" s="37"/>
      <c r="AK130" s="38"/>
      <c r="AL130" s="455"/>
    </row>
    <row r="131" spans="1:38" x14ac:dyDescent="0.25">
      <c r="A131" s="385">
        <v>185</v>
      </c>
      <c r="B131" s="131">
        <v>66.760000000000005</v>
      </c>
      <c r="C131" s="155">
        <v>94.25</v>
      </c>
      <c r="D131" s="135">
        <v>79.59</v>
      </c>
      <c r="E131" s="12">
        <v>61.52</v>
      </c>
      <c r="F131" s="131">
        <v>59.37</v>
      </c>
      <c r="G131" s="155">
        <v>82.32</v>
      </c>
      <c r="H131" s="155">
        <v>78.5</v>
      </c>
      <c r="I131" s="37"/>
      <c r="J131" s="135">
        <v>77.2</v>
      </c>
      <c r="K131" s="131">
        <v>75.55</v>
      </c>
      <c r="L131" s="131">
        <v>69.760000000000005</v>
      </c>
      <c r="M131" s="155">
        <v>83.71</v>
      </c>
      <c r="N131" s="131">
        <v>71.510000000000005</v>
      </c>
      <c r="O131" s="12">
        <v>48.17</v>
      </c>
      <c r="P131" s="155">
        <v>72.58</v>
      </c>
      <c r="Q131" s="37"/>
      <c r="R131" s="131">
        <v>86.02</v>
      </c>
      <c r="S131" s="12">
        <v>84.41</v>
      </c>
      <c r="T131" s="131">
        <v>73.97</v>
      </c>
      <c r="U131" s="12">
        <v>53.97</v>
      </c>
      <c r="V131" s="131">
        <v>49.03</v>
      </c>
      <c r="W131" s="135">
        <v>37.92</v>
      </c>
      <c r="X131" s="135"/>
      <c r="Y131" s="37"/>
      <c r="Z131" s="12">
        <v>63.79</v>
      </c>
      <c r="AA131" s="135">
        <v>57.4</v>
      </c>
      <c r="AB131" s="530"/>
      <c r="AC131" s="12">
        <v>92.79</v>
      </c>
      <c r="AD131" s="12">
        <v>11.42</v>
      </c>
      <c r="AE131" s="131">
        <v>48.87</v>
      </c>
      <c r="AF131" s="131">
        <v>61.91</v>
      </c>
      <c r="AG131" s="537"/>
      <c r="AH131" s="131">
        <v>10.77</v>
      </c>
      <c r="AI131" s="131">
        <v>5.45</v>
      </c>
      <c r="AJ131" s="37"/>
      <c r="AK131" s="38"/>
      <c r="AL131" s="455"/>
    </row>
    <row r="132" spans="1:38" x14ac:dyDescent="0.25">
      <c r="A132" s="385">
        <v>186</v>
      </c>
      <c r="B132" s="131">
        <v>69.56</v>
      </c>
      <c r="C132" s="131">
        <v>73.45</v>
      </c>
      <c r="D132" s="155">
        <v>70.52</v>
      </c>
      <c r="E132" s="131">
        <v>102.28</v>
      </c>
      <c r="F132" s="131">
        <v>68.69</v>
      </c>
      <c r="G132" s="135">
        <v>65.400000000000006</v>
      </c>
      <c r="H132" s="135">
        <v>63.07</v>
      </c>
      <c r="I132" s="37"/>
      <c r="J132" s="135">
        <v>98.97</v>
      </c>
      <c r="K132" s="135">
        <v>65.53</v>
      </c>
      <c r="L132" s="135">
        <v>72.58</v>
      </c>
      <c r="M132" s="135">
        <v>86.47</v>
      </c>
      <c r="N132" s="135">
        <v>48.24</v>
      </c>
      <c r="O132" s="155">
        <v>75.64</v>
      </c>
      <c r="P132" s="155">
        <v>15.95</v>
      </c>
      <c r="Q132" s="37"/>
      <c r="R132" s="12">
        <v>87.13</v>
      </c>
      <c r="S132" s="131">
        <v>71.27</v>
      </c>
      <c r="T132" s="131">
        <v>62.22</v>
      </c>
      <c r="U132" s="12">
        <v>63.78</v>
      </c>
      <c r="V132" s="131">
        <v>84.18</v>
      </c>
      <c r="W132" s="135">
        <v>70.12</v>
      </c>
      <c r="X132" s="135"/>
      <c r="Y132" s="37"/>
      <c r="Z132" s="131">
        <v>60.16</v>
      </c>
      <c r="AA132" s="131">
        <v>71.98</v>
      </c>
      <c r="AB132" s="12">
        <v>77.92</v>
      </c>
      <c r="AC132" s="12">
        <v>69.739999999999995</v>
      </c>
      <c r="AD132" s="12">
        <v>51.99</v>
      </c>
      <c r="AE132" s="12">
        <v>78.08</v>
      </c>
      <c r="AF132" s="131">
        <v>71.260000000000005</v>
      </c>
      <c r="AG132" s="131">
        <v>79.27</v>
      </c>
      <c r="AH132" s="131">
        <v>11.99</v>
      </c>
      <c r="AI132" s="131">
        <v>73.83</v>
      </c>
      <c r="AJ132" s="37"/>
      <c r="AK132" s="38"/>
      <c r="AL132" s="455"/>
    </row>
    <row r="133" spans="1:38" x14ac:dyDescent="0.25">
      <c r="A133" s="385">
        <v>187</v>
      </c>
      <c r="B133" s="671"/>
      <c r="C133" s="671"/>
      <c r="D133" s="671"/>
      <c r="E133" s="671"/>
      <c r="F133" s="671"/>
      <c r="G133" s="671"/>
      <c r="H133" s="671"/>
      <c r="I133" s="111"/>
      <c r="J133" s="537"/>
      <c r="K133" s="537"/>
      <c r="L133" s="537"/>
      <c r="M133" s="537"/>
      <c r="N133" s="537"/>
      <c r="O133" s="537"/>
      <c r="P133" s="537"/>
      <c r="Q133" s="111"/>
      <c r="R133" s="537"/>
      <c r="S133" s="537"/>
      <c r="T133" s="537"/>
      <c r="U133" s="537"/>
      <c r="V133" s="537"/>
      <c r="W133" s="530"/>
      <c r="X133" s="530"/>
      <c r="Y133" s="111"/>
      <c r="Z133" s="530"/>
      <c r="AA133" s="530"/>
      <c r="AB133" s="530"/>
      <c r="AC133" s="530"/>
      <c r="AD133" s="530"/>
      <c r="AE133" s="530"/>
      <c r="AF133" s="530"/>
      <c r="AG133" s="530"/>
      <c r="AH133" s="530"/>
      <c r="AI133" s="530"/>
      <c r="AJ133" s="111"/>
      <c r="AK133" s="38"/>
      <c r="AL133" s="455"/>
    </row>
    <row r="134" spans="1:38" x14ac:dyDescent="0.25">
      <c r="A134" s="385">
        <v>188</v>
      </c>
      <c r="B134" s="537"/>
      <c r="C134" s="530"/>
      <c r="D134" s="537"/>
      <c r="E134" s="537"/>
      <c r="F134" s="537"/>
      <c r="G134" s="530"/>
      <c r="H134" s="530"/>
      <c r="I134" s="111"/>
      <c r="J134" s="530"/>
      <c r="K134" s="530"/>
      <c r="L134" s="530"/>
      <c r="M134" s="530"/>
      <c r="N134" s="537"/>
      <c r="O134" s="537"/>
      <c r="P134" s="537"/>
      <c r="Q134" s="111"/>
      <c r="R134" s="537"/>
      <c r="S134" s="537"/>
      <c r="T134" s="537"/>
      <c r="U134" s="530"/>
      <c r="V134" s="537"/>
      <c r="W134" s="530"/>
      <c r="X134" s="530"/>
      <c r="Y134" s="111"/>
      <c r="Z134" s="537"/>
      <c r="AA134" s="537"/>
      <c r="AB134" s="530"/>
      <c r="AC134" s="530"/>
      <c r="AD134" s="530"/>
      <c r="AE134" s="537"/>
      <c r="AF134" s="537"/>
      <c r="AG134" s="537"/>
      <c r="AH134" s="537"/>
      <c r="AI134" s="537"/>
      <c r="AJ134" s="111"/>
      <c r="AK134" s="38"/>
      <c r="AL134" s="455"/>
    </row>
    <row r="135" spans="1:38" x14ac:dyDescent="0.25">
      <c r="A135" s="385">
        <v>189</v>
      </c>
      <c r="B135" s="155">
        <v>75.37</v>
      </c>
      <c r="C135" s="131">
        <v>66.62</v>
      </c>
      <c r="D135" s="131">
        <v>84.01</v>
      </c>
      <c r="E135" s="131">
        <v>63.23</v>
      </c>
      <c r="F135" s="135">
        <v>110.41</v>
      </c>
      <c r="G135" s="135">
        <v>64.040000000000006</v>
      </c>
      <c r="H135" s="530"/>
      <c r="I135" s="37"/>
      <c r="J135" s="135">
        <v>93.46</v>
      </c>
      <c r="K135" s="12">
        <v>86.89</v>
      </c>
      <c r="L135" s="12">
        <v>73.98</v>
      </c>
      <c r="M135" s="131">
        <v>67.33</v>
      </c>
      <c r="N135" s="131">
        <v>82.18</v>
      </c>
      <c r="O135" s="131">
        <v>94.84</v>
      </c>
      <c r="P135" s="155">
        <v>81.73</v>
      </c>
      <c r="Q135" s="37"/>
      <c r="R135" s="537"/>
      <c r="S135" s="131">
        <v>93.79</v>
      </c>
      <c r="T135" s="530"/>
      <c r="U135" s="12">
        <v>67.44</v>
      </c>
      <c r="V135" s="131">
        <v>105.02</v>
      </c>
      <c r="W135" s="135">
        <v>52.52</v>
      </c>
      <c r="X135" s="135"/>
      <c r="Y135" s="37"/>
      <c r="Z135" s="131">
        <v>61.29</v>
      </c>
      <c r="AA135" s="131">
        <v>100.15</v>
      </c>
      <c r="AB135" s="12">
        <v>84.07</v>
      </c>
      <c r="AC135" s="12">
        <v>80.849999999999994</v>
      </c>
      <c r="AD135" s="12">
        <v>51.78</v>
      </c>
      <c r="AE135" s="131">
        <v>88.08</v>
      </c>
      <c r="AF135" s="12">
        <v>99.1</v>
      </c>
      <c r="AG135" s="537"/>
      <c r="AH135" s="131">
        <v>37.61</v>
      </c>
      <c r="AI135" s="131">
        <v>63.41</v>
      </c>
      <c r="AJ135" s="37"/>
      <c r="AK135" s="38"/>
      <c r="AL135" s="455"/>
    </row>
    <row r="136" spans="1:38" x14ac:dyDescent="0.25">
      <c r="A136" s="385">
        <v>190</v>
      </c>
      <c r="B136" s="537"/>
      <c r="C136" s="155">
        <v>53.97</v>
      </c>
      <c r="D136" s="135">
        <v>53.86</v>
      </c>
      <c r="E136" s="131">
        <v>85.89</v>
      </c>
      <c r="F136" s="12">
        <v>80.36</v>
      </c>
      <c r="G136" s="135">
        <v>52.11</v>
      </c>
      <c r="H136" s="135">
        <v>79.16</v>
      </c>
      <c r="I136" s="37"/>
      <c r="J136" s="135">
        <v>79.64</v>
      </c>
      <c r="K136" s="135">
        <v>79.33</v>
      </c>
      <c r="L136" s="131">
        <v>69.930000000000007</v>
      </c>
      <c r="M136" s="573">
        <v>55.31</v>
      </c>
      <c r="N136" s="135">
        <v>73.36</v>
      </c>
      <c r="O136" s="135">
        <v>61.41</v>
      </c>
      <c r="P136" s="537"/>
      <c r="Q136" s="37"/>
      <c r="R136" s="12">
        <v>71.36</v>
      </c>
      <c r="S136" s="537"/>
      <c r="T136" s="131">
        <v>79.790000000000006</v>
      </c>
      <c r="U136" s="12">
        <v>50.56</v>
      </c>
      <c r="V136" s="12">
        <v>73.27</v>
      </c>
      <c r="W136" s="135">
        <v>78.05</v>
      </c>
      <c r="X136" s="135"/>
      <c r="Y136" s="37"/>
      <c r="Z136" s="131">
        <v>59.23</v>
      </c>
      <c r="AA136" s="131">
        <v>76.16</v>
      </c>
      <c r="AB136" s="12">
        <v>89.62</v>
      </c>
      <c r="AC136" s="12">
        <v>87.8</v>
      </c>
      <c r="AD136" s="12">
        <v>55.19</v>
      </c>
      <c r="AE136" s="131">
        <v>30.57</v>
      </c>
      <c r="AF136" s="131">
        <v>92.45</v>
      </c>
      <c r="AG136" s="537"/>
      <c r="AH136" s="131">
        <v>62.11</v>
      </c>
      <c r="AI136" s="131">
        <v>59.69</v>
      </c>
      <c r="AJ136" s="37"/>
      <c r="AK136" s="38"/>
      <c r="AL136" s="455"/>
    </row>
    <row r="137" spans="1:38" x14ac:dyDescent="0.25">
      <c r="A137" s="385">
        <v>191</v>
      </c>
      <c r="B137" s="131">
        <v>92.43</v>
      </c>
      <c r="C137" s="135">
        <v>101.56</v>
      </c>
      <c r="D137" s="155">
        <v>58.83</v>
      </c>
      <c r="E137" s="135">
        <v>62.12</v>
      </c>
      <c r="F137" s="135">
        <v>102.42</v>
      </c>
      <c r="G137" s="135">
        <v>85.74</v>
      </c>
      <c r="H137" s="135">
        <v>55.09</v>
      </c>
      <c r="I137" s="37"/>
      <c r="J137" s="135">
        <v>97.54</v>
      </c>
      <c r="K137" s="135">
        <v>94.75</v>
      </c>
      <c r="L137" s="135">
        <v>98.48</v>
      </c>
      <c r="M137" s="135">
        <v>66.180000000000007</v>
      </c>
      <c r="N137" s="135">
        <v>68.650000000000006</v>
      </c>
      <c r="O137" s="131">
        <v>110.97</v>
      </c>
      <c r="P137" s="155">
        <v>73.87</v>
      </c>
      <c r="Q137" s="37"/>
      <c r="R137" s="155">
        <v>56.75</v>
      </c>
      <c r="S137" s="131">
        <v>81.25</v>
      </c>
      <c r="T137" s="12">
        <v>57.3</v>
      </c>
      <c r="U137" s="12">
        <v>76.400000000000006</v>
      </c>
      <c r="V137" s="537"/>
      <c r="W137" s="532">
        <v>155</v>
      </c>
      <c r="X137" s="135"/>
      <c r="Y137" s="37"/>
      <c r="Z137" s="537"/>
      <c r="AA137" s="532">
        <v>123.6</v>
      </c>
      <c r="AB137" s="12">
        <v>74.239999999999995</v>
      </c>
      <c r="AC137" s="12">
        <v>77.849999999999994</v>
      </c>
      <c r="AD137" s="12">
        <v>69.09</v>
      </c>
      <c r="AE137" s="131">
        <v>47.72</v>
      </c>
      <c r="AF137" s="12">
        <v>90.68</v>
      </c>
      <c r="AG137" s="548">
        <v>131.38</v>
      </c>
      <c r="AH137" s="537"/>
      <c r="AI137" s="131">
        <v>28.56</v>
      </c>
      <c r="AJ137" s="37"/>
      <c r="AK137" s="38"/>
      <c r="AL137" s="455"/>
    </row>
    <row r="138" spans="1:38" x14ac:dyDescent="0.25">
      <c r="A138" s="385">
        <v>192</v>
      </c>
      <c r="B138" s="131">
        <v>73.849999999999994</v>
      </c>
      <c r="C138" s="155">
        <v>50.26</v>
      </c>
      <c r="D138" s="135">
        <v>63.59</v>
      </c>
      <c r="E138" s="135">
        <v>56.63</v>
      </c>
      <c r="F138" s="135">
        <v>63.71</v>
      </c>
      <c r="G138" s="135">
        <v>65.27</v>
      </c>
      <c r="H138" s="135">
        <v>72.290000000000006</v>
      </c>
      <c r="I138" s="37"/>
      <c r="J138" s="135">
        <v>77.069999999999993</v>
      </c>
      <c r="K138" s="135">
        <v>67.099999999999994</v>
      </c>
      <c r="L138" s="131">
        <v>79.819999999999993</v>
      </c>
      <c r="M138" s="155">
        <v>62.86</v>
      </c>
      <c r="N138" s="131">
        <v>57.72</v>
      </c>
      <c r="O138" s="131">
        <v>64.45</v>
      </c>
      <c r="P138" s="573">
        <v>71.180000000000007</v>
      </c>
      <c r="Q138" s="37"/>
      <c r="R138" s="135">
        <v>77.3</v>
      </c>
      <c r="S138" s="131">
        <v>59.06</v>
      </c>
      <c r="T138" s="131">
        <v>71.13</v>
      </c>
      <c r="U138" s="12">
        <v>60.29</v>
      </c>
      <c r="V138" s="131">
        <v>81.37</v>
      </c>
      <c r="W138" s="135">
        <v>39.78</v>
      </c>
      <c r="X138" s="573"/>
      <c r="Y138" s="37"/>
      <c r="Z138" s="135">
        <v>69.08</v>
      </c>
      <c r="AA138" s="131">
        <v>67.48</v>
      </c>
      <c r="AB138" s="12">
        <v>59.25</v>
      </c>
      <c r="AC138" s="12">
        <v>70.66</v>
      </c>
      <c r="AD138" s="12">
        <v>39.880000000000003</v>
      </c>
      <c r="AE138" s="12">
        <v>30.3</v>
      </c>
      <c r="AF138" s="131">
        <v>69.38</v>
      </c>
      <c r="AG138" s="131">
        <v>32.56</v>
      </c>
      <c r="AH138" s="131">
        <v>1.83</v>
      </c>
      <c r="AI138" s="131">
        <v>79.23</v>
      </c>
      <c r="AJ138" s="37"/>
      <c r="AK138" s="38"/>
      <c r="AL138" s="455"/>
    </row>
    <row r="139" spans="1:38" x14ac:dyDescent="0.25">
      <c r="A139" s="385">
        <v>193</v>
      </c>
      <c r="B139" s="131">
        <v>64.17</v>
      </c>
      <c r="C139" s="135">
        <v>105.27</v>
      </c>
      <c r="D139" s="131">
        <v>93.69</v>
      </c>
      <c r="E139" s="135">
        <v>90.52</v>
      </c>
      <c r="F139" s="131">
        <v>26.03</v>
      </c>
      <c r="G139" s="135">
        <v>73.099999999999994</v>
      </c>
      <c r="H139" s="135">
        <v>101.3</v>
      </c>
      <c r="I139" s="37"/>
      <c r="J139" s="135">
        <v>115.74</v>
      </c>
      <c r="K139" s="135">
        <v>71.849999999999994</v>
      </c>
      <c r="L139" s="131">
        <v>85.77</v>
      </c>
      <c r="M139" s="135">
        <v>64.5</v>
      </c>
      <c r="N139" s="131">
        <v>74.11</v>
      </c>
      <c r="O139" s="131">
        <v>83.65</v>
      </c>
      <c r="P139" s="155">
        <v>88.4</v>
      </c>
      <c r="Q139" s="37"/>
      <c r="R139" s="131">
        <v>96.66</v>
      </c>
      <c r="S139" s="12">
        <v>65.569999999999993</v>
      </c>
      <c r="T139" s="131">
        <v>92.34</v>
      </c>
      <c r="U139" s="12">
        <v>79.25</v>
      </c>
      <c r="V139" s="12">
        <v>79.7</v>
      </c>
      <c r="W139" s="135">
        <v>61.91</v>
      </c>
      <c r="X139" s="135"/>
      <c r="Y139" s="37"/>
      <c r="Z139" s="131">
        <v>90.07</v>
      </c>
      <c r="AA139" s="131">
        <v>84.68</v>
      </c>
      <c r="AB139" s="12">
        <v>88.19</v>
      </c>
      <c r="AC139" s="12">
        <v>93.74</v>
      </c>
      <c r="AD139" s="12">
        <v>89.17</v>
      </c>
      <c r="AE139" s="131">
        <v>79.819999999999993</v>
      </c>
      <c r="AF139" s="131">
        <v>69.38</v>
      </c>
      <c r="AG139" s="131">
        <v>91.61</v>
      </c>
      <c r="AH139" s="131">
        <v>8.84</v>
      </c>
      <c r="AI139" s="131">
        <v>49.64</v>
      </c>
      <c r="AJ139" s="37"/>
      <c r="AK139" s="38"/>
      <c r="AL139" s="455"/>
    </row>
    <row r="140" spans="1:38" x14ac:dyDescent="0.25">
      <c r="A140" s="385">
        <v>194</v>
      </c>
      <c r="B140" s="135">
        <v>77.040000000000006</v>
      </c>
      <c r="C140" s="548">
        <v>139.03</v>
      </c>
      <c r="D140" s="135">
        <v>68.58</v>
      </c>
      <c r="E140" s="718">
        <v>92.78</v>
      </c>
      <c r="F140" s="135">
        <v>59.85</v>
      </c>
      <c r="G140" s="135">
        <v>72.45</v>
      </c>
      <c r="H140" s="135">
        <v>75.94</v>
      </c>
      <c r="I140" s="37"/>
      <c r="J140" s="135">
        <v>104.2</v>
      </c>
      <c r="K140" s="12">
        <v>60.79</v>
      </c>
      <c r="L140" s="131">
        <v>116.02</v>
      </c>
      <c r="M140" s="155">
        <v>76.83</v>
      </c>
      <c r="N140" s="12">
        <v>115.06</v>
      </c>
      <c r="O140" s="155">
        <v>69.73</v>
      </c>
      <c r="P140" s="155">
        <v>72.459999999999994</v>
      </c>
      <c r="Q140" s="37"/>
      <c r="R140" s="131">
        <v>90.98</v>
      </c>
      <c r="S140" s="131">
        <v>77.44</v>
      </c>
      <c r="T140" s="131">
        <v>68.42</v>
      </c>
      <c r="U140" s="12">
        <v>63.59</v>
      </c>
      <c r="V140" s="131">
        <v>88.86</v>
      </c>
      <c r="W140" s="135">
        <v>77.239999999999995</v>
      </c>
      <c r="X140" s="135"/>
      <c r="Y140" s="37"/>
      <c r="Z140" s="131">
        <v>65.709999999999994</v>
      </c>
      <c r="AA140" s="12">
        <v>80.540000000000006</v>
      </c>
      <c r="AB140" s="135">
        <v>78.25</v>
      </c>
      <c r="AC140" s="12">
        <v>68.069999999999993</v>
      </c>
      <c r="AD140" s="12">
        <v>55.73</v>
      </c>
      <c r="AE140" s="131">
        <v>47.72</v>
      </c>
      <c r="AF140" s="131">
        <v>73.680000000000007</v>
      </c>
      <c r="AG140" s="131">
        <v>72.92</v>
      </c>
      <c r="AH140" s="131">
        <v>6.42</v>
      </c>
      <c r="AI140" s="131">
        <v>59.93</v>
      </c>
      <c r="AJ140" s="40"/>
      <c r="AK140" s="41"/>
      <c r="AL140" s="455"/>
    </row>
    <row r="141" spans="1:38" x14ac:dyDescent="0.25">
      <c r="A141" s="385">
        <v>195</v>
      </c>
      <c r="B141" s="131">
        <v>93.64</v>
      </c>
      <c r="C141" s="135">
        <v>102.75</v>
      </c>
      <c r="D141" s="135">
        <v>90.75</v>
      </c>
      <c r="E141" s="131">
        <v>74.08</v>
      </c>
      <c r="F141" s="135">
        <v>89.66</v>
      </c>
      <c r="G141" s="135">
        <v>86.12</v>
      </c>
      <c r="H141" s="135">
        <v>88.88</v>
      </c>
      <c r="I141" s="37"/>
      <c r="J141" s="135">
        <v>63.19</v>
      </c>
      <c r="K141" s="135">
        <v>81.72</v>
      </c>
      <c r="L141" s="135">
        <v>86.71</v>
      </c>
      <c r="M141" s="530"/>
      <c r="N141" s="530"/>
      <c r="O141" s="537"/>
      <c r="P141" s="155">
        <v>40.229999999999997</v>
      </c>
      <c r="Q141" s="37"/>
      <c r="R141" s="12">
        <v>62.19</v>
      </c>
      <c r="S141" s="131">
        <v>101.35</v>
      </c>
      <c r="T141" s="12">
        <v>76.900000000000006</v>
      </c>
      <c r="U141" s="12">
        <v>73.88</v>
      </c>
      <c r="V141" s="12">
        <v>97.6</v>
      </c>
      <c r="W141" s="135">
        <v>77.47</v>
      </c>
      <c r="X141" s="135"/>
      <c r="Y141" s="37"/>
      <c r="Z141" s="537"/>
      <c r="AA141" s="12">
        <v>64.069999999999993</v>
      </c>
      <c r="AB141" s="12">
        <v>91.4</v>
      </c>
      <c r="AC141" s="12">
        <v>91.31</v>
      </c>
      <c r="AD141" s="530"/>
      <c r="AE141" s="537"/>
      <c r="AF141" s="131">
        <v>108.99</v>
      </c>
      <c r="AG141" s="131">
        <v>71.739999999999995</v>
      </c>
      <c r="AH141" s="131">
        <v>13.68</v>
      </c>
      <c r="AI141" s="131">
        <v>76.89</v>
      </c>
      <c r="AJ141" s="37"/>
      <c r="AK141" s="38"/>
      <c r="AL141" s="455"/>
    </row>
    <row r="142" spans="1:38" x14ac:dyDescent="0.25">
      <c r="A142" s="385">
        <v>196</v>
      </c>
      <c r="B142" s="12">
        <v>87.21</v>
      </c>
      <c r="C142" s="155">
        <v>81.66</v>
      </c>
      <c r="D142" s="135">
        <v>79.069999999999993</v>
      </c>
      <c r="E142" s="135">
        <v>77.959999999999994</v>
      </c>
      <c r="F142" s="135">
        <v>73.599999999999994</v>
      </c>
      <c r="G142" s="135">
        <v>104.7</v>
      </c>
      <c r="H142" s="135">
        <v>92.96</v>
      </c>
      <c r="I142" s="37"/>
      <c r="J142" s="135">
        <v>130.01</v>
      </c>
      <c r="K142" s="155">
        <v>87.94</v>
      </c>
      <c r="L142" s="135">
        <v>98.51</v>
      </c>
      <c r="M142" s="135">
        <v>70.94</v>
      </c>
      <c r="N142" s="135">
        <v>73.5</v>
      </c>
      <c r="O142" s="131">
        <v>86.08</v>
      </c>
      <c r="P142" s="573">
        <v>70.94</v>
      </c>
      <c r="Q142" s="37"/>
      <c r="R142" s="131">
        <v>97.35</v>
      </c>
      <c r="S142" s="131">
        <v>96.84</v>
      </c>
      <c r="T142" s="12">
        <v>72.819999999999993</v>
      </c>
      <c r="U142" s="12">
        <v>79.53</v>
      </c>
      <c r="V142" s="131">
        <v>85.43</v>
      </c>
      <c r="W142" s="135">
        <v>67.95</v>
      </c>
      <c r="X142" s="135"/>
      <c r="Y142" s="37"/>
      <c r="Z142" s="131">
        <v>27.03</v>
      </c>
      <c r="AA142" s="131">
        <v>73.599999999999994</v>
      </c>
      <c r="AB142" s="12">
        <v>103.14</v>
      </c>
      <c r="AC142" s="12">
        <v>83.73</v>
      </c>
      <c r="AD142" s="530"/>
      <c r="AE142" s="131">
        <v>43.52</v>
      </c>
      <c r="AF142" s="131">
        <v>88.46</v>
      </c>
      <c r="AG142" s="131">
        <v>79.14</v>
      </c>
      <c r="AH142" s="131">
        <v>15.97</v>
      </c>
      <c r="AI142" s="131">
        <v>82.97</v>
      </c>
      <c r="AJ142" s="37"/>
      <c r="AK142" s="38"/>
      <c r="AL142" s="455"/>
    </row>
    <row r="143" spans="1:38" x14ac:dyDescent="0.25">
      <c r="A143" s="385">
        <v>197</v>
      </c>
      <c r="B143" s="131">
        <v>79.849999999999994</v>
      </c>
      <c r="C143" s="155">
        <v>71.150000000000006</v>
      </c>
      <c r="D143" s="155">
        <v>82.84</v>
      </c>
      <c r="E143" s="12">
        <v>76.2</v>
      </c>
      <c r="F143" s="135">
        <v>79</v>
      </c>
      <c r="G143" s="135">
        <v>79.099999999999994</v>
      </c>
      <c r="H143" s="135">
        <v>62.36</v>
      </c>
      <c r="I143" s="37"/>
      <c r="J143" s="135">
        <v>62.89</v>
      </c>
      <c r="K143" s="131">
        <v>71.25</v>
      </c>
      <c r="L143" s="135">
        <v>68.25</v>
      </c>
      <c r="M143" s="155">
        <v>82.01</v>
      </c>
      <c r="N143" s="131">
        <v>45.81</v>
      </c>
      <c r="O143" s="135">
        <v>71.45</v>
      </c>
      <c r="P143" s="155">
        <v>66.41</v>
      </c>
      <c r="Q143" s="37"/>
      <c r="R143" s="131">
        <v>74.819999999999993</v>
      </c>
      <c r="S143" s="131">
        <v>70.48</v>
      </c>
      <c r="T143" s="131">
        <v>60.84</v>
      </c>
      <c r="U143" s="12">
        <v>63.6</v>
      </c>
      <c r="V143" s="131">
        <v>73.78</v>
      </c>
      <c r="W143" s="135">
        <v>64</v>
      </c>
      <c r="X143" s="135"/>
      <c r="Y143" s="37"/>
      <c r="Z143" s="537"/>
      <c r="AA143" s="12">
        <v>66.17</v>
      </c>
      <c r="AB143" s="12">
        <v>67.790000000000006</v>
      </c>
      <c r="AC143" s="12">
        <v>83.48</v>
      </c>
      <c r="AD143" s="12">
        <v>51.38</v>
      </c>
      <c r="AE143" s="131">
        <v>74.17</v>
      </c>
      <c r="AF143" s="12">
        <v>41.13</v>
      </c>
      <c r="AG143" s="131">
        <v>34.99</v>
      </c>
      <c r="AH143" s="131">
        <v>21.94</v>
      </c>
      <c r="AI143" s="131">
        <v>58.45</v>
      </c>
      <c r="AJ143" s="37"/>
      <c r="AK143" s="38"/>
      <c r="AL143" s="455"/>
    </row>
    <row r="144" spans="1:38" x14ac:dyDescent="0.25">
      <c r="A144" s="385">
        <v>198</v>
      </c>
      <c r="B144" s="12">
        <v>114.9</v>
      </c>
      <c r="C144" s="135">
        <v>86.27</v>
      </c>
      <c r="D144" s="135">
        <v>99.27</v>
      </c>
      <c r="E144" s="135">
        <v>79.84</v>
      </c>
      <c r="F144" s="135">
        <v>91.05</v>
      </c>
      <c r="G144" s="135">
        <v>97.8</v>
      </c>
      <c r="H144" s="135">
        <v>80.14</v>
      </c>
      <c r="I144" s="37"/>
      <c r="J144" s="135">
        <v>112.8</v>
      </c>
      <c r="K144" s="135">
        <v>87.57</v>
      </c>
      <c r="L144" s="135">
        <v>99.75</v>
      </c>
      <c r="M144" s="135">
        <v>88.75</v>
      </c>
      <c r="N144" s="135">
        <v>92.36</v>
      </c>
      <c r="O144" s="135">
        <v>105.47</v>
      </c>
      <c r="P144" s="155">
        <v>90.59</v>
      </c>
      <c r="Q144" s="37"/>
      <c r="R144" s="131">
        <v>112.67</v>
      </c>
      <c r="S144" s="131">
        <v>104.78</v>
      </c>
      <c r="T144" s="131">
        <v>81.87</v>
      </c>
      <c r="U144" s="12">
        <v>84.69</v>
      </c>
      <c r="V144" s="131">
        <v>92.75</v>
      </c>
      <c r="W144" s="135">
        <v>73.84</v>
      </c>
      <c r="X144" s="135"/>
      <c r="Y144" s="37"/>
      <c r="Z144" s="131">
        <v>97.22</v>
      </c>
      <c r="AA144" s="131">
        <v>111.35</v>
      </c>
      <c r="AB144" s="12">
        <v>101.47</v>
      </c>
      <c r="AC144" s="12">
        <v>89.24</v>
      </c>
      <c r="AD144" s="12">
        <v>52.23</v>
      </c>
      <c r="AE144" s="131">
        <v>104.79</v>
      </c>
      <c r="AF144" s="131">
        <v>65.77</v>
      </c>
      <c r="AG144" s="131">
        <v>97.68</v>
      </c>
      <c r="AH144" s="131">
        <v>17.559999999999999</v>
      </c>
      <c r="AI144" s="131">
        <v>86.97</v>
      </c>
      <c r="AJ144" s="37"/>
      <c r="AK144" s="38"/>
      <c r="AL144" s="455"/>
    </row>
    <row r="145" spans="1:38" x14ac:dyDescent="0.25">
      <c r="A145" s="385">
        <v>199</v>
      </c>
      <c r="B145" s="131">
        <v>103.81</v>
      </c>
      <c r="C145" s="537"/>
      <c r="D145" s="12">
        <v>114.92</v>
      </c>
      <c r="E145" s="12">
        <v>72.56</v>
      </c>
      <c r="F145" s="131">
        <v>63.23</v>
      </c>
      <c r="G145" s="135">
        <v>83.65</v>
      </c>
      <c r="H145" s="135">
        <v>38.19</v>
      </c>
      <c r="I145" s="37"/>
      <c r="J145" s="135">
        <v>50.91</v>
      </c>
      <c r="K145" s="131">
        <v>30.83</v>
      </c>
      <c r="L145" s="135">
        <v>40.270000000000003</v>
      </c>
      <c r="M145" s="530"/>
      <c r="N145" s="135">
        <v>13.94</v>
      </c>
      <c r="O145" s="537"/>
      <c r="P145" s="537"/>
      <c r="Q145" s="37"/>
      <c r="R145" s="548">
        <v>140.88</v>
      </c>
      <c r="S145" s="131">
        <v>66.77</v>
      </c>
      <c r="T145" s="131">
        <v>61.58</v>
      </c>
      <c r="U145" s="530"/>
      <c r="V145" s="131">
        <v>83.34</v>
      </c>
      <c r="W145" s="135">
        <v>50.01</v>
      </c>
      <c r="X145" s="135"/>
      <c r="Y145" s="37"/>
      <c r="Z145" s="131">
        <v>66.02</v>
      </c>
      <c r="AA145" s="131">
        <v>42.65</v>
      </c>
      <c r="AB145" s="12">
        <v>78.959999999999994</v>
      </c>
      <c r="AC145" s="135">
        <v>74.599999999999994</v>
      </c>
      <c r="AD145" s="135">
        <v>21.52</v>
      </c>
      <c r="AE145" s="135">
        <v>45.13</v>
      </c>
      <c r="AF145" s="155">
        <v>79.489999999999995</v>
      </c>
      <c r="AG145" s="131">
        <v>70.36</v>
      </c>
      <c r="AH145" s="12">
        <v>15.5</v>
      </c>
      <c r="AI145" s="131">
        <v>69.819999999999993</v>
      </c>
      <c r="AJ145" s="37"/>
      <c r="AK145" s="38"/>
      <c r="AL145" s="455"/>
    </row>
    <row r="146" spans="1:38" x14ac:dyDescent="0.25">
      <c r="A146" s="385">
        <v>200</v>
      </c>
      <c r="B146" s="671"/>
      <c r="C146" s="671"/>
      <c r="D146" s="671"/>
      <c r="E146" s="671"/>
      <c r="F146" s="671"/>
      <c r="G146" s="671"/>
      <c r="H146" s="671"/>
      <c r="I146" s="111"/>
      <c r="J146" s="537"/>
      <c r="K146" s="537"/>
      <c r="L146" s="537"/>
      <c r="M146" s="537"/>
      <c r="N146" s="537"/>
      <c r="O146" s="537"/>
      <c r="P146" s="537"/>
      <c r="Q146" s="111"/>
      <c r="R146" s="537"/>
      <c r="S146" s="537"/>
      <c r="T146" s="537"/>
      <c r="U146" s="537"/>
      <c r="V146" s="537"/>
      <c r="W146" s="530"/>
      <c r="X146" s="530"/>
      <c r="Y146" s="111"/>
      <c r="Z146" s="530"/>
      <c r="AA146" s="530"/>
      <c r="AB146" s="530"/>
      <c r="AC146" s="530"/>
      <c r="AD146" s="530"/>
      <c r="AE146" s="530"/>
      <c r="AF146" s="530"/>
      <c r="AG146" s="530"/>
      <c r="AH146" s="530"/>
      <c r="AI146" s="530"/>
      <c r="AJ146" s="111"/>
      <c r="AK146" s="38"/>
      <c r="AL146" s="455"/>
    </row>
    <row r="147" spans="1:38" x14ac:dyDescent="0.25">
      <c r="A147" s="385">
        <v>201</v>
      </c>
      <c r="B147" s="12">
        <v>81.680000000000007</v>
      </c>
      <c r="C147" s="135">
        <v>82.54</v>
      </c>
      <c r="D147" s="135">
        <v>83.25</v>
      </c>
      <c r="E147" s="12">
        <v>79.489999999999995</v>
      </c>
      <c r="F147" s="131">
        <v>67.849999999999994</v>
      </c>
      <c r="G147" s="135">
        <v>77.98</v>
      </c>
      <c r="H147" s="155">
        <v>58.28</v>
      </c>
      <c r="I147" s="37"/>
      <c r="J147" s="537"/>
      <c r="K147" s="532">
        <v>130.25</v>
      </c>
      <c r="L147" s="135">
        <v>81.69</v>
      </c>
      <c r="M147" s="135">
        <v>75.03</v>
      </c>
      <c r="N147" s="131">
        <v>59.16</v>
      </c>
      <c r="O147" s="131">
        <v>77.88</v>
      </c>
      <c r="P147" s="155">
        <v>64.69</v>
      </c>
      <c r="Q147" s="37"/>
      <c r="R147" s="12">
        <v>79.3</v>
      </c>
      <c r="S147" s="131">
        <v>52.09</v>
      </c>
      <c r="T147" s="131">
        <v>83.59</v>
      </c>
      <c r="U147" s="12">
        <v>67.23</v>
      </c>
      <c r="V147" s="12">
        <v>64.599999999999994</v>
      </c>
      <c r="W147" s="135">
        <v>66.3</v>
      </c>
      <c r="X147" s="135"/>
      <c r="Y147" s="37"/>
      <c r="Z147" s="131">
        <v>65.55</v>
      </c>
      <c r="AA147" s="12">
        <v>62.4</v>
      </c>
      <c r="AB147" s="12">
        <v>89.73</v>
      </c>
      <c r="AC147" s="533">
        <v>74.88</v>
      </c>
      <c r="AD147" s="12">
        <v>54.48</v>
      </c>
      <c r="AE147" s="131">
        <v>61.88</v>
      </c>
      <c r="AF147" s="131">
        <v>76.959999999999994</v>
      </c>
      <c r="AG147" s="131">
        <v>55.46</v>
      </c>
      <c r="AH147" s="131">
        <v>27.17</v>
      </c>
      <c r="AI147" s="131">
        <v>62.83</v>
      </c>
      <c r="AJ147" s="37"/>
      <c r="AK147" s="38"/>
      <c r="AL147" s="455"/>
    </row>
    <row r="148" spans="1:38" x14ac:dyDescent="0.25">
      <c r="A148" s="385">
        <v>202</v>
      </c>
      <c r="B148" s="135">
        <v>65.430000000000007</v>
      </c>
      <c r="C148" s="135">
        <v>66.400000000000006</v>
      </c>
      <c r="D148" s="155">
        <v>69.47</v>
      </c>
      <c r="E148" s="12">
        <v>71.349999999999994</v>
      </c>
      <c r="F148" s="135">
        <v>50.13</v>
      </c>
      <c r="G148" s="135">
        <v>73.37</v>
      </c>
      <c r="H148" s="155">
        <v>60.37</v>
      </c>
      <c r="I148" s="37"/>
      <c r="J148" s="155">
        <v>75.37</v>
      </c>
      <c r="K148" s="131">
        <v>55.19</v>
      </c>
      <c r="L148" s="736">
        <v>54.95</v>
      </c>
      <c r="M148" s="135">
        <v>58.28</v>
      </c>
      <c r="N148" s="135">
        <v>66.150000000000006</v>
      </c>
      <c r="O148" s="131">
        <v>72.83</v>
      </c>
      <c r="P148" s="155">
        <v>44.82</v>
      </c>
      <c r="Q148" s="37"/>
      <c r="R148" s="131">
        <v>70.88</v>
      </c>
      <c r="S148" s="131">
        <v>59.92</v>
      </c>
      <c r="T148" s="12">
        <v>71</v>
      </c>
      <c r="U148" s="12">
        <v>48.79</v>
      </c>
      <c r="V148" s="131">
        <v>70.02</v>
      </c>
      <c r="W148" s="135">
        <v>54.77</v>
      </c>
      <c r="X148" s="135"/>
      <c r="Y148" s="37"/>
      <c r="Z148" s="135">
        <v>63.47</v>
      </c>
      <c r="AA148" s="135">
        <v>57.23</v>
      </c>
      <c r="AB148" s="12">
        <v>70.5</v>
      </c>
      <c r="AC148" s="135">
        <v>82.48</v>
      </c>
      <c r="AD148" s="12">
        <v>48.78</v>
      </c>
      <c r="AE148" s="337">
        <v>72.489999999999995</v>
      </c>
      <c r="AF148" s="135">
        <v>63</v>
      </c>
      <c r="AG148" s="131">
        <v>67.05</v>
      </c>
      <c r="AH148" s="131">
        <v>9.26</v>
      </c>
      <c r="AI148" s="131">
        <v>58.89</v>
      </c>
      <c r="AJ148" s="37"/>
      <c r="AK148" s="38"/>
      <c r="AL148" s="455"/>
    </row>
    <row r="149" spans="1:38" x14ac:dyDescent="0.25">
      <c r="A149" s="385">
        <v>203</v>
      </c>
      <c r="B149" s="537"/>
      <c r="C149" s="537"/>
      <c r="D149" s="530"/>
      <c r="E149" s="530"/>
      <c r="F149" s="533">
        <v>82.42</v>
      </c>
      <c r="G149" s="530"/>
      <c r="H149" s="722">
        <v>194.82</v>
      </c>
      <c r="I149" s="37"/>
      <c r="J149" s="135">
        <v>38.97</v>
      </c>
      <c r="K149" s="530"/>
      <c r="L149" s="135">
        <v>130.36000000000001</v>
      </c>
      <c r="M149" s="135">
        <v>63.52</v>
      </c>
      <c r="N149" s="135">
        <v>94.52</v>
      </c>
      <c r="O149" s="135">
        <v>70.47</v>
      </c>
      <c r="P149" s="135">
        <v>79.08</v>
      </c>
      <c r="Q149" s="37"/>
      <c r="R149" s="131">
        <v>88.86</v>
      </c>
      <c r="S149" s="12">
        <v>70.66</v>
      </c>
      <c r="T149" s="131">
        <v>79.25</v>
      </c>
      <c r="U149" s="12">
        <v>78.650000000000006</v>
      </c>
      <c r="V149" s="12">
        <v>80.400000000000006</v>
      </c>
      <c r="W149" s="135">
        <v>69.44</v>
      </c>
      <c r="X149" s="135"/>
      <c r="Y149" s="37"/>
      <c r="Z149" s="131">
        <v>97.94</v>
      </c>
      <c r="AA149" s="12">
        <v>76.11</v>
      </c>
      <c r="AB149" s="12">
        <v>76.34</v>
      </c>
      <c r="AC149" s="12">
        <v>83.01</v>
      </c>
      <c r="AD149" s="12">
        <v>49.07</v>
      </c>
      <c r="AE149" s="131">
        <v>48.93</v>
      </c>
      <c r="AF149" s="131">
        <v>93.31</v>
      </c>
      <c r="AG149" s="131">
        <v>57.52</v>
      </c>
      <c r="AH149" s="131">
        <v>7.57</v>
      </c>
      <c r="AI149" s="131">
        <v>56.58</v>
      </c>
      <c r="AJ149" s="37"/>
      <c r="AK149" s="38"/>
      <c r="AL149" s="455"/>
    </row>
    <row r="150" spans="1:38" x14ac:dyDescent="0.25">
      <c r="A150" s="383">
        <v>204</v>
      </c>
      <c r="B150" s="155">
        <v>75.010000000000005</v>
      </c>
      <c r="C150" s="155">
        <v>73.97</v>
      </c>
      <c r="D150" s="135">
        <v>63.71</v>
      </c>
      <c r="E150" s="135">
        <v>78.37</v>
      </c>
      <c r="F150" s="12">
        <v>60.05</v>
      </c>
      <c r="G150" s="135">
        <v>78.400000000000006</v>
      </c>
      <c r="H150" s="135">
        <v>69.760000000000005</v>
      </c>
      <c r="I150" s="37"/>
      <c r="J150" s="135">
        <v>118.9</v>
      </c>
      <c r="K150" s="131">
        <v>53.86</v>
      </c>
      <c r="L150" s="131">
        <v>81.319999999999993</v>
      </c>
      <c r="M150" s="155">
        <v>77.680000000000007</v>
      </c>
      <c r="N150" s="131">
        <v>58.87</v>
      </c>
      <c r="O150" s="155">
        <v>74.94</v>
      </c>
      <c r="P150" s="155">
        <v>82.81</v>
      </c>
      <c r="Q150" s="37"/>
      <c r="R150" s="131">
        <v>68.77</v>
      </c>
      <c r="S150" s="131">
        <v>78.98</v>
      </c>
      <c r="T150" s="12">
        <v>62.7</v>
      </c>
      <c r="U150" s="12">
        <v>68.33</v>
      </c>
      <c r="V150" s="131">
        <v>65.86</v>
      </c>
      <c r="W150" s="135">
        <v>51.94</v>
      </c>
      <c r="X150" s="135"/>
      <c r="Y150" s="37"/>
      <c r="Z150" s="12">
        <v>71.7</v>
      </c>
      <c r="AA150" s="131">
        <v>62.53</v>
      </c>
      <c r="AB150" s="12">
        <v>75.19</v>
      </c>
      <c r="AC150" s="12">
        <v>96.87</v>
      </c>
      <c r="AD150" s="12">
        <v>55.64</v>
      </c>
      <c r="AE150" s="12">
        <v>51.8</v>
      </c>
      <c r="AF150" s="131">
        <v>79.12</v>
      </c>
      <c r="AG150" s="131">
        <v>54.48</v>
      </c>
      <c r="AH150" s="537"/>
      <c r="AI150" s="131">
        <v>79.569999999999993</v>
      </c>
      <c r="AJ150" s="37"/>
      <c r="AK150" s="38"/>
      <c r="AL150" s="456" t="s">
        <v>252</v>
      </c>
    </row>
    <row r="151" spans="1:38" x14ac:dyDescent="0.25">
      <c r="A151" s="383">
        <v>205</v>
      </c>
      <c r="B151" s="155">
        <v>84.31</v>
      </c>
      <c r="C151" s="135">
        <v>107.22</v>
      </c>
      <c r="D151" s="135">
        <v>69.81</v>
      </c>
      <c r="E151" s="135">
        <v>69.16</v>
      </c>
      <c r="F151" s="135">
        <v>71.58</v>
      </c>
      <c r="G151" s="135">
        <v>81.67</v>
      </c>
      <c r="H151" s="135">
        <v>80.47</v>
      </c>
      <c r="I151" s="37"/>
      <c r="J151" s="135">
        <v>94.56</v>
      </c>
      <c r="K151" s="135">
        <v>86.83</v>
      </c>
      <c r="L151" s="135">
        <v>90.51</v>
      </c>
      <c r="M151" s="135">
        <v>75.260000000000005</v>
      </c>
      <c r="N151" s="135">
        <v>59.31</v>
      </c>
      <c r="O151" s="135">
        <v>80.17</v>
      </c>
      <c r="P151" s="155">
        <v>84.93</v>
      </c>
      <c r="Q151" s="37"/>
      <c r="R151" s="131">
        <v>96.24</v>
      </c>
      <c r="S151" s="131">
        <v>79.540000000000006</v>
      </c>
      <c r="T151" s="131">
        <v>96.69</v>
      </c>
      <c r="U151" s="12">
        <v>63.46</v>
      </c>
      <c r="V151" s="12">
        <v>74.599999999999994</v>
      </c>
      <c r="W151" s="135">
        <v>61.5</v>
      </c>
      <c r="X151" s="135"/>
      <c r="Y151" s="37"/>
      <c r="Z151" s="131">
        <v>83.22</v>
      </c>
      <c r="AA151" s="131">
        <v>65.930000000000007</v>
      </c>
      <c r="AB151" s="12">
        <v>95.15</v>
      </c>
      <c r="AC151" s="12">
        <v>88.36</v>
      </c>
      <c r="AD151" s="12">
        <v>58.32</v>
      </c>
      <c r="AE151" s="131">
        <v>74.09</v>
      </c>
      <c r="AF151" s="131">
        <v>91.39</v>
      </c>
      <c r="AG151" s="12">
        <v>85.7</v>
      </c>
      <c r="AH151" s="131">
        <v>20.04</v>
      </c>
      <c r="AI151" s="131">
        <v>91.79</v>
      </c>
      <c r="AJ151" s="37"/>
      <c r="AK151" s="38"/>
      <c r="AL151" s="372"/>
    </row>
    <row r="152" spans="1:38" x14ac:dyDescent="0.25">
      <c r="A152" s="383">
        <v>206</v>
      </c>
      <c r="B152" s="131">
        <v>80.09</v>
      </c>
      <c r="C152" s="135">
        <v>99.37</v>
      </c>
      <c r="D152" s="135">
        <v>84.91</v>
      </c>
      <c r="E152" s="131">
        <v>72.14</v>
      </c>
      <c r="F152" s="135">
        <v>78.3</v>
      </c>
      <c r="G152" s="135">
        <v>71.11</v>
      </c>
      <c r="H152" s="155">
        <v>76.63</v>
      </c>
      <c r="I152" s="37"/>
      <c r="J152" s="135">
        <v>108.89</v>
      </c>
      <c r="K152" s="135">
        <v>86.14</v>
      </c>
      <c r="L152" s="135">
        <v>47.78</v>
      </c>
      <c r="M152" s="135">
        <v>104.32</v>
      </c>
      <c r="N152" s="135">
        <v>55.16</v>
      </c>
      <c r="O152" s="135">
        <v>70.14</v>
      </c>
      <c r="P152" s="155">
        <v>73.09</v>
      </c>
      <c r="Q152" s="37"/>
      <c r="R152" s="12">
        <v>85.59</v>
      </c>
      <c r="S152" s="131">
        <v>92.36</v>
      </c>
      <c r="T152" s="12">
        <v>83.85</v>
      </c>
      <c r="U152" s="12">
        <v>56.38</v>
      </c>
      <c r="V152" s="131">
        <v>77.89</v>
      </c>
      <c r="W152" s="135">
        <v>76.989999999999995</v>
      </c>
      <c r="X152" s="135"/>
      <c r="Y152" s="37"/>
      <c r="Z152" s="12">
        <v>52.49</v>
      </c>
      <c r="AA152" s="131">
        <v>101.32</v>
      </c>
      <c r="AB152" s="12">
        <v>96.91</v>
      </c>
      <c r="AC152" s="12">
        <v>89.57</v>
      </c>
      <c r="AD152" s="12">
        <v>71.16</v>
      </c>
      <c r="AE152" s="537"/>
      <c r="AF152" s="12">
        <v>83.91</v>
      </c>
      <c r="AG152" s="131">
        <v>53.74</v>
      </c>
      <c r="AH152" s="131">
        <v>24.45</v>
      </c>
      <c r="AI152" s="131">
        <v>69.55</v>
      </c>
      <c r="AJ152" s="37"/>
      <c r="AK152" s="38"/>
      <c r="AL152" s="372"/>
    </row>
    <row r="153" spans="1:38" x14ac:dyDescent="0.25">
      <c r="A153" s="383">
        <v>207</v>
      </c>
      <c r="B153" s="155">
        <v>66.13</v>
      </c>
      <c r="C153" s="131">
        <v>64.87</v>
      </c>
      <c r="D153" s="155">
        <v>106.27</v>
      </c>
      <c r="E153" s="135">
        <v>85.27</v>
      </c>
      <c r="F153" s="135">
        <v>72.959999999999994</v>
      </c>
      <c r="G153" s="135">
        <v>85.05</v>
      </c>
      <c r="H153" s="155">
        <v>31.55</v>
      </c>
      <c r="I153" s="37"/>
      <c r="J153" s="135">
        <v>91</v>
      </c>
      <c r="K153" s="135">
        <v>88.18</v>
      </c>
      <c r="L153" s="135">
        <v>60.68</v>
      </c>
      <c r="M153" s="135">
        <v>74.599999999999994</v>
      </c>
      <c r="N153" s="135">
        <v>91.65</v>
      </c>
      <c r="O153" s="155">
        <v>68.510000000000005</v>
      </c>
      <c r="P153" s="155">
        <v>76.709999999999994</v>
      </c>
      <c r="Q153" s="37"/>
      <c r="R153" s="131">
        <v>80.16</v>
      </c>
      <c r="S153" s="131">
        <v>86.64</v>
      </c>
      <c r="T153" s="131">
        <v>71.64</v>
      </c>
      <c r="U153" s="12">
        <v>77.48</v>
      </c>
      <c r="V153" s="131">
        <v>59.75</v>
      </c>
      <c r="W153" s="135">
        <v>82.02</v>
      </c>
      <c r="X153" s="135"/>
      <c r="Y153" s="37"/>
      <c r="Z153" s="131">
        <v>88.46</v>
      </c>
      <c r="AA153" s="12">
        <v>40</v>
      </c>
      <c r="AB153" s="12">
        <v>112.06</v>
      </c>
      <c r="AC153" s="12">
        <v>91.54</v>
      </c>
      <c r="AD153" s="12">
        <v>63.84</v>
      </c>
      <c r="AE153" s="131">
        <v>59.43</v>
      </c>
      <c r="AF153" s="131">
        <v>93.23</v>
      </c>
      <c r="AG153" s="131">
        <v>73.84</v>
      </c>
      <c r="AH153" s="131">
        <v>10.52</v>
      </c>
      <c r="AI153" s="131">
        <v>30.69</v>
      </c>
      <c r="AJ153" s="37"/>
      <c r="AK153" s="38"/>
      <c r="AL153" s="372"/>
    </row>
    <row r="154" spans="1:38" x14ac:dyDescent="0.25">
      <c r="A154" s="383">
        <v>208</v>
      </c>
      <c r="B154" s="131">
        <v>94.41</v>
      </c>
      <c r="C154" s="135">
        <v>83.6</v>
      </c>
      <c r="D154" s="155">
        <v>80.260000000000005</v>
      </c>
      <c r="E154" s="135">
        <v>71.53</v>
      </c>
      <c r="F154" s="131">
        <v>91.69</v>
      </c>
      <c r="G154" s="155">
        <v>69.239999999999995</v>
      </c>
      <c r="H154" s="155">
        <v>77.97</v>
      </c>
      <c r="I154" s="37"/>
      <c r="J154" s="155">
        <v>101.41</v>
      </c>
      <c r="K154" s="131">
        <v>81.41</v>
      </c>
      <c r="L154" s="131">
        <v>85.29</v>
      </c>
      <c r="M154" s="135">
        <v>57.79</v>
      </c>
      <c r="N154" s="131">
        <v>67.349999999999994</v>
      </c>
      <c r="O154" s="12">
        <v>63.8</v>
      </c>
      <c r="P154" s="155">
        <v>60.75</v>
      </c>
      <c r="Q154" s="37"/>
      <c r="R154" s="131">
        <v>87.11</v>
      </c>
      <c r="S154" s="131">
        <v>61.16</v>
      </c>
      <c r="T154" s="131">
        <v>63.61</v>
      </c>
      <c r="U154" s="12">
        <v>80.69</v>
      </c>
      <c r="V154" s="12">
        <v>79.67</v>
      </c>
      <c r="W154" s="135">
        <v>54.88</v>
      </c>
      <c r="X154" s="135"/>
      <c r="Y154" s="37"/>
      <c r="Z154" s="131">
        <v>81.91</v>
      </c>
      <c r="AA154" s="131">
        <v>61.83</v>
      </c>
      <c r="AB154" s="12">
        <v>95.59</v>
      </c>
      <c r="AC154" s="12">
        <v>50.12</v>
      </c>
      <c r="AD154" s="12">
        <v>64.64</v>
      </c>
      <c r="AE154" s="131">
        <v>57.88</v>
      </c>
      <c r="AF154" s="131">
        <v>92.86</v>
      </c>
      <c r="AG154" s="131">
        <v>74.959999999999994</v>
      </c>
      <c r="AH154" s="131">
        <v>16.43</v>
      </c>
      <c r="AI154" s="131">
        <v>64.56</v>
      </c>
      <c r="AJ154" s="37"/>
      <c r="AK154" s="38"/>
      <c r="AL154" s="372"/>
    </row>
    <row r="155" spans="1:38" x14ac:dyDescent="0.25">
      <c r="A155" s="383">
        <v>209</v>
      </c>
      <c r="B155" s="548">
        <v>125.56</v>
      </c>
      <c r="C155" s="155">
        <v>64.209999999999994</v>
      </c>
      <c r="D155" s="135">
        <v>102</v>
      </c>
      <c r="E155" s="135">
        <v>83.05</v>
      </c>
      <c r="F155" s="135">
        <v>109.44</v>
      </c>
      <c r="G155" s="135">
        <v>98.52</v>
      </c>
      <c r="H155" s="135">
        <v>91.91</v>
      </c>
      <c r="I155" s="37"/>
      <c r="J155" s="135">
        <v>131.36000000000001</v>
      </c>
      <c r="K155" s="135">
        <v>107.73</v>
      </c>
      <c r="L155" s="135">
        <v>71.87</v>
      </c>
      <c r="M155" s="135">
        <v>103.37</v>
      </c>
      <c r="N155" s="135">
        <v>83.89</v>
      </c>
      <c r="O155" s="135">
        <v>72.37</v>
      </c>
      <c r="P155" s="135">
        <v>121.35</v>
      </c>
      <c r="Q155" s="37"/>
      <c r="R155" s="131">
        <v>72.16</v>
      </c>
      <c r="S155" s="131">
        <v>94.53</v>
      </c>
      <c r="T155" s="131">
        <v>107.46</v>
      </c>
      <c r="U155" s="12">
        <v>76.92</v>
      </c>
      <c r="V155" s="131">
        <v>112.09</v>
      </c>
      <c r="W155" s="135">
        <v>61.15</v>
      </c>
      <c r="X155" s="135"/>
      <c r="Y155" s="37"/>
      <c r="Z155" s="131">
        <v>50.09</v>
      </c>
      <c r="AA155" s="131">
        <v>104.75</v>
      </c>
      <c r="AB155" s="12">
        <v>75.02</v>
      </c>
      <c r="AC155" s="12">
        <v>75.19</v>
      </c>
      <c r="AD155" s="530"/>
      <c r="AE155" s="135">
        <v>50.36</v>
      </c>
      <c r="AF155" s="131">
        <v>103.57</v>
      </c>
      <c r="AG155" s="131">
        <v>67.77</v>
      </c>
      <c r="AH155" s="131">
        <v>32.89</v>
      </c>
      <c r="AI155" s="131">
        <v>71.58</v>
      </c>
      <c r="AJ155" s="37"/>
      <c r="AK155" s="38"/>
      <c r="AL155" s="372"/>
    </row>
    <row r="156" spans="1:38" x14ac:dyDescent="0.25">
      <c r="A156" s="383">
        <v>210</v>
      </c>
      <c r="B156" s="131">
        <v>85.32</v>
      </c>
      <c r="C156" s="135">
        <v>28.59</v>
      </c>
      <c r="D156" s="135">
        <v>95.81</v>
      </c>
      <c r="E156" s="135">
        <v>66.599999999999994</v>
      </c>
      <c r="F156" s="12">
        <v>86.98</v>
      </c>
      <c r="G156" s="135">
        <v>98.63</v>
      </c>
      <c r="H156" s="135">
        <v>82.07</v>
      </c>
      <c r="I156" s="37"/>
      <c r="J156" s="135">
        <v>89.28</v>
      </c>
      <c r="K156" s="135">
        <v>91.17</v>
      </c>
      <c r="L156" s="131">
        <v>85.49</v>
      </c>
      <c r="M156" s="135">
        <v>67.08</v>
      </c>
      <c r="N156" s="135">
        <v>62.46</v>
      </c>
      <c r="O156" s="155">
        <v>66.37</v>
      </c>
      <c r="P156" s="135">
        <v>80.010000000000005</v>
      </c>
      <c r="Q156" s="37"/>
      <c r="R156" s="131">
        <v>86.26</v>
      </c>
      <c r="S156" s="131">
        <v>60.61</v>
      </c>
      <c r="T156" s="131">
        <v>78.94</v>
      </c>
      <c r="U156" s="12">
        <v>73.349999999999994</v>
      </c>
      <c r="V156" s="131">
        <v>83.85</v>
      </c>
      <c r="W156" s="135">
        <v>66.8</v>
      </c>
      <c r="X156" s="135"/>
      <c r="Y156" s="37"/>
      <c r="Z156" s="131">
        <v>57.48</v>
      </c>
      <c r="AA156" s="12">
        <v>80.7</v>
      </c>
      <c r="AB156" s="12">
        <v>107.6</v>
      </c>
      <c r="AC156" s="12">
        <v>89.75</v>
      </c>
      <c r="AD156" s="12">
        <v>58.5</v>
      </c>
      <c r="AE156" s="12">
        <v>85.41</v>
      </c>
      <c r="AF156" s="131">
        <v>85.19</v>
      </c>
      <c r="AG156" s="12">
        <v>65.7</v>
      </c>
      <c r="AH156" s="537"/>
      <c r="AI156" s="131">
        <v>25.27</v>
      </c>
      <c r="AJ156" s="37"/>
      <c r="AK156" s="38"/>
      <c r="AL156" s="372"/>
    </row>
    <row r="157" spans="1:38" x14ac:dyDescent="0.25">
      <c r="A157" s="383">
        <v>211</v>
      </c>
      <c r="B157" s="155">
        <v>94.92</v>
      </c>
      <c r="C157" s="135">
        <v>82.5</v>
      </c>
      <c r="D157" s="135">
        <v>86.69</v>
      </c>
      <c r="E157" s="135">
        <v>70.959999999999994</v>
      </c>
      <c r="F157" s="131">
        <v>85.14</v>
      </c>
      <c r="G157" s="135">
        <v>87.19</v>
      </c>
      <c r="H157" s="155">
        <v>84.73</v>
      </c>
      <c r="I157" s="37"/>
      <c r="J157" s="135">
        <v>53.76</v>
      </c>
      <c r="K157" s="135">
        <v>100.82</v>
      </c>
      <c r="L157" s="135">
        <v>67.739999999999995</v>
      </c>
      <c r="M157" s="135">
        <v>80.59</v>
      </c>
      <c r="N157" s="135">
        <v>68.430000000000007</v>
      </c>
      <c r="O157" s="135">
        <v>75.92</v>
      </c>
      <c r="P157" s="155">
        <v>81.58</v>
      </c>
      <c r="Q157" s="37"/>
      <c r="R157" s="131">
        <v>94.82</v>
      </c>
      <c r="S157" s="131">
        <v>87.02</v>
      </c>
      <c r="T157" s="131">
        <v>73.61</v>
      </c>
      <c r="U157" s="12">
        <v>71.98</v>
      </c>
      <c r="V157" s="131">
        <v>84.51</v>
      </c>
      <c r="W157" s="135">
        <v>60.3</v>
      </c>
      <c r="X157" s="135"/>
      <c r="Y157" s="37"/>
      <c r="Z157" s="131">
        <v>75.36</v>
      </c>
      <c r="AA157" s="12">
        <v>82.66</v>
      </c>
      <c r="AB157" s="12">
        <v>93.12</v>
      </c>
      <c r="AC157" s="530"/>
      <c r="AD157" s="532">
        <v>138.18</v>
      </c>
      <c r="AE157" s="570">
        <v>80.86</v>
      </c>
      <c r="AF157" s="12">
        <v>74.260000000000005</v>
      </c>
      <c r="AG157" s="12">
        <v>48</v>
      </c>
      <c r="AH157" s="131">
        <v>26.14</v>
      </c>
      <c r="AI157" s="131">
        <v>96.88</v>
      </c>
      <c r="AJ157" s="37"/>
      <c r="AK157" s="38"/>
      <c r="AL157" s="372"/>
    </row>
    <row r="158" spans="1:38" ht="15.75" x14ac:dyDescent="0.25">
      <c r="A158" s="383">
        <v>212</v>
      </c>
      <c r="B158" s="135">
        <v>79.88</v>
      </c>
      <c r="C158" s="155">
        <v>101.06</v>
      </c>
      <c r="D158" s="131">
        <v>71.05</v>
      </c>
      <c r="E158" s="131">
        <v>83.21</v>
      </c>
      <c r="F158" s="131">
        <v>71.95</v>
      </c>
      <c r="G158" s="155">
        <v>79.62</v>
      </c>
      <c r="H158" s="135">
        <v>77.430000000000007</v>
      </c>
      <c r="I158" s="37"/>
      <c r="J158" s="135">
        <v>113.08</v>
      </c>
      <c r="K158" s="135">
        <v>63.04</v>
      </c>
      <c r="L158" s="135">
        <v>75.44</v>
      </c>
      <c r="M158" s="135">
        <v>101.2</v>
      </c>
      <c r="N158" s="135">
        <v>50.18</v>
      </c>
      <c r="O158" s="155">
        <v>79.16</v>
      </c>
      <c r="P158" s="155">
        <v>74.45</v>
      </c>
      <c r="Q158" s="37"/>
      <c r="R158" s="131">
        <v>100.77</v>
      </c>
      <c r="S158" s="12">
        <v>97.2</v>
      </c>
      <c r="T158" s="131">
        <v>66.03</v>
      </c>
      <c r="U158" s="12">
        <v>63.02</v>
      </c>
      <c r="V158" s="131">
        <v>78.489999999999995</v>
      </c>
      <c r="W158" s="135">
        <v>68.73</v>
      </c>
      <c r="X158" s="135"/>
      <c r="Y158" s="37"/>
      <c r="Z158" s="131">
        <v>53.45</v>
      </c>
      <c r="AA158" s="131">
        <v>120.02</v>
      </c>
      <c r="AB158" s="12">
        <v>54.06</v>
      </c>
      <c r="AC158" s="12">
        <v>112.84</v>
      </c>
      <c r="AD158" s="12">
        <v>47.75</v>
      </c>
      <c r="AE158" s="12">
        <v>68.8</v>
      </c>
      <c r="AF158" s="131">
        <v>84.59</v>
      </c>
      <c r="AG158" s="131">
        <v>59.56</v>
      </c>
      <c r="AH158" s="131">
        <v>5.38</v>
      </c>
      <c r="AI158" s="131">
        <v>108.35</v>
      </c>
      <c r="AJ158" s="37"/>
      <c r="AK158" s="648">
        <v>41590.79</v>
      </c>
      <c r="AL158" s="372"/>
    </row>
    <row r="159" spans="1:38" ht="15" customHeight="1" x14ac:dyDescent="0.25">
      <c r="A159" s="383">
        <v>213</v>
      </c>
      <c r="B159" s="135">
        <v>76.260000000000005</v>
      </c>
      <c r="C159" s="135">
        <v>62.9</v>
      </c>
      <c r="D159" s="135">
        <v>74.16</v>
      </c>
      <c r="E159" s="135">
        <v>74.7</v>
      </c>
      <c r="F159" s="131">
        <v>85.91</v>
      </c>
      <c r="G159" s="135">
        <v>65.17</v>
      </c>
      <c r="H159" s="135">
        <v>72.849999999999994</v>
      </c>
      <c r="I159" s="37"/>
      <c r="J159" s="135">
        <v>75.25</v>
      </c>
      <c r="K159" s="135">
        <v>89.24</v>
      </c>
      <c r="L159" s="135">
        <v>87.13</v>
      </c>
      <c r="M159" s="135">
        <v>66.83</v>
      </c>
      <c r="N159" s="135">
        <v>71.45</v>
      </c>
      <c r="O159" s="155">
        <v>92.16</v>
      </c>
      <c r="P159" s="155">
        <v>72.099999999999994</v>
      </c>
      <c r="Q159" s="37"/>
      <c r="R159" s="131">
        <v>71.290000000000006</v>
      </c>
      <c r="S159" s="131">
        <v>84.03</v>
      </c>
      <c r="T159" s="131">
        <v>84.05</v>
      </c>
      <c r="U159" s="12">
        <v>72.31</v>
      </c>
      <c r="V159" s="131">
        <v>78.83</v>
      </c>
      <c r="W159" s="135">
        <v>72.680000000000007</v>
      </c>
      <c r="X159" s="135"/>
      <c r="Y159" s="37"/>
      <c r="Z159" s="530"/>
      <c r="AA159" s="537"/>
      <c r="AB159" s="532">
        <v>142.53</v>
      </c>
      <c r="AC159" s="12">
        <v>81.739999999999995</v>
      </c>
      <c r="AD159" s="12">
        <v>60.41</v>
      </c>
      <c r="AE159" s="131">
        <v>88.28</v>
      </c>
      <c r="AF159" s="131">
        <v>66.290000000000006</v>
      </c>
      <c r="AG159" s="131">
        <v>64.05</v>
      </c>
      <c r="AH159" s="131">
        <v>27.19</v>
      </c>
      <c r="AI159" s="131">
        <v>77.02</v>
      </c>
      <c r="AJ159" s="37"/>
      <c r="AK159" s="648">
        <v>41825.54</v>
      </c>
      <c r="AL159" s="372"/>
    </row>
    <row r="160" spans="1:38" ht="15" customHeight="1" x14ac:dyDescent="0.25">
      <c r="A160" s="383">
        <v>214</v>
      </c>
      <c r="B160" s="131">
        <v>71.33</v>
      </c>
      <c r="C160" s="135">
        <v>81.14</v>
      </c>
      <c r="D160" s="135">
        <v>73.03</v>
      </c>
      <c r="E160" s="135">
        <v>55.06</v>
      </c>
      <c r="F160" s="135">
        <v>106.8</v>
      </c>
      <c r="G160" s="135">
        <v>74.819999999999993</v>
      </c>
      <c r="H160" s="135">
        <v>68.36</v>
      </c>
      <c r="I160" s="37"/>
      <c r="J160" s="135">
        <v>62.61</v>
      </c>
      <c r="K160" s="12">
        <v>88.78</v>
      </c>
      <c r="L160" s="135">
        <v>86.07</v>
      </c>
      <c r="M160" s="135">
        <v>63.63</v>
      </c>
      <c r="N160" s="135">
        <v>70.959999999999994</v>
      </c>
      <c r="O160" s="537"/>
      <c r="P160" s="548">
        <v>171.32</v>
      </c>
      <c r="Q160" s="37"/>
      <c r="R160" s="12">
        <v>98.8</v>
      </c>
      <c r="S160" s="131">
        <v>76.02</v>
      </c>
      <c r="T160" s="537"/>
      <c r="U160" s="12">
        <v>110.22</v>
      </c>
      <c r="V160" s="131">
        <v>114.27</v>
      </c>
      <c r="W160" s="135">
        <v>69.569999999999993</v>
      </c>
      <c r="X160" s="135"/>
      <c r="Y160" s="37"/>
      <c r="Z160" s="131">
        <v>45.95</v>
      </c>
      <c r="AA160" s="131">
        <v>92.17</v>
      </c>
      <c r="AB160" s="12">
        <v>85.38</v>
      </c>
      <c r="AC160" s="12">
        <v>78.540000000000006</v>
      </c>
      <c r="AD160" s="12">
        <v>69.63</v>
      </c>
      <c r="AE160" s="12">
        <v>68.599999999999994</v>
      </c>
      <c r="AF160" s="131">
        <v>71.349999999999994</v>
      </c>
      <c r="AG160" s="131">
        <v>72.27</v>
      </c>
      <c r="AH160" s="131">
        <v>6.81</v>
      </c>
      <c r="AI160" s="131">
        <v>80.59</v>
      </c>
      <c r="AJ160" s="37"/>
      <c r="AK160" s="652">
        <v>35181.300000000003</v>
      </c>
      <c r="AL160" s="372"/>
    </row>
    <row r="161" spans="1:38" ht="15" customHeight="1" x14ac:dyDescent="0.25">
      <c r="A161" s="383">
        <v>215</v>
      </c>
      <c r="B161" s="131">
        <v>87.35</v>
      </c>
      <c r="C161" s="135">
        <v>52.41</v>
      </c>
      <c r="D161" s="135">
        <v>96.17</v>
      </c>
      <c r="E161" s="135">
        <v>77.709999999999994</v>
      </c>
      <c r="F161" s="131">
        <v>70.010000000000005</v>
      </c>
      <c r="G161" s="135">
        <v>78.09</v>
      </c>
      <c r="H161" s="135">
        <v>84.57</v>
      </c>
      <c r="I161" s="37"/>
      <c r="J161" s="135">
        <v>124.6</v>
      </c>
      <c r="K161" s="135">
        <v>62.49</v>
      </c>
      <c r="L161" s="135">
        <v>76.650000000000006</v>
      </c>
      <c r="M161" s="135">
        <v>94.02</v>
      </c>
      <c r="N161" s="135">
        <v>70.69</v>
      </c>
      <c r="O161" s="135">
        <v>65.61</v>
      </c>
      <c r="P161" s="155">
        <v>80.14</v>
      </c>
      <c r="Q161" s="37"/>
      <c r="R161" s="131">
        <v>80.91</v>
      </c>
      <c r="S161" s="131">
        <v>87.51</v>
      </c>
      <c r="T161" s="131">
        <v>61.97</v>
      </c>
      <c r="U161" s="12">
        <v>72.34</v>
      </c>
      <c r="V161" s="131">
        <v>63.25</v>
      </c>
      <c r="W161" s="135">
        <v>82.67</v>
      </c>
      <c r="X161" s="135"/>
      <c r="Y161" s="37"/>
      <c r="Z161" s="131">
        <v>68.67</v>
      </c>
      <c r="AA161" s="12">
        <v>102.56</v>
      </c>
      <c r="AB161" s="12">
        <v>90.09</v>
      </c>
      <c r="AC161" s="12">
        <v>63.89</v>
      </c>
      <c r="AD161" s="12">
        <v>57.22</v>
      </c>
      <c r="AE161" s="131">
        <v>61.12</v>
      </c>
      <c r="AF161" s="131">
        <v>68.260000000000005</v>
      </c>
      <c r="AG161" s="131">
        <v>84.76</v>
      </c>
      <c r="AH161" s="131">
        <v>14.42</v>
      </c>
      <c r="AI161" s="131">
        <v>110.87</v>
      </c>
      <c r="AJ161" s="37"/>
      <c r="AK161" s="648">
        <v>50657.99</v>
      </c>
      <c r="AL161" s="372"/>
    </row>
    <row r="162" spans="1:38" ht="15" customHeight="1" thickBot="1" x14ac:dyDescent="0.3">
      <c r="A162" s="384">
        <v>216</v>
      </c>
      <c r="B162" s="153">
        <v>79.8</v>
      </c>
      <c r="C162" s="171">
        <v>50.07</v>
      </c>
      <c r="D162" s="175">
        <v>90.16</v>
      </c>
      <c r="E162" s="175">
        <v>71.3</v>
      </c>
      <c r="F162" s="175">
        <v>94.79</v>
      </c>
      <c r="G162" s="155">
        <v>67.17</v>
      </c>
      <c r="H162" s="175">
        <v>95.67</v>
      </c>
      <c r="I162" s="43"/>
      <c r="J162" s="175">
        <v>78.400000000000006</v>
      </c>
      <c r="K162" s="155">
        <v>102.97</v>
      </c>
      <c r="L162" s="131">
        <v>58.14</v>
      </c>
      <c r="M162" s="573">
        <v>67.31</v>
      </c>
      <c r="N162" s="175">
        <v>84.93</v>
      </c>
      <c r="O162" s="175">
        <v>55.8</v>
      </c>
      <c r="P162" s="171">
        <v>93.78</v>
      </c>
      <c r="Q162" s="43"/>
      <c r="R162" s="152">
        <v>80.14</v>
      </c>
      <c r="S162" s="152">
        <v>101.97</v>
      </c>
      <c r="T162" s="152">
        <v>72.47</v>
      </c>
      <c r="U162" s="153">
        <v>69</v>
      </c>
      <c r="V162" s="152">
        <v>76.849999999999994</v>
      </c>
      <c r="W162" s="175">
        <v>53.37</v>
      </c>
      <c r="X162" s="175"/>
      <c r="Y162" s="43"/>
      <c r="Z162" s="135">
        <v>52.48</v>
      </c>
      <c r="AA162" s="153">
        <v>99.3</v>
      </c>
      <c r="AB162" s="153">
        <v>71.75</v>
      </c>
      <c r="AC162" s="153">
        <v>44.45</v>
      </c>
      <c r="AD162" s="153">
        <v>106.86</v>
      </c>
      <c r="AE162" s="152">
        <v>44.66</v>
      </c>
      <c r="AF162" s="152">
        <v>74.150000000000006</v>
      </c>
      <c r="AG162" s="152">
        <v>57.48</v>
      </c>
      <c r="AH162" s="152">
        <v>2.0099999999999998</v>
      </c>
      <c r="AI162" s="152">
        <v>72.709999999999994</v>
      </c>
      <c r="AJ162" s="43"/>
      <c r="AK162" s="44"/>
      <c r="AL162" s="457"/>
    </row>
    <row r="163" spans="1:38" ht="18.75" x14ac:dyDescent="0.3">
      <c r="A163" s="281" t="s">
        <v>2</v>
      </c>
      <c r="B163" s="163">
        <f t="shared" ref="B163:G163" si="4">SUM(B70:B162)</f>
        <v>6037.2000000000035</v>
      </c>
      <c r="C163" s="163">
        <f t="shared" si="4"/>
        <v>5731.2300000000005</v>
      </c>
      <c r="D163" s="163">
        <f t="shared" si="4"/>
        <v>6604.8400000000011</v>
      </c>
      <c r="E163" s="163">
        <f t="shared" si="4"/>
        <v>5515.1000000000022</v>
      </c>
      <c r="F163" s="163">
        <f t="shared" si="4"/>
        <v>5956.9299999999994</v>
      </c>
      <c r="G163" s="163">
        <f t="shared" si="4"/>
        <v>6030.5999999999995</v>
      </c>
      <c r="H163" s="163">
        <f>SUM(H70:H162)</f>
        <v>5714.8900000000012</v>
      </c>
      <c r="I163" s="158">
        <f>SUM(B163:H163)</f>
        <v>41590.790000000008</v>
      </c>
      <c r="J163" s="163">
        <f t="shared" ref="J163:O163" si="5">SUM(J70:J162)</f>
        <v>6570.3400000000011</v>
      </c>
      <c r="K163" s="163">
        <f t="shared" si="5"/>
        <v>5970.1799999999994</v>
      </c>
      <c r="L163" s="163">
        <f t="shared" si="5"/>
        <v>6374.3299999999981</v>
      </c>
      <c r="M163" s="163">
        <f t="shared" si="5"/>
        <v>5880.8900000000012</v>
      </c>
      <c r="N163" s="163">
        <f t="shared" si="5"/>
        <v>5441.2300000000005</v>
      </c>
      <c r="O163" s="163">
        <f t="shared" si="5"/>
        <v>5714.369999999999</v>
      </c>
      <c r="P163" s="163">
        <f>SUM(P70:P162)</f>
        <v>5873.9699999999984</v>
      </c>
      <c r="Q163" s="221">
        <f>SUM(J163:P163)</f>
        <v>41825.31</v>
      </c>
      <c r="R163" s="163">
        <f t="shared" ref="R163:W163" si="6">SUM(R70:R162)</f>
        <v>6348.5399999999991</v>
      </c>
      <c r="S163" s="163">
        <f t="shared" si="6"/>
        <v>6093.0400000000009</v>
      </c>
      <c r="T163" s="163">
        <f t="shared" si="6"/>
        <v>5827.09</v>
      </c>
      <c r="U163" s="163">
        <f t="shared" si="6"/>
        <v>5139.8399999999992</v>
      </c>
      <c r="V163" s="163">
        <f t="shared" si="6"/>
        <v>6697.5100000000029</v>
      </c>
      <c r="W163" s="163">
        <f t="shared" si="6"/>
        <v>5075.28</v>
      </c>
      <c r="X163" s="163"/>
      <c r="Y163" s="221">
        <f>SUM(R163:X163)</f>
        <v>35181.300000000003</v>
      </c>
      <c r="Z163" s="163">
        <f t="shared" ref="Z163:AE163" si="7">SUM(Z70:Z162)</f>
        <v>5537.8099999999968</v>
      </c>
      <c r="AA163" s="163">
        <f t="shared" si="7"/>
        <v>6108.6</v>
      </c>
      <c r="AB163" s="163">
        <f t="shared" si="7"/>
        <v>6151.1699999999992</v>
      </c>
      <c r="AC163" s="163">
        <f t="shared" si="7"/>
        <v>6125.6199999999981</v>
      </c>
      <c r="AD163" s="163">
        <f t="shared" si="7"/>
        <v>4178.72</v>
      </c>
      <c r="AE163" s="163">
        <f t="shared" si="7"/>
        <v>4667.74</v>
      </c>
      <c r="AF163" s="163">
        <f>SUM(AF70:AF162)</f>
        <v>6476.0200000000013</v>
      </c>
      <c r="AG163" s="163">
        <f>SUM(AG70:AG162)</f>
        <v>4829.1400000000012</v>
      </c>
      <c r="AH163" s="163">
        <f>SUM(AH70:AH162)</f>
        <v>1235.2800000000004</v>
      </c>
      <c r="AI163" s="163">
        <f>SUM(AI70:AI162)</f>
        <v>5347.8899999999994</v>
      </c>
      <c r="AJ163" s="699">
        <f>SUM(Z163:AI163)</f>
        <v>50657.99</v>
      </c>
      <c r="AK163" s="700">
        <f>SUM(AK158:AK162)</f>
        <v>169255.62</v>
      </c>
      <c r="AL163" s="235"/>
    </row>
    <row r="164" spans="1:38" ht="15.75" thickBot="1" x14ac:dyDescent="0.3">
      <c r="A164" s="264"/>
      <c r="B164" s="265" t="s">
        <v>319</v>
      </c>
      <c r="C164" s="265" t="s">
        <v>327</v>
      </c>
      <c r="D164" s="265" t="s">
        <v>317</v>
      </c>
      <c r="E164" s="265" t="s">
        <v>324</v>
      </c>
      <c r="F164" s="265" t="s">
        <v>318</v>
      </c>
      <c r="G164" s="265" t="s">
        <v>318</v>
      </c>
      <c r="H164" s="265" t="s">
        <v>327</v>
      </c>
      <c r="I164" s="56"/>
      <c r="J164" s="265" t="s">
        <v>318</v>
      </c>
      <c r="K164" s="265" t="s">
        <v>318</v>
      </c>
      <c r="L164" s="265" t="s">
        <v>317</v>
      </c>
      <c r="M164" s="265" t="s">
        <v>318</v>
      </c>
      <c r="N164" s="265" t="s">
        <v>321</v>
      </c>
      <c r="O164" s="265" t="s">
        <v>323</v>
      </c>
      <c r="P164" s="265" t="s">
        <v>324</v>
      </c>
      <c r="Q164" s="56"/>
      <c r="R164" s="265" t="s">
        <v>318</v>
      </c>
      <c r="S164" s="265" t="s">
        <v>323</v>
      </c>
      <c r="T164" s="265" t="s">
        <v>324</v>
      </c>
      <c r="U164" s="265" t="s">
        <v>324</v>
      </c>
      <c r="V164" s="265" t="s">
        <v>361</v>
      </c>
      <c r="W164" s="265" t="s">
        <v>321</v>
      </c>
      <c r="X164" s="265"/>
      <c r="Y164" s="56"/>
      <c r="Z164" s="265" t="s">
        <v>321</v>
      </c>
      <c r="AA164" s="265" t="s">
        <v>318</v>
      </c>
      <c r="AB164" s="265" t="s">
        <v>323</v>
      </c>
      <c r="AC164" s="265" t="s">
        <v>318</v>
      </c>
      <c r="AD164" s="265" t="s">
        <v>323</v>
      </c>
      <c r="AE164" s="265" t="s">
        <v>317</v>
      </c>
      <c r="AF164" s="265" t="s">
        <v>322</v>
      </c>
      <c r="AG164" s="265" t="s">
        <v>319</v>
      </c>
      <c r="AH164" s="265" t="s">
        <v>319</v>
      </c>
      <c r="AI164" s="265" t="s">
        <v>361</v>
      </c>
      <c r="AJ164" s="56"/>
      <c r="AK164" s="225"/>
      <c r="AL164" s="228"/>
    </row>
    <row r="165" spans="1:38" ht="24" thickBot="1" x14ac:dyDescent="0.4">
      <c r="A165" s="294" t="s">
        <v>126</v>
      </c>
      <c r="B165" s="295"/>
      <c r="C165" s="295"/>
      <c r="D165" s="295"/>
      <c r="E165" s="295"/>
      <c r="F165" s="295"/>
      <c r="G165" s="296"/>
      <c r="H165" s="296"/>
      <c r="I165" s="297"/>
      <c r="J165" s="297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301"/>
      <c r="AK165" s="462"/>
      <c r="AL165" s="463"/>
    </row>
    <row r="166" spans="1:38" ht="16.5" thickBot="1" x14ac:dyDescent="0.3">
      <c r="A166" s="319" t="s">
        <v>8</v>
      </c>
      <c r="B166" s="328">
        <v>1</v>
      </c>
      <c r="C166" s="328">
        <v>2</v>
      </c>
      <c r="D166" s="328">
        <v>3</v>
      </c>
      <c r="E166" s="328">
        <v>4</v>
      </c>
      <c r="F166" s="328">
        <v>5</v>
      </c>
      <c r="G166" s="328">
        <v>6</v>
      </c>
      <c r="H166" s="328">
        <v>7</v>
      </c>
      <c r="I166" s="329" t="s">
        <v>338</v>
      </c>
      <c r="J166" s="328">
        <v>8</v>
      </c>
      <c r="K166" s="328">
        <v>9</v>
      </c>
      <c r="L166" s="328">
        <v>10</v>
      </c>
      <c r="M166" s="328">
        <v>11</v>
      </c>
      <c r="N166" s="328">
        <v>12</v>
      </c>
      <c r="O166" s="328">
        <v>13</v>
      </c>
      <c r="P166" s="328">
        <v>14</v>
      </c>
      <c r="Q166" s="329" t="s">
        <v>338</v>
      </c>
      <c r="R166" s="328">
        <v>15</v>
      </c>
      <c r="S166" s="752">
        <v>16</v>
      </c>
      <c r="T166" s="328">
        <v>17</v>
      </c>
      <c r="U166" s="328">
        <v>18</v>
      </c>
      <c r="V166" s="328">
        <v>19</v>
      </c>
      <c r="W166" s="328">
        <v>20</v>
      </c>
      <c r="X166" s="328">
        <v>21</v>
      </c>
      <c r="Y166" s="329" t="s">
        <v>338</v>
      </c>
      <c r="Z166" s="328">
        <v>22</v>
      </c>
      <c r="AA166" s="328">
        <v>23</v>
      </c>
      <c r="AB166" s="328">
        <v>24</v>
      </c>
      <c r="AC166" s="328">
        <v>25</v>
      </c>
      <c r="AD166" s="328">
        <v>26</v>
      </c>
      <c r="AE166" s="328">
        <v>27</v>
      </c>
      <c r="AF166" s="328">
        <v>28</v>
      </c>
      <c r="AG166" s="328">
        <v>29</v>
      </c>
      <c r="AH166" s="328">
        <v>30</v>
      </c>
      <c r="AI166" s="328">
        <v>31</v>
      </c>
      <c r="AJ166" s="329" t="s">
        <v>338</v>
      </c>
      <c r="AK166" s="730" t="s">
        <v>377</v>
      </c>
      <c r="AL166" s="733"/>
    </row>
    <row r="167" spans="1:38" x14ac:dyDescent="0.25">
      <c r="A167" s="347" t="s">
        <v>9</v>
      </c>
      <c r="B167" s="577">
        <v>0</v>
      </c>
      <c r="C167" s="577">
        <v>0</v>
      </c>
      <c r="D167" s="577">
        <v>0</v>
      </c>
      <c r="E167" s="577">
        <v>0</v>
      </c>
      <c r="F167" s="577">
        <v>0</v>
      </c>
      <c r="G167" s="577">
        <v>0</v>
      </c>
      <c r="H167" s="577">
        <v>0</v>
      </c>
      <c r="I167" s="602"/>
      <c r="J167" s="577">
        <v>0</v>
      </c>
      <c r="K167" s="577">
        <v>0</v>
      </c>
      <c r="L167" s="577">
        <v>0</v>
      </c>
      <c r="M167" s="577">
        <v>0</v>
      </c>
      <c r="N167" s="577">
        <v>0</v>
      </c>
      <c r="O167" s="577">
        <v>0</v>
      </c>
      <c r="P167" s="577">
        <v>0</v>
      </c>
      <c r="Q167" s="304"/>
      <c r="R167" s="577">
        <v>0</v>
      </c>
      <c r="S167" s="577">
        <v>0</v>
      </c>
      <c r="T167" s="577">
        <v>0</v>
      </c>
      <c r="U167" s="577">
        <v>0</v>
      </c>
      <c r="V167" s="577">
        <v>0</v>
      </c>
      <c r="W167" s="577">
        <v>0</v>
      </c>
      <c r="X167" s="577">
        <v>0</v>
      </c>
      <c r="Y167" s="304"/>
      <c r="Z167" s="577">
        <v>0</v>
      </c>
      <c r="AA167" s="577">
        <v>0</v>
      </c>
      <c r="AB167" s="577">
        <v>0</v>
      </c>
      <c r="AC167" s="577">
        <v>0</v>
      </c>
      <c r="AD167" s="577">
        <v>0</v>
      </c>
      <c r="AE167" s="577">
        <v>0</v>
      </c>
      <c r="AF167" s="577">
        <v>0</v>
      </c>
      <c r="AG167" s="577">
        <v>0</v>
      </c>
      <c r="AH167" s="577">
        <v>0</v>
      </c>
      <c r="AI167" s="577">
        <v>0</v>
      </c>
      <c r="AJ167" s="305"/>
      <c r="AK167" s="184"/>
      <c r="AL167" s="207"/>
    </row>
    <row r="168" spans="1:38" x14ac:dyDescent="0.25">
      <c r="A168" s="67" t="s">
        <v>10</v>
      </c>
      <c r="B168" s="537"/>
      <c r="C168" s="594"/>
      <c r="D168" s="594"/>
      <c r="E168" s="594"/>
      <c r="F168" s="594"/>
      <c r="G168" s="594"/>
      <c r="H168" s="594"/>
      <c r="I168" s="111"/>
      <c r="J168" s="537"/>
      <c r="K168" s="594"/>
      <c r="L168" s="594"/>
      <c r="M168" s="594"/>
      <c r="N168" s="594"/>
      <c r="O168" s="594"/>
      <c r="P168" s="594"/>
      <c r="Q168" s="37"/>
      <c r="R168" s="594"/>
      <c r="S168" s="594"/>
      <c r="T168" s="594"/>
      <c r="U168" s="594"/>
      <c r="V168" s="594"/>
      <c r="W168" s="594"/>
      <c r="X168" s="594"/>
      <c r="Y168" s="37"/>
      <c r="Z168" s="594"/>
      <c r="AA168" s="594"/>
      <c r="AB168" s="594"/>
      <c r="AC168" s="594"/>
      <c r="AD168" s="594"/>
      <c r="AE168" s="594"/>
      <c r="AF168" s="594"/>
      <c r="AG168" s="594"/>
      <c r="AH168" s="594"/>
      <c r="AI168" s="594"/>
      <c r="AJ168" s="37"/>
      <c r="AK168" s="38"/>
      <c r="AL168" s="197"/>
    </row>
    <row r="169" spans="1:38" ht="15" customHeight="1" x14ac:dyDescent="0.25">
      <c r="A169" s="67" t="s">
        <v>45</v>
      </c>
      <c r="B169" s="537"/>
      <c r="C169" s="594"/>
      <c r="D169" s="594"/>
      <c r="E169" s="594"/>
      <c r="F169" s="594"/>
      <c r="G169" s="594"/>
      <c r="H169" s="594"/>
      <c r="I169" s="111"/>
      <c r="J169" s="537"/>
      <c r="K169" s="594"/>
      <c r="L169" s="594"/>
      <c r="M169" s="594"/>
      <c r="N169" s="594"/>
      <c r="O169" s="594"/>
      <c r="P169" s="594"/>
      <c r="Q169" s="37"/>
      <c r="R169" s="594"/>
      <c r="S169" s="594"/>
      <c r="T169" s="594"/>
      <c r="U169" s="594"/>
      <c r="V169" s="594"/>
      <c r="W169" s="594"/>
      <c r="X169" s="594"/>
      <c r="Y169" s="37"/>
      <c r="Z169" s="594"/>
      <c r="AA169" s="594"/>
      <c r="AB169" s="594"/>
      <c r="AC169" s="594"/>
      <c r="AD169" s="594"/>
      <c r="AE169" s="594"/>
      <c r="AF169" s="594"/>
      <c r="AG169" s="594"/>
      <c r="AH169" s="594"/>
      <c r="AI169" s="594"/>
      <c r="AJ169" s="37"/>
      <c r="AK169" s="652">
        <v>0</v>
      </c>
      <c r="AL169" s="197"/>
    </row>
    <row r="170" spans="1:38" ht="15" customHeight="1" x14ac:dyDescent="0.25">
      <c r="A170" s="67" t="s">
        <v>11</v>
      </c>
      <c r="B170" s="537"/>
      <c r="C170" s="594"/>
      <c r="D170" s="594"/>
      <c r="E170" s="594"/>
      <c r="F170" s="594"/>
      <c r="G170" s="594"/>
      <c r="H170" s="594"/>
      <c r="I170" s="111"/>
      <c r="J170" s="537"/>
      <c r="K170" s="594"/>
      <c r="L170" s="594"/>
      <c r="M170" s="594"/>
      <c r="N170" s="594"/>
      <c r="O170" s="594"/>
      <c r="P170" s="594"/>
      <c r="Q170" s="37"/>
      <c r="R170" s="594"/>
      <c r="S170" s="594"/>
      <c r="T170" s="594"/>
      <c r="U170" s="594"/>
      <c r="V170" s="594"/>
      <c r="W170" s="594"/>
      <c r="X170" s="594"/>
      <c r="Y170" s="37"/>
      <c r="Z170" s="594"/>
      <c r="AA170" s="594"/>
      <c r="AB170" s="594"/>
      <c r="AC170" s="594"/>
      <c r="AD170" s="594"/>
      <c r="AE170" s="594"/>
      <c r="AF170" s="594"/>
      <c r="AG170" s="594"/>
      <c r="AH170" s="594"/>
      <c r="AI170" s="594"/>
      <c r="AJ170" s="37"/>
      <c r="AK170" s="652">
        <v>0</v>
      </c>
      <c r="AL170" s="197"/>
    </row>
    <row r="171" spans="1:38" ht="15" customHeight="1" x14ac:dyDescent="0.25">
      <c r="A171" s="67" t="s">
        <v>12</v>
      </c>
      <c r="B171" s="537"/>
      <c r="C171" s="594"/>
      <c r="D171" s="594"/>
      <c r="E171" s="594"/>
      <c r="F171" s="594"/>
      <c r="G171" s="594"/>
      <c r="H171" s="594"/>
      <c r="I171" s="111"/>
      <c r="J171" s="537"/>
      <c r="K171" s="594"/>
      <c r="L171" s="594"/>
      <c r="M171" s="594"/>
      <c r="N171" s="594"/>
      <c r="O171" s="594"/>
      <c r="P171" s="594"/>
      <c r="Q171" s="37"/>
      <c r="R171" s="594"/>
      <c r="S171" s="594"/>
      <c r="T171" s="594"/>
      <c r="U171" s="594"/>
      <c r="V171" s="594"/>
      <c r="W171" s="594"/>
      <c r="X171" s="594"/>
      <c r="Y171" s="37"/>
      <c r="Z171" s="594"/>
      <c r="AA171" s="594"/>
      <c r="AB171" s="594"/>
      <c r="AC171" s="594"/>
      <c r="AD171" s="594"/>
      <c r="AE171" s="594"/>
      <c r="AF171" s="594"/>
      <c r="AG171" s="594"/>
      <c r="AH171" s="594"/>
      <c r="AI171" s="594"/>
      <c r="AJ171" s="37"/>
      <c r="AK171" s="652">
        <v>0</v>
      </c>
      <c r="AL171" s="197"/>
    </row>
    <row r="172" spans="1:38" ht="16.5" thickBot="1" x14ac:dyDescent="0.3">
      <c r="A172" s="63" t="s">
        <v>79</v>
      </c>
      <c r="B172" s="581"/>
      <c r="C172" s="596"/>
      <c r="D172" s="600"/>
      <c r="E172" s="600"/>
      <c r="F172" s="600"/>
      <c r="G172" s="600"/>
      <c r="H172" s="600"/>
      <c r="I172" s="114"/>
      <c r="J172" s="581"/>
      <c r="K172" s="596"/>
      <c r="L172" s="600"/>
      <c r="M172" s="600"/>
      <c r="N172" s="600"/>
      <c r="O172" s="600"/>
      <c r="P172" s="600"/>
      <c r="Q172" s="43"/>
      <c r="R172" s="600"/>
      <c r="S172" s="600"/>
      <c r="T172" s="600"/>
      <c r="U172" s="600"/>
      <c r="V172" s="600"/>
      <c r="W172" s="600"/>
      <c r="X172" s="600"/>
      <c r="Y172" s="43"/>
      <c r="Z172" s="600"/>
      <c r="AA172" s="600"/>
      <c r="AB172" s="600"/>
      <c r="AC172" s="600"/>
      <c r="AD172" s="600"/>
      <c r="AE172" s="600"/>
      <c r="AF172" s="600"/>
      <c r="AG172" s="600"/>
      <c r="AH172" s="600"/>
      <c r="AI172" s="600"/>
      <c r="AJ172" s="43"/>
      <c r="AK172" s="662">
        <v>0</v>
      </c>
      <c r="AL172" s="204"/>
    </row>
    <row r="173" spans="1:38" ht="19.5" thickBot="1" x14ac:dyDescent="0.35">
      <c r="A173" s="281" t="s">
        <v>2</v>
      </c>
      <c r="B173" s="241">
        <f t="shared" ref="B173:H173" si="8">SUM(B167:B172)</f>
        <v>0</v>
      </c>
      <c r="C173" s="241">
        <f t="shared" si="8"/>
        <v>0</v>
      </c>
      <c r="D173" s="241">
        <f t="shared" si="8"/>
        <v>0</v>
      </c>
      <c r="E173" s="241">
        <f t="shared" si="8"/>
        <v>0</v>
      </c>
      <c r="F173" s="241">
        <f t="shared" si="8"/>
        <v>0</v>
      </c>
      <c r="G173" s="241">
        <f t="shared" si="8"/>
        <v>0</v>
      </c>
      <c r="H173" s="241">
        <f t="shared" si="8"/>
        <v>0</v>
      </c>
      <c r="I173" s="221">
        <f>SUM(B173:H173)</f>
        <v>0</v>
      </c>
      <c r="J173" s="241">
        <f t="shared" ref="J173:P173" si="9">SUM(J167:J172)</f>
        <v>0</v>
      </c>
      <c r="K173" s="241">
        <f t="shared" si="9"/>
        <v>0</v>
      </c>
      <c r="L173" s="241">
        <f t="shared" si="9"/>
        <v>0</v>
      </c>
      <c r="M173" s="241">
        <f t="shared" si="9"/>
        <v>0</v>
      </c>
      <c r="N173" s="241">
        <f t="shared" si="9"/>
        <v>0</v>
      </c>
      <c r="O173" s="241">
        <f t="shared" si="9"/>
        <v>0</v>
      </c>
      <c r="P173" s="241">
        <f t="shared" si="9"/>
        <v>0</v>
      </c>
      <c r="Q173" s="221">
        <f>SUM(J173:P173)</f>
        <v>0</v>
      </c>
      <c r="R173" s="241">
        <f t="shared" ref="R173:X173" si="10">SUM(R167:R172)</f>
        <v>0</v>
      </c>
      <c r="S173" s="241">
        <f t="shared" si="10"/>
        <v>0</v>
      </c>
      <c r="T173" s="241">
        <f t="shared" si="10"/>
        <v>0</v>
      </c>
      <c r="U173" s="241">
        <f t="shared" si="10"/>
        <v>0</v>
      </c>
      <c r="V173" s="241">
        <f t="shared" si="10"/>
        <v>0</v>
      </c>
      <c r="W173" s="241">
        <f t="shared" si="10"/>
        <v>0</v>
      </c>
      <c r="X173" s="241">
        <f t="shared" si="10"/>
        <v>0</v>
      </c>
      <c r="Y173" s="221">
        <f>SUM(R173:X173)</f>
        <v>0</v>
      </c>
      <c r="Z173" s="241">
        <f t="shared" ref="Z173:AF173" si="11">SUM(Z167:Z172)</f>
        <v>0</v>
      </c>
      <c r="AA173" s="241">
        <f t="shared" si="11"/>
        <v>0</v>
      </c>
      <c r="AB173" s="241">
        <f t="shared" si="11"/>
        <v>0</v>
      </c>
      <c r="AC173" s="241">
        <f t="shared" si="11"/>
        <v>0</v>
      </c>
      <c r="AD173" s="241">
        <f t="shared" si="11"/>
        <v>0</v>
      </c>
      <c r="AE173" s="241">
        <f t="shared" si="11"/>
        <v>0</v>
      </c>
      <c r="AF173" s="241">
        <f t="shared" si="11"/>
        <v>0</v>
      </c>
      <c r="AG173" s="241">
        <f t="shared" ref="AG173:AI173" si="12">SUM(AG167:AG172)</f>
        <v>0</v>
      </c>
      <c r="AH173" s="241">
        <f t="shared" si="12"/>
        <v>0</v>
      </c>
      <c r="AI173" s="241">
        <f t="shared" si="12"/>
        <v>0</v>
      </c>
      <c r="AJ173" s="376">
        <f>SUM(Z173:AI173)</f>
        <v>0</v>
      </c>
      <c r="AK173" s="698">
        <f>SUM(AK169:AK172)</f>
        <v>0</v>
      </c>
      <c r="AL173" s="284"/>
    </row>
    <row r="174" spans="1:38" ht="15.75" thickBot="1" x14ac:dyDescent="0.3">
      <c r="A174" s="264"/>
      <c r="B174" s="348" t="s">
        <v>353</v>
      </c>
      <c r="C174" s="348" t="s">
        <v>353</v>
      </c>
      <c r="D174" s="348" t="s">
        <v>353</v>
      </c>
      <c r="E174" s="348" t="s">
        <v>353</v>
      </c>
      <c r="F174" s="348" t="s">
        <v>353</v>
      </c>
      <c r="G174" s="348" t="s">
        <v>353</v>
      </c>
      <c r="H174" s="348" t="s">
        <v>353</v>
      </c>
      <c r="I174" s="56"/>
      <c r="J174" s="348" t="s">
        <v>353</v>
      </c>
      <c r="K174" s="348" t="s">
        <v>353</v>
      </c>
      <c r="L174" s="348" t="s">
        <v>353</v>
      </c>
      <c r="M174" s="348" t="s">
        <v>353</v>
      </c>
      <c r="N174" s="348" t="s">
        <v>353</v>
      </c>
      <c r="O174" s="348" t="s">
        <v>353</v>
      </c>
      <c r="P174" s="348" t="s">
        <v>353</v>
      </c>
      <c r="Q174" s="56"/>
      <c r="R174" s="348"/>
      <c r="S174" s="348"/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228"/>
    </row>
    <row r="175" spans="1:38" ht="24" thickBot="1" x14ac:dyDescent="0.4">
      <c r="A175" s="294" t="s">
        <v>127</v>
      </c>
      <c r="B175" s="295"/>
      <c r="C175" s="295"/>
      <c r="D175" s="295"/>
      <c r="E175" s="295"/>
      <c r="F175" s="295"/>
      <c r="G175" s="296"/>
      <c r="H175" s="296"/>
      <c r="I175" s="297"/>
      <c r="J175" s="297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296"/>
      <c r="AG175" s="296"/>
      <c r="AH175" s="296"/>
      <c r="AI175" s="296"/>
      <c r="AJ175" s="301"/>
      <c r="AK175" s="462"/>
      <c r="AL175" s="301"/>
    </row>
    <row r="176" spans="1:38" ht="16.5" thickBot="1" x14ac:dyDescent="0.3">
      <c r="A176" s="319" t="s">
        <v>8</v>
      </c>
      <c r="B176" s="328">
        <v>1</v>
      </c>
      <c r="C176" s="328">
        <v>2</v>
      </c>
      <c r="D176" s="328">
        <v>3</v>
      </c>
      <c r="E176" s="328">
        <v>4</v>
      </c>
      <c r="F176" s="328">
        <v>5</v>
      </c>
      <c r="G176" s="328">
        <v>6</v>
      </c>
      <c r="H176" s="328">
        <v>7</v>
      </c>
      <c r="I176" s="329" t="s">
        <v>338</v>
      </c>
      <c r="J176" s="328">
        <v>8</v>
      </c>
      <c r="K176" s="328">
        <v>9</v>
      </c>
      <c r="L176" s="328">
        <v>10</v>
      </c>
      <c r="M176" s="328">
        <v>11</v>
      </c>
      <c r="N176" s="328">
        <v>12</v>
      </c>
      <c r="O176" s="328">
        <v>13</v>
      </c>
      <c r="P176" s="328">
        <v>14</v>
      </c>
      <c r="Q176" s="329" t="s">
        <v>338</v>
      </c>
      <c r="R176" s="328">
        <v>15</v>
      </c>
      <c r="S176" s="328">
        <v>16</v>
      </c>
      <c r="T176" s="328">
        <v>17</v>
      </c>
      <c r="U176" s="328">
        <v>18</v>
      </c>
      <c r="V176" s="328">
        <v>19</v>
      </c>
      <c r="W176" s="328">
        <v>20</v>
      </c>
      <c r="X176" s="328">
        <v>21</v>
      </c>
      <c r="Y176" s="329" t="s">
        <v>338</v>
      </c>
      <c r="Z176" s="328">
        <v>22</v>
      </c>
      <c r="AA176" s="328">
        <v>23</v>
      </c>
      <c r="AB176" s="328">
        <v>24</v>
      </c>
      <c r="AC176" s="328">
        <v>25</v>
      </c>
      <c r="AD176" s="328">
        <v>26</v>
      </c>
      <c r="AE176" s="328">
        <v>27</v>
      </c>
      <c r="AF176" s="328">
        <v>28</v>
      </c>
      <c r="AG176" s="328">
        <v>29</v>
      </c>
      <c r="AH176" s="328">
        <v>30</v>
      </c>
      <c r="AI176" s="328">
        <v>31</v>
      </c>
      <c r="AJ176" s="329" t="s">
        <v>338</v>
      </c>
      <c r="AK176" s="730" t="s">
        <v>377</v>
      </c>
      <c r="AL176" s="733"/>
    </row>
    <row r="177" spans="1:38" ht="15" customHeight="1" x14ac:dyDescent="0.25">
      <c r="A177" s="347" t="s">
        <v>29</v>
      </c>
      <c r="B177" s="577">
        <v>0</v>
      </c>
      <c r="C177" s="577">
        <v>0</v>
      </c>
      <c r="D177" s="577">
        <v>0</v>
      </c>
      <c r="E177" s="577">
        <v>0</v>
      </c>
      <c r="F177" s="577">
        <v>0</v>
      </c>
      <c r="G177" s="577">
        <v>0</v>
      </c>
      <c r="H177" s="577">
        <v>0</v>
      </c>
      <c r="I177" s="592"/>
      <c r="J177" s="577">
        <v>0</v>
      </c>
      <c r="K177" s="577">
        <v>0</v>
      </c>
      <c r="L177" s="577">
        <v>0</v>
      </c>
      <c r="M177" s="577">
        <v>0</v>
      </c>
      <c r="N177" s="577">
        <v>0</v>
      </c>
      <c r="O177" s="577">
        <v>0</v>
      </c>
      <c r="P177" s="577">
        <v>0</v>
      </c>
      <c r="Q177" s="305"/>
      <c r="R177" s="577">
        <v>0</v>
      </c>
      <c r="S177" s="577">
        <v>0</v>
      </c>
      <c r="T177" s="577">
        <v>0</v>
      </c>
      <c r="U177" s="577">
        <v>0</v>
      </c>
      <c r="V177" s="577">
        <v>0</v>
      </c>
      <c r="W177" s="577">
        <v>0</v>
      </c>
      <c r="X177" s="577">
        <v>0</v>
      </c>
      <c r="Y177" s="305"/>
      <c r="Z177" s="577">
        <v>0</v>
      </c>
      <c r="AA177" s="577">
        <v>0</v>
      </c>
      <c r="AB177" s="577">
        <v>0</v>
      </c>
      <c r="AC177" s="577">
        <v>0</v>
      </c>
      <c r="AD177" s="577">
        <v>0</v>
      </c>
      <c r="AE177" s="577">
        <v>0</v>
      </c>
      <c r="AF177" s="577">
        <v>0</v>
      </c>
      <c r="AG177" s="577">
        <v>0</v>
      </c>
      <c r="AH177" s="577">
        <v>0</v>
      </c>
      <c r="AI177" s="577">
        <v>0</v>
      </c>
      <c r="AJ177" s="305"/>
      <c r="AK177" s="650">
        <v>0</v>
      </c>
      <c r="AL177" s="207"/>
    </row>
    <row r="178" spans="1:38" ht="15" customHeight="1" x14ac:dyDescent="0.25">
      <c r="A178" s="67" t="s">
        <v>13</v>
      </c>
      <c r="B178" s="537"/>
      <c r="C178" s="530"/>
      <c r="D178" s="537"/>
      <c r="E178" s="537"/>
      <c r="F178" s="537"/>
      <c r="G178" s="537"/>
      <c r="H178" s="537"/>
      <c r="I178" s="111"/>
      <c r="J178" s="537"/>
      <c r="K178" s="530"/>
      <c r="L178" s="537"/>
      <c r="M178" s="537"/>
      <c r="N178" s="537"/>
      <c r="O178" s="537"/>
      <c r="P178" s="537"/>
      <c r="Q178" s="37"/>
      <c r="R178" s="594"/>
      <c r="S178" s="594"/>
      <c r="T178" s="594"/>
      <c r="U178" s="594"/>
      <c r="V178" s="594"/>
      <c r="W178" s="594"/>
      <c r="X178" s="594"/>
      <c r="Y178" s="37"/>
      <c r="Z178" s="594"/>
      <c r="AA178" s="594"/>
      <c r="AB178" s="594"/>
      <c r="AC178" s="594"/>
      <c r="AD178" s="594"/>
      <c r="AE178" s="594"/>
      <c r="AF178" s="594"/>
      <c r="AG178" s="594"/>
      <c r="AH178" s="594"/>
      <c r="AI178" s="594"/>
      <c r="AJ178" s="37"/>
      <c r="AK178" s="652">
        <v>0</v>
      </c>
      <c r="AL178" s="197"/>
    </row>
    <row r="179" spans="1:38" ht="15" customHeight="1" x14ac:dyDescent="0.25">
      <c r="A179" s="63" t="s">
        <v>14</v>
      </c>
      <c r="B179" s="581"/>
      <c r="C179" s="581"/>
      <c r="D179" s="581"/>
      <c r="E179" s="581"/>
      <c r="F179" s="581"/>
      <c r="G179" s="581"/>
      <c r="H179" s="581"/>
      <c r="I179" s="114"/>
      <c r="J179" s="581"/>
      <c r="K179" s="581"/>
      <c r="L179" s="581"/>
      <c r="M179" s="581"/>
      <c r="N179" s="581"/>
      <c r="O179" s="581"/>
      <c r="P179" s="581"/>
      <c r="Q179" s="43"/>
      <c r="R179" s="600"/>
      <c r="S179" s="600"/>
      <c r="T179" s="600"/>
      <c r="U179" s="600"/>
      <c r="V179" s="600"/>
      <c r="W179" s="600"/>
      <c r="X179" s="600"/>
      <c r="Y179" s="43"/>
      <c r="Z179" s="600"/>
      <c r="AA179" s="600"/>
      <c r="AB179" s="600"/>
      <c r="AC179" s="600"/>
      <c r="AD179" s="600"/>
      <c r="AE179" s="600"/>
      <c r="AF179" s="600"/>
      <c r="AG179" s="600"/>
      <c r="AH179" s="600"/>
      <c r="AI179" s="600"/>
      <c r="AJ179" s="43"/>
      <c r="AK179" s="662">
        <v>0</v>
      </c>
      <c r="AL179" s="204"/>
    </row>
    <row r="180" spans="1:38" ht="15" customHeight="1" thickBot="1" x14ac:dyDescent="0.35">
      <c r="A180" s="349"/>
      <c r="B180" s="576"/>
      <c r="C180" s="576"/>
      <c r="D180" s="576"/>
      <c r="E180" s="576"/>
      <c r="F180" s="576"/>
      <c r="G180" s="576"/>
      <c r="H180" s="576"/>
      <c r="I180" s="709"/>
      <c r="J180" s="576"/>
      <c r="K180" s="576"/>
      <c r="L180" s="576"/>
      <c r="M180" s="576"/>
      <c r="N180" s="576"/>
      <c r="O180" s="576"/>
      <c r="P180" s="576"/>
      <c r="Q180" s="45"/>
      <c r="R180" s="596"/>
      <c r="S180" s="596"/>
      <c r="T180" s="596"/>
      <c r="U180" s="596"/>
      <c r="V180" s="596"/>
      <c r="W180" s="596"/>
      <c r="X180" s="596"/>
      <c r="Y180" s="45"/>
      <c r="Z180" s="596"/>
      <c r="AA180" s="596"/>
      <c r="AB180" s="596"/>
      <c r="AC180" s="596"/>
      <c r="AD180" s="596"/>
      <c r="AE180" s="596"/>
      <c r="AF180" s="596"/>
      <c r="AG180" s="596"/>
      <c r="AH180" s="596"/>
      <c r="AI180" s="596"/>
      <c r="AJ180" s="43"/>
      <c r="AK180" s="692">
        <v>0</v>
      </c>
      <c r="AL180" s="204"/>
    </row>
    <row r="181" spans="1:38" ht="18.75" x14ac:dyDescent="0.3">
      <c r="A181" s="281" t="s">
        <v>2</v>
      </c>
      <c r="B181" s="163">
        <f t="shared" ref="B181:H181" si="13">SUM(B177:B180)</f>
        <v>0</v>
      </c>
      <c r="C181" s="163">
        <f t="shared" si="13"/>
        <v>0</v>
      </c>
      <c r="D181" s="163">
        <f t="shared" si="13"/>
        <v>0</v>
      </c>
      <c r="E181" s="163">
        <f t="shared" si="13"/>
        <v>0</v>
      </c>
      <c r="F181" s="163">
        <f t="shared" si="13"/>
        <v>0</v>
      </c>
      <c r="G181" s="163">
        <f t="shared" si="13"/>
        <v>0</v>
      </c>
      <c r="H181" s="163">
        <f t="shared" si="13"/>
        <v>0</v>
      </c>
      <c r="I181" s="221">
        <f>SUM(B181:H181)</f>
        <v>0</v>
      </c>
      <c r="J181" s="163">
        <f t="shared" ref="J181:P181" si="14">SUM(J177:J180)</f>
        <v>0</v>
      </c>
      <c r="K181" s="163">
        <f t="shared" si="14"/>
        <v>0</v>
      </c>
      <c r="L181" s="163">
        <f t="shared" si="14"/>
        <v>0</v>
      </c>
      <c r="M181" s="163">
        <f t="shared" si="14"/>
        <v>0</v>
      </c>
      <c r="N181" s="163">
        <f t="shared" si="14"/>
        <v>0</v>
      </c>
      <c r="O181" s="163">
        <f t="shared" si="14"/>
        <v>0</v>
      </c>
      <c r="P181" s="163">
        <f t="shared" si="14"/>
        <v>0</v>
      </c>
      <c r="Q181" s="221">
        <f>SUM(J181:P181)</f>
        <v>0</v>
      </c>
      <c r="R181" s="163">
        <f t="shared" ref="R181:X181" si="15">SUM(R177:R180)</f>
        <v>0</v>
      </c>
      <c r="S181" s="163">
        <f t="shared" si="15"/>
        <v>0</v>
      </c>
      <c r="T181" s="163">
        <f t="shared" si="15"/>
        <v>0</v>
      </c>
      <c r="U181" s="163">
        <f t="shared" si="15"/>
        <v>0</v>
      </c>
      <c r="V181" s="163">
        <f t="shared" si="15"/>
        <v>0</v>
      </c>
      <c r="W181" s="163">
        <f t="shared" si="15"/>
        <v>0</v>
      </c>
      <c r="X181" s="163">
        <f t="shared" si="15"/>
        <v>0</v>
      </c>
      <c r="Y181" s="221">
        <f>SUM(R181:X181)</f>
        <v>0</v>
      </c>
      <c r="Z181" s="163">
        <f t="shared" ref="Z181:AI181" si="16">SUM(Z177:Z180)</f>
        <v>0</v>
      </c>
      <c r="AA181" s="163">
        <f t="shared" si="16"/>
        <v>0</v>
      </c>
      <c r="AB181" s="163">
        <f t="shared" si="16"/>
        <v>0</v>
      </c>
      <c r="AC181" s="163">
        <f t="shared" si="16"/>
        <v>0</v>
      </c>
      <c r="AD181" s="163">
        <f t="shared" si="16"/>
        <v>0</v>
      </c>
      <c r="AE181" s="163">
        <f t="shared" si="16"/>
        <v>0</v>
      </c>
      <c r="AF181" s="163">
        <f t="shared" si="16"/>
        <v>0</v>
      </c>
      <c r="AG181" s="163">
        <f t="shared" si="16"/>
        <v>0</v>
      </c>
      <c r="AH181" s="163">
        <f t="shared" si="16"/>
        <v>0</v>
      </c>
      <c r="AI181" s="163">
        <f t="shared" si="16"/>
        <v>0</v>
      </c>
      <c r="AJ181" s="376">
        <f>SUM(Z181:AI181)</f>
        <v>0</v>
      </c>
      <c r="AK181" s="698">
        <f>SUM(AK177:AK180)</f>
        <v>0</v>
      </c>
      <c r="AL181" s="235"/>
    </row>
    <row r="182" spans="1:38" ht="15.75" thickBot="1" x14ac:dyDescent="0.3">
      <c r="A182" s="264"/>
      <c r="B182" s="265" t="s">
        <v>334</v>
      </c>
      <c r="C182" s="265" t="s">
        <v>334</v>
      </c>
      <c r="D182" s="265" t="s">
        <v>334</v>
      </c>
      <c r="E182" s="265" t="s">
        <v>334</v>
      </c>
      <c r="F182" s="265" t="s">
        <v>334</v>
      </c>
      <c r="G182" s="265" t="s">
        <v>334</v>
      </c>
      <c r="H182" s="265" t="s">
        <v>334</v>
      </c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</row>
    <row r="183" spans="1:38" ht="24" thickBot="1" x14ac:dyDescent="0.4">
      <c r="A183" s="294" t="s">
        <v>128</v>
      </c>
      <c r="B183" s="295"/>
      <c r="C183" s="295"/>
      <c r="D183" s="295"/>
      <c r="E183" s="295"/>
      <c r="F183" s="295"/>
      <c r="G183" s="296"/>
      <c r="H183" s="296"/>
      <c r="I183" s="297"/>
      <c r="J183" s="297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301"/>
      <c r="AK183" s="462"/>
      <c r="AL183" s="301"/>
    </row>
    <row r="184" spans="1:38" ht="16.5" thickBot="1" x14ac:dyDescent="0.3">
      <c r="A184" s="319" t="s">
        <v>8</v>
      </c>
      <c r="B184" s="328">
        <v>1</v>
      </c>
      <c r="C184" s="328">
        <v>2</v>
      </c>
      <c r="D184" s="328">
        <v>3</v>
      </c>
      <c r="E184" s="328">
        <v>4</v>
      </c>
      <c r="F184" s="328">
        <v>5</v>
      </c>
      <c r="G184" s="328">
        <v>6</v>
      </c>
      <c r="H184" s="328">
        <v>7</v>
      </c>
      <c r="I184" s="329" t="s">
        <v>338</v>
      </c>
      <c r="J184" s="328">
        <v>8</v>
      </c>
      <c r="K184" s="328">
        <v>9</v>
      </c>
      <c r="L184" s="328">
        <v>10</v>
      </c>
      <c r="M184" s="328">
        <v>11</v>
      </c>
      <c r="N184" s="328">
        <v>12</v>
      </c>
      <c r="O184" s="328">
        <v>13</v>
      </c>
      <c r="P184" s="328">
        <v>14</v>
      </c>
      <c r="Q184" s="329" t="s">
        <v>338</v>
      </c>
      <c r="R184" s="328">
        <v>15</v>
      </c>
      <c r="S184" s="328">
        <v>16</v>
      </c>
      <c r="T184" s="328">
        <v>17</v>
      </c>
      <c r="U184" s="328">
        <v>18</v>
      </c>
      <c r="V184" s="328">
        <v>19</v>
      </c>
      <c r="W184" s="328">
        <v>20</v>
      </c>
      <c r="X184" s="328">
        <v>21</v>
      </c>
      <c r="Y184" s="329" t="s">
        <v>338</v>
      </c>
      <c r="Z184" s="328">
        <v>22</v>
      </c>
      <c r="AA184" s="328">
        <v>23</v>
      </c>
      <c r="AB184" s="328">
        <v>24</v>
      </c>
      <c r="AC184" s="328">
        <v>25</v>
      </c>
      <c r="AD184" s="328">
        <v>26</v>
      </c>
      <c r="AE184" s="328">
        <v>27</v>
      </c>
      <c r="AF184" s="328">
        <v>28</v>
      </c>
      <c r="AG184" s="328">
        <v>29</v>
      </c>
      <c r="AH184" s="328">
        <v>30</v>
      </c>
      <c r="AI184" s="328">
        <v>31</v>
      </c>
      <c r="AJ184" s="329" t="s">
        <v>338</v>
      </c>
      <c r="AK184" s="730" t="s">
        <v>377</v>
      </c>
      <c r="AL184" s="733"/>
    </row>
    <row r="185" spans="1:38" ht="15.75" x14ac:dyDescent="0.25">
      <c r="A185" s="347" t="s">
        <v>32</v>
      </c>
      <c r="B185" s="577">
        <v>0</v>
      </c>
      <c r="C185" s="618"/>
      <c r="D185" s="577">
        <v>0</v>
      </c>
      <c r="E185" s="575"/>
      <c r="F185" s="618"/>
      <c r="G185" s="620">
        <v>36.42</v>
      </c>
      <c r="H185" s="618"/>
      <c r="I185" s="305"/>
      <c r="J185" s="577">
        <v>0</v>
      </c>
      <c r="K185" s="577">
        <v>0</v>
      </c>
      <c r="L185" s="575"/>
      <c r="M185" s="303">
        <v>25.35</v>
      </c>
      <c r="N185" s="575"/>
      <c r="O185" s="577">
        <v>0</v>
      </c>
      <c r="P185" s="618"/>
      <c r="Q185" s="305"/>
      <c r="R185" s="618"/>
      <c r="S185" s="618"/>
      <c r="T185" s="575"/>
      <c r="U185" s="618"/>
      <c r="V185" s="575"/>
      <c r="W185" s="575"/>
      <c r="X185" s="411"/>
      <c r="Y185" s="305"/>
      <c r="Z185" s="618"/>
      <c r="AA185" s="575"/>
      <c r="AB185" s="618"/>
      <c r="AC185" s="577">
        <v>0</v>
      </c>
      <c r="AD185" s="618"/>
      <c r="AE185" s="577">
        <v>0</v>
      </c>
      <c r="AF185" s="618"/>
      <c r="AG185" s="618"/>
      <c r="AH185" s="620">
        <v>19.52</v>
      </c>
      <c r="AI185" s="618"/>
      <c r="AJ185" s="305"/>
      <c r="AK185" s="741"/>
      <c r="AL185" s="207"/>
    </row>
    <row r="186" spans="1:38" ht="15.75" x14ac:dyDescent="0.25">
      <c r="A186" s="67" t="s">
        <v>15</v>
      </c>
      <c r="B186" s="537"/>
      <c r="C186" s="1">
        <v>50</v>
      </c>
      <c r="D186" s="594"/>
      <c r="E186" s="537"/>
      <c r="F186" s="537"/>
      <c r="G186" s="537"/>
      <c r="H186" s="537"/>
      <c r="I186" s="37"/>
      <c r="J186" s="594"/>
      <c r="K186" s="594"/>
      <c r="L186" s="537"/>
      <c r="M186" s="530"/>
      <c r="N186" s="118">
        <v>26.57</v>
      </c>
      <c r="O186" s="537"/>
      <c r="P186" s="537"/>
      <c r="Q186" s="37"/>
      <c r="R186" s="537"/>
      <c r="S186" s="537"/>
      <c r="T186" s="537"/>
      <c r="U186" s="537"/>
      <c r="V186" s="537"/>
      <c r="W186" s="530"/>
      <c r="X186" s="57"/>
      <c r="Y186" s="37"/>
      <c r="Z186" s="530"/>
      <c r="AA186" s="537"/>
      <c r="AB186" s="537"/>
      <c r="AC186" s="537"/>
      <c r="AD186" s="537"/>
      <c r="AE186" s="537"/>
      <c r="AF186" s="537"/>
      <c r="AG186" s="537"/>
      <c r="AH186" s="537"/>
      <c r="AI186" s="537"/>
      <c r="AJ186" s="37"/>
      <c r="AK186" s="740"/>
      <c r="AL186" s="197"/>
    </row>
    <row r="187" spans="1:38" ht="15.75" x14ac:dyDescent="0.25">
      <c r="A187" s="67" t="s">
        <v>297</v>
      </c>
      <c r="B187" s="537"/>
      <c r="C187" s="537"/>
      <c r="D187" s="594"/>
      <c r="E187" s="118">
        <v>36.49</v>
      </c>
      <c r="F187" s="537"/>
      <c r="G187" s="537"/>
      <c r="H187" s="537"/>
      <c r="I187" s="37"/>
      <c r="J187" s="594"/>
      <c r="K187" s="594"/>
      <c r="L187" s="537"/>
      <c r="M187" s="530"/>
      <c r="N187" s="537"/>
      <c r="O187" s="537"/>
      <c r="P187" s="537"/>
      <c r="Q187" s="37"/>
      <c r="R187" s="537"/>
      <c r="S187" s="537"/>
      <c r="T187" s="537"/>
      <c r="U187" s="118">
        <v>26.05</v>
      </c>
      <c r="V187" s="537"/>
      <c r="W187" s="530"/>
      <c r="X187" s="57"/>
      <c r="Y187" s="37"/>
      <c r="Z187" s="537"/>
      <c r="AA187" s="537"/>
      <c r="AB187" s="537"/>
      <c r="AC187" s="537"/>
      <c r="AD187" s="537"/>
      <c r="AE187" s="537"/>
      <c r="AF187" s="537"/>
      <c r="AG187" s="537"/>
      <c r="AH187" s="537"/>
      <c r="AI187" s="118">
        <v>28.22</v>
      </c>
      <c r="AJ187" s="37"/>
      <c r="AK187" s="740"/>
      <c r="AL187" s="197"/>
    </row>
    <row r="188" spans="1:38" ht="15.75" x14ac:dyDescent="0.25">
      <c r="A188" s="67" t="s">
        <v>31</v>
      </c>
      <c r="B188" s="530"/>
      <c r="C188" s="118">
        <v>15.19</v>
      </c>
      <c r="D188" s="594"/>
      <c r="E188" s="537"/>
      <c r="F188" s="537"/>
      <c r="G188" s="537"/>
      <c r="H188" s="537"/>
      <c r="I188" s="37"/>
      <c r="J188" s="594"/>
      <c r="K188" s="594"/>
      <c r="L188" s="537"/>
      <c r="M188" s="530"/>
      <c r="N188" s="537"/>
      <c r="O188" s="537"/>
      <c r="P188" s="537"/>
      <c r="Q188" s="37"/>
      <c r="R188" s="537"/>
      <c r="S188" s="537"/>
      <c r="T188" s="537"/>
      <c r="U188" s="537"/>
      <c r="V188" s="537"/>
      <c r="W188" s="530"/>
      <c r="X188" s="57"/>
      <c r="Y188" s="37"/>
      <c r="Z188" s="537"/>
      <c r="AA188" s="537"/>
      <c r="AB188" s="537"/>
      <c r="AC188" s="537"/>
      <c r="AD188" s="537"/>
      <c r="AE188" s="537"/>
      <c r="AF188" s="537"/>
      <c r="AG188" s="537"/>
      <c r="AH188" s="537"/>
      <c r="AI188" s="537"/>
      <c r="AJ188" s="37"/>
      <c r="AK188" s="740"/>
      <c r="AL188" s="197"/>
    </row>
    <row r="189" spans="1:38" ht="15.75" x14ac:dyDescent="0.25">
      <c r="A189" s="67" t="s">
        <v>30</v>
      </c>
      <c r="B189" s="672">
        <v>20.57</v>
      </c>
      <c r="C189" s="570">
        <v>34.78</v>
      </c>
      <c r="D189" s="118">
        <v>15.24</v>
      </c>
      <c r="E189" s="567">
        <v>19.78</v>
      </c>
      <c r="F189" s="118">
        <v>20.67</v>
      </c>
      <c r="G189" s="537"/>
      <c r="H189" s="537"/>
      <c r="I189" s="37"/>
      <c r="J189" s="594"/>
      <c r="K189" s="594"/>
      <c r="L189" s="537"/>
      <c r="M189" s="530"/>
      <c r="N189" s="537"/>
      <c r="O189" s="537"/>
      <c r="P189" s="537"/>
      <c r="Q189" s="37"/>
      <c r="R189" s="537"/>
      <c r="S189" s="537"/>
      <c r="T189" s="537"/>
      <c r="U189" s="537"/>
      <c r="V189" s="537"/>
      <c r="W189" s="530"/>
      <c r="X189" s="57"/>
      <c r="Y189" s="37"/>
      <c r="Z189" s="537"/>
      <c r="AA189" s="1">
        <v>40.4</v>
      </c>
      <c r="AB189" s="161">
        <v>15.52</v>
      </c>
      <c r="AC189" s="537"/>
      <c r="AD189" s="161">
        <v>35.53</v>
      </c>
      <c r="AE189" s="570">
        <v>18.21</v>
      </c>
      <c r="AF189" s="57">
        <v>15.1</v>
      </c>
      <c r="AG189" s="1">
        <v>15.3</v>
      </c>
      <c r="AH189" s="537"/>
      <c r="AI189" s="118">
        <v>24.92</v>
      </c>
      <c r="AJ189" s="37"/>
      <c r="AK189" s="740"/>
      <c r="AL189" s="197"/>
    </row>
    <row r="190" spans="1:38" ht="15.75" x14ac:dyDescent="0.25">
      <c r="A190" s="67" t="s">
        <v>17</v>
      </c>
      <c r="B190" s="537"/>
      <c r="C190" s="537"/>
      <c r="D190" s="537"/>
      <c r="E190" s="537"/>
      <c r="F190" s="118">
        <v>19.02</v>
      </c>
      <c r="G190" s="537"/>
      <c r="H190" s="118">
        <v>25.05</v>
      </c>
      <c r="I190" s="37"/>
      <c r="J190" s="594"/>
      <c r="K190" s="594"/>
      <c r="L190" s="118">
        <v>27.55</v>
      </c>
      <c r="M190" s="530"/>
      <c r="N190" s="118">
        <v>45.49</v>
      </c>
      <c r="O190" s="537"/>
      <c r="P190" s="118">
        <v>34.83</v>
      </c>
      <c r="Q190" s="37"/>
      <c r="R190" s="161">
        <v>17.73</v>
      </c>
      <c r="S190" s="537"/>
      <c r="T190" s="118">
        <v>33.64</v>
      </c>
      <c r="U190" s="537"/>
      <c r="V190" s="118">
        <v>37.31</v>
      </c>
      <c r="W190" s="57">
        <v>14.56</v>
      </c>
      <c r="X190" s="57"/>
      <c r="Y190" s="37"/>
      <c r="Z190" s="118">
        <v>14.28</v>
      </c>
      <c r="AA190" s="118">
        <v>19.73</v>
      </c>
      <c r="AB190" s="537"/>
      <c r="AC190" s="537"/>
      <c r="AD190" s="537"/>
      <c r="AE190" s="537"/>
      <c r="AF190" s="537"/>
      <c r="AG190" s="537"/>
      <c r="AH190" s="537"/>
      <c r="AI190" s="537"/>
      <c r="AJ190" s="37"/>
      <c r="AK190" s="740"/>
      <c r="AL190" s="197"/>
    </row>
    <row r="191" spans="1:38" ht="15" customHeight="1" x14ac:dyDescent="0.25">
      <c r="A191" s="67" t="s">
        <v>16</v>
      </c>
      <c r="B191" s="537"/>
      <c r="C191" s="537"/>
      <c r="D191" s="537"/>
      <c r="E191" s="537"/>
      <c r="F191" s="537"/>
      <c r="G191" s="537"/>
      <c r="H191" s="537"/>
      <c r="I191" s="111"/>
      <c r="J191" s="594"/>
      <c r="K191" s="594"/>
      <c r="L191" s="537"/>
      <c r="M191" s="530"/>
      <c r="N191" s="118">
        <v>30.14</v>
      </c>
      <c r="O191" s="537"/>
      <c r="P191" s="537"/>
      <c r="Q191" s="37"/>
      <c r="R191" s="537"/>
      <c r="S191" s="118">
        <v>11.42</v>
      </c>
      <c r="T191" s="537"/>
      <c r="U191" s="537"/>
      <c r="V191" s="537"/>
      <c r="W191" s="530"/>
      <c r="X191" s="57"/>
      <c r="Y191" s="37"/>
      <c r="Z191" s="537"/>
      <c r="AA191" s="537"/>
      <c r="AB191" s="537"/>
      <c r="AC191" s="537"/>
      <c r="AD191" s="537"/>
      <c r="AE191" s="537"/>
      <c r="AF191" s="537"/>
      <c r="AG191" s="537"/>
      <c r="AH191" s="537"/>
      <c r="AI191" s="118">
        <v>24.53</v>
      </c>
      <c r="AJ191" s="37"/>
      <c r="AK191" s="648">
        <v>293.20999999999998</v>
      </c>
      <c r="AL191" s="197"/>
    </row>
    <row r="192" spans="1:38" ht="15" customHeight="1" x14ac:dyDescent="0.25">
      <c r="A192" s="67" t="s">
        <v>33</v>
      </c>
      <c r="B192" s="581"/>
      <c r="C192" s="581"/>
      <c r="D192" s="581"/>
      <c r="E192" s="581"/>
      <c r="F192" s="581"/>
      <c r="G192" s="581"/>
      <c r="H192" s="581"/>
      <c r="I192" s="114"/>
      <c r="J192" s="600"/>
      <c r="K192" s="600"/>
      <c r="L192" s="581"/>
      <c r="M192" s="576"/>
      <c r="N192" s="581"/>
      <c r="O192" s="581"/>
      <c r="P192" s="581"/>
      <c r="Q192" s="43"/>
      <c r="R192" s="581"/>
      <c r="S192" s="581"/>
      <c r="T192" s="581"/>
      <c r="U192" s="581"/>
      <c r="V192" s="581"/>
      <c r="W192" s="576"/>
      <c r="X192" s="178"/>
      <c r="Y192" s="43"/>
      <c r="Z192" s="581"/>
      <c r="AA192" s="581"/>
      <c r="AB192" s="581"/>
      <c r="AC192" s="581"/>
      <c r="AD192" s="576"/>
      <c r="AE192" s="581"/>
      <c r="AF192" s="581"/>
      <c r="AG192" s="581"/>
      <c r="AH192" s="581"/>
      <c r="AI192" s="581"/>
      <c r="AJ192" s="43"/>
      <c r="AK192" s="661">
        <v>189.93</v>
      </c>
      <c r="AL192" s="204"/>
    </row>
    <row r="193" spans="1:38" ht="15" customHeight="1" x14ac:dyDescent="0.25">
      <c r="A193" s="63" t="s">
        <v>389</v>
      </c>
      <c r="B193" s="530"/>
      <c r="C193" s="530"/>
      <c r="D193" s="530"/>
      <c r="E193" s="530"/>
      <c r="F193" s="530"/>
      <c r="G193" s="530"/>
      <c r="H193" s="530"/>
      <c r="I193" s="609"/>
      <c r="J193" s="531"/>
      <c r="K193" s="531"/>
      <c r="L193" s="530"/>
      <c r="M193" s="530"/>
      <c r="N193" s="530"/>
      <c r="O193" s="530"/>
      <c r="P193" s="530"/>
      <c r="Q193" s="47"/>
      <c r="R193" s="530"/>
      <c r="S193" s="135">
        <v>88.89</v>
      </c>
      <c r="T193" s="530"/>
      <c r="U193" s="530"/>
      <c r="V193" s="530"/>
      <c r="W193" s="530"/>
      <c r="X193" s="135"/>
      <c r="Y193" s="47"/>
      <c r="Z193" s="530"/>
      <c r="AA193" s="530"/>
      <c r="AB193" s="530"/>
      <c r="AC193" s="530"/>
      <c r="AD193" s="530"/>
      <c r="AE193" s="530"/>
      <c r="AF193" s="530"/>
      <c r="AG193" s="530"/>
      <c r="AH193" s="530"/>
      <c r="AI193" s="530"/>
      <c r="AJ193" s="37"/>
      <c r="AK193" s="657">
        <v>229.6</v>
      </c>
      <c r="AL193" s="197"/>
    </row>
    <row r="194" spans="1:38" ht="15.75" x14ac:dyDescent="0.25">
      <c r="A194" s="63" t="s">
        <v>19</v>
      </c>
      <c r="B194" s="584"/>
      <c r="C194" s="584"/>
      <c r="D194" s="584"/>
      <c r="E194" s="584"/>
      <c r="F194" s="584"/>
      <c r="G194" s="584"/>
      <c r="H194" s="584"/>
      <c r="I194" s="114"/>
      <c r="J194" s="601"/>
      <c r="K194" s="601"/>
      <c r="L194" s="584"/>
      <c r="M194" s="589"/>
      <c r="N194" s="584"/>
      <c r="O194" s="584"/>
      <c r="P194" s="584"/>
      <c r="Q194" s="43"/>
      <c r="R194" s="584"/>
      <c r="S194" s="584"/>
      <c r="T194" s="584"/>
      <c r="U194" s="584"/>
      <c r="V194" s="584"/>
      <c r="W194" s="589"/>
      <c r="X194" s="162"/>
      <c r="Y194" s="43"/>
      <c r="Z194" s="584"/>
      <c r="AA194" s="584"/>
      <c r="AB194" s="584"/>
      <c r="AC194" s="584"/>
      <c r="AD194" s="584"/>
      <c r="AE194" s="584"/>
      <c r="AF194" s="584"/>
      <c r="AG194" s="584"/>
      <c r="AH194" s="584"/>
      <c r="AI194" s="584"/>
      <c r="AJ194" s="43"/>
      <c r="AK194" s="117">
        <v>271.26</v>
      </c>
      <c r="AL194" s="204"/>
    </row>
    <row r="195" spans="1:38" ht="15.75" x14ac:dyDescent="0.25">
      <c r="A195" s="67" t="s">
        <v>102</v>
      </c>
      <c r="B195" s="583"/>
      <c r="C195" s="583"/>
      <c r="D195" s="583"/>
      <c r="E195" s="583"/>
      <c r="F195" s="583"/>
      <c r="G195" s="583"/>
      <c r="H195" s="583"/>
      <c r="I195" s="37"/>
      <c r="J195" s="690"/>
      <c r="K195" s="690"/>
      <c r="L195" s="583"/>
      <c r="M195" s="587"/>
      <c r="N195" s="583"/>
      <c r="O195" s="583"/>
      <c r="P195" s="583"/>
      <c r="Q195" s="37"/>
      <c r="R195" s="583"/>
      <c r="S195" s="583"/>
      <c r="T195" s="583"/>
      <c r="U195" s="583"/>
      <c r="V195" s="583"/>
      <c r="W195" s="587"/>
      <c r="X195" s="115"/>
      <c r="Y195" s="37"/>
      <c r="Z195" s="583"/>
      <c r="AA195" s="583"/>
      <c r="AB195" s="583"/>
      <c r="AC195" s="583"/>
      <c r="AD195" s="583"/>
      <c r="AE195" s="583"/>
      <c r="AF195" s="583"/>
      <c r="AG195" s="582"/>
      <c r="AH195" s="583"/>
      <c r="AI195" s="583"/>
      <c r="AJ195" s="37"/>
      <c r="AK195" s="742"/>
      <c r="AL195" s="197"/>
    </row>
    <row r="196" spans="1:38" ht="18.75" x14ac:dyDescent="0.3">
      <c r="A196" s="402" t="s">
        <v>2</v>
      </c>
      <c r="B196" s="199">
        <f>SUM(B185:B195)</f>
        <v>20.57</v>
      </c>
      <c r="C196" s="199">
        <f>SUM(C185:C195)</f>
        <v>99.97</v>
      </c>
      <c r="D196" s="199">
        <f>SUM(D188:D194)</f>
        <v>15.24</v>
      </c>
      <c r="E196" s="199">
        <f>SUM(E185:E195)</f>
        <v>56.27</v>
      </c>
      <c r="F196" s="199">
        <f>SUM(F185:F195)</f>
        <v>39.69</v>
      </c>
      <c r="G196" s="199">
        <f>SUM(G185:G192)</f>
        <v>36.42</v>
      </c>
      <c r="H196" s="199">
        <f>SUM(H185:H195)</f>
        <v>25.05</v>
      </c>
      <c r="I196" s="440">
        <f>SUM(B196:H196)</f>
        <v>293.21000000000004</v>
      </c>
      <c r="J196" s="734">
        <f t="shared" ref="J196:O196" si="17">SUM(J185:J195)</f>
        <v>0</v>
      </c>
      <c r="K196" s="734">
        <f t="shared" si="17"/>
        <v>0</v>
      </c>
      <c r="L196" s="199">
        <f t="shared" si="17"/>
        <v>27.55</v>
      </c>
      <c r="M196" s="199">
        <f t="shared" si="17"/>
        <v>25.35</v>
      </c>
      <c r="N196" s="199">
        <f t="shared" si="17"/>
        <v>102.2</v>
      </c>
      <c r="O196" s="199">
        <f t="shared" si="17"/>
        <v>0</v>
      </c>
      <c r="P196" s="199">
        <f>SUM(P190:P195)</f>
        <v>34.83</v>
      </c>
      <c r="Q196" s="440">
        <f>SUM(J196:P196)</f>
        <v>189.93</v>
      </c>
      <c r="R196" s="199">
        <f>SUM(R190:R195)</f>
        <v>17.73</v>
      </c>
      <c r="S196" s="199">
        <f>SUM(S185:S195)</f>
        <v>100.31</v>
      </c>
      <c r="T196" s="199">
        <f>SUM(T185:T195)</f>
        <v>33.64</v>
      </c>
      <c r="U196" s="199">
        <f>SUM(U185:U195)</f>
        <v>26.05</v>
      </c>
      <c r="V196" s="199">
        <f>SUM(V185:V195)</f>
        <v>37.31</v>
      </c>
      <c r="W196" s="199">
        <f>SUM(W185:W195)</f>
        <v>14.56</v>
      </c>
      <c r="X196" s="199"/>
      <c r="Y196" s="440">
        <f>SUM(R196:X196)</f>
        <v>229.60000000000002</v>
      </c>
      <c r="Z196" s="199">
        <f t="shared" ref="Z196:AE196" si="18">SUM(Z185:Z195)</f>
        <v>14.28</v>
      </c>
      <c r="AA196" s="199">
        <f t="shared" si="18"/>
        <v>60.129999999999995</v>
      </c>
      <c r="AB196" s="199">
        <f t="shared" si="18"/>
        <v>15.52</v>
      </c>
      <c r="AC196" s="199">
        <f t="shared" si="18"/>
        <v>0</v>
      </c>
      <c r="AD196" s="199">
        <f t="shared" si="18"/>
        <v>35.53</v>
      </c>
      <c r="AE196" s="199">
        <f t="shared" si="18"/>
        <v>18.21</v>
      </c>
      <c r="AF196" s="199">
        <f>SUM(AF186:AF195)</f>
        <v>15.1</v>
      </c>
      <c r="AG196" s="199">
        <f>SUM(AG185:AG195)</f>
        <v>15.3</v>
      </c>
      <c r="AH196" s="199">
        <f>SUM(AH185:AH195)</f>
        <v>19.52</v>
      </c>
      <c r="AI196" s="199">
        <f>SUM(AI185:AI195)</f>
        <v>77.67</v>
      </c>
      <c r="AJ196" s="762">
        <f>SUM(Z196:AI196)</f>
        <v>271.26</v>
      </c>
      <c r="AK196" s="763">
        <f>SUM(AK191:AK195)</f>
        <v>984</v>
      </c>
      <c r="AL196" s="442"/>
    </row>
    <row r="197" spans="1:38" ht="15.75" thickBot="1" x14ac:dyDescent="0.3">
      <c r="A197" s="264"/>
      <c r="B197" s="265" t="s">
        <v>341</v>
      </c>
      <c r="C197" s="265" t="s">
        <v>354</v>
      </c>
      <c r="D197" s="265" t="s">
        <v>341</v>
      </c>
      <c r="E197" s="265" t="s">
        <v>355</v>
      </c>
      <c r="F197" s="265" t="s">
        <v>355</v>
      </c>
      <c r="G197" s="265" t="s">
        <v>341</v>
      </c>
      <c r="H197" s="265" t="s">
        <v>341</v>
      </c>
      <c r="I197" s="56"/>
      <c r="J197" s="265" t="s">
        <v>341</v>
      </c>
      <c r="K197" s="265" t="s">
        <v>341</v>
      </c>
      <c r="L197" s="265" t="s">
        <v>341</v>
      </c>
      <c r="M197" s="265" t="s">
        <v>341</v>
      </c>
      <c r="N197" s="265" t="s">
        <v>354</v>
      </c>
      <c r="O197" s="265" t="s">
        <v>341</v>
      </c>
      <c r="P197" s="265" t="s">
        <v>341</v>
      </c>
      <c r="Q197" s="56"/>
      <c r="R197" s="265" t="s">
        <v>341</v>
      </c>
      <c r="S197" s="265" t="s">
        <v>355</v>
      </c>
      <c r="T197" s="265" t="s">
        <v>341</v>
      </c>
      <c r="U197" s="265" t="s">
        <v>341</v>
      </c>
      <c r="V197" s="265" t="s">
        <v>341</v>
      </c>
      <c r="W197" s="265" t="s">
        <v>341</v>
      </c>
      <c r="X197" s="265"/>
      <c r="Y197" s="56"/>
      <c r="Z197" s="265" t="s">
        <v>341</v>
      </c>
      <c r="AA197" s="265" t="s">
        <v>355</v>
      </c>
      <c r="AB197" s="265" t="s">
        <v>341</v>
      </c>
      <c r="AC197" s="265" t="s">
        <v>357</v>
      </c>
      <c r="AD197" s="265" t="s">
        <v>341</v>
      </c>
      <c r="AE197" s="265" t="s">
        <v>341</v>
      </c>
      <c r="AF197" s="265" t="s">
        <v>341</v>
      </c>
      <c r="AG197" s="265" t="s">
        <v>341</v>
      </c>
      <c r="AH197" s="265" t="s">
        <v>341</v>
      </c>
      <c r="AI197" s="265" t="s">
        <v>354</v>
      </c>
      <c r="AJ197" s="56"/>
      <c r="AK197" s="225"/>
      <c r="AL197" s="228"/>
    </row>
    <row r="198" spans="1:38" ht="24" thickBot="1" x14ac:dyDescent="0.4">
      <c r="A198" s="294" t="s">
        <v>129</v>
      </c>
      <c r="B198" s="295"/>
      <c r="C198" s="295"/>
      <c r="D198" s="295"/>
      <c r="E198" s="295"/>
      <c r="F198" s="295"/>
      <c r="G198" s="296"/>
      <c r="H198" s="297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8"/>
      <c r="AA198" s="298"/>
      <c r="AB198" s="298"/>
      <c r="AC198" s="298"/>
      <c r="AD198" s="298"/>
      <c r="AE198" s="298"/>
      <c r="AF198" s="298"/>
      <c r="AG198" s="298"/>
      <c r="AH198" s="298"/>
      <c r="AI198" s="298"/>
      <c r="AJ198" s="299"/>
      <c r="AK198" s="300"/>
      <c r="AL198" s="301"/>
    </row>
    <row r="199" spans="1:38" ht="16.5" thickBot="1" x14ac:dyDescent="0.3">
      <c r="A199" s="706" t="s">
        <v>80</v>
      </c>
      <c r="B199" s="707">
        <v>1</v>
      </c>
      <c r="C199" s="328">
        <v>2</v>
      </c>
      <c r="D199" s="328">
        <v>3</v>
      </c>
      <c r="E199" s="328">
        <v>4</v>
      </c>
      <c r="F199" s="328">
        <v>5</v>
      </c>
      <c r="G199" s="328">
        <v>6</v>
      </c>
      <c r="H199" s="705">
        <v>7</v>
      </c>
      <c r="I199" s="329" t="s">
        <v>338</v>
      </c>
      <c r="J199" s="707">
        <v>8</v>
      </c>
      <c r="K199" s="328">
        <v>9</v>
      </c>
      <c r="L199" s="328">
        <v>10</v>
      </c>
      <c r="M199" s="328">
        <v>11</v>
      </c>
      <c r="N199" s="328">
        <v>12</v>
      </c>
      <c r="O199" s="328">
        <v>13</v>
      </c>
      <c r="P199" s="705">
        <v>14</v>
      </c>
      <c r="Q199" s="329" t="s">
        <v>338</v>
      </c>
      <c r="R199" s="328">
        <v>15</v>
      </c>
      <c r="S199" s="328">
        <v>16</v>
      </c>
      <c r="T199" s="328">
        <v>17</v>
      </c>
      <c r="U199" s="328">
        <v>18</v>
      </c>
      <c r="V199" s="328">
        <v>19</v>
      </c>
      <c r="W199" s="328">
        <v>20</v>
      </c>
      <c r="X199" s="328">
        <v>21</v>
      </c>
      <c r="Y199" s="329" t="s">
        <v>338</v>
      </c>
      <c r="Z199" s="328">
        <v>22</v>
      </c>
      <c r="AA199" s="328">
        <v>23</v>
      </c>
      <c r="AB199" s="328">
        <v>24</v>
      </c>
      <c r="AC199" s="328">
        <v>25</v>
      </c>
      <c r="AD199" s="328">
        <v>26</v>
      </c>
      <c r="AE199" s="328">
        <v>27</v>
      </c>
      <c r="AF199" s="328">
        <v>28</v>
      </c>
      <c r="AG199" s="328">
        <v>29</v>
      </c>
      <c r="AH199" s="328">
        <v>30</v>
      </c>
      <c r="AI199" s="328">
        <v>31</v>
      </c>
      <c r="AJ199" s="329" t="s">
        <v>338</v>
      </c>
      <c r="AK199" s="730" t="s">
        <v>377</v>
      </c>
      <c r="AL199" s="331"/>
    </row>
    <row r="200" spans="1:38" ht="15" customHeight="1" x14ac:dyDescent="0.25">
      <c r="A200" s="347" t="s">
        <v>81</v>
      </c>
      <c r="B200" s="577">
        <v>0</v>
      </c>
      <c r="C200" s="577">
        <v>0</v>
      </c>
      <c r="D200" s="714">
        <v>0</v>
      </c>
      <c r="E200" s="714">
        <v>0</v>
      </c>
      <c r="F200" s="714">
        <v>0</v>
      </c>
      <c r="G200" s="714">
        <v>0</v>
      </c>
      <c r="H200" s="714">
        <v>0</v>
      </c>
      <c r="I200" s="304"/>
      <c r="J200" s="577">
        <v>0</v>
      </c>
      <c r="K200" s="577">
        <v>0</v>
      </c>
      <c r="L200" s="714">
        <v>0</v>
      </c>
      <c r="M200" s="714">
        <v>0</v>
      </c>
      <c r="N200" s="714">
        <v>0</v>
      </c>
      <c r="O200" s="714">
        <v>0</v>
      </c>
      <c r="P200" s="714">
        <v>0</v>
      </c>
      <c r="Q200" s="304"/>
      <c r="R200" s="577">
        <v>0</v>
      </c>
      <c r="S200" s="577">
        <v>0</v>
      </c>
      <c r="T200" s="577">
        <v>0</v>
      </c>
      <c r="U200" s="577">
        <v>0</v>
      </c>
      <c r="V200" s="577">
        <v>0</v>
      </c>
      <c r="W200" s="577">
        <v>0</v>
      </c>
      <c r="X200" s="577">
        <v>0</v>
      </c>
      <c r="Y200" s="304"/>
      <c r="Z200" s="577">
        <v>0</v>
      </c>
      <c r="AA200" s="577">
        <v>0</v>
      </c>
      <c r="AB200" s="577">
        <v>0</v>
      </c>
      <c r="AC200" s="577">
        <v>0</v>
      </c>
      <c r="AD200" s="577">
        <v>0</v>
      </c>
      <c r="AE200" s="577">
        <v>0</v>
      </c>
      <c r="AF200" s="577">
        <v>0</v>
      </c>
      <c r="AG200" s="577">
        <v>0</v>
      </c>
      <c r="AH200" s="577">
        <v>0</v>
      </c>
      <c r="AI200" s="577">
        <v>0</v>
      </c>
      <c r="AJ200" s="305"/>
      <c r="AK200" s="650">
        <v>0</v>
      </c>
      <c r="AL200" s="207"/>
    </row>
    <row r="201" spans="1:38" ht="15" customHeight="1" x14ac:dyDescent="0.25">
      <c r="A201" s="63" t="s">
        <v>82</v>
      </c>
      <c r="B201" s="581"/>
      <c r="C201" s="581"/>
      <c r="D201" s="715"/>
      <c r="E201" s="715"/>
      <c r="F201" s="715"/>
      <c r="G201" s="715"/>
      <c r="H201" s="715"/>
      <c r="I201" s="43"/>
      <c r="J201" s="581"/>
      <c r="K201" s="581"/>
      <c r="L201" s="715"/>
      <c r="M201" s="715"/>
      <c r="N201" s="715"/>
      <c r="O201" s="715"/>
      <c r="P201" s="715"/>
      <c r="Q201" s="43"/>
      <c r="R201" s="600"/>
      <c r="S201" s="600"/>
      <c r="T201" s="600"/>
      <c r="U201" s="600"/>
      <c r="V201" s="600"/>
      <c r="W201" s="600"/>
      <c r="X201" s="600"/>
      <c r="Y201" s="43"/>
      <c r="Z201" s="600"/>
      <c r="AA201" s="600"/>
      <c r="AB201" s="600"/>
      <c r="AC201" s="600"/>
      <c r="AD201" s="600"/>
      <c r="AE201" s="600"/>
      <c r="AF201" s="600"/>
      <c r="AG201" s="600"/>
      <c r="AH201" s="600"/>
      <c r="AI201" s="600"/>
      <c r="AJ201" s="43"/>
      <c r="AK201" s="662">
        <v>0</v>
      </c>
      <c r="AL201" s="204"/>
    </row>
    <row r="202" spans="1:38" ht="15" customHeight="1" x14ac:dyDescent="0.35">
      <c r="A202" s="195"/>
      <c r="B202" s="530"/>
      <c r="C202" s="530"/>
      <c r="D202" s="713"/>
      <c r="E202" s="713"/>
      <c r="F202" s="713"/>
      <c r="G202" s="713"/>
      <c r="H202" s="713"/>
      <c r="I202" s="157"/>
      <c r="J202" s="530"/>
      <c r="K202" s="530"/>
      <c r="L202" s="713"/>
      <c r="M202" s="713"/>
      <c r="N202" s="713"/>
      <c r="O202" s="713"/>
      <c r="P202" s="713"/>
      <c r="Q202" s="47"/>
      <c r="R202" s="531"/>
      <c r="S202" s="531"/>
      <c r="T202" s="531"/>
      <c r="U202" s="531"/>
      <c r="V202" s="531"/>
      <c r="W202" s="531"/>
      <c r="X202" s="531"/>
      <c r="Y202" s="47"/>
      <c r="Z202" s="531"/>
      <c r="AA202" s="531"/>
      <c r="AB202" s="531"/>
      <c r="AC202" s="531"/>
      <c r="AD202" s="531"/>
      <c r="AE202" s="531"/>
      <c r="AF202" s="531"/>
      <c r="AG202" s="531"/>
      <c r="AH202" s="531"/>
      <c r="AI202" s="531"/>
      <c r="AJ202" s="47"/>
      <c r="AK202" s="657">
        <v>0</v>
      </c>
      <c r="AL202" s="292"/>
    </row>
    <row r="203" spans="1:38" ht="15" customHeight="1" thickBot="1" x14ac:dyDescent="0.3">
      <c r="A203" s="63"/>
      <c r="B203" s="584"/>
      <c r="C203" s="584"/>
      <c r="D203" s="716"/>
      <c r="E203" s="716"/>
      <c r="F203" s="716"/>
      <c r="G203" s="716"/>
      <c r="H203" s="716"/>
      <c r="I203" s="43"/>
      <c r="J203" s="584"/>
      <c r="K203" s="584"/>
      <c r="L203" s="716"/>
      <c r="M203" s="716"/>
      <c r="N203" s="716"/>
      <c r="O203" s="716"/>
      <c r="P203" s="716"/>
      <c r="Q203" s="43"/>
      <c r="R203" s="601"/>
      <c r="S203" s="601"/>
      <c r="T203" s="601"/>
      <c r="U203" s="601"/>
      <c r="V203" s="601"/>
      <c r="W203" s="601"/>
      <c r="X203" s="601"/>
      <c r="Y203" s="43"/>
      <c r="Z203" s="601"/>
      <c r="AA203" s="601"/>
      <c r="AB203" s="601"/>
      <c r="AC203" s="601"/>
      <c r="AD203" s="601"/>
      <c r="AE203" s="601"/>
      <c r="AF203" s="601"/>
      <c r="AG203" s="601"/>
      <c r="AH203" s="601"/>
      <c r="AI203" s="601"/>
      <c r="AJ203" s="43"/>
      <c r="AK203" s="692">
        <v>0</v>
      </c>
      <c r="AL203" s="350"/>
    </row>
    <row r="204" spans="1:38" ht="19.5" customHeight="1" x14ac:dyDescent="0.35">
      <c r="A204" s="281" t="s">
        <v>2</v>
      </c>
      <c r="B204" s="708">
        <f t="shared" ref="B204:H204" si="19">SUM(B200:B203)</f>
        <v>0</v>
      </c>
      <c r="C204" s="163">
        <f t="shared" si="19"/>
        <v>0</v>
      </c>
      <c r="D204" s="721">
        <f t="shared" si="19"/>
        <v>0</v>
      </c>
      <c r="E204" s="721">
        <f t="shared" si="19"/>
        <v>0</v>
      </c>
      <c r="F204" s="721">
        <f t="shared" si="19"/>
        <v>0</v>
      </c>
      <c r="G204" s="721">
        <f t="shared" si="19"/>
        <v>0</v>
      </c>
      <c r="H204" s="721">
        <f t="shared" si="19"/>
        <v>0</v>
      </c>
      <c r="I204" s="221">
        <f>SUM(B204:H204)</f>
        <v>0</v>
      </c>
      <c r="J204" s="708">
        <f t="shared" ref="J204:P204" si="20">SUM(J200:J203)</f>
        <v>0</v>
      </c>
      <c r="K204" s="163">
        <f t="shared" si="20"/>
        <v>0</v>
      </c>
      <c r="L204" s="721">
        <f t="shared" si="20"/>
        <v>0</v>
      </c>
      <c r="M204" s="721">
        <f t="shared" si="20"/>
        <v>0</v>
      </c>
      <c r="N204" s="721">
        <f t="shared" si="20"/>
        <v>0</v>
      </c>
      <c r="O204" s="721">
        <f t="shared" si="20"/>
        <v>0</v>
      </c>
      <c r="P204" s="721">
        <f t="shared" si="20"/>
        <v>0</v>
      </c>
      <c r="Q204" s="221">
        <f>SUM(J204:P204)</f>
        <v>0</v>
      </c>
      <c r="R204" s="163">
        <f t="shared" ref="R204:X204" si="21">SUM(R200:R203)</f>
        <v>0</v>
      </c>
      <c r="S204" s="163">
        <f t="shared" si="21"/>
        <v>0</v>
      </c>
      <c r="T204" s="163">
        <f t="shared" si="21"/>
        <v>0</v>
      </c>
      <c r="U204" s="163">
        <f t="shared" si="21"/>
        <v>0</v>
      </c>
      <c r="V204" s="163">
        <f t="shared" si="21"/>
        <v>0</v>
      </c>
      <c r="W204" s="163">
        <f t="shared" si="21"/>
        <v>0</v>
      </c>
      <c r="X204" s="163">
        <f t="shared" si="21"/>
        <v>0</v>
      </c>
      <c r="Y204" s="221">
        <f>SUM(R204:X204)</f>
        <v>0</v>
      </c>
      <c r="Z204" s="163">
        <f t="shared" ref="Z204:AF204" si="22">SUM(Z200:Z203)</f>
        <v>0</v>
      </c>
      <c r="AA204" s="163">
        <f t="shared" si="22"/>
        <v>0</v>
      </c>
      <c r="AB204" s="163">
        <f t="shared" si="22"/>
        <v>0</v>
      </c>
      <c r="AC204" s="163">
        <f t="shared" si="22"/>
        <v>0</v>
      </c>
      <c r="AD204" s="163">
        <f t="shared" si="22"/>
        <v>0</v>
      </c>
      <c r="AE204" s="163">
        <f t="shared" si="22"/>
        <v>0</v>
      </c>
      <c r="AF204" s="163">
        <f t="shared" si="22"/>
        <v>0</v>
      </c>
      <c r="AG204" s="163">
        <f t="shared" ref="AG204:AI204" si="23">SUM(AG200:AG203)</f>
        <v>0</v>
      </c>
      <c r="AH204" s="163">
        <f t="shared" si="23"/>
        <v>0</v>
      </c>
      <c r="AI204" s="163">
        <f t="shared" si="23"/>
        <v>0</v>
      </c>
      <c r="AJ204" s="158">
        <f>SUM(Z204:AI204)</f>
        <v>0</v>
      </c>
      <c r="AK204" s="232">
        <f>SUM(AK200:AK203)</f>
        <v>0</v>
      </c>
      <c r="AL204" s="352"/>
    </row>
    <row r="205" spans="1:38" ht="16.5" thickBot="1" x14ac:dyDescent="0.3">
      <c r="A205" s="264"/>
      <c r="B205" s="265" t="s">
        <v>274</v>
      </c>
      <c r="C205" s="265" t="s">
        <v>274</v>
      </c>
      <c r="D205" s="265"/>
      <c r="E205" s="265"/>
      <c r="F205" s="265"/>
      <c r="G205" s="265"/>
      <c r="H205" s="265"/>
      <c r="I205" s="56"/>
      <c r="J205" s="265"/>
      <c r="K205" s="265"/>
      <c r="L205" s="265"/>
      <c r="M205" s="265"/>
      <c r="N205" s="265"/>
      <c r="O205" s="265"/>
      <c r="P205" s="265"/>
      <c r="Q205" s="56"/>
      <c r="R205" s="265"/>
      <c r="S205" s="265"/>
      <c r="T205" s="265"/>
      <c r="U205" s="265"/>
      <c r="V205" s="265"/>
      <c r="W205" s="265"/>
      <c r="X205" s="265"/>
      <c r="Y205" s="56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56"/>
      <c r="AK205" s="353"/>
      <c r="AL205" s="354"/>
    </row>
    <row r="206" spans="1:38" ht="24" thickBot="1" x14ac:dyDescent="0.4">
      <c r="A206" s="294" t="s">
        <v>130</v>
      </c>
      <c r="B206" s="295"/>
      <c r="C206" s="295"/>
      <c r="D206" s="295"/>
      <c r="E206" s="295"/>
      <c r="F206" s="295"/>
      <c r="G206" s="296"/>
      <c r="H206" s="297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9"/>
      <c r="AK206" s="300"/>
      <c r="AL206" s="301"/>
    </row>
    <row r="207" spans="1:38" ht="16.5" thickBot="1" x14ac:dyDescent="0.3">
      <c r="A207" s="319" t="s">
        <v>20</v>
      </c>
      <c r="B207" s="328">
        <v>1</v>
      </c>
      <c r="C207" s="328">
        <v>2</v>
      </c>
      <c r="D207" s="328">
        <v>3</v>
      </c>
      <c r="E207" s="328">
        <v>4</v>
      </c>
      <c r="F207" s="328">
        <v>5</v>
      </c>
      <c r="G207" s="328">
        <v>6</v>
      </c>
      <c r="H207" s="705">
        <v>7</v>
      </c>
      <c r="I207" s="726"/>
      <c r="J207" s="707">
        <v>8</v>
      </c>
      <c r="K207" s="328">
        <v>9</v>
      </c>
      <c r="L207" s="328">
        <v>10</v>
      </c>
      <c r="M207" s="328">
        <v>11</v>
      </c>
      <c r="N207" s="328">
        <v>12</v>
      </c>
      <c r="O207" s="328">
        <v>13</v>
      </c>
      <c r="P207" s="705">
        <v>14</v>
      </c>
      <c r="Q207" s="704"/>
      <c r="R207" s="328">
        <v>15</v>
      </c>
      <c r="S207" s="328">
        <v>16</v>
      </c>
      <c r="T207" s="328">
        <v>17</v>
      </c>
      <c r="U207" s="328">
        <v>18</v>
      </c>
      <c r="V207" s="328">
        <v>19</v>
      </c>
      <c r="W207" s="328">
        <v>20</v>
      </c>
      <c r="X207" s="328">
        <v>21</v>
      </c>
      <c r="Y207" s="329"/>
      <c r="Z207" s="328">
        <v>22</v>
      </c>
      <c r="AA207" s="328">
        <v>23</v>
      </c>
      <c r="AB207" s="328">
        <v>24</v>
      </c>
      <c r="AC207" s="328">
        <v>25</v>
      </c>
      <c r="AD207" s="328">
        <v>26</v>
      </c>
      <c r="AE207" s="328">
        <v>27</v>
      </c>
      <c r="AF207" s="328">
        <v>28</v>
      </c>
      <c r="AG207" s="328">
        <v>29</v>
      </c>
      <c r="AH207" s="328">
        <v>30</v>
      </c>
      <c r="AI207" s="328">
        <v>31</v>
      </c>
      <c r="AJ207" s="329"/>
      <c r="AK207" s="730" t="s">
        <v>377</v>
      </c>
      <c r="AL207" s="331"/>
    </row>
    <row r="208" spans="1:38" x14ac:dyDescent="0.25">
      <c r="A208" s="302" t="s">
        <v>63</v>
      </c>
      <c r="B208" s="303">
        <v>29.28</v>
      </c>
      <c r="C208" s="575"/>
      <c r="D208" s="575"/>
      <c r="E208" s="575"/>
      <c r="F208" s="575"/>
      <c r="G208" s="575"/>
      <c r="H208" s="303">
        <v>29.09</v>
      </c>
      <c r="I208" s="304"/>
      <c r="J208" s="575"/>
      <c r="K208" s="575"/>
      <c r="L208" s="575"/>
      <c r="M208" s="575"/>
      <c r="N208" s="575"/>
      <c r="O208" s="575"/>
      <c r="P208" s="575"/>
      <c r="Q208" s="304"/>
      <c r="R208" s="303">
        <v>65.180000000000007</v>
      </c>
      <c r="S208" s="575"/>
      <c r="T208" s="575"/>
      <c r="U208" s="575"/>
      <c r="V208" s="303">
        <v>24.27</v>
      </c>
      <c r="W208" s="756"/>
      <c r="X208" s="412"/>
      <c r="Y208" s="304"/>
      <c r="Z208" s="575"/>
      <c r="AA208" s="575"/>
      <c r="AB208" s="575"/>
      <c r="AC208" s="575"/>
      <c r="AD208" s="575"/>
      <c r="AE208" s="575"/>
      <c r="AF208" s="575"/>
      <c r="AG208" s="303">
        <v>28.02</v>
      </c>
      <c r="AH208" s="575"/>
      <c r="AI208" s="575"/>
      <c r="AJ208" s="305"/>
      <c r="AK208" s="184"/>
      <c r="AL208" s="207"/>
    </row>
    <row r="209" spans="1:38" x14ac:dyDescent="0.25">
      <c r="A209" s="65" t="s">
        <v>64</v>
      </c>
      <c r="B209" s="1">
        <v>45.4</v>
      </c>
      <c r="C209" s="537"/>
      <c r="D209" s="537"/>
      <c r="E209" s="118">
        <v>15.64</v>
      </c>
      <c r="F209" s="537"/>
      <c r="G209" s="537"/>
      <c r="H209" s="537"/>
      <c r="I209" s="37"/>
      <c r="J209" s="530"/>
      <c r="K209" s="161">
        <v>27.89</v>
      </c>
      <c r="L209" s="537"/>
      <c r="M209" s="118">
        <v>15.16</v>
      </c>
      <c r="N209" s="537"/>
      <c r="O209" s="537"/>
      <c r="P209" s="537"/>
      <c r="Q209" s="37"/>
      <c r="R209" s="537"/>
      <c r="S209" s="118">
        <v>30.54</v>
      </c>
      <c r="T209" s="537"/>
      <c r="U209" s="530"/>
      <c r="V209" s="118">
        <v>37.33</v>
      </c>
      <c r="W209" s="597"/>
      <c r="X209" s="414"/>
      <c r="Y209" s="37"/>
      <c r="Z209" s="537"/>
      <c r="AA209" s="537"/>
      <c r="AB209" s="57">
        <v>30.33</v>
      </c>
      <c r="AC209" s="530"/>
      <c r="AD209" s="530"/>
      <c r="AE209" s="537"/>
      <c r="AF209" s="118">
        <v>19.93</v>
      </c>
      <c r="AG209" s="537"/>
      <c r="AH209" s="537"/>
      <c r="AI209" s="537"/>
      <c r="AJ209" s="37"/>
      <c r="AK209" s="38"/>
      <c r="AL209" s="197"/>
    </row>
    <row r="210" spans="1:38" x14ac:dyDescent="0.25">
      <c r="A210" s="65" t="s">
        <v>77</v>
      </c>
      <c r="B210" s="118">
        <v>38.18</v>
      </c>
      <c r="C210" s="537"/>
      <c r="D210" s="537"/>
      <c r="E210" s="537"/>
      <c r="F210" s="537"/>
      <c r="G210" s="537"/>
      <c r="H210" s="118">
        <v>27.56</v>
      </c>
      <c r="I210" s="37"/>
      <c r="J210" s="530"/>
      <c r="K210" s="537"/>
      <c r="L210" s="537"/>
      <c r="M210" s="537"/>
      <c r="N210" s="1">
        <v>24.3</v>
      </c>
      <c r="O210" s="537"/>
      <c r="P210" s="537"/>
      <c r="Q210" s="37"/>
      <c r="R210" s="537"/>
      <c r="S210" s="537"/>
      <c r="T210" s="537"/>
      <c r="U210" s="537"/>
      <c r="V210" s="537"/>
      <c r="W210" s="597"/>
      <c r="X210" s="414"/>
      <c r="Y210" s="37"/>
      <c r="Z210" s="537"/>
      <c r="AA210" s="537"/>
      <c r="AB210" s="530"/>
      <c r="AC210" s="530"/>
      <c r="AD210" s="530"/>
      <c r="AE210" s="570">
        <v>31.78</v>
      </c>
      <c r="AF210" s="537"/>
      <c r="AG210" s="537"/>
      <c r="AH210" s="118">
        <v>13.24</v>
      </c>
      <c r="AI210" s="537"/>
      <c r="AJ210" s="37"/>
      <c r="AK210" s="38"/>
      <c r="AL210" s="197"/>
    </row>
    <row r="211" spans="1:38" x14ac:dyDescent="0.25">
      <c r="A211" s="65" t="s">
        <v>65</v>
      </c>
      <c r="B211" s="537"/>
      <c r="C211" s="537"/>
      <c r="D211" s="537"/>
      <c r="E211" s="537"/>
      <c r="F211" s="1">
        <v>40</v>
      </c>
      <c r="G211" s="537"/>
      <c r="H211" s="530"/>
      <c r="I211" s="37"/>
      <c r="J211" s="530"/>
      <c r="K211" s="537"/>
      <c r="L211" s="537"/>
      <c r="M211" s="537"/>
      <c r="N211" s="118">
        <v>25.46</v>
      </c>
      <c r="O211" s="537"/>
      <c r="P211" s="537"/>
      <c r="Q211" s="37"/>
      <c r="R211" s="530"/>
      <c r="S211" s="118">
        <v>35.76</v>
      </c>
      <c r="T211" s="537"/>
      <c r="U211" s="537"/>
      <c r="V211" s="537"/>
      <c r="W211" s="414">
        <v>40</v>
      </c>
      <c r="X211" s="414"/>
      <c r="Y211" s="37"/>
      <c r="Z211" s="537"/>
      <c r="AA211" s="537"/>
      <c r="AB211" s="530"/>
      <c r="AC211" s="530"/>
      <c r="AD211" s="530"/>
      <c r="AE211" s="118">
        <v>34.43</v>
      </c>
      <c r="AF211" s="537"/>
      <c r="AG211" s="537"/>
      <c r="AH211" s="537"/>
      <c r="AI211" s="537"/>
      <c r="AJ211" s="47"/>
      <c r="AK211" s="48"/>
      <c r="AL211" s="197"/>
    </row>
    <row r="212" spans="1:38" x14ac:dyDescent="0.25">
      <c r="A212" s="65" t="s">
        <v>66</v>
      </c>
      <c r="B212" s="537"/>
      <c r="C212" s="537"/>
      <c r="D212" s="118">
        <v>28.85</v>
      </c>
      <c r="E212" s="537"/>
      <c r="F212" s="537"/>
      <c r="G212" s="537"/>
      <c r="H212" s="537"/>
      <c r="I212" s="37"/>
      <c r="J212" s="118">
        <v>47.66</v>
      </c>
      <c r="K212" s="537"/>
      <c r="L212" s="537"/>
      <c r="M212" s="537"/>
      <c r="N212" s="537"/>
      <c r="O212" s="537"/>
      <c r="P212" s="537"/>
      <c r="Q212" s="37"/>
      <c r="R212" s="537"/>
      <c r="S212" s="537"/>
      <c r="T212" s="537"/>
      <c r="U212" s="537"/>
      <c r="V212" s="537"/>
      <c r="W212" s="597"/>
      <c r="X212" s="414"/>
      <c r="Y212" s="37"/>
      <c r="Z212" s="537"/>
      <c r="AA212" s="537"/>
      <c r="AB212" s="530"/>
      <c r="AC212" s="530"/>
      <c r="AD212" s="530"/>
      <c r="AE212" s="537"/>
      <c r="AF212" s="537"/>
      <c r="AG212" s="537"/>
      <c r="AH212" s="537"/>
      <c r="AI212" s="537"/>
      <c r="AJ212" s="37"/>
      <c r="AK212" s="38"/>
      <c r="AL212" s="197"/>
    </row>
    <row r="213" spans="1:38" x14ac:dyDescent="0.25">
      <c r="A213" s="65" t="s">
        <v>67</v>
      </c>
      <c r="B213" s="537"/>
      <c r="C213" s="1">
        <v>32.53</v>
      </c>
      <c r="D213" s="537"/>
      <c r="E213" s="537"/>
      <c r="F213" s="530"/>
      <c r="G213" s="537"/>
      <c r="H213" s="537"/>
      <c r="I213" s="37"/>
      <c r="J213" s="537"/>
      <c r="K213" s="1">
        <v>40</v>
      </c>
      <c r="L213" s="537"/>
      <c r="M213" s="537"/>
      <c r="N213" s="1">
        <v>29.4</v>
      </c>
      <c r="O213" s="530"/>
      <c r="P213" s="537"/>
      <c r="Q213" s="37"/>
      <c r="R213" s="537"/>
      <c r="S213" s="118">
        <v>35.450000000000003</v>
      </c>
      <c r="T213" s="537"/>
      <c r="U213" s="537"/>
      <c r="V213" s="537"/>
      <c r="W213" s="597"/>
      <c r="X213" s="414"/>
      <c r="Y213" s="37"/>
      <c r="Z213" s="537"/>
      <c r="AA213" s="1">
        <v>40</v>
      </c>
      <c r="AB213" s="530"/>
      <c r="AC213" s="530"/>
      <c r="AD213" s="530"/>
      <c r="AE213" s="118">
        <v>29.86</v>
      </c>
      <c r="AF213" s="537"/>
      <c r="AG213" s="530"/>
      <c r="AH213" s="118">
        <v>19.79</v>
      </c>
      <c r="AI213" s="537"/>
      <c r="AJ213" s="37"/>
      <c r="AK213" s="38"/>
      <c r="AL213" s="197"/>
    </row>
    <row r="214" spans="1:38" x14ac:dyDescent="0.25">
      <c r="A214" s="65" t="s">
        <v>68</v>
      </c>
      <c r="B214" s="537"/>
      <c r="C214" s="537"/>
      <c r="D214" s="537"/>
      <c r="E214" s="537"/>
      <c r="F214" s="537"/>
      <c r="G214" s="537"/>
      <c r="H214" s="537"/>
      <c r="I214" s="111"/>
      <c r="J214" s="537"/>
      <c r="K214" s="537"/>
      <c r="L214" s="537"/>
      <c r="M214" s="537"/>
      <c r="N214" s="118">
        <v>39.93</v>
      </c>
      <c r="O214" s="530"/>
      <c r="P214" s="537"/>
      <c r="Q214" s="37"/>
      <c r="R214" s="537"/>
      <c r="S214" s="537"/>
      <c r="T214" s="537"/>
      <c r="U214" s="537"/>
      <c r="V214" s="537"/>
      <c r="W214" s="597"/>
      <c r="X214" s="414"/>
      <c r="Y214" s="37"/>
      <c r="Z214" s="537"/>
      <c r="AA214" s="537"/>
      <c r="AB214" s="530"/>
      <c r="AC214" s="530"/>
      <c r="AD214" s="530"/>
      <c r="AE214" s="537"/>
      <c r="AF214" s="537"/>
      <c r="AG214" s="537"/>
      <c r="AH214" s="537"/>
      <c r="AI214" s="1">
        <v>40</v>
      </c>
      <c r="AJ214" s="37"/>
      <c r="AK214" s="38"/>
      <c r="AL214" s="197"/>
    </row>
    <row r="215" spans="1:38" x14ac:dyDescent="0.25">
      <c r="A215" s="65" t="s">
        <v>78</v>
      </c>
      <c r="B215" s="537"/>
      <c r="C215" s="537"/>
      <c r="D215" s="537"/>
      <c r="E215" s="537"/>
      <c r="F215" s="537"/>
      <c r="G215" s="537"/>
      <c r="H215" s="537"/>
      <c r="I215" s="111"/>
      <c r="J215" s="537"/>
      <c r="K215" s="537"/>
      <c r="L215" s="537"/>
      <c r="M215" s="537"/>
      <c r="N215" s="537"/>
      <c r="O215" s="118">
        <v>51.24</v>
      </c>
      <c r="P215" s="537"/>
      <c r="Q215" s="37"/>
      <c r="R215" s="537"/>
      <c r="S215" s="537"/>
      <c r="T215" s="537"/>
      <c r="U215" s="537"/>
      <c r="V215" s="537"/>
      <c r="W215" s="597"/>
      <c r="X215" s="414"/>
      <c r="Y215" s="37"/>
      <c r="Z215" s="537"/>
      <c r="AA215" s="537"/>
      <c r="AB215" s="530"/>
      <c r="AC215" s="530"/>
      <c r="AD215" s="530"/>
      <c r="AE215" s="537"/>
      <c r="AF215" s="537"/>
      <c r="AG215" s="537"/>
      <c r="AH215" s="537"/>
      <c r="AI215" s="537"/>
      <c r="AJ215" s="37"/>
      <c r="AK215" s="38"/>
      <c r="AL215" s="197"/>
    </row>
    <row r="216" spans="1:38" x14ac:dyDescent="0.25">
      <c r="A216" s="65" t="s">
        <v>69</v>
      </c>
      <c r="B216" s="537"/>
      <c r="C216" s="537"/>
      <c r="D216" s="537"/>
      <c r="E216" s="537"/>
      <c r="F216" s="537"/>
      <c r="G216" s="537"/>
      <c r="H216" s="537"/>
      <c r="I216" s="111"/>
      <c r="J216" s="537"/>
      <c r="K216" s="118">
        <v>41.39</v>
      </c>
      <c r="L216" s="537"/>
      <c r="M216" s="537"/>
      <c r="N216" s="537"/>
      <c r="O216" s="537"/>
      <c r="P216" s="537"/>
      <c r="Q216" s="37"/>
      <c r="R216" s="537"/>
      <c r="S216" s="537"/>
      <c r="T216" s="537"/>
      <c r="U216" s="537"/>
      <c r="V216" s="537"/>
      <c r="W216" s="597"/>
      <c r="X216" s="414"/>
      <c r="Y216" s="37"/>
      <c r="Z216" s="537"/>
      <c r="AA216" s="537"/>
      <c r="AB216" s="530"/>
      <c r="AC216" s="530"/>
      <c r="AD216" s="530"/>
      <c r="AE216" s="537"/>
      <c r="AF216" s="537"/>
      <c r="AG216" s="537"/>
      <c r="AH216" s="537"/>
      <c r="AI216" s="118">
        <v>37.44</v>
      </c>
      <c r="AJ216" s="37"/>
      <c r="AK216" s="38"/>
      <c r="AL216" s="197"/>
    </row>
    <row r="217" spans="1:38" x14ac:dyDescent="0.25">
      <c r="A217" s="65" t="s">
        <v>70</v>
      </c>
      <c r="B217" s="537"/>
      <c r="C217" s="537"/>
      <c r="D217" s="118">
        <v>38.840000000000003</v>
      </c>
      <c r="E217" s="537"/>
      <c r="F217" s="537"/>
      <c r="G217" s="537"/>
      <c r="H217" s="118">
        <v>33.450000000000003</v>
      </c>
      <c r="I217" s="37"/>
      <c r="J217" s="537"/>
      <c r="K217" s="537"/>
      <c r="L217" s="537"/>
      <c r="M217" s="118">
        <v>36.18</v>
      </c>
      <c r="N217" s="537"/>
      <c r="O217" s="537"/>
      <c r="P217" s="537"/>
      <c r="Q217" s="37"/>
      <c r="R217" s="537"/>
      <c r="S217" s="1">
        <v>40</v>
      </c>
      <c r="T217" s="537"/>
      <c r="U217" s="537"/>
      <c r="V217" s="118">
        <v>37.020000000000003</v>
      </c>
      <c r="W217" s="597"/>
      <c r="X217" s="414"/>
      <c r="Y217" s="37"/>
      <c r="Z217" s="537"/>
      <c r="AA217" s="537"/>
      <c r="AB217" s="530"/>
      <c r="AC217" s="57">
        <v>40</v>
      </c>
      <c r="AD217" s="530"/>
      <c r="AE217" s="537"/>
      <c r="AF217" s="537"/>
      <c r="AG217" s="537"/>
      <c r="AH217" s="118">
        <v>37.47</v>
      </c>
      <c r="AI217" s="537"/>
      <c r="AJ217" s="37"/>
      <c r="AK217" s="38"/>
      <c r="AL217" s="197"/>
    </row>
    <row r="218" spans="1:38" x14ac:dyDescent="0.25">
      <c r="A218" s="65" t="s">
        <v>71</v>
      </c>
      <c r="B218" s="537"/>
      <c r="C218" s="537"/>
      <c r="D218" s="537"/>
      <c r="E218" s="537"/>
      <c r="F218" s="530"/>
      <c r="G218" s="537"/>
      <c r="H218" s="537"/>
      <c r="I218" s="111"/>
      <c r="J218" s="537"/>
      <c r="K218" s="2">
        <v>44.12</v>
      </c>
      <c r="L218" s="537"/>
      <c r="M218" s="1">
        <v>37.01</v>
      </c>
      <c r="N218" s="537"/>
      <c r="O218" s="570">
        <v>35.28</v>
      </c>
      <c r="P218" s="537"/>
      <c r="Q218" s="37"/>
      <c r="R218" s="537"/>
      <c r="S218" s="537"/>
      <c r="T218" s="537"/>
      <c r="U218" s="537"/>
      <c r="V218" s="537"/>
      <c r="W218" s="597"/>
      <c r="X218" s="414"/>
      <c r="Y218" s="37"/>
      <c r="Z218" s="537"/>
      <c r="AA218" s="537"/>
      <c r="AB218" s="530"/>
      <c r="AC218" s="530"/>
      <c r="AD218" s="530"/>
      <c r="AE218" s="537"/>
      <c r="AF218" s="537"/>
      <c r="AG218" s="537"/>
      <c r="AH218" s="1">
        <v>40</v>
      </c>
      <c r="AI218" s="537"/>
      <c r="AJ218" s="37"/>
      <c r="AK218" s="38"/>
      <c r="AL218" s="197"/>
    </row>
    <row r="219" spans="1:38" x14ac:dyDescent="0.25">
      <c r="A219" s="65" t="s">
        <v>72</v>
      </c>
      <c r="B219" s="537"/>
      <c r="C219" s="537"/>
      <c r="D219" s="537"/>
      <c r="E219" s="537"/>
      <c r="F219" s="537"/>
      <c r="G219" s="537"/>
      <c r="H219" s="118">
        <v>39.46</v>
      </c>
      <c r="I219" s="37"/>
      <c r="J219" s="537"/>
      <c r="K219" s="537"/>
      <c r="L219" s="537"/>
      <c r="M219" s="537"/>
      <c r="N219" s="582"/>
      <c r="O219" s="537"/>
      <c r="P219" s="537"/>
      <c r="Q219" s="37"/>
      <c r="R219" s="672">
        <v>20.93</v>
      </c>
      <c r="S219" s="537"/>
      <c r="T219" s="537"/>
      <c r="U219" s="537"/>
      <c r="V219" s="530"/>
      <c r="W219" s="597"/>
      <c r="X219" s="414"/>
      <c r="Y219" s="37"/>
      <c r="Z219" s="537"/>
      <c r="AA219" s="118">
        <v>39.69</v>
      </c>
      <c r="AB219" s="530"/>
      <c r="AC219" s="530"/>
      <c r="AD219" s="530"/>
      <c r="AE219" s="537"/>
      <c r="AF219" s="537"/>
      <c r="AG219" s="118">
        <v>34.65</v>
      </c>
      <c r="AH219" s="537"/>
      <c r="AI219" s="537"/>
      <c r="AJ219" s="37"/>
      <c r="AK219" s="38"/>
      <c r="AL219" s="197"/>
    </row>
    <row r="220" spans="1:38" x14ac:dyDescent="0.25">
      <c r="A220" s="65" t="s">
        <v>73</v>
      </c>
      <c r="B220" s="537"/>
      <c r="C220" s="537"/>
      <c r="D220" s="537"/>
      <c r="E220" s="118">
        <v>42.75</v>
      </c>
      <c r="F220" s="530"/>
      <c r="G220" s="537"/>
      <c r="H220" s="537"/>
      <c r="I220" s="37"/>
      <c r="J220" s="537"/>
      <c r="K220" s="537"/>
      <c r="L220" s="537"/>
      <c r="M220" s="537"/>
      <c r="N220" s="537"/>
      <c r="O220" s="570">
        <v>39.770000000000003</v>
      </c>
      <c r="P220" s="537"/>
      <c r="Q220" s="37"/>
      <c r="R220" s="537"/>
      <c r="S220" s="537"/>
      <c r="T220" s="537"/>
      <c r="U220" s="537"/>
      <c r="V220" s="537"/>
      <c r="W220" s="597"/>
      <c r="X220" s="414"/>
      <c r="Y220" s="37"/>
      <c r="Z220" s="537"/>
      <c r="AA220" s="530"/>
      <c r="AB220" s="530"/>
      <c r="AC220" s="57">
        <v>40</v>
      </c>
      <c r="AD220" s="530"/>
      <c r="AE220" s="537"/>
      <c r="AF220" s="537"/>
      <c r="AG220" s="537"/>
      <c r="AH220" s="537"/>
      <c r="AI220" s="118">
        <v>38.72</v>
      </c>
      <c r="AJ220" s="37"/>
      <c r="AK220" s="38"/>
      <c r="AL220" s="197"/>
    </row>
    <row r="221" spans="1:38" x14ac:dyDescent="0.25">
      <c r="A221" s="65" t="s">
        <v>74</v>
      </c>
      <c r="B221" s="537"/>
      <c r="C221" s="1">
        <v>40</v>
      </c>
      <c r="D221" s="537"/>
      <c r="E221" s="537"/>
      <c r="F221" s="537"/>
      <c r="G221" s="1">
        <v>48.74</v>
      </c>
      <c r="H221" s="537"/>
      <c r="I221" s="37"/>
      <c r="J221" s="537"/>
      <c r="K221" s="118">
        <v>35.97</v>
      </c>
      <c r="L221" s="537"/>
      <c r="M221" s="530"/>
      <c r="N221" s="118">
        <v>35.18</v>
      </c>
      <c r="O221" s="537"/>
      <c r="P221" s="118">
        <v>24.62</v>
      </c>
      <c r="Q221" s="37"/>
      <c r="R221" s="537"/>
      <c r="S221" s="537"/>
      <c r="T221" s="537"/>
      <c r="U221" s="537"/>
      <c r="V221" s="1">
        <v>40</v>
      </c>
      <c r="W221" s="597"/>
      <c r="X221" s="414"/>
      <c r="Y221" s="37"/>
      <c r="Z221" s="118">
        <v>23.15</v>
      </c>
      <c r="AA221" s="530"/>
      <c r="AB221" s="57">
        <v>17.190000000000001</v>
      </c>
      <c r="AC221" s="530"/>
      <c r="AD221" s="530"/>
      <c r="AE221" s="537"/>
      <c r="AF221" s="1">
        <v>38.81</v>
      </c>
      <c r="AG221" s="537"/>
      <c r="AH221" s="537"/>
      <c r="AI221" s="537"/>
      <c r="AJ221" s="37"/>
      <c r="AK221" s="38"/>
      <c r="AL221" s="197"/>
    </row>
    <row r="222" spans="1:38" x14ac:dyDescent="0.25">
      <c r="A222" s="65" t="s">
        <v>76</v>
      </c>
      <c r="B222" s="118">
        <v>42.74</v>
      </c>
      <c r="C222" s="537"/>
      <c r="D222" s="537"/>
      <c r="E222" s="537"/>
      <c r="F222" s="1">
        <v>40</v>
      </c>
      <c r="G222" s="537"/>
      <c r="H222" s="118">
        <v>20.79</v>
      </c>
      <c r="I222" s="37"/>
      <c r="J222" s="537"/>
      <c r="K222" s="537"/>
      <c r="L222" s="118">
        <v>34.68</v>
      </c>
      <c r="M222" s="537"/>
      <c r="N222" s="530"/>
      <c r="O222" s="537"/>
      <c r="P222" s="118">
        <v>34.619999999999997</v>
      </c>
      <c r="Q222" s="37"/>
      <c r="R222" s="537"/>
      <c r="S222" s="537"/>
      <c r="T222" s="537"/>
      <c r="U222" s="1">
        <v>35.5</v>
      </c>
      <c r="V222" s="537"/>
      <c r="W222" s="597"/>
      <c r="X222" s="414"/>
      <c r="Y222" s="37"/>
      <c r="Z222" s="118">
        <v>14.04</v>
      </c>
      <c r="AA222" s="537"/>
      <c r="AB222" s="57">
        <v>40</v>
      </c>
      <c r="AC222" s="530"/>
      <c r="AD222" s="530"/>
      <c r="AE222" s="118">
        <v>31.47</v>
      </c>
      <c r="AF222" s="537"/>
      <c r="AG222" s="537"/>
      <c r="AH222" s="118">
        <v>29.32</v>
      </c>
      <c r="AI222" s="537"/>
      <c r="AJ222" s="37"/>
      <c r="AK222" s="38"/>
      <c r="AL222" s="197"/>
    </row>
    <row r="223" spans="1:38" x14ac:dyDescent="0.25">
      <c r="A223" s="65" t="s">
        <v>75</v>
      </c>
      <c r="B223" s="537"/>
      <c r="C223" s="530"/>
      <c r="D223" s="537"/>
      <c r="E223" s="537"/>
      <c r="F223" s="537"/>
      <c r="G223" s="1">
        <v>40</v>
      </c>
      <c r="H223" s="537"/>
      <c r="I223" s="37"/>
      <c r="J223" s="537"/>
      <c r="K223" s="537"/>
      <c r="L223" s="530"/>
      <c r="M223" s="537"/>
      <c r="N223" s="537"/>
      <c r="O223" s="537"/>
      <c r="P223" s="537"/>
      <c r="Q223" s="37"/>
      <c r="R223" s="537"/>
      <c r="S223" s="118">
        <v>39.85</v>
      </c>
      <c r="T223" s="537"/>
      <c r="U223" s="537"/>
      <c r="V223" s="537"/>
      <c r="W223" s="597"/>
      <c r="X223" s="414"/>
      <c r="Y223" s="37"/>
      <c r="Z223" s="537"/>
      <c r="AA223" s="537"/>
      <c r="AB223" s="530"/>
      <c r="AC223" s="530"/>
      <c r="AD223" s="530"/>
      <c r="AE223" s="537"/>
      <c r="AF223" s="537"/>
      <c r="AG223" s="537"/>
      <c r="AH223" s="537"/>
      <c r="AI223" s="1">
        <v>40</v>
      </c>
      <c r="AJ223" s="37"/>
      <c r="AK223" s="38"/>
      <c r="AL223" s="197"/>
    </row>
    <row r="224" spans="1:38" x14ac:dyDescent="0.25">
      <c r="A224" s="65" t="s">
        <v>49</v>
      </c>
      <c r="B224" s="537"/>
      <c r="C224" s="537"/>
      <c r="D224" s="537"/>
      <c r="E224" s="537"/>
      <c r="F224" s="537"/>
      <c r="G224" s="537"/>
      <c r="H224" s="537"/>
      <c r="I224" s="111"/>
      <c r="J224" s="537"/>
      <c r="K224" s="537"/>
      <c r="L224" s="537"/>
      <c r="M224" s="537"/>
      <c r="N224" s="537"/>
      <c r="O224" s="537"/>
      <c r="P224" s="537"/>
      <c r="Q224" s="37"/>
      <c r="R224" s="537"/>
      <c r="S224" s="537"/>
      <c r="T224" s="537"/>
      <c r="U224" s="537"/>
      <c r="V224" s="537"/>
      <c r="W224" s="597"/>
      <c r="X224" s="414"/>
      <c r="Y224" s="37"/>
      <c r="Z224" s="537"/>
      <c r="AA224" s="537"/>
      <c r="AB224" s="530"/>
      <c r="AC224" s="530"/>
      <c r="AD224" s="530"/>
      <c r="AE224" s="537"/>
      <c r="AF224" s="537"/>
      <c r="AG224" s="537"/>
      <c r="AH224" s="537"/>
      <c r="AI224" s="537"/>
      <c r="AJ224" s="37"/>
      <c r="AK224" s="38"/>
      <c r="AL224" s="197"/>
    </row>
    <row r="225" spans="1:38" x14ac:dyDescent="0.25">
      <c r="A225" s="65" t="s">
        <v>23</v>
      </c>
      <c r="B225" s="537"/>
      <c r="C225" s="537"/>
      <c r="D225" s="537"/>
      <c r="E225" s="537"/>
      <c r="F225" s="537"/>
      <c r="G225" s="537"/>
      <c r="H225" s="537"/>
      <c r="I225" s="111"/>
      <c r="J225" s="537"/>
      <c r="K225" s="537"/>
      <c r="L225" s="537"/>
      <c r="M225" s="537"/>
      <c r="N225" s="537"/>
      <c r="O225" s="537"/>
      <c r="P225" s="537"/>
      <c r="Q225" s="37"/>
      <c r="R225" s="537"/>
      <c r="S225" s="537"/>
      <c r="T225" s="537"/>
      <c r="U225" s="537"/>
      <c r="V225" s="537"/>
      <c r="W225" s="597"/>
      <c r="X225" s="414"/>
      <c r="Y225" s="37"/>
      <c r="Z225" s="537"/>
      <c r="AA225" s="537"/>
      <c r="AB225" s="530"/>
      <c r="AC225" s="530"/>
      <c r="AD225" s="530"/>
      <c r="AE225" s="537"/>
      <c r="AF225" s="537"/>
      <c r="AG225" s="537"/>
      <c r="AH225" s="537"/>
      <c r="AI225" s="537"/>
      <c r="AJ225" s="37"/>
      <c r="AK225" s="38"/>
      <c r="AL225" s="197"/>
    </row>
    <row r="226" spans="1:38" x14ac:dyDescent="0.25">
      <c r="A226" s="65" t="s">
        <v>50</v>
      </c>
      <c r="B226" s="537"/>
      <c r="C226" s="537"/>
      <c r="D226" s="537"/>
      <c r="E226" s="537"/>
      <c r="F226" s="530"/>
      <c r="G226" s="537"/>
      <c r="H226" s="537"/>
      <c r="I226" s="111"/>
      <c r="J226" s="537"/>
      <c r="K226" s="537"/>
      <c r="L226" s="537"/>
      <c r="M226" s="537"/>
      <c r="N226" s="537"/>
      <c r="O226" s="537"/>
      <c r="P226" s="537"/>
      <c r="Q226" s="37"/>
      <c r="R226" s="537"/>
      <c r="S226" s="537"/>
      <c r="T226" s="537"/>
      <c r="U226" s="537"/>
      <c r="V226" s="537"/>
      <c r="W226" s="597"/>
      <c r="X226" s="414"/>
      <c r="Y226" s="37"/>
      <c r="Z226" s="537"/>
      <c r="AA226" s="537"/>
      <c r="AB226" s="530"/>
      <c r="AC226" s="530"/>
      <c r="AD226" s="530"/>
      <c r="AE226" s="537"/>
      <c r="AF226" s="537"/>
      <c r="AG226" s="537"/>
      <c r="AH226" s="537"/>
      <c r="AI226" s="537"/>
      <c r="AJ226" s="37"/>
      <c r="AK226" s="38"/>
      <c r="AL226" s="197"/>
    </row>
    <row r="227" spans="1:38" x14ac:dyDescent="0.25">
      <c r="A227" s="65" t="s">
        <v>51</v>
      </c>
      <c r="B227" s="537"/>
      <c r="C227" s="537"/>
      <c r="D227" s="537"/>
      <c r="E227" s="537"/>
      <c r="F227" s="537"/>
      <c r="G227" s="537"/>
      <c r="H227" s="537"/>
      <c r="I227" s="111"/>
      <c r="J227" s="537"/>
      <c r="K227" s="537"/>
      <c r="L227" s="537"/>
      <c r="M227" s="537"/>
      <c r="N227" s="537"/>
      <c r="O227" s="537"/>
      <c r="P227" s="537"/>
      <c r="Q227" s="37"/>
      <c r="R227" s="537"/>
      <c r="S227" s="537"/>
      <c r="T227" s="537"/>
      <c r="U227" s="537"/>
      <c r="V227" s="537"/>
      <c r="W227" s="597"/>
      <c r="X227" s="414"/>
      <c r="Y227" s="37"/>
      <c r="Z227" s="537"/>
      <c r="AA227" s="537"/>
      <c r="AB227" s="530"/>
      <c r="AC227" s="57">
        <v>50</v>
      </c>
      <c r="AD227" s="530"/>
      <c r="AE227" s="537"/>
      <c r="AF227" s="537"/>
      <c r="AG227" s="537"/>
      <c r="AH227" s="537"/>
      <c r="AI227" s="537"/>
      <c r="AJ227" s="37"/>
      <c r="AK227" s="38"/>
      <c r="AL227" s="197"/>
    </row>
    <row r="228" spans="1:38" x14ac:dyDescent="0.25">
      <c r="A228" s="65" t="s">
        <v>52</v>
      </c>
      <c r="B228" s="118">
        <v>44.57</v>
      </c>
      <c r="C228" s="537"/>
      <c r="D228" s="537"/>
      <c r="E228" s="537"/>
      <c r="F228" s="537"/>
      <c r="G228" s="537"/>
      <c r="H228" s="537"/>
      <c r="I228" s="37"/>
      <c r="J228" s="537"/>
      <c r="K228" s="537"/>
      <c r="L228" s="537"/>
      <c r="M228" s="537"/>
      <c r="N228" s="118">
        <v>38.97</v>
      </c>
      <c r="O228" s="537"/>
      <c r="P228" s="537"/>
      <c r="Q228" s="37"/>
      <c r="R228" s="537"/>
      <c r="S228" s="537"/>
      <c r="T228" s="537"/>
      <c r="U228" s="537"/>
      <c r="V228" s="537"/>
      <c r="W228" s="597"/>
      <c r="X228" s="414"/>
      <c r="Y228" s="37"/>
      <c r="Z228" s="537"/>
      <c r="AA228" s="537"/>
      <c r="AB228" s="530"/>
      <c r="AC228" s="530"/>
      <c r="AD228" s="530"/>
      <c r="AE228" s="537"/>
      <c r="AF228" s="537"/>
      <c r="AG228" s="537"/>
      <c r="AH228" s="537"/>
      <c r="AI228" s="537"/>
      <c r="AJ228" s="37"/>
      <c r="AK228" s="38"/>
      <c r="AL228" s="197"/>
    </row>
    <row r="229" spans="1:38" x14ac:dyDescent="0.25">
      <c r="A229" s="65" t="s">
        <v>53</v>
      </c>
      <c r="B229" s="537"/>
      <c r="C229" s="537"/>
      <c r="D229" s="537"/>
      <c r="E229" s="537"/>
      <c r="F229" s="537"/>
      <c r="G229" s="537"/>
      <c r="H229" s="537"/>
      <c r="I229" s="111"/>
      <c r="J229" s="537"/>
      <c r="K229" s="537"/>
      <c r="L229" s="537"/>
      <c r="M229" s="537"/>
      <c r="N229" s="118">
        <v>59.14</v>
      </c>
      <c r="O229" s="537"/>
      <c r="P229" s="537"/>
      <c r="Q229" s="37"/>
      <c r="R229" s="537"/>
      <c r="S229" s="537"/>
      <c r="T229" s="537"/>
      <c r="U229" s="537"/>
      <c r="V229" s="537"/>
      <c r="W229" s="597"/>
      <c r="X229" s="414"/>
      <c r="Y229" s="37"/>
      <c r="Z229" s="537"/>
      <c r="AA229" s="537"/>
      <c r="AB229" s="530"/>
      <c r="AC229" s="530"/>
      <c r="AD229" s="530"/>
      <c r="AE229" s="537"/>
      <c r="AF229" s="537"/>
      <c r="AG229" s="537"/>
      <c r="AH229" s="537"/>
      <c r="AI229" s="537"/>
      <c r="AJ229" s="37"/>
      <c r="AK229" s="38"/>
      <c r="AL229" s="197"/>
    </row>
    <row r="230" spans="1:38" x14ac:dyDescent="0.25">
      <c r="A230" s="65" t="s">
        <v>98</v>
      </c>
      <c r="B230" s="537"/>
      <c r="C230" s="537"/>
      <c r="D230" s="537"/>
      <c r="E230" s="537"/>
      <c r="F230" s="537"/>
      <c r="G230" s="118">
        <v>73.27</v>
      </c>
      <c r="H230" s="537"/>
      <c r="I230" s="37"/>
      <c r="J230" s="537"/>
      <c r="K230" s="537"/>
      <c r="L230" s="537"/>
      <c r="M230" s="537"/>
      <c r="N230" s="537"/>
      <c r="O230" s="537"/>
      <c r="P230" s="537"/>
      <c r="Q230" s="37"/>
      <c r="R230" s="537"/>
      <c r="S230" s="537"/>
      <c r="T230" s="118">
        <v>71.91</v>
      </c>
      <c r="U230" s="537"/>
      <c r="V230" s="537"/>
      <c r="W230" s="597"/>
      <c r="X230" s="414"/>
      <c r="Y230" s="37"/>
      <c r="Z230" s="537"/>
      <c r="AA230" s="537"/>
      <c r="AB230" s="530"/>
      <c r="AC230" s="530"/>
      <c r="AD230" s="530"/>
      <c r="AE230" s="537"/>
      <c r="AF230" s="57">
        <v>70</v>
      </c>
      <c r="AG230" s="537"/>
      <c r="AH230" s="537"/>
      <c r="AI230" s="537"/>
      <c r="AJ230" s="37"/>
      <c r="AK230" s="38"/>
      <c r="AL230" s="197"/>
    </row>
    <row r="231" spans="1:38" ht="15" customHeight="1" x14ac:dyDescent="0.3">
      <c r="A231" s="65" t="s">
        <v>83</v>
      </c>
      <c r="B231" s="152">
        <v>24.56</v>
      </c>
      <c r="C231" s="712">
        <v>17.399999999999999</v>
      </c>
      <c r="D231" s="581"/>
      <c r="E231" s="152">
        <v>20.09</v>
      </c>
      <c r="F231" s="712">
        <v>15.9</v>
      </c>
      <c r="G231" s="586"/>
      <c r="H231" s="581"/>
      <c r="I231" s="269"/>
      <c r="J231" s="581"/>
      <c r="K231" s="576"/>
      <c r="L231" s="581"/>
      <c r="M231" s="152">
        <v>33.82</v>
      </c>
      <c r="N231" s="171">
        <v>16.16</v>
      </c>
      <c r="O231" s="581"/>
      <c r="P231" s="152">
        <v>28.39</v>
      </c>
      <c r="Q231" s="269"/>
      <c r="R231" s="581"/>
      <c r="S231" s="581"/>
      <c r="T231" s="581"/>
      <c r="U231" s="581"/>
      <c r="V231" s="581"/>
      <c r="W231" s="598"/>
      <c r="X231" s="416"/>
      <c r="Y231" s="269"/>
      <c r="Z231" s="581"/>
      <c r="AA231" s="581"/>
      <c r="AB231" s="576"/>
      <c r="AC231" s="175">
        <v>30</v>
      </c>
      <c r="AD231" s="576"/>
      <c r="AE231" s="152">
        <v>20.29</v>
      </c>
      <c r="AF231" s="581"/>
      <c r="AG231" s="581"/>
      <c r="AH231" s="581"/>
      <c r="AI231" s="581"/>
      <c r="AJ231" s="269"/>
      <c r="AK231" s="271"/>
      <c r="AL231" s="204"/>
    </row>
    <row r="232" spans="1:38" x14ac:dyDescent="0.25">
      <c r="A232" s="65" t="s">
        <v>84</v>
      </c>
      <c r="B232" s="587"/>
      <c r="C232" s="711">
        <v>29.65</v>
      </c>
      <c r="D232" s="587"/>
      <c r="E232" s="240">
        <v>27.23</v>
      </c>
      <c r="F232" s="588"/>
      <c r="G232" s="240">
        <v>27.46</v>
      </c>
      <c r="H232" s="583"/>
      <c r="I232" s="49"/>
      <c r="J232" s="242">
        <v>36.9</v>
      </c>
      <c r="K232" s="240">
        <v>21.99</v>
      </c>
      <c r="L232" s="582"/>
      <c r="M232" s="240">
        <v>35.26</v>
      </c>
      <c r="N232" s="588"/>
      <c r="O232" s="240">
        <v>28.19</v>
      </c>
      <c r="P232" s="240">
        <v>17.920000000000002</v>
      </c>
      <c r="Q232" s="49"/>
      <c r="R232" s="583"/>
      <c r="S232" s="588"/>
      <c r="T232" s="118">
        <v>20.56</v>
      </c>
      <c r="U232" s="582"/>
      <c r="V232" s="240">
        <v>36.26</v>
      </c>
      <c r="W232" s="597"/>
      <c r="X232" s="417"/>
      <c r="Y232" s="49"/>
      <c r="Z232" s="240">
        <v>28.73</v>
      </c>
      <c r="AA232" s="240">
        <v>33.42</v>
      </c>
      <c r="AB232" s="588"/>
      <c r="AC232" s="242">
        <v>35.21</v>
      </c>
      <c r="AD232" s="588"/>
      <c r="AE232" s="240">
        <v>36.71</v>
      </c>
      <c r="AF232" s="582"/>
      <c r="AG232" s="240">
        <v>34.46</v>
      </c>
      <c r="AH232" s="240">
        <v>20.059999999999999</v>
      </c>
      <c r="AI232" s="240">
        <v>20.22</v>
      </c>
      <c r="AJ232" s="49"/>
      <c r="AK232" s="133"/>
      <c r="AL232" s="197"/>
    </row>
    <row r="233" spans="1:38" x14ac:dyDescent="0.25">
      <c r="A233" s="65" t="s">
        <v>85</v>
      </c>
      <c r="B233" s="242">
        <v>15.33</v>
      </c>
      <c r="C233" s="587"/>
      <c r="D233" s="587"/>
      <c r="E233" s="240">
        <v>23.82</v>
      </c>
      <c r="F233" s="583"/>
      <c r="G233" s="582"/>
      <c r="H233" s="583"/>
      <c r="I233" s="49"/>
      <c r="J233" s="583"/>
      <c r="K233" s="583"/>
      <c r="L233" s="582"/>
      <c r="M233" s="582"/>
      <c r="N233" s="583"/>
      <c r="O233" s="240">
        <v>28.19</v>
      </c>
      <c r="P233" s="583"/>
      <c r="Q233" s="49"/>
      <c r="R233" s="582"/>
      <c r="S233" s="583"/>
      <c r="T233" s="583"/>
      <c r="U233" s="583"/>
      <c r="V233" s="582"/>
      <c r="W233" s="597"/>
      <c r="X233" s="417"/>
      <c r="Y233" s="49"/>
      <c r="Z233" s="583"/>
      <c r="AA233" s="583"/>
      <c r="AB233" s="588"/>
      <c r="AC233" s="587"/>
      <c r="AD233" s="242">
        <v>34.659999999999997</v>
      </c>
      <c r="AE233" s="583"/>
      <c r="AF233" s="583"/>
      <c r="AG233" s="582"/>
      <c r="AH233" s="583"/>
      <c r="AI233" s="583"/>
      <c r="AJ233" s="49"/>
      <c r="AK233" s="133"/>
      <c r="AL233" s="197"/>
    </row>
    <row r="234" spans="1:38" ht="15" customHeight="1" x14ac:dyDescent="0.3">
      <c r="A234" s="65" t="s">
        <v>62</v>
      </c>
      <c r="B234" s="583"/>
      <c r="C234" s="583"/>
      <c r="D234" s="582"/>
      <c r="E234" s="337">
        <v>19.79</v>
      </c>
      <c r="F234" s="583"/>
      <c r="G234" s="582"/>
      <c r="H234" s="583"/>
      <c r="I234" s="244"/>
      <c r="J234" s="583"/>
      <c r="K234" s="337">
        <v>33.99</v>
      </c>
      <c r="L234" s="583"/>
      <c r="M234" s="582"/>
      <c r="N234" s="583"/>
      <c r="O234" s="583"/>
      <c r="P234" s="583"/>
      <c r="Q234" s="244"/>
      <c r="R234" s="337">
        <v>36.520000000000003</v>
      </c>
      <c r="S234" s="583"/>
      <c r="T234" s="583"/>
      <c r="U234" s="337">
        <v>27.12</v>
      </c>
      <c r="V234" s="582"/>
      <c r="W234" s="597"/>
      <c r="X234" s="417"/>
      <c r="Y234" s="244"/>
      <c r="Z234" s="583"/>
      <c r="AA234" s="337">
        <v>26.89</v>
      </c>
      <c r="AB234" s="587"/>
      <c r="AC234" s="588"/>
      <c r="AD234" s="588"/>
      <c r="AE234" s="583"/>
      <c r="AF234" s="583"/>
      <c r="AG234" s="582"/>
      <c r="AH234" s="337">
        <v>37.54</v>
      </c>
      <c r="AI234" s="583"/>
      <c r="AJ234" s="244"/>
      <c r="AK234" s="170"/>
      <c r="AL234" s="197"/>
    </row>
    <row r="235" spans="1:38" ht="15" customHeight="1" x14ac:dyDescent="0.35">
      <c r="A235" s="65" t="s">
        <v>61</v>
      </c>
      <c r="B235" s="537"/>
      <c r="C235" s="570">
        <v>29.16</v>
      </c>
      <c r="D235" s="537"/>
      <c r="E235" s="537"/>
      <c r="F235" s="131">
        <v>33.340000000000003</v>
      </c>
      <c r="G235" s="582"/>
      <c r="H235" s="530"/>
      <c r="I235" s="289"/>
      <c r="J235" s="537"/>
      <c r="K235" s="537"/>
      <c r="L235" s="530"/>
      <c r="M235" s="445">
        <v>40</v>
      </c>
      <c r="N235" s="537"/>
      <c r="O235" s="12">
        <v>40</v>
      </c>
      <c r="P235" s="537"/>
      <c r="Q235" s="289"/>
      <c r="R235" s="537"/>
      <c r="S235" s="537"/>
      <c r="T235" s="570">
        <v>39.590000000000003</v>
      </c>
      <c r="U235" s="537"/>
      <c r="V235" s="537"/>
      <c r="W235" s="597"/>
      <c r="X235" s="418"/>
      <c r="Y235" s="289"/>
      <c r="Z235" s="537"/>
      <c r="AA235" s="12">
        <v>40</v>
      </c>
      <c r="AB235" s="135">
        <v>31.13</v>
      </c>
      <c r="AC235" s="530"/>
      <c r="AD235" s="588"/>
      <c r="AE235" s="131">
        <v>40.270000000000003</v>
      </c>
      <c r="AF235" s="537"/>
      <c r="AG235" s="582"/>
      <c r="AH235" s="131">
        <v>27.19</v>
      </c>
      <c r="AI235" s="537"/>
      <c r="AJ235" s="289"/>
      <c r="AK235" s="255"/>
      <c r="AL235" s="292"/>
    </row>
    <row r="236" spans="1:38" x14ac:dyDescent="0.25">
      <c r="A236" s="66" t="s">
        <v>86</v>
      </c>
      <c r="B236" s="584"/>
      <c r="C236" s="584"/>
      <c r="D236" s="584"/>
      <c r="E236" s="584"/>
      <c r="F236" s="585"/>
      <c r="G236" s="338">
        <v>26.43</v>
      </c>
      <c r="H236" s="584"/>
      <c r="I236" s="290"/>
      <c r="J236" s="584"/>
      <c r="K236" s="584"/>
      <c r="L236" s="585"/>
      <c r="M236" s="338">
        <v>20.71</v>
      </c>
      <c r="N236" s="584"/>
      <c r="O236" s="584"/>
      <c r="P236" s="585"/>
      <c r="Q236" s="290"/>
      <c r="R236" s="584"/>
      <c r="S236" s="584"/>
      <c r="T236" s="753">
        <v>25.96</v>
      </c>
      <c r="U236" s="584"/>
      <c r="V236" s="584"/>
      <c r="W236" s="598"/>
      <c r="X236" s="415"/>
      <c r="Y236" s="290"/>
      <c r="Z236" s="584"/>
      <c r="AA236" s="584"/>
      <c r="AB236" s="589"/>
      <c r="AC236" s="589"/>
      <c r="AD236" s="367">
        <v>25.53</v>
      </c>
      <c r="AE236" s="584"/>
      <c r="AF236" s="585"/>
      <c r="AG236" s="585"/>
      <c r="AH236" s="584"/>
      <c r="AI236" s="584"/>
      <c r="AJ236" s="290"/>
      <c r="AK236" s="291"/>
      <c r="AL236" s="204"/>
    </row>
    <row r="237" spans="1:38" x14ac:dyDescent="0.25">
      <c r="A237" s="66" t="s">
        <v>100</v>
      </c>
      <c r="B237" s="589"/>
      <c r="C237" s="589"/>
      <c r="D237" s="589"/>
      <c r="E237" s="584"/>
      <c r="F237" s="584"/>
      <c r="G237" s="585"/>
      <c r="H237" s="584"/>
      <c r="I237" s="604"/>
      <c r="J237" s="585"/>
      <c r="K237" s="584"/>
      <c r="L237" s="584"/>
      <c r="M237" s="584"/>
      <c r="N237" s="584"/>
      <c r="O237" s="584"/>
      <c r="P237" s="584"/>
      <c r="Q237" s="290"/>
      <c r="R237" s="584"/>
      <c r="S237" s="584"/>
      <c r="T237" s="584"/>
      <c r="U237" s="584"/>
      <c r="V237" s="584"/>
      <c r="W237" s="598"/>
      <c r="X237" s="415"/>
      <c r="Y237" s="290"/>
      <c r="Z237" s="584"/>
      <c r="AA237" s="584"/>
      <c r="AB237" s="589"/>
      <c r="AC237" s="589"/>
      <c r="AD237" s="586"/>
      <c r="AE237" s="584"/>
      <c r="AF237" s="584"/>
      <c r="AG237" s="585"/>
      <c r="AH237" s="584"/>
      <c r="AI237" s="764"/>
      <c r="AJ237" s="290"/>
      <c r="AK237" s="46"/>
      <c r="AL237" s="204"/>
    </row>
    <row r="238" spans="1:38" x14ac:dyDescent="0.25">
      <c r="A238" s="66" t="s">
        <v>35</v>
      </c>
      <c r="B238" s="589"/>
      <c r="C238" s="589"/>
      <c r="D238" s="589"/>
      <c r="E238" s="584"/>
      <c r="F238" s="584"/>
      <c r="G238" s="585"/>
      <c r="H238" s="584"/>
      <c r="I238" s="604"/>
      <c r="J238" s="585"/>
      <c r="K238" s="584"/>
      <c r="L238" s="584"/>
      <c r="M238" s="584"/>
      <c r="N238" s="584"/>
      <c r="O238" s="584"/>
      <c r="P238" s="584"/>
      <c r="Q238" s="290"/>
      <c r="R238" s="584"/>
      <c r="S238" s="584"/>
      <c r="T238" s="584"/>
      <c r="U238" s="584"/>
      <c r="V238" s="584"/>
      <c r="W238" s="598"/>
      <c r="X238" s="415"/>
      <c r="Y238" s="290"/>
      <c r="Z238" s="584"/>
      <c r="AA238" s="584"/>
      <c r="AB238" s="589"/>
      <c r="AC238" s="589"/>
      <c r="AD238" s="586"/>
      <c r="AE238" s="584"/>
      <c r="AF238" s="584"/>
      <c r="AG238" s="586"/>
      <c r="AH238" s="584"/>
      <c r="AI238" s="764"/>
      <c r="AJ238" s="290"/>
      <c r="AK238" s="46"/>
      <c r="AL238" s="204"/>
    </row>
    <row r="239" spans="1:38" ht="15" customHeight="1" x14ac:dyDescent="0.3">
      <c r="A239" s="514" t="s">
        <v>22</v>
      </c>
      <c r="B239" s="589"/>
      <c r="C239" s="589"/>
      <c r="D239" s="367">
        <v>32</v>
      </c>
      <c r="E239" s="584"/>
      <c r="F239" s="584"/>
      <c r="G239" s="338">
        <v>25.06</v>
      </c>
      <c r="H239" s="585"/>
      <c r="I239" s="290"/>
      <c r="J239" s="585"/>
      <c r="K239" s="586"/>
      <c r="L239" s="338">
        <v>31.37</v>
      </c>
      <c r="M239" s="584"/>
      <c r="N239" s="585"/>
      <c r="O239" s="584"/>
      <c r="P239" s="338">
        <v>29.58</v>
      </c>
      <c r="Q239" s="290"/>
      <c r="R239" s="584"/>
      <c r="S239" s="584"/>
      <c r="T239" s="584"/>
      <c r="U239" s="338">
        <v>26.97</v>
      </c>
      <c r="V239" s="584"/>
      <c r="W239" s="598"/>
      <c r="X239" s="415"/>
      <c r="Y239" s="290"/>
      <c r="Z239" s="338">
        <v>20.49</v>
      </c>
      <c r="AA239" s="584"/>
      <c r="AB239" s="367">
        <v>22.01</v>
      </c>
      <c r="AC239" s="589"/>
      <c r="AD239" s="586"/>
      <c r="AE239" s="584"/>
      <c r="AF239" s="584"/>
      <c r="AG239" s="584"/>
      <c r="AH239" s="338">
        <v>23.78</v>
      </c>
      <c r="AI239" s="764"/>
      <c r="AJ239" s="290"/>
      <c r="AK239" s="342"/>
      <c r="AL239" s="204"/>
    </row>
    <row r="240" spans="1:38" ht="15" customHeight="1" x14ac:dyDescent="0.3">
      <c r="A240" s="514" t="s">
        <v>88</v>
      </c>
      <c r="B240" s="587"/>
      <c r="C240" s="587"/>
      <c r="D240" s="587"/>
      <c r="E240" s="583"/>
      <c r="F240" s="588"/>
      <c r="G240" s="582"/>
      <c r="H240" s="583"/>
      <c r="I240" s="605"/>
      <c r="J240" s="582"/>
      <c r="K240" s="583"/>
      <c r="L240" s="583"/>
      <c r="M240" s="583"/>
      <c r="N240" s="583"/>
      <c r="O240" s="583"/>
      <c r="P240" s="583"/>
      <c r="Q240" s="49"/>
      <c r="R240" s="583"/>
      <c r="S240" s="583"/>
      <c r="T240" s="583"/>
      <c r="U240" s="583"/>
      <c r="V240" s="583"/>
      <c r="W240" s="597"/>
      <c r="X240" s="417"/>
      <c r="Y240" s="49"/>
      <c r="Z240" s="583"/>
      <c r="AA240" s="583"/>
      <c r="AB240" s="587"/>
      <c r="AC240" s="587"/>
      <c r="AD240" s="588"/>
      <c r="AE240" s="583"/>
      <c r="AF240" s="583"/>
      <c r="AG240" s="583"/>
      <c r="AH240" s="583"/>
      <c r="AI240" s="583"/>
      <c r="AJ240" s="49"/>
      <c r="AK240" s="378"/>
      <c r="AL240" s="309"/>
    </row>
    <row r="241" spans="1:38" ht="15" customHeight="1" x14ac:dyDescent="0.3">
      <c r="A241" s="514" t="s">
        <v>393</v>
      </c>
      <c r="B241" s="587"/>
      <c r="C241" s="587"/>
      <c r="D241" s="587"/>
      <c r="E241" s="583"/>
      <c r="F241" s="588"/>
      <c r="G241" s="582"/>
      <c r="H241" s="583"/>
      <c r="I241" s="605"/>
      <c r="J241" s="588"/>
      <c r="K241" s="583"/>
      <c r="L241" s="583"/>
      <c r="M241" s="583"/>
      <c r="N241" s="583"/>
      <c r="O241" s="583"/>
      <c r="P241" s="583"/>
      <c r="Q241" s="49"/>
      <c r="R241" s="583"/>
      <c r="S241" s="583"/>
      <c r="T241" s="583"/>
      <c r="U241" s="588"/>
      <c r="V241" s="583"/>
      <c r="W241" s="597"/>
      <c r="X241" s="417"/>
      <c r="Y241" s="49"/>
      <c r="Z241" s="588"/>
      <c r="AA241" s="583"/>
      <c r="AB241" s="587"/>
      <c r="AC241" s="587"/>
      <c r="AD241" s="587"/>
      <c r="AE241" s="588"/>
      <c r="AF241" s="583"/>
      <c r="AG241" s="583"/>
      <c r="AH241" s="240">
        <v>45.79</v>
      </c>
      <c r="AI241" s="583"/>
      <c r="AJ241" s="49"/>
      <c r="AK241" s="378"/>
      <c r="AL241" s="309"/>
    </row>
    <row r="242" spans="1:38" x14ac:dyDescent="0.25">
      <c r="A242" s="514" t="s">
        <v>87</v>
      </c>
      <c r="B242" s="583"/>
      <c r="C242" s="583"/>
      <c r="D242" s="242">
        <v>40</v>
      </c>
      <c r="E242" s="583"/>
      <c r="F242" s="588"/>
      <c r="G242" s="582"/>
      <c r="H242" s="583"/>
      <c r="I242" s="369"/>
      <c r="J242" s="588"/>
      <c r="K242" s="583"/>
      <c r="L242" s="587"/>
      <c r="M242" s="583"/>
      <c r="N242" s="583"/>
      <c r="O242" s="337">
        <v>34.79</v>
      </c>
      <c r="P242" s="583"/>
      <c r="Q242" s="516"/>
      <c r="R242" s="583"/>
      <c r="S242" s="583"/>
      <c r="T242" s="583"/>
      <c r="U242" s="583"/>
      <c r="V242" s="583"/>
      <c r="W242" s="597"/>
      <c r="X242" s="417"/>
      <c r="Y242" s="516"/>
      <c r="Z242" s="583"/>
      <c r="AA242" s="583"/>
      <c r="AB242" s="587"/>
      <c r="AC242" s="587"/>
      <c r="AD242" s="587"/>
      <c r="AE242" s="583"/>
      <c r="AF242" s="583"/>
      <c r="AG242" s="583"/>
      <c r="AH242" s="337">
        <v>36.86</v>
      </c>
      <c r="AI242" s="583"/>
      <c r="AJ242" s="516"/>
      <c r="AK242" s="333"/>
      <c r="AL242" s="309"/>
    </row>
    <row r="243" spans="1:38" ht="14.25" customHeight="1" x14ac:dyDescent="0.25">
      <c r="A243" s="514" t="s">
        <v>378</v>
      </c>
      <c r="B243" s="581"/>
      <c r="C243" s="581"/>
      <c r="D243" s="581"/>
      <c r="E243" s="581"/>
      <c r="F243" s="581"/>
      <c r="G243" s="585"/>
      <c r="H243" s="581"/>
      <c r="I243" s="606"/>
      <c r="J243" s="581"/>
      <c r="K243" s="581"/>
      <c r="L243" s="152">
        <v>39.44</v>
      </c>
      <c r="M243" s="581"/>
      <c r="N243" s="581"/>
      <c r="O243" s="581"/>
      <c r="P243" s="581"/>
      <c r="Q243" s="357"/>
      <c r="R243" s="581"/>
      <c r="S243" s="581"/>
      <c r="T243" s="581"/>
      <c r="U243" s="581"/>
      <c r="V243" s="581"/>
      <c r="W243" s="598"/>
      <c r="X243" s="415"/>
      <c r="Y243" s="357"/>
      <c r="Z243" s="581"/>
      <c r="AA243" s="581"/>
      <c r="AB243" s="576"/>
      <c r="AC243" s="576"/>
      <c r="AD243" s="576"/>
      <c r="AE243" s="581"/>
      <c r="AF243" s="581"/>
      <c r="AG243" s="581"/>
      <c r="AH243" s="581"/>
      <c r="AI243" s="581"/>
      <c r="AJ243" s="357"/>
      <c r="AK243" s="117">
        <v>1271.45</v>
      </c>
      <c r="AL243" s="359"/>
    </row>
    <row r="244" spans="1:38" ht="15.75" x14ac:dyDescent="0.25">
      <c r="A244" s="514" t="s">
        <v>99</v>
      </c>
      <c r="B244" s="581"/>
      <c r="C244" s="581"/>
      <c r="D244" s="581"/>
      <c r="E244" s="581"/>
      <c r="F244" s="581"/>
      <c r="G244" s="585"/>
      <c r="H244" s="581"/>
      <c r="I244" s="606"/>
      <c r="J244" s="581"/>
      <c r="K244" s="581"/>
      <c r="L244" s="581"/>
      <c r="M244" s="581"/>
      <c r="N244" s="581"/>
      <c r="O244" s="581"/>
      <c r="P244" s="581"/>
      <c r="Q244" s="357"/>
      <c r="R244" s="581"/>
      <c r="S244" s="581"/>
      <c r="T244" s="581"/>
      <c r="U244" s="581"/>
      <c r="V244" s="581"/>
      <c r="W244" s="598"/>
      <c r="X244" s="415"/>
      <c r="Y244" s="357"/>
      <c r="Z244" s="581"/>
      <c r="AA244" s="581"/>
      <c r="AB244" s="576"/>
      <c r="AC244" s="576"/>
      <c r="AD244" s="576"/>
      <c r="AE244" s="581"/>
      <c r="AF244" s="581"/>
      <c r="AG244" s="581"/>
      <c r="AH244" s="581"/>
      <c r="AI244" s="581"/>
      <c r="AJ244" s="357"/>
      <c r="AK244" s="117">
        <v>1351.17</v>
      </c>
      <c r="AL244" s="359"/>
    </row>
    <row r="245" spans="1:38" ht="15.75" x14ac:dyDescent="0.25">
      <c r="A245" s="515" t="s">
        <v>91</v>
      </c>
      <c r="B245" s="367">
        <v>34.32</v>
      </c>
      <c r="C245" s="586"/>
      <c r="D245" s="586"/>
      <c r="E245" s="586"/>
      <c r="F245" s="586"/>
      <c r="G245" s="586"/>
      <c r="H245" s="367">
        <v>38.770000000000003</v>
      </c>
      <c r="I245" s="374"/>
      <c r="J245" s="586"/>
      <c r="K245" s="586"/>
      <c r="L245" s="586"/>
      <c r="M245" s="586"/>
      <c r="N245" s="586"/>
      <c r="O245" s="586"/>
      <c r="P245" s="367">
        <v>36.5</v>
      </c>
      <c r="Q245" s="290"/>
      <c r="R245" s="586"/>
      <c r="S245" s="584"/>
      <c r="T245" s="585"/>
      <c r="U245" s="584"/>
      <c r="V245" s="584"/>
      <c r="W245" s="598"/>
      <c r="X245" s="415"/>
      <c r="Y245" s="290"/>
      <c r="Z245" s="584"/>
      <c r="AA245" s="584"/>
      <c r="AB245" s="589"/>
      <c r="AC245" s="589"/>
      <c r="AD245" s="589"/>
      <c r="AE245" s="584"/>
      <c r="AF245" s="584"/>
      <c r="AG245" s="584"/>
      <c r="AH245" s="338">
        <v>39.17</v>
      </c>
      <c r="AI245" s="584"/>
      <c r="AJ245" s="290"/>
      <c r="AK245" s="117">
        <v>835.76</v>
      </c>
      <c r="AL245" s="204"/>
    </row>
    <row r="246" spans="1:38" ht="15" customHeight="1" x14ac:dyDescent="0.25">
      <c r="A246" s="66" t="s">
        <v>101</v>
      </c>
      <c r="B246" s="588"/>
      <c r="C246" s="588"/>
      <c r="D246" s="588"/>
      <c r="E246" s="588"/>
      <c r="F246" s="588"/>
      <c r="G246" s="588"/>
      <c r="H246" s="588"/>
      <c r="I246" s="616"/>
      <c r="J246" s="588"/>
      <c r="K246" s="588"/>
      <c r="L246" s="588"/>
      <c r="M246" s="588"/>
      <c r="N246" s="588"/>
      <c r="O246" s="588"/>
      <c r="P246" s="588"/>
      <c r="Q246" s="410"/>
      <c r="R246" s="242">
        <v>69.040000000000006</v>
      </c>
      <c r="S246" s="582"/>
      <c r="T246" s="583"/>
      <c r="U246" s="583"/>
      <c r="V246" s="583"/>
      <c r="W246" s="597"/>
      <c r="X246" s="417"/>
      <c r="Y246" s="49"/>
      <c r="Z246" s="583"/>
      <c r="AA246" s="582"/>
      <c r="AB246" s="587"/>
      <c r="AC246" s="587"/>
      <c r="AD246" s="587"/>
      <c r="AE246" s="583"/>
      <c r="AF246" s="582"/>
      <c r="AG246" s="583"/>
      <c r="AH246" s="583"/>
      <c r="AI246" s="583"/>
      <c r="AJ246" s="49"/>
      <c r="AK246" s="669">
        <v>1659.74</v>
      </c>
      <c r="AL246" s="197"/>
    </row>
    <row r="247" spans="1:38" ht="15" customHeight="1" thickBot="1" x14ac:dyDescent="0.35">
      <c r="A247" s="66"/>
      <c r="B247" s="396"/>
      <c r="C247" s="396"/>
      <c r="D247" s="396"/>
      <c r="E247" s="396"/>
      <c r="F247" s="396"/>
      <c r="G247" s="396"/>
      <c r="H247" s="396"/>
      <c r="I247" s="334"/>
      <c r="J247" s="727"/>
      <c r="K247" s="727"/>
      <c r="L247" s="396"/>
      <c r="M247" s="727"/>
      <c r="N247" s="396"/>
      <c r="O247" s="396"/>
      <c r="P247" s="396"/>
      <c r="Q247" s="334"/>
      <c r="R247" s="396"/>
      <c r="S247" s="396"/>
      <c r="T247" s="396"/>
      <c r="U247" s="396"/>
      <c r="V247" s="396"/>
      <c r="W247" s="420"/>
      <c r="X247" s="420"/>
      <c r="Y247" s="334"/>
      <c r="Z247" s="396"/>
      <c r="AA247" s="396"/>
      <c r="AB247" s="437"/>
      <c r="AC247" s="437"/>
      <c r="AD247" s="437"/>
      <c r="AE247" s="396"/>
      <c r="AF247" s="396"/>
      <c r="AG247" s="396"/>
      <c r="AH247" s="396"/>
      <c r="AI247" s="396"/>
      <c r="AJ247" s="334"/>
      <c r="AK247" s="743"/>
      <c r="AL247" s="228"/>
    </row>
    <row r="248" spans="1:38" ht="18.75" x14ac:dyDescent="0.3">
      <c r="A248" s="281" t="s">
        <v>2</v>
      </c>
      <c r="B248" s="241">
        <f>SUM(B208:B247)</f>
        <v>274.38000000000005</v>
      </c>
      <c r="C248" s="241">
        <f>SUM(C208:C247)</f>
        <v>148.74</v>
      </c>
      <c r="D248" s="241">
        <f>SUM(D209:D247)</f>
        <v>139.69</v>
      </c>
      <c r="E248" s="241">
        <f>SUM(E208:E247)</f>
        <v>149.32</v>
      </c>
      <c r="F248" s="241">
        <f>SUM(F208:F247)</f>
        <v>129.24</v>
      </c>
      <c r="G248" s="241">
        <f>SUM(G208:G247)</f>
        <v>240.96</v>
      </c>
      <c r="H248" s="241">
        <f>SUM(H208:H247)</f>
        <v>189.12</v>
      </c>
      <c r="I248" s="380">
        <f>SUM(B248:H248)</f>
        <v>1271.4500000000003</v>
      </c>
      <c r="J248" s="241">
        <f t="shared" ref="J248:O248" si="24">SUM(J208:J247)</f>
        <v>84.56</v>
      </c>
      <c r="K248" s="241">
        <f t="shared" si="24"/>
        <v>245.35000000000002</v>
      </c>
      <c r="L248" s="241">
        <f t="shared" si="24"/>
        <v>105.49</v>
      </c>
      <c r="M248" s="241">
        <f t="shared" si="24"/>
        <v>218.14</v>
      </c>
      <c r="N248" s="241">
        <f t="shared" si="24"/>
        <v>268.54000000000002</v>
      </c>
      <c r="O248" s="241">
        <f t="shared" si="24"/>
        <v>257.46000000000004</v>
      </c>
      <c r="P248" s="241">
        <f>SUM(P208:P247)</f>
        <v>171.63</v>
      </c>
      <c r="Q248" s="377">
        <f>SUM(J248:P248)</f>
        <v>1351.17</v>
      </c>
      <c r="R248" s="241">
        <f t="shared" ref="R248:W248" si="25">SUM(R208:R247)</f>
        <v>191.67000000000002</v>
      </c>
      <c r="S248" s="241">
        <f t="shared" si="25"/>
        <v>181.6</v>
      </c>
      <c r="T248" s="241">
        <f t="shared" si="25"/>
        <v>158.02000000000001</v>
      </c>
      <c r="U248" s="241">
        <f t="shared" si="25"/>
        <v>89.59</v>
      </c>
      <c r="V248" s="241">
        <f t="shared" si="25"/>
        <v>174.88</v>
      </c>
      <c r="W248" s="413">
        <f t="shared" si="25"/>
        <v>40</v>
      </c>
      <c r="X248" s="413"/>
      <c r="Y248" s="380">
        <f>SUM(R248:X248)</f>
        <v>835.76</v>
      </c>
      <c r="Z248" s="241">
        <f t="shared" ref="Z248:AE248" si="26">SUM(Z208:Z247)</f>
        <v>86.41</v>
      </c>
      <c r="AA248" s="241">
        <f t="shared" si="26"/>
        <v>180</v>
      </c>
      <c r="AB248" s="241">
        <f t="shared" si="26"/>
        <v>140.66</v>
      </c>
      <c r="AC248" s="241">
        <f t="shared" si="26"/>
        <v>195.21</v>
      </c>
      <c r="AD248" s="241">
        <f t="shared" si="26"/>
        <v>60.19</v>
      </c>
      <c r="AE248" s="241">
        <f t="shared" si="26"/>
        <v>224.81000000000003</v>
      </c>
      <c r="AF248" s="241">
        <f>SUM(AF208:AF247)</f>
        <v>128.74</v>
      </c>
      <c r="AG248" s="241">
        <f>SUM(AG208:AG247)</f>
        <v>97.13</v>
      </c>
      <c r="AH248" s="241">
        <f>SUM(AH208:AH247)</f>
        <v>370.21000000000004</v>
      </c>
      <c r="AI248" s="761">
        <f>SUM(AI208:AI247)</f>
        <v>176.38</v>
      </c>
      <c r="AJ248" s="765">
        <f>SUM(Z248:AI248)</f>
        <v>1659.7400000000002</v>
      </c>
      <c r="AK248" s="696">
        <f>SUM(AK243:AK247)</f>
        <v>5118.12</v>
      </c>
      <c r="AL248" s="284"/>
    </row>
    <row r="249" spans="1:38" ht="19.5" thickBot="1" x14ac:dyDescent="0.35">
      <c r="A249" s="272"/>
      <c r="B249" s="265" t="s">
        <v>373</v>
      </c>
      <c r="C249" s="265" t="s">
        <v>342</v>
      </c>
      <c r="D249" s="265" t="s">
        <v>368</v>
      </c>
      <c r="E249" s="265" t="s">
        <v>358</v>
      </c>
      <c r="F249" s="265" t="s">
        <v>350</v>
      </c>
      <c r="G249" s="265" t="s">
        <v>352</v>
      </c>
      <c r="H249" s="265" t="s">
        <v>352</v>
      </c>
      <c r="I249" s="334"/>
      <c r="J249" s="265" t="s">
        <v>356</v>
      </c>
      <c r="K249" s="265">
        <v>39.700000000000003</v>
      </c>
      <c r="L249" s="265">
        <v>39.299999999999997</v>
      </c>
      <c r="M249" s="265" t="s">
        <v>358</v>
      </c>
      <c r="N249" s="265" t="s">
        <v>373</v>
      </c>
      <c r="O249" s="265" t="s">
        <v>358</v>
      </c>
      <c r="P249" s="265" t="s">
        <v>352</v>
      </c>
      <c r="Q249" s="334"/>
      <c r="R249" s="265" t="s">
        <v>350</v>
      </c>
      <c r="S249" s="265" t="s">
        <v>342</v>
      </c>
      <c r="T249" s="265" t="s">
        <v>350</v>
      </c>
      <c r="U249" s="265" t="s">
        <v>368</v>
      </c>
      <c r="V249" s="265" t="s">
        <v>342</v>
      </c>
      <c r="W249" s="265" t="s">
        <v>371</v>
      </c>
      <c r="X249" s="265"/>
      <c r="Y249" s="334"/>
      <c r="Z249" s="265" t="s">
        <v>350</v>
      </c>
      <c r="AA249" s="265" t="s">
        <v>342</v>
      </c>
      <c r="AB249" s="265" t="s">
        <v>342</v>
      </c>
      <c r="AC249" s="265" t="s">
        <v>342</v>
      </c>
      <c r="AD249" s="265" t="s">
        <v>356</v>
      </c>
      <c r="AE249" s="265" t="s">
        <v>358</v>
      </c>
      <c r="AF249" s="265" t="s">
        <v>368</v>
      </c>
      <c r="AG249" s="265" t="s">
        <v>368</v>
      </c>
      <c r="AH249" s="265" t="s">
        <v>370</v>
      </c>
      <c r="AI249" s="265" t="s">
        <v>342</v>
      </c>
      <c r="AJ249" s="334"/>
      <c r="AK249" s="273"/>
      <c r="AL249" s="228"/>
    </row>
    <row r="250" spans="1:38" ht="24" thickBot="1" x14ac:dyDescent="0.4">
      <c r="A250" s="294" t="s">
        <v>131</v>
      </c>
      <c r="B250" s="295"/>
      <c r="C250" s="295"/>
      <c r="D250" s="295"/>
      <c r="E250" s="295"/>
      <c r="F250" s="295"/>
      <c r="G250" s="296"/>
      <c r="H250" s="296"/>
      <c r="I250" s="296"/>
      <c r="J250" s="296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301"/>
      <c r="AK250" s="462"/>
      <c r="AL250" s="301"/>
    </row>
    <row r="251" spans="1:38" ht="16.5" thickBot="1" x14ac:dyDescent="0.3">
      <c r="A251" s="644" t="s">
        <v>2</v>
      </c>
      <c r="B251" s="328">
        <v>1</v>
      </c>
      <c r="C251" s="328">
        <v>2</v>
      </c>
      <c r="D251" s="328">
        <v>3</v>
      </c>
      <c r="E251" s="328">
        <v>4</v>
      </c>
      <c r="F251" s="328">
        <v>5</v>
      </c>
      <c r="G251" s="328">
        <v>6</v>
      </c>
      <c r="H251" s="328">
        <v>7</v>
      </c>
      <c r="I251" s="329" t="s">
        <v>338</v>
      </c>
      <c r="J251" s="328">
        <v>8</v>
      </c>
      <c r="K251" s="328">
        <v>9</v>
      </c>
      <c r="L251" s="328">
        <v>10</v>
      </c>
      <c r="M251" s="328">
        <v>11</v>
      </c>
      <c r="N251" s="328">
        <v>12</v>
      </c>
      <c r="O251" s="328">
        <v>13</v>
      </c>
      <c r="P251" s="328">
        <v>14</v>
      </c>
      <c r="Q251" s="329" t="s">
        <v>338</v>
      </c>
      <c r="R251" s="328">
        <v>15</v>
      </c>
      <c r="S251" s="328">
        <v>16</v>
      </c>
      <c r="T251" s="328">
        <v>17</v>
      </c>
      <c r="U251" s="328">
        <v>18</v>
      </c>
      <c r="V251" s="328">
        <v>19</v>
      </c>
      <c r="W251" s="328">
        <v>20</v>
      </c>
      <c r="X251" s="328">
        <v>21</v>
      </c>
      <c r="Y251" s="329" t="s">
        <v>338</v>
      </c>
      <c r="Z251" s="328">
        <v>22</v>
      </c>
      <c r="AA251" s="328">
        <v>23</v>
      </c>
      <c r="AB251" s="328">
        <v>24</v>
      </c>
      <c r="AC251" s="328">
        <v>25</v>
      </c>
      <c r="AD251" s="328">
        <v>26</v>
      </c>
      <c r="AE251" s="328">
        <v>27</v>
      </c>
      <c r="AF251" s="328">
        <v>28</v>
      </c>
      <c r="AG251" s="328">
        <v>29</v>
      </c>
      <c r="AH251" s="328">
        <v>30</v>
      </c>
      <c r="AI251" s="328">
        <v>31</v>
      </c>
      <c r="AJ251" s="329" t="s">
        <v>338</v>
      </c>
      <c r="AK251" s="730" t="s">
        <v>377</v>
      </c>
      <c r="AL251" s="283"/>
    </row>
    <row r="252" spans="1:38" ht="15" customHeight="1" x14ac:dyDescent="0.25">
      <c r="A252" s="61" t="s">
        <v>57</v>
      </c>
      <c r="B252" s="303">
        <v>50</v>
      </c>
      <c r="C252" s="303">
        <v>50.01</v>
      </c>
      <c r="D252" s="303">
        <v>50</v>
      </c>
      <c r="E252" s="303">
        <v>50</v>
      </c>
      <c r="F252" s="303">
        <v>50</v>
      </c>
      <c r="G252" s="303">
        <v>50</v>
      </c>
      <c r="H252" s="303">
        <v>50</v>
      </c>
      <c r="I252" s="304"/>
      <c r="J252" s="303">
        <v>45.26</v>
      </c>
      <c r="K252" s="303">
        <v>50</v>
      </c>
      <c r="L252" s="303">
        <v>49.5</v>
      </c>
      <c r="M252" s="303">
        <v>46.3</v>
      </c>
      <c r="N252" s="303">
        <v>50</v>
      </c>
      <c r="O252" s="303">
        <v>50</v>
      </c>
      <c r="P252" s="303">
        <v>50</v>
      </c>
      <c r="Q252" s="304"/>
      <c r="R252" s="303">
        <v>50</v>
      </c>
      <c r="S252" s="303">
        <v>50</v>
      </c>
      <c r="T252" s="411">
        <v>50</v>
      </c>
      <c r="U252" s="303">
        <v>50</v>
      </c>
      <c r="V252" s="303">
        <v>50</v>
      </c>
      <c r="W252" s="303">
        <v>45.93</v>
      </c>
      <c r="X252" s="303"/>
      <c r="Y252" s="304"/>
      <c r="Z252" s="303">
        <v>44.94</v>
      </c>
      <c r="AA252" s="303">
        <v>37.1</v>
      </c>
      <c r="AB252" s="303">
        <v>49.81</v>
      </c>
      <c r="AC252" s="303">
        <v>50</v>
      </c>
      <c r="AD252" s="303">
        <v>41.41</v>
      </c>
      <c r="AE252" s="303">
        <v>50</v>
      </c>
      <c r="AF252" s="303">
        <v>45.58</v>
      </c>
      <c r="AG252" s="303">
        <v>40.69</v>
      </c>
      <c r="AH252" s="303">
        <v>39.76</v>
      </c>
      <c r="AI252" s="510">
        <v>50</v>
      </c>
      <c r="AJ252" s="304"/>
      <c r="AK252" s="649">
        <v>1022.75</v>
      </c>
      <c r="AL252" s="207"/>
    </row>
    <row r="253" spans="1:38" ht="15" customHeight="1" x14ac:dyDescent="0.25">
      <c r="A253" s="11" t="s">
        <v>58</v>
      </c>
      <c r="B253" s="1">
        <v>50</v>
      </c>
      <c r="C253" s="1">
        <v>49.73</v>
      </c>
      <c r="D253" s="1">
        <v>50</v>
      </c>
      <c r="E253" s="1">
        <v>50</v>
      </c>
      <c r="F253" s="1">
        <v>50</v>
      </c>
      <c r="G253" s="1">
        <v>50</v>
      </c>
      <c r="H253" s="1">
        <v>50</v>
      </c>
      <c r="I253" s="37"/>
      <c r="J253" s="1">
        <v>50</v>
      </c>
      <c r="K253" s="1">
        <v>50</v>
      </c>
      <c r="L253" s="1">
        <v>50</v>
      </c>
      <c r="M253" s="1">
        <v>50</v>
      </c>
      <c r="N253" s="1">
        <v>50</v>
      </c>
      <c r="O253" s="1">
        <v>45.74</v>
      </c>
      <c r="P253" s="1">
        <v>46.18</v>
      </c>
      <c r="Q253" s="37"/>
      <c r="R253" s="1">
        <v>50</v>
      </c>
      <c r="S253" s="1">
        <v>50</v>
      </c>
      <c r="T253" s="57">
        <v>50</v>
      </c>
      <c r="U253" s="1">
        <v>50</v>
      </c>
      <c r="V253" s="1">
        <v>50</v>
      </c>
      <c r="W253" s="1">
        <v>50</v>
      </c>
      <c r="X253" s="1"/>
      <c r="Y253" s="37"/>
      <c r="Z253" s="1">
        <v>45.59</v>
      </c>
      <c r="AA253" s="1">
        <v>48.35</v>
      </c>
      <c r="AB253" s="1">
        <v>50</v>
      </c>
      <c r="AC253" s="1">
        <v>50</v>
      </c>
      <c r="AD253" s="118">
        <v>43.24</v>
      </c>
      <c r="AE253" s="1">
        <v>41.88</v>
      </c>
      <c r="AF253" s="1">
        <v>48.75</v>
      </c>
      <c r="AG253" s="1">
        <v>50</v>
      </c>
      <c r="AH253" s="118">
        <v>41.04</v>
      </c>
      <c r="AI253" s="55">
        <v>42.54</v>
      </c>
      <c r="AJ253" s="37"/>
      <c r="AK253" s="652">
        <v>1026.9100000000001</v>
      </c>
      <c r="AL253" s="197"/>
    </row>
    <row r="254" spans="1:38" ht="15" customHeight="1" x14ac:dyDescent="0.25">
      <c r="A254" s="62" t="s">
        <v>59</v>
      </c>
      <c r="B254" s="123">
        <v>50</v>
      </c>
      <c r="C254" s="123">
        <v>50</v>
      </c>
      <c r="D254" s="123">
        <v>44.29</v>
      </c>
      <c r="E254" s="123">
        <v>28.72</v>
      </c>
      <c r="F254" s="123">
        <v>50</v>
      </c>
      <c r="G254" s="123">
        <v>50</v>
      </c>
      <c r="H254" s="123">
        <v>50</v>
      </c>
      <c r="I254" s="43"/>
      <c r="J254" s="178">
        <v>50</v>
      </c>
      <c r="K254" s="123">
        <v>50</v>
      </c>
      <c r="L254" s="123">
        <v>48.83</v>
      </c>
      <c r="M254" s="123">
        <v>48.41</v>
      </c>
      <c r="N254" s="123">
        <v>50</v>
      </c>
      <c r="O254" s="123">
        <v>49.31</v>
      </c>
      <c r="P254" s="123">
        <v>47.38</v>
      </c>
      <c r="Q254" s="43"/>
      <c r="R254" s="123">
        <v>50</v>
      </c>
      <c r="S254" s="123">
        <v>50</v>
      </c>
      <c r="T254" s="178">
        <v>50</v>
      </c>
      <c r="U254" s="123">
        <v>46.99</v>
      </c>
      <c r="V254" s="123">
        <v>50</v>
      </c>
      <c r="W254" s="123">
        <v>47.52</v>
      </c>
      <c r="X254" s="123"/>
      <c r="Y254" s="43"/>
      <c r="Z254" s="123">
        <v>50</v>
      </c>
      <c r="AA254" s="123">
        <v>50</v>
      </c>
      <c r="AB254" s="123">
        <v>50</v>
      </c>
      <c r="AC254" s="123">
        <v>50</v>
      </c>
      <c r="AD254" s="123">
        <v>50</v>
      </c>
      <c r="AE254" s="123">
        <v>47.1</v>
      </c>
      <c r="AF254" s="123">
        <v>44.7</v>
      </c>
      <c r="AG254" s="123">
        <v>29.66</v>
      </c>
      <c r="AH254" s="119">
        <v>27.55</v>
      </c>
      <c r="AI254" s="566">
        <v>50</v>
      </c>
      <c r="AJ254" s="43"/>
      <c r="AK254" s="661">
        <v>890.44</v>
      </c>
      <c r="AL254" s="204"/>
    </row>
    <row r="255" spans="1:38" ht="15" customHeight="1" thickBot="1" x14ac:dyDescent="0.35">
      <c r="A255" s="349"/>
      <c r="B255" s="274"/>
      <c r="C255" s="274"/>
      <c r="D255" s="274"/>
      <c r="E255" s="274"/>
      <c r="F255" s="274"/>
      <c r="G255" s="275"/>
      <c r="H255" s="275"/>
      <c r="I255" s="269"/>
      <c r="J255" s="270"/>
      <c r="K255" s="268"/>
      <c r="L255" s="275"/>
      <c r="M255" s="268"/>
      <c r="N255" s="275"/>
      <c r="O255" s="268"/>
      <c r="P255" s="275"/>
      <c r="Q255" s="269"/>
      <c r="R255" s="153"/>
      <c r="S255" s="275"/>
      <c r="T255" s="239"/>
      <c r="U255" s="268"/>
      <c r="V255" s="275"/>
      <c r="W255" s="275"/>
      <c r="X255" s="268"/>
      <c r="Y255" s="269"/>
      <c r="Z255" s="275"/>
      <c r="AA255" s="153"/>
      <c r="AB255" s="268"/>
      <c r="AC255" s="275"/>
      <c r="AD255" s="268"/>
      <c r="AE255" s="275"/>
      <c r="AF255" s="275"/>
      <c r="AG255" s="429"/>
      <c r="AH255" s="270"/>
      <c r="AI255" s="270"/>
      <c r="AJ255" s="269"/>
      <c r="AK255" s="117">
        <v>1359.69</v>
      </c>
      <c r="AL255" s="204"/>
    </row>
    <row r="256" spans="1:38" ht="18.75" x14ac:dyDescent="0.3">
      <c r="A256" s="281" t="s">
        <v>2</v>
      </c>
      <c r="B256" s="307">
        <f t="shared" ref="B256:G256" si="27">SUM(B252:B255)</f>
        <v>150</v>
      </c>
      <c r="C256" s="307">
        <f t="shared" si="27"/>
        <v>149.74</v>
      </c>
      <c r="D256" s="307">
        <f t="shared" si="27"/>
        <v>144.29</v>
      </c>
      <c r="E256" s="307">
        <f t="shared" si="27"/>
        <v>128.72</v>
      </c>
      <c r="F256" s="307">
        <f t="shared" si="27"/>
        <v>150</v>
      </c>
      <c r="G256" s="307">
        <f t="shared" si="27"/>
        <v>150</v>
      </c>
      <c r="H256" s="307">
        <f>SUM(H252:H255)</f>
        <v>150</v>
      </c>
      <c r="I256" s="376">
        <f>SUM(B256:H256)</f>
        <v>1022.75</v>
      </c>
      <c r="J256" s="307">
        <f t="shared" ref="J256:O256" si="28">SUM(J252:J255)</f>
        <v>145.26</v>
      </c>
      <c r="K256" s="307">
        <f t="shared" si="28"/>
        <v>150</v>
      </c>
      <c r="L256" s="307">
        <f t="shared" si="28"/>
        <v>148.32999999999998</v>
      </c>
      <c r="M256" s="307">
        <f t="shared" si="28"/>
        <v>144.70999999999998</v>
      </c>
      <c r="N256" s="307">
        <f t="shared" si="28"/>
        <v>150</v>
      </c>
      <c r="O256" s="307">
        <f t="shared" si="28"/>
        <v>145.05000000000001</v>
      </c>
      <c r="P256" s="307">
        <f>SUM(P252:P255)</f>
        <v>143.56</v>
      </c>
      <c r="Q256" s="376">
        <f>SUM(J256:P256)</f>
        <v>1026.9099999999999</v>
      </c>
      <c r="R256" s="307">
        <f t="shared" ref="R256:W256" si="29">SUM(R252:R255)</f>
        <v>150</v>
      </c>
      <c r="S256" s="307">
        <f t="shared" si="29"/>
        <v>150</v>
      </c>
      <c r="T256" s="163">
        <f t="shared" si="29"/>
        <v>150</v>
      </c>
      <c r="U256" s="307">
        <f t="shared" si="29"/>
        <v>146.99</v>
      </c>
      <c r="V256" s="307">
        <f t="shared" si="29"/>
        <v>150</v>
      </c>
      <c r="W256" s="307">
        <f t="shared" si="29"/>
        <v>143.45000000000002</v>
      </c>
      <c r="X256" s="307"/>
      <c r="Y256" s="376">
        <f>SUM(R256:X256)</f>
        <v>890.44</v>
      </c>
      <c r="Z256" s="307">
        <f t="shared" ref="Z256:AE256" si="30">SUM(Z252:Z255)</f>
        <v>140.53</v>
      </c>
      <c r="AA256" s="307">
        <f t="shared" si="30"/>
        <v>135.44999999999999</v>
      </c>
      <c r="AB256" s="307">
        <f t="shared" si="30"/>
        <v>149.81</v>
      </c>
      <c r="AC256" s="307">
        <f t="shared" si="30"/>
        <v>150</v>
      </c>
      <c r="AD256" s="307">
        <f t="shared" si="30"/>
        <v>134.65</v>
      </c>
      <c r="AE256" s="307">
        <f t="shared" si="30"/>
        <v>138.97999999999999</v>
      </c>
      <c r="AF256" s="307">
        <f>SUM(AF252:AF255)</f>
        <v>139.03</v>
      </c>
      <c r="AG256" s="307">
        <f>SUM(AG252:AG255)</f>
        <v>120.35</v>
      </c>
      <c r="AH256" s="307">
        <f>SUM(AH252:AH255)</f>
        <v>108.35</v>
      </c>
      <c r="AI256" s="307">
        <f>SUM(AI252:AI255)</f>
        <v>142.54</v>
      </c>
      <c r="AJ256" s="376">
        <f>SUM(Z256:AI256)</f>
        <v>1359.6899999999998</v>
      </c>
      <c r="AK256" s="766">
        <f>SUM(AK252:AK255)</f>
        <v>4299.79</v>
      </c>
      <c r="AL256" s="284"/>
    </row>
    <row r="257" spans="1:38" ht="15.75" thickBot="1" x14ac:dyDescent="0.3">
      <c r="A257" s="264"/>
      <c r="B257" s="265" t="s">
        <v>285</v>
      </c>
      <c r="C257" s="265" t="s">
        <v>285</v>
      </c>
      <c r="D257" s="265" t="s">
        <v>285</v>
      </c>
      <c r="E257" s="265" t="s">
        <v>285</v>
      </c>
      <c r="F257" s="265" t="s">
        <v>285</v>
      </c>
      <c r="G257" s="265" t="s">
        <v>285</v>
      </c>
      <c r="H257" s="265" t="s">
        <v>285</v>
      </c>
      <c r="I257" s="361"/>
      <c r="J257" s="265" t="s">
        <v>285</v>
      </c>
      <c r="K257" s="265" t="s">
        <v>285</v>
      </c>
      <c r="L257" s="265" t="s">
        <v>285</v>
      </c>
      <c r="M257" s="265" t="s">
        <v>285</v>
      </c>
      <c r="N257" s="265" t="s">
        <v>285</v>
      </c>
      <c r="O257" s="265" t="s">
        <v>285</v>
      </c>
      <c r="P257" s="265" t="s">
        <v>285</v>
      </c>
      <c r="Q257" s="361"/>
      <c r="R257" s="265" t="s">
        <v>285</v>
      </c>
      <c r="S257" s="265" t="s">
        <v>285</v>
      </c>
      <c r="T257" s="265" t="s">
        <v>285</v>
      </c>
      <c r="U257" s="265" t="s">
        <v>285</v>
      </c>
      <c r="V257" s="265" t="s">
        <v>285</v>
      </c>
      <c r="W257" s="265" t="s">
        <v>285</v>
      </c>
      <c r="X257" s="265"/>
      <c r="Y257" s="361"/>
      <c r="Z257" s="265" t="s">
        <v>285</v>
      </c>
      <c r="AA257" s="265" t="s">
        <v>285</v>
      </c>
      <c r="AB257" s="265" t="s">
        <v>285</v>
      </c>
      <c r="AC257" s="265" t="s">
        <v>285</v>
      </c>
      <c r="AD257" s="265" t="s">
        <v>285</v>
      </c>
      <c r="AE257" s="265" t="s">
        <v>285</v>
      </c>
      <c r="AF257" s="265" t="s">
        <v>285</v>
      </c>
      <c r="AG257" s="265" t="s">
        <v>285</v>
      </c>
      <c r="AH257" s="265" t="s">
        <v>285</v>
      </c>
      <c r="AI257" s="265" t="s">
        <v>285</v>
      </c>
      <c r="AJ257" s="361"/>
      <c r="AK257" s="362"/>
      <c r="AL257" s="363"/>
    </row>
    <row r="258" spans="1:38" ht="24" thickBot="1" x14ac:dyDescent="0.4">
      <c r="A258" s="252" t="s">
        <v>132</v>
      </c>
      <c r="B258" s="258"/>
      <c r="C258" s="258"/>
      <c r="D258" s="258"/>
      <c r="E258" s="258"/>
      <c r="F258" s="258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  <c r="AD258" s="254"/>
      <c r="AE258" s="254"/>
      <c r="AF258" s="254"/>
      <c r="AG258" s="254"/>
      <c r="AH258" s="254"/>
      <c r="AI258" s="254"/>
      <c r="AJ258" s="260"/>
      <c r="AK258" s="261"/>
      <c r="AL258" s="260"/>
    </row>
    <row r="259" spans="1:38" ht="15" customHeight="1" x14ac:dyDescent="0.25">
      <c r="A259" s="11" t="s">
        <v>54</v>
      </c>
      <c r="B259" s="1">
        <v>40</v>
      </c>
      <c r="C259" s="1">
        <v>39.979999999999997</v>
      </c>
      <c r="D259" s="1">
        <v>38.67</v>
      </c>
      <c r="E259" s="1">
        <v>29</v>
      </c>
      <c r="F259" s="1">
        <v>28.86</v>
      </c>
      <c r="G259" s="1">
        <v>40</v>
      </c>
      <c r="H259" s="1">
        <v>38.9</v>
      </c>
      <c r="I259" s="37"/>
      <c r="J259" s="118">
        <v>35.81</v>
      </c>
      <c r="K259" s="118">
        <v>26.86</v>
      </c>
      <c r="L259" s="1">
        <v>28.02</v>
      </c>
      <c r="M259" s="118">
        <v>30.76</v>
      </c>
      <c r="N259" s="1">
        <v>34.21</v>
      </c>
      <c r="O259" s="118">
        <v>37.380000000000003</v>
      </c>
      <c r="P259" s="1">
        <v>40</v>
      </c>
      <c r="Q259" s="37"/>
      <c r="R259" s="1">
        <v>40</v>
      </c>
      <c r="S259" s="1">
        <v>33.229999999999997</v>
      </c>
      <c r="T259" s="118">
        <v>36.57</v>
      </c>
      <c r="U259" s="118">
        <v>36.130000000000003</v>
      </c>
      <c r="V259" s="118">
        <v>34.04</v>
      </c>
      <c r="W259" s="118">
        <v>33.79</v>
      </c>
      <c r="X259" s="118"/>
      <c r="Y259" s="37"/>
      <c r="Z259" s="118">
        <v>32.78</v>
      </c>
      <c r="AA259" s="1">
        <v>40</v>
      </c>
      <c r="AB259" s="1">
        <v>30.95</v>
      </c>
      <c r="AC259" s="1">
        <v>30.33</v>
      </c>
      <c r="AD259" s="1">
        <v>33.67</v>
      </c>
      <c r="AE259" s="118">
        <v>38.909999999999997</v>
      </c>
      <c r="AF259" s="118">
        <v>38.380000000000003</v>
      </c>
      <c r="AG259" s="118">
        <v>38.57</v>
      </c>
      <c r="AH259" s="1">
        <v>40</v>
      </c>
      <c r="AI259" s="55">
        <v>40</v>
      </c>
      <c r="AJ259" s="37"/>
      <c r="AK259" s="648">
        <v>175.01</v>
      </c>
      <c r="AL259" s="197"/>
    </row>
    <row r="260" spans="1:38" ht="15" customHeight="1" x14ac:dyDescent="0.25">
      <c r="A260" s="11" t="s">
        <v>55</v>
      </c>
      <c r="B260" s="1">
        <v>36.630000000000003</v>
      </c>
      <c r="C260" s="1">
        <v>32.65</v>
      </c>
      <c r="D260" s="1">
        <v>40</v>
      </c>
      <c r="E260" s="1">
        <v>35.58</v>
      </c>
      <c r="F260" s="1">
        <v>31.35</v>
      </c>
      <c r="G260" s="1">
        <v>33.01</v>
      </c>
      <c r="H260" s="1">
        <v>40</v>
      </c>
      <c r="I260" s="37"/>
      <c r="J260" s="1">
        <v>30.4</v>
      </c>
      <c r="K260" s="118">
        <v>31.79</v>
      </c>
      <c r="L260" s="1">
        <v>31.37</v>
      </c>
      <c r="M260" s="118">
        <v>37.22</v>
      </c>
      <c r="N260" s="118">
        <v>21.58</v>
      </c>
      <c r="O260" s="1">
        <v>30.17</v>
      </c>
      <c r="P260" s="1">
        <v>40</v>
      </c>
      <c r="Q260" s="37"/>
      <c r="R260" s="1">
        <v>40</v>
      </c>
      <c r="S260" s="1">
        <v>40</v>
      </c>
      <c r="T260" s="118">
        <v>34.11</v>
      </c>
      <c r="U260" s="1">
        <v>33.93</v>
      </c>
      <c r="V260" s="1">
        <v>40</v>
      </c>
      <c r="W260" s="1">
        <v>40</v>
      </c>
      <c r="X260" s="118"/>
      <c r="Y260" s="37"/>
      <c r="Z260" s="118">
        <v>31.66</v>
      </c>
      <c r="AA260" s="1">
        <v>40</v>
      </c>
      <c r="AB260" s="1">
        <v>27.25</v>
      </c>
      <c r="AC260" s="1">
        <v>40</v>
      </c>
      <c r="AD260" s="1">
        <v>39.479999999999997</v>
      </c>
      <c r="AE260" s="118">
        <v>33.36</v>
      </c>
      <c r="AF260" s="118">
        <v>35.19</v>
      </c>
      <c r="AG260" s="118">
        <v>26.24</v>
      </c>
      <c r="AH260" s="118">
        <v>39.229999999999997</v>
      </c>
      <c r="AI260" s="564">
        <v>33.67</v>
      </c>
      <c r="AJ260" s="37"/>
      <c r="AK260" s="652">
        <v>702.3</v>
      </c>
      <c r="AL260" s="197"/>
    </row>
    <row r="261" spans="1:38" ht="15" customHeight="1" x14ac:dyDescent="0.25">
      <c r="A261" s="62" t="s">
        <v>56</v>
      </c>
      <c r="B261" s="576"/>
      <c r="C261" s="123">
        <v>40</v>
      </c>
      <c r="D261" s="123">
        <v>27.19</v>
      </c>
      <c r="E261" s="123">
        <v>30.55</v>
      </c>
      <c r="F261" s="123">
        <v>32.64</v>
      </c>
      <c r="G261" s="123">
        <v>40</v>
      </c>
      <c r="H261" s="123">
        <v>40</v>
      </c>
      <c r="I261" s="43"/>
      <c r="J261" s="119">
        <v>39.869999999999997</v>
      </c>
      <c r="K261" s="119">
        <v>33.97</v>
      </c>
      <c r="L261" s="123">
        <v>34.68</v>
      </c>
      <c r="M261" s="123">
        <v>40</v>
      </c>
      <c r="N261" s="123">
        <v>26.6</v>
      </c>
      <c r="O261" s="119">
        <v>31.61</v>
      </c>
      <c r="P261" s="123">
        <v>40</v>
      </c>
      <c r="Q261" s="43"/>
      <c r="R261" s="123">
        <v>40</v>
      </c>
      <c r="S261" s="123">
        <v>40</v>
      </c>
      <c r="T261" s="119">
        <v>39.659999999999997</v>
      </c>
      <c r="U261" s="119">
        <v>31.06</v>
      </c>
      <c r="V261" s="119">
        <v>32.979999999999997</v>
      </c>
      <c r="W261" s="119">
        <v>25.26</v>
      </c>
      <c r="X261" s="119"/>
      <c r="Y261" s="43"/>
      <c r="Z261" s="123">
        <v>40</v>
      </c>
      <c r="AA261" s="123">
        <v>24.31</v>
      </c>
      <c r="AB261" s="123">
        <v>40</v>
      </c>
      <c r="AC261" s="123">
        <v>33.14</v>
      </c>
      <c r="AD261" s="123">
        <v>30.35</v>
      </c>
      <c r="AE261" s="119">
        <v>34.869999999999997</v>
      </c>
      <c r="AF261" s="119">
        <v>30.49</v>
      </c>
      <c r="AG261" s="581"/>
      <c r="AH261" s="119">
        <v>38.729999999999997</v>
      </c>
      <c r="AI261" s="565">
        <v>32.81</v>
      </c>
      <c r="AJ261" s="43"/>
      <c r="AK261" s="661">
        <v>650.76</v>
      </c>
      <c r="AL261" s="204"/>
    </row>
    <row r="262" spans="1:38" ht="15.75" x14ac:dyDescent="0.25">
      <c r="A262" s="67"/>
      <c r="B262" s="124"/>
      <c r="C262" s="124"/>
      <c r="D262" s="124"/>
      <c r="E262" s="124"/>
      <c r="F262" s="124"/>
      <c r="G262" s="124"/>
      <c r="H262" s="124"/>
      <c r="I262" s="47"/>
      <c r="J262" s="124"/>
      <c r="K262" s="124"/>
      <c r="L262" s="124"/>
      <c r="M262" s="124"/>
      <c r="N262" s="124"/>
      <c r="O262" s="124"/>
      <c r="P262" s="124"/>
      <c r="Q262" s="47"/>
      <c r="R262" s="124"/>
      <c r="S262" s="124"/>
      <c r="T262" s="124"/>
      <c r="U262" s="124"/>
      <c r="V262" s="124"/>
      <c r="W262" s="124"/>
      <c r="X262" s="124"/>
      <c r="Y262" s="47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37"/>
      <c r="AK262" s="669">
        <v>1014.37</v>
      </c>
      <c r="AL262" s="197"/>
    </row>
    <row r="263" spans="1:38" ht="18.75" x14ac:dyDescent="0.3">
      <c r="A263" s="402" t="s">
        <v>2</v>
      </c>
      <c r="B263" s="403">
        <f t="shared" ref="B263:G263" si="31">SUM(B259:B262)</f>
        <v>76.63</v>
      </c>
      <c r="C263" s="403">
        <f t="shared" si="31"/>
        <v>112.63</v>
      </c>
      <c r="D263" s="403">
        <f t="shared" si="31"/>
        <v>105.86</v>
      </c>
      <c r="E263" s="403">
        <f t="shared" si="31"/>
        <v>95.13</v>
      </c>
      <c r="F263" s="403">
        <f t="shared" si="31"/>
        <v>92.85</v>
      </c>
      <c r="G263" s="403">
        <f t="shared" si="31"/>
        <v>113.00999999999999</v>
      </c>
      <c r="H263" s="403">
        <f>SUM(H259:H262)</f>
        <v>118.9</v>
      </c>
      <c r="I263" s="404">
        <f>SUM(B263:H263)</f>
        <v>715.01</v>
      </c>
      <c r="J263" s="403">
        <f t="shared" ref="J263:O263" si="32">SUM(J259:J262)</f>
        <v>106.08000000000001</v>
      </c>
      <c r="K263" s="405">
        <f t="shared" si="32"/>
        <v>92.62</v>
      </c>
      <c r="L263" s="403">
        <f t="shared" si="32"/>
        <v>94.07</v>
      </c>
      <c r="M263" s="403">
        <f t="shared" si="32"/>
        <v>107.98</v>
      </c>
      <c r="N263" s="403">
        <f t="shared" si="32"/>
        <v>82.39</v>
      </c>
      <c r="O263" s="405">
        <f t="shared" si="32"/>
        <v>99.160000000000011</v>
      </c>
      <c r="P263" s="403">
        <f>SUM(P259:P262)</f>
        <v>120</v>
      </c>
      <c r="Q263" s="404">
        <f>SUM(J263:P263)</f>
        <v>702.3</v>
      </c>
      <c r="R263" s="403">
        <f t="shared" ref="R263:W263" si="33">SUM(R259:R262)</f>
        <v>120</v>
      </c>
      <c r="S263" s="403">
        <f t="shared" si="33"/>
        <v>113.22999999999999</v>
      </c>
      <c r="T263" s="405">
        <f t="shared" si="33"/>
        <v>110.34</v>
      </c>
      <c r="U263" s="405">
        <f t="shared" si="33"/>
        <v>101.12</v>
      </c>
      <c r="V263" s="405">
        <f t="shared" si="33"/>
        <v>107.01999999999998</v>
      </c>
      <c r="W263" s="405">
        <f t="shared" si="33"/>
        <v>99.05</v>
      </c>
      <c r="X263" s="405"/>
      <c r="Y263" s="404">
        <f>SUM(R263:X263)</f>
        <v>650.76</v>
      </c>
      <c r="Z263" s="405">
        <f t="shared" ref="Z263:AE263" si="34">SUM(Z259:Z262)</f>
        <v>104.44</v>
      </c>
      <c r="AA263" s="403">
        <f t="shared" si="34"/>
        <v>104.31</v>
      </c>
      <c r="AB263" s="403">
        <f t="shared" si="34"/>
        <v>98.2</v>
      </c>
      <c r="AC263" s="403">
        <f t="shared" si="34"/>
        <v>103.47</v>
      </c>
      <c r="AD263" s="403">
        <f t="shared" si="34"/>
        <v>103.5</v>
      </c>
      <c r="AE263" s="405">
        <f t="shared" si="34"/>
        <v>107.13999999999999</v>
      </c>
      <c r="AF263" s="403">
        <f>SUM(AF259:AF262)</f>
        <v>104.05999999999999</v>
      </c>
      <c r="AG263" s="405">
        <f>SUM(AG259:AG262)</f>
        <v>64.81</v>
      </c>
      <c r="AH263" s="403">
        <f>SUM(AH259:AH262)</f>
        <v>117.95999999999998</v>
      </c>
      <c r="AI263" s="403">
        <f>SUM(AI259:AI262)</f>
        <v>106.48</v>
      </c>
      <c r="AJ263" s="767">
        <f>SUM(Z263:AI263)</f>
        <v>1014.3699999999999</v>
      </c>
      <c r="AK263" s="768">
        <f>SUM(AK259:AK262)</f>
        <v>2542.44</v>
      </c>
      <c r="AL263" s="408"/>
    </row>
    <row r="264" spans="1:38" ht="15.75" thickBot="1" x14ac:dyDescent="0.3">
      <c r="A264" s="364"/>
      <c r="B264" s="265" t="s">
        <v>331</v>
      </c>
      <c r="C264" s="265" t="s">
        <v>285</v>
      </c>
      <c r="D264" s="265" t="s">
        <v>285</v>
      </c>
      <c r="E264" s="265" t="s">
        <v>285</v>
      </c>
      <c r="F264" s="265" t="s">
        <v>285</v>
      </c>
      <c r="G264" s="265" t="s">
        <v>285</v>
      </c>
      <c r="H264" s="265" t="s">
        <v>285</v>
      </c>
      <c r="I264" s="361"/>
      <c r="J264" s="265" t="s">
        <v>285</v>
      </c>
      <c r="K264" s="265" t="s">
        <v>285</v>
      </c>
      <c r="L264" s="265" t="s">
        <v>285</v>
      </c>
      <c r="M264" s="265" t="s">
        <v>285</v>
      </c>
      <c r="N264" s="265" t="s">
        <v>285</v>
      </c>
      <c r="O264" s="265" t="s">
        <v>285</v>
      </c>
      <c r="P264" s="265" t="s">
        <v>285</v>
      </c>
      <c r="Q264" s="361"/>
      <c r="R264" s="265" t="s">
        <v>285</v>
      </c>
      <c r="S264" s="265" t="s">
        <v>390</v>
      </c>
      <c r="T264" s="265" t="s">
        <v>285</v>
      </c>
      <c r="U264" s="265" t="s">
        <v>285</v>
      </c>
      <c r="V264" s="265" t="s">
        <v>285</v>
      </c>
      <c r="W264" s="265" t="s">
        <v>285</v>
      </c>
      <c r="X264" s="265"/>
      <c r="Y264" s="361"/>
      <c r="Z264" s="265" t="s">
        <v>285</v>
      </c>
      <c r="AA264" s="265" t="s">
        <v>285</v>
      </c>
      <c r="AB264" s="265" t="s">
        <v>285</v>
      </c>
      <c r="AC264" s="265" t="s">
        <v>285</v>
      </c>
      <c r="AD264" s="265" t="s">
        <v>285</v>
      </c>
      <c r="AE264" s="265" t="s">
        <v>285</v>
      </c>
      <c r="AF264" s="265" t="s">
        <v>285</v>
      </c>
      <c r="AG264" s="265" t="s">
        <v>331</v>
      </c>
      <c r="AH264" s="265" t="s">
        <v>285</v>
      </c>
      <c r="AI264" s="265" t="s">
        <v>285</v>
      </c>
      <c r="AJ264" s="361"/>
      <c r="AK264" s="362"/>
      <c r="AL264" s="363"/>
    </row>
    <row r="265" spans="1:38" ht="24" thickBot="1" x14ac:dyDescent="0.4">
      <c r="A265" s="512" t="s">
        <v>133</v>
      </c>
      <c r="B265" s="295"/>
      <c r="C265" s="295"/>
      <c r="D265" s="295"/>
      <c r="E265" s="295"/>
      <c r="F265" s="295"/>
      <c r="G265" s="296"/>
      <c r="H265" s="296"/>
      <c r="I265" s="296"/>
      <c r="J265" s="296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  <c r="AC265" s="296"/>
      <c r="AD265" s="296"/>
      <c r="AE265" s="296"/>
      <c r="AF265" s="296"/>
      <c r="AG265" s="296"/>
      <c r="AH265" s="296"/>
      <c r="AI265" s="296"/>
      <c r="AJ265" s="301"/>
      <c r="AK265" s="462"/>
      <c r="AL265" s="301"/>
    </row>
    <row r="266" spans="1:38" ht="16.5" thickBot="1" x14ac:dyDescent="0.3">
      <c r="A266" s="319" t="s">
        <v>24</v>
      </c>
      <c r="B266" s="328">
        <v>1</v>
      </c>
      <c r="C266" s="328">
        <v>2</v>
      </c>
      <c r="D266" s="328">
        <v>3</v>
      </c>
      <c r="E266" s="328">
        <v>4</v>
      </c>
      <c r="F266" s="328">
        <v>5</v>
      </c>
      <c r="G266" s="328">
        <v>6</v>
      </c>
      <c r="H266" s="328">
        <v>7</v>
      </c>
      <c r="I266" s="329" t="s">
        <v>338</v>
      </c>
      <c r="J266" s="328">
        <v>8</v>
      </c>
      <c r="K266" s="328">
        <v>9</v>
      </c>
      <c r="L266" s="328">
        <v>10</v>
      </c>
      <c r="M266" s="328">
        <v>11</v>
      </c>
      <c r="N266" s="328">
        <v>12</v>
      </c>
      <c r="O266" s="328">
        <v>13</v>
      </c>
      <c r="P266" s="328">
        <v>14</v>
      </c>
      <c r="Q266" s="329" t="s">
        <v>338</v>
      </c>
      <c r="R266" s="328">
        <v>15</v>
      </c>
      <c r="S266" s="328">
        <v>16</v>
      </c>
      <c r="T266" s="328">
        <v>17</v>
      </c>
      <c r="U266" s="328">
        <v>18</v>
      </c>
      <c r="V266" s="328">
        <v>19</v>
      </c>
      <c r="W266" s="328">
        <v>20</v>
      </c>
      <c r="X266" s="328">
        <v>21</v>
      </c>
      <c r="Y266" s="329" t="s">
        <v>338</v>
      </c>
      <c r="Z266" s="328">
        <v>22</v>
      </c>
      <c r="AA266" s="328">
        <v>23</v>
      </c>
      <c r="AB266" s="328">
        <v>24</v>
      </c>
      <c r="AC266" s="328">
        <v>25</v>
      </c>
      <c r="AD266" s="328">
        <v>26</v>
      </c>
      <c r="AE266" s="328">
        <v>27</v>
      </c>
      <c r="AF266" s="328">
        <v>28</v>
      </c>
      <c r="AG266" s="328">
        <v>29</v>
      </c>
      <c r="AH266" s="328">
        <v>30</v>
      </c>
      <c r="AI266" s="328">
        <v>31</v>
      </c>
      <c r="AJ266" s="329" t="s">
        <v>338</v>
      </c>
      <c r="AK266" s="730" t="s">
        <v>377</v>
      </c>
      <c r="AL266" s="401"/>
    </row>
    <row r="267" spans="1:38" ht="15.75" x14ac:dyDescent="0.25">
      <c r="A267" s="61" t="s">
        <v>92</v>
      </c>
      <c r="B267" s="577">
        <v>0</v>
      </c>
      <c r="C267" s="577">
        <v>0</v>
      </c>
      <c r="D267" s="714">
        <v>0</v>
      </c>
      <c r="E267" s="714">
        <v>0</v>
      </c>
      <c r="F267" s="714">
        <v>0</v>
      </c>
      <c r="G267" s="714">
        <v>0</v>
      </c>
      <c r="H267" s="714">
        <v>0</v>
      </c>
      <c r="I267" s="304"/>
      <c r="J267" s="577">
        <v>0</v>
      </c>
      <c r="K267" s="577">
        <v>0</v>
      </c>
      <c r="L267" s="714">
        <v>0</v>
      </c>
      <c r="M267" s="714">
        <v>0</v>
      </c>
      <c r="N267" s="714">
        <v>0</v>
      </c>
      <c r="O267" s="714">
        <v>0</v>
      </c>
      <c r="P267" s="714">
        <v>0</v>
      </c>
      <c r="Q267" s="304"/>
      <c r="R267" s="577">
        <v>0</v>
      </c>
      <c r="S267" s="577">
        <v>0</v>
      </c>
      <c r="T267" s="577">
        <v>0</v>
      </c>
      <c r="U267" s="577">
        <v>0</v>
      </c>
      <c r="V267" s="577">
        <v>0</v>
      </c>
      <c r="W267" s="577">
        <v>0</v>
      </c>
      <c r="X267" s="577">
        <v>0</v>
      </c>
      <c r="Y267" s="304"/>
      <c r="Z267" s="577">
        <v>0</v>
      </c>
      <c r="AA267" s="577">
        <v>0</v>
      </c>
      <c r="AB267" s="577">
        <v>0</v>
      </c>
      <c r="AC267" s="577">
        <v>0</v>
      </c>
      <c r="AD267" s="577">
        <v>0</v>
      </c>
      <c r="AE267" s="577">
        <v>0</v>
      </c>
      <c r="AF267" s="577">
        <v>0</v>
      </c>
      <c r="AG267" s="577">
        <v>0</v>
      </c>
      <c r="AH267" s="577">
        <v>0</v>
      </c>
      <c r="AI267" s="575"/>
      <c r="AJ267" s="304"/>
      <c r="AK267" s="741"/>
      <c r="AL267" s="207"/>
    </row>
    <row r="268" spans="1:38" ht="15" customHeight="1" x14ac:dyDescent="0.25">
      <c r="A268" s="11" t="s">
        <v>94</v>
      </c>
      <c r="B268" s="537"/>
      <c r="C268" s="537"/>
      <c r="D268" s="537"/>
      <c r="E268" s="537"/>
      <c r="F268" s="537"/>
      <c r="G268" s="537"/>
      <c r="H268" s="537"/>
      <c r="I268" s="37"/>
      <c r="J268" s="537"/>
      <c r="K268" s="537"/>
      <c r="L268" s="537"/>
      <c r="M268" s="537"/>
      <c r="N268" s="537"/>
      <c r="O268" s="537"/>
      <c r="P268" s="537"/>
      <c r="Q268" s="37"/>
      <c r="R268" s="594"/>
      <c r="S268" s="594"/>
      <c r="T268" s="594"/>
      <c r="U268" s="594"/>
      <c r="V268" s="594"/>
      <c r="W268" s="594"/>
      <c r="X268" s="594"/>
      <c r="Y268" s="37"/>
      <c r="Z268" s="594"/>
      <c r="AA268" s="594"/>
      <c r="AB268" s="594"/>
      <c r="AC268" s="594"/>
      <c r="AD268" s="594"/>
      <c r="AE268" s="594"/>
      <c r="AF268" s="594"/>
      <c r="AG268" s="594"/>
      <c r="AH268" s="594"/>
      <c r="AI268" s="533">
        <v>1199</v>
      </c>
      <c r="AJ268" s="37"/>
      <c r="AK268" s="652"/>
      <c r="AL268" s="197"/>
    </row>
    <row r="269" spans="1:38" ht="15" customHeight="1" x14ac:dyDescent="0.25">
      <c r="A269" s="11" t="s">
        <v>95</v>
      </c>
      <c r="B269" s="537"/>
      <c r="C269" s="537"/>
      <c r="D269" s="537"/>
      <c r="E269" s="537"/>
      <c r="F269" s="537"/>
      <c r="G269" s="537"/>
      <c r="H269" s="537"/>
      <c r="I269" s="37"/>
      <c r="J269" s="537"/>
      <c r="K269" s="537"/>
      <c r="L269" s="537"/>
      <c r="M269" s="537"/>
      <c r="N269" s="537"/>
      <c r="O269" s="537"/>
      <c r="P269" s="537"/>
      <c r="Q269" s="37"/>
      <c r="R269" s="594"/>
      <c r="S269" s="594"/>
      <c r="T269" s="594"/>
      <c r="U269" s="594"/>
      <c r="V269" s="594"/>
      <c r="W269" s="594"/>
      <c r="X269" s="594"/>
      <c r="Y269" s="37"/>
      <c r="Z269" s="594"/>
      <c r="AA269" s="594"/>
      <c r="AB269" s="594"/>
      <c r="AC269" s="594"/>
      <c r="AD269" s="594"/>
      <c r="AE269" s="594"/>
      <c r="AF269" s="594"/>
      <c r="AG269" s="594"/>
      <c r="AH269" s="594"/>
      <c r="AI269" s="533">
        <v>987</v>
      </c>
      <c r="AJ269" s="37"/>
      <c r="AK269" s="652">
        <v>0</v>
      </c>
      <c r="AL269" s="197"/>
    </row>
    <row r="270" spans="1:38" ht="15" customHeight="1" x14ac:dyDescent="0.25">
      <c r="A270" s="11" t="s">
        <v>96</v>
      </c>
      <c r="B270" s="537"/>
      <c r="C270" s="537"/>
      <c r="D270" s="537"/>
      <c r="E270" s="537"/>
      <c r="F270" s="537"/>
      <c r="G270" s="537"/>
      <c r="H270" s="537"/>
      <c r="I270" s="37"/>
      <c r="J270" s="537"/>
      <c r="K270" s="537"/>
      <c r="L270" s="537"/>
      <c r="M270" s="537"/>
      <c r="N270" s="537"/>
      <c r="O270" s="537"/>
      <c r="P270" s="537"/>
      <c r="Q270" s="37"/>
      <c r="R270" s="594"/>
      <c r="S270" s="594"/>
      <c r="T270" s="594"/>
      <c r="U270" s="594"/>
      <c r="V270" s="594"/>
      <c r="W270" s="594"/>
      <c r="X270" s="594"/>
      <c r="Y270" s="37"/>
      <c r="Z270" s="594"/>
      <c r="AA270" s="594"/>
      <c r="AB270" s="594"/>
      <c r="AC270" s="594"/>
      <c r="AD270" s="594"/>
      <c r="AE270" s="594"/>
      <c r="AF270" s="594"/>
      <c r="AG270" s="594"/>
      <c r="AH270" s="594"/>
      <c r="AI270" s="537"/>
      <c r="AJ270" s="37"/>
      <c r="AK270" s="652">
        <v>0</v>
      </c>
      <c r="AL270" s="197"/>
    </row>
    <row r="271" spans="1:38" ht="15.75" x14ac:dyDescent="0.25">
      <c r="A271" s="11" t="s">
        <v>97</v>
      </c>
      <c r="B271" s="530"/>
      <c r="C271" s="530"/>
      <c r="D271" s="530"/>
      <c r="E271" s="530"/>
      <c r="F271" s="530"/>
      <c r="G271" s="530"/>
      <c r="H271" s="530"/>
      <c r="I271" s="37"/>
      <c r="J271" s="530"/>
      <c r="K271" s="530"/>
      <c r="L271" s="530"/>
      <c r="M271" s="530"/>
      <c r="N271" s="530"/>
      <c r="O271" s="530"/>
      <c r="P271" s="530"/>
      <c r="Q271" s="37"/>
      <c r="R271" s="531"/>
      <c r="S271" s="531"/>
      <c r="T271" s="531"/>
      <c r="U271" s="531"/>
      <c r="V271" s="531"/>
      <c r="W271" s="531"/>
      <c r="X271" s="531"/>
      <c r="Y271" s="37"/>
      <c r="Z271" s="531"/>
      <c r="AA271" s="531"/>
      <c r="AB271" s="531"/>
      <c r="AC271" s="531"/>
      <c r="AD271" s="531"/>
      <c r="AE271" s="531"/>
      <c r="AF271" s="531"/>
      <c r="AG271" s="531"/>
      <c r="AH271" s="531"/>
      <c r="AI271" s="533">
        <v>2500</v>
      </c>
      <c r="AJ271" s="37"/>
      <c r="AK271" s="652">
        <v>0</v>
      </c>
      <c r="AL271" s="197"/>
    </row>
    <row r="272" spans="1:38" ht="15" customHeight="1" thickBot="1" x14ac:dyDescent="0.3">
      <c r="A272" s="11" t="s">
        <v>93</v>
      </c>
      <c r="B272" s="576"/>
      <c r="C272" s="576"/>
      <c r="D272" s="576"/>
      <c r="E272" s="576"/>
      <c r="F272" s="576"/>
      <c r="G272" s="576"/>
      <c r="H272" s="576"/>
      <c r="I272" s="43"/>
      <c r="J272" s="576"/>
      <c r="K272" s="576"/>
      <c r="L272" s="576"/>
      <c r="M272" s="576"/>
      <c r="N272" s="576"/>
      <c r="O272" s="576"/>
      <c r="P272" s="576"/>
      <c r="Q272" s="43"/>
      <c r="R272" s="596"/>
      <c r="S272" s="596"/>
      <c r="T272" s="596"/>
      <c r="U272" s="596"/>
      <c r="V272" s="596"/>
      <c r="W272" s="596"/>
      <c r="X272" s="596"/>
      <c r="Y272" s="43"/>
      <c r="Z272" s="596"/>
      <c r="AA272" s="596"/>
      <c r="AB272" s="596"/>
      <c r="AC272" s="596"/>
      <c r="AD272" s="596"/>
      <c r="AE272" s="596"/>
      <c r="AF272" s="596"/>
      <c r="AG272" s="596"/>
      <c r="AH272" s="596"/>
      <c r="AI272" s="576"/>
      <c r="AJ272" s="43"/>
      <c r="AK272" s="662">
        <v>4686</v>
      </c>
      <c r="AL272" s="204"/>
    </row>
    <row r="273" spans="1:38" ht="15" customHeight="1" thickBot="1" x14ac:dyDescent="0.3">
      <c r="A273" s="11" t="s">
        <v>60</v>
      </c>
      <c r="B273" s="687"/>
      <c r="C273" s="687"/>
      <c r="D273" s="687"/>
      <c r="E273" s="687"/>
      <c r="F273" s="687"/>
      <c r="G273" s="687"/>
      <c r="H273" s="687"/>
      <c r="I273" s="375"/>
      <c r="J273" s="687"/>
      <c r="K273" s="687"/>
      <c r="L273" s="687"/>
      <c r="M273" s="687"/>
      <c r="N273" s="687"/>
      <c r="O273" s="687"/>
      <c r="P273" s="687"/>
      <c r="Q273" s="375"/>
      <c r="R273" s="688"/>
      <c r="S273" s="688"/>
      <c r="T273" s="688"/>
      <c r="U273" s="688"/>
      <c r="V273" s="688"/>
      <c r="W273" s="688"/>
      <c r="X273" s="688"/>
      <c r="Y273" s="278"/>
      <c r="Z273" s="688"/>
      <c r="AA273" s="688"/>
      <c r="AB273" s="688"/>
      <c r="AC273" s="688"/>
      <c r="AD273" s="688"/>
      <c r="AE273" s="688"/>
      <c r="AF273" s="688"/>
      <c r="AG273" s="688"/>
      <c r="AH273" s="688"/>
      <c r="AI273" s="687"/>
      <c r="AJ273" s="278"/>
      <c r="AK273" s="744"/>
      <c r="AL273" s="401"/>
    </row>
    <row r="274" spans="1:38" ht="19.5" thickBot="1" x14ac:dyDescent="0.35">
      <c r="A274" s="280" t="s">
        <v>2</v>
      </c>
      <c r="B274" s="277">
        <f t="shared" ref="B274:H274" si="35">SUM(B267:B273)</f>
        <v>0</v>
      </c>
      <c r="C274" s="277">
        <f t="shared" si="35"/>
        <v>0</v>
      </c>
      <c r="D274" s="277">
        <f t="shared" si="35"/>
        <v>0</v>
      </c>
      <c r="E274" s="277">
        <f t="shared" si="35"/>
        <v>0</v>
      </c>
      <c r="F274" s="277">
        <f t="shared" si="35"/>
        <v>0</v>
      </c>
      <c r="G274" s="277">
        <f t="shared" si="35"/>
        <v>0</v>
      </c>
      <c r="H274" s="277">
        <f t="shared" si="35"/>
        <v>0</v>
      </c>
      <c r="I274" s="375">
        <f>SUM(B274:H274)</f>
        <v>0</v>
      </c>
      <c r="J274" s="277">
        <f t="shared" ref="J274:P274" si="36">SUM(J267:J273)</f>
        <v>0</v>
      </c>
      <c r="K274" s="277">
        <f t="shared" si="36"/>
        <v>0</v>
      </c>
      <c r="L274" s="277">
        <f t="shared" si="36"/>
        <v>0</v>
      </c>
      <c r="M274" s="277">
        <f t="shared" si="36"/>
        <v>0</v>
      </c>
      <c r="N274" s="277">
        <f t="shared" si="36"/>
        <v>0</v>
      </c>
      <c r="O274" s="277">
        <f t="shared" si="36"/>
        <v>0</v>
      </c>
      <c r="P274" s="277">
        <f t="shared" si="36"/>
        <v>0</v>
      </c>
      <c r="Q274" s="375">
        <f>SUM(J274:P274)</f>
        <v>0</v>
      </c>
      <c r="R274" s="691">
        <f t="shared" ref="R274:X274" si="37">SUM(R267:R273)</f>
        <v>0</v>
      </c>
      <c r="S274" s="277">
        <f t="shared" si="37"/>
        <v>0</v>
      </c>
      <c r="T274" s="277">
        <f t="shared" si="37"/>
        <v>0</v>
      </c>
      <c r="U274" s="277">
        <f t="shared" si="37"/>
        <v>0</v>
      </c>
      <c r="V274" s="277">
        <f t="shared" si="37"/>
        <v>0</v>
      </c>
      <c r="W274" s="277">
        <f t="shared" si="37"/>
        <v>0</v>
      </c>
      <c r="X274" s="277">
        <f t="shared" si="37"/>
        <v>0</v>
      </c>
      <c r="Y274" s="375">
        <f>SUM(R274:X274)</f>
        <v>0</v>
      </c>
      <c r="Z274" s="691">
        <f t="shared" ref="Z274:AF274" si="38">SUM(Z267:Z273)</f>
        <v>0</v>
      </c>
      <c r="AA274" s="277">
        <f t="shared" si="38"/>
        <v>0</v>
      </c>
      <c r="AB274" s="277">
        <f t="shared" si="38"/>
        <v>0</v>
      </c>
      <c r="AC274" s="277">
        <f t="shared" si="38"/>
        <v>0</v>
      </c>
      <c r="AD274" s="277">
        <f t="shared" si="38"/>
        <v>0</v>
      </c>
      <c r="AE274" s="277">
        <f t="shared" si="38"/>
        <v>0</v>
      </c>
      <c r="AF274" s="277">
        <f t="shared" si="38"/>
        <v>0</v>
      </c>
      <c r="AG274" s="277">
        <f t="shared" ref="AG274:AH274" si="39">SUM(AG267:AG273)</f>
        <v>0</v>
      </c>
      <c r="AH274" s="277">
        <f t="shared" si="39"/>
        <v>0</v>
      </c>
      <c r="AI274" s="277">
        <f>SUM(AI267:AI273)</f>
        <v>4686</v>
      </c>
      <c r="AJ274" s="375">
        <f>SUM(Z274:AI274)</f>
        <v>4686</v>
      </c>
      <c r="AK274" s="769">
        <f>SUM(AK267:AK273)</f>
        <v>4686</v>
      </c>
      <c r="AL274" s="283"/>
    </row>
    <row r="275" spans="1:38" ht="27" thickBot="1" x14ac:dyDescent="0.45">
      <c r="A275" s="311" t="s">
        <v>134</v>
      </c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312"/>
    </row>
    <row r="276" spans="1:38" ht="16.5" thickBot="1" x14ac:dyDescent="0.3">
      <c r="A276" s="706" t="s">
        <v>8</v>
      </c>
      <c r="B276" s="707">
        <v>1</v>
      </c>
      <c r="C276" s="328">
        <v>2</v>
      </c>
      <c r="D276" s="328">
        <v>3</v>
      </c>
      <c r="E276" s="328">
        <v>4</v>
      </c>
      <c r="F276" s="328">
        <v>5</v>
      </c>
      <c r="G276" s="328">
        <v>6</v>
      </c>
      <c r="H276" s="705">
        <v>7</v>
      </c>
      <c r="I276" s="329" t="s">
        <v>338</v>
      </c>
      <c r="J276" s="707">
        <v>8</v>
      </c>
      <c r="K276" s="328">
        <v>9</v>
      </c>
      <c r="L276" s="328">
        <v>10</v>
      </c>
      <c r="M276" s="328">
        <v>11</v>
      </c>
      <c r="N276" s="328">
        <v>12</v>
      </c>
      <c r="O276" s="328">
        <v>13</v>
      </c>
      <c r="P276" s="705">
        <v>14</v>
      </c>
      <c r="Q276" s="329" t="s">
        <v>338</v>
      </c>
      <c r="R276" s="328">
        <v>15</v>
      </c>
      <c r="S276" s="328">
        <v>16</v>
      </c>
      <c r="T276" s="328">
        <v>17</v>
      </c>
      <c r="U276" s="328">
        <v>18</v>
      </c>
      <c r="V276" s="328">
        <v>19</v>
      </c>
      <c r="W276" s="328">
        <v>20</v>
      </c>
      <c r="X276" s="328">
        <v>21</v>
      </c>
      <c r="Y276" s="329" t="s">
        <v>338</v>
      </c>
      <c r="Z276" s="328">
        <v>22</v>
      </c>
      <c r="AA276" s="328">
        <v>23</v>
      </c>
      <c r="AB276" s="328">
        <v>24</v>
      </c>
      <c r="AC276" s="328">
        <v>25</v>
      </c>
      <c r="AD276" s="328">
        <v>26</v>
      </c>
      <c r="AE276" s="328">
        <v>27</v>
      </c>
      <c r="AF276" s="328">
        <v>28</v>
      </c>
      <c r="AG276" s="328">
        <v>29</v>
      </c>
      <c r="AH276" s="328">
        <v>30</v>
      </c>
      <c r="AI276" s="328">
        <v>31</v>
      </c>
      <c r="AJ276" s="329" t="s">
        <v>338</v>
      </c>
      <c r="AK276" s="730" t="s">
        <v>377</v>
      </c>
      <c r="AL276" s="318"/>
    </row>
    <row r="277" spans="1:38" ht="15.75" x14ac:dyDescent="0.25">
      <c r="A277" s="61" t="s">
        <v>25</v>
      </c>
      <c r="B277" s="303">
        <v>14186</v>
      </c>
      <c r="C277" s="303">
        <v>13561</v>
      </c>
      <c r="D277" s="303">
        <v>14181</v>
      </c>
      <c r="E277" s="303">
        <v>13945</v>
      </c>
      <c r="F277" s="303">
        <v>14479</v>
      </c>
      <c r="G277" s="303">
        <v>14005</v>
      </c>
      <c r="H277" s="313">
        <v>13388</v>
      </c>
      <c r="I277" s="304"/>
      <c r="J277" s="303">
        <v>13977</v>
      </c>
      <c r="K277" s="303">
        <v>13208</v>
      </c>
      <c r="L277" s="303">
        <v>13204</v>
      </c>
      <c r="M277" s="303">
        <v>13526</v>
      </c>
      <c r="N277" s="303">
        <v>14486</v>
      </c>
      <c r="O277" s="303">
        <v>14073</v>
      </c>
      <c r="P277" s="303">
        <v>13722</v>
      </c>
      <c r="Q277" s="305"/>
      <c r="R277" s="303">
        <v>14559</v>
      </c>
      <c r="S277" s="303">
        <v>13927</v>
      </c>
      <c r="T277" s="303">
        <v>14213</v>
      </c>
      <c r="U277" s="303">
        <v>14645</v>
      </c>
      <c r="V277" s="303">
        <v>13502</v>
      </c>
      <c r="W277" s="303">
        <v>14420</v>
      </c>
      <c r="X277" s="303"/>
      <c r="Y277" s="305"/>
      <c r="Z277" s="303">
        <v>10182</v>
      </c>
      <c r="AA277" s="303">
        <v>8959</v>
      </c>
      <c r="AB277" s="303">
        <v>9362</v>
      </c>
      <c r="AC277" s="303">
        <v>8262</v>
      </c>
      <c r="AD277" s="303">
        <v>9168</v>
      </c>
      <c r="AE277" s="303">
        <v>9031</v>
      </c>
      <c r="AF277" s="303">
        <v>10030</v>
      </c>
      <c r="AG277" s="303">
        <v>9177</v>
      </c>
      <c r="AH277" s="303">
        <v>6387</v>
      </c>
      <c r="AI277" s="303">
        <v>9736</v>
      </c>
      <c r="AJ277" s="305"/>
      <c r="AK277" s="745"/>
      <c r="AL277" s="315"/>
    </row>
    <row r="278" spans="1:38" ht="15" customHeight="1" x14ac:dyDescent="0.25">
      <c r="A278" s="11" t="s">
        <v>36</v>
      </c>
      <c r="B278" s="1">
        <v>6037.2</v>
      </c>
      <c r="C278" s="1">
        <v>5731.23</v>
      </c>
      <c r="D278" s="1">
        <v>6604.84</v>
      </c>
      <c r="E278" s="1">
        <v>5515.1</v>
      </c>
      <c r="F278" s="1">
        <v>5956.93</v>
      </c>
      <c r="G278" s="118">
        <v>6030.6</v>
      </c>
      <c r="H278" s="173">
        <v>5714.89</v>
      </c>
      <c r="I278" s="36"/>
      <c r="J278" s="173">
        <v>6570.34</v>
      </c>
      <c r="K278" s="1">
        <v>5970.18</v>
      </c>
      <c r="L278" s="1">
        <v>6374.33</v>
      </c>
      <c r="M278" s="1">
        <v>5880.89</v>
      </c>
      <c r="N278" s="1">
        <v>5441.23</v>
      </c>
      <c r="O278" s="1">
        <v>5714.37</v>
      </c>
      <c r="P278" s="1">
        <v>5873.97</v>
      </c>
      <c r="Q278" s="37"/>
      <c r="R278" s="1">
        <v>6348.54</v>
      </c>
      <c r="S278" s="1">
        <v>6093.04</v>
      </c>
      <c r="T278" s="1">
        <v>5827.09</v>
      </c>
      <c r="U278" s="1">
        <v>5139.84</v>
      </c>
      <c r="V278" s="118">
        <v>6697.51</v>
      </c>
      <c r="W278" s="1">
        <v>5075.28</v>
      </c>
      <c r="X278" s="1"/>
      <c r="Y278" s="37"/>
      <c r="Z278" s="1">
        <v>5537.81</v>
      </c>
      <c r="AA278" s="1">
        <v>6108.6</v>
      </c>
      <c r="AB278" s="1">
        <v>6151.17</v>
      </c>
      <c r="AC278" s="1">
        <v>6125.62</v>
      </c>
      <c r="AD278" s="1">
        <v>4178.72</v>
      </c>
      <c r="AE278" s="1">
        <v>4667.74</v>
      </c>
      <c r="AF278" s="118">
        <v>6476.02</v>
      </c>
      <c r="AG278" s="1">
        <v>4829.1400000000003</v>
      </c>
      <c r="AH278" s="1">
        <v>1235.28</v>
      </c>
      <c r="AI278" s="1">
        <v>5347.89</v>
      </c>
      <c r="AJ278" s="37"/>
      <c r="AK278" s="236">
        <f>SUM(B278:AJ278)</f>
        <v>169255.38999999998</v>
      </c>
      <c r="AL278" s="223">
        <v>133402.85</v>
      </c>
    </row>
    <row r="279" spans="1:38" ht="15" customHeight="1" x14ac:dyDescent="0.25">
      <c r="A279" s="11" t="s">
        <v>46</v>
      </c>
      <c r="B279" s="531">
        <v>0</v>
      </c>
      <c r="C279" s="531">
        <v>0</v>
      </c>
      <c r="D279" s="531">
        <v>0</v>
      </c>
      <c r="E279" s="531">
        <v>0</v>
      </c>
      <c r="F279" s="531">
        <v>0</v>
      </c>
      <c r="G279" s="531">
        <v>0</v>
      </c>
      <c r="H279" s="531">
        <v>0</v>
      </c>
      <c r="I279" s="160"/>
      <c r="J279" s="531">
        <v>0</v>
      </c>
      <c r="K279" s="531">
        <v>0</v>
      </c>
      <c r="L279" s="531">
        <v>0</v>
      </c>
      <c r="M279" s="531">
        <v>0</v>
      </c>
      <c r="N279" s="531">
        <v>0</v>
      </c>
      <c r="O279" s="531">
        <v>0</v>
      </c>
      <c r="P279" s="531">
        <v>0</v>
      </c>
      <c r="Q279" s="751"/>
      <c r="R279" s="531">
        <v>0</v>
      </c>
      <c r="S279" s="531">
        <v>0</v>
      </c>
      <c r="T279" s="531">
        <v>0</v>
      </c>
      <c r="U279" s="531">
        <v>0</v>
      </c>
      <c r="V279" s="531">
        <v>0</v>
      </c>
      <c r="W279" s="531">
        <v>0</v>
      </c>
      <c r="X279" s="531">
        <v>0</v>
      </c>
      <c r="Y279" s="37"/>
      <c r="Z279" s="531">
        <v>0</v>
      </c>
      <c r="AA279" s="531">
        <v>0</v>
      </c>
      <c r="AB279" s="531">
        <v>0</v>
      </c>
      <c r="AC279" s="531">
        <v>0</v>
      </c>
      <c r="AD279" s="531">
        <v>0</v>
      </c>
      <c r="AE279" s="531">
        <v>0</v>
      </c>
      <c r="AF279" s="531">
        <v>0</v>
      </c>
      <c r="AG279" s="531">
        <v>0</v>
      </c>
      <c r="AH279" s="531">
        <v>0</v>
      </c>
      <c r="AI279" s="531">
        <v>0</v>
      </c>
      <c r="AJ279" s="37"/>
      <c r="AK279" s="237"/>
      <c r="AL279" s="223"/>
    </row>
    <row r="280" spans="1:38" ht="15" customHeight="1" x14ac:dyDescent="0.25">
      <c r="A280" s="11" t="s">
        <v>47</v>
      </c>
      <c r="B280" s="531">
        <v>0</v>
      </c>
      <c r="C280" s="531">
        <v>0</v>
      </c>
      <c r="D280" s="531">
        <v>0</v>
      </c>
      <c r="E280" s="531">
        <v>0</v>
      </c>
      <c r="F280" s="531">
        <v>0</v>
      </c>
      <c r="G280" s="531">
        <v>0</v>
      </c>
      <c r="H280" s="531">
        <v>0</v>
      </c>
      <c r="I280" s="160"/>
      <c r="J280" s="531">
        <v>0</v>
      </c>
      <c r="K280" s="531">
        <v>0</v>
      </c>
      <c r="L280" s="531">
        <v>0</v>
      </c>
      <c r="M280" s="531">
        <v>0</v>
      </c>
      <c r="N280" s="531">
        <v>0</v>
      </c>
      <c r="O280" s="531">
        <v>0</v>
      </c>
      <c r="P280" s="531">
        <v>0</v>
      </c>
      <c r="Q280" s="751"/>
      <c r="R280" s="531">
        <v>0</v>
      </c>
      <c r="S280" s="531">
        <v>0</v>
      </c>
      <c r="T280" s="531">
        <v>0</v>
      </c>
      <c r="U280" s="531">
        <v>0</v>
      </c>
      <c r="V280" s="531">
        <v>0</v>
      </c>
      <c r="W280" s="531">
        <v>0</v>
      </c>
      <c r="X280" s="531">
        <v>0</v>
      </c>
      <c r="Y280" s="37"/>
      <c r="Z280" s="531">
        <v>0</v>
      </c>
      <c r="AA280" s="531">
        <v>0</v>
      </c>
      <c r="AB280" s="531">
        <v>0</v>
      </c>
      <c r="AC280" s="531">
        <v>0</v>
      </c>
      <c r="AD280" s="531">
        <v>0</v>
      </c>
      <c r="AE280" s="531">
        <v>0</v>
      </c>
      <c r="AF280" s="531">
        <v>0</v>
      </c>
      <c r="AG280" s="531">
        <v>0</v>
      </c>
      <c r="AH280" s="531">
        <v>0</v>
      </c>
      <c r="AI280" s="531">
        <v>0</v>
      </c>
      <c r="AJ280" s="37"/>
      <c r="AK280" s="746"/>
      <c r="AL280" s="223"/>
    </row>
    <row r="281" spans="1:38" ht="15" customHeight="1" x14ac:dyDescent="0.25">
      <c r="A281" s="11" t="s">
        <v>48</v>
      </c>
      <c r="B281" s="1">
        <v>20.57</v>
      </c>
      <c r="C281" s="1">
        <v>99.97</v>
      </c>
      <c r="D281" s="1">
        <v>15.24</v>
      </c>
      <c r="E281" s="1">
        <v>56.27</v>
      </c>
      <c r="F281" s="1">
        <v>39.69</v>
      </c>
      <c r="G281" s="1">
        <v>36.42</v>
      </c>
      <c r="H281" s="173">
        <v>25.05</v>
      </c>
      <c r="I281" s="36"/>
      <c r="J281" s="531">
        <v>0</v>
      </c>
      <c r="K281" s="533">
        <v>32.82</v>
      </c>
      <c r="L281" s="533">
        <v>27.55</v>
      </c>
      <c r="M281" s="531">
        <v>25.35</v>
      </c>
      <c r="N281" s="531">
        <v>102.2</v>
      </c>
      <c r="O281" s="531"/>
      <c r="P281" s="594">
        <v>34.83</v>
      </c>
      <c r="Q281" s="37"/>
      <c r="R281" s="1">
        <v>17.73</v>
      </c>
      <c r="S281" s="1">
        <v>100.31</v>
      </c>
      <c r="T281" s="1">
        <v>33.64</v>
      </c>
      <c r="U281" s="1">
        <v>26.05</v>
      </c>
      <c r="V281" s="1">
        <v>37.31</v>
      </c>
      <c r="W281" s="1">
        <v>14.56</v>
      </c>
      <c r="X281" s="1"/>
      <c r="Y281" s="37"/>
      <c r="Z281" s="1">
        <v>14.28</v>
      </c>
      <c r="AA281" s="1">
        <v>60.13</v>
      </c>
      <c r="AB281" s="1">
        <v>15.52</v>
      </c>
      <c r="AC281" s="1">
        <v>0</v>
      </c>
      <c r="AD281" s="1">
        <v>35.53</v>
      </c>
      <c r="AE281" s="1">
        <v>18.21</v>
      </c>
      <c r="AF281" s="1">
        <v>15.1</v>
      </c>
      <c r="AG281" s="1">
        <v>15.3</v>
      </c>
      <c r="AH281" s="1">
        <v>19.52</v>
      </c>
      <c r="AI281" s="1">
        <v>77.67</v>
      </c>
      <c r="AJ281" s="37"/>
      <c r="AK281" s="746"/>
      <c r="AL281" s="223"/>
    </row>
    <row r="282" spans="1:38" ht="15" customHeight="1" x14ac:dyDescent="0.25">
      <c r="A282" s="11" t="s">
        <v>37</v>
      </c>
      <c r="B282" s="1">
        <v>274.38</v>
      </c>
      <c r="C282" s="1">
        <v>148.74</v>
      </c>
      <c r="D282" s="1">
        <v>139.69</v>
      </c>
      <c r="E282" s="1">
        <v>149.32</v>
      </c>
      <c r="F282" s="118">
        <v>129.24</v>
      </c>
      <c r="G282" s="1">
        <v>240.96</v>
      </c>
      <c r="H282" s="173">
        <v>189.12</v>
      </c>
      <c r="I282" s="36"/>
      <c r="J282" s="1">
        <v>84.56</v>
      </c>
      <c r="K282" s="1">
        <v>245.35</v>
      </c>
      <c r="L282" s="1">
        <v>105.49</v>
      </c>
      <c r="M282" s="1">
        <v>218.14</v>
      </c>
      <c r="N282" s="1">
        <v>268.54000000000002</v>
      </c>
      <c r="O282" s="1">
        <v>257.45999999999998</v>
      </c>
      <c r="P282" s="118">
        <v>171.63</v>
      </c>
      <c r="Q282" s="37"/>
      <c r="R282" s="1">
        <v>191.67</v>
      </c>
      <c r="S282" s="1">
        <v>181.6</v>
      </c>
      <c r="T282" s="1">
        <v>158.02000000000001</v>
      </c>
      <c r="U282" s="1">
        <v>89.59</v>
      </c>
      <c r="V282" s="1">
        <v>174.88</v>
      </c>
      <c r="W282" s="1">
        <v>40</v>
      </c>
      <c r="X282" s="1"/>
      <c r="Y282" s="37"/>
      <c r="Z282" s="1">
        <v>86.41</v>
      </c>
      <c r="AA282" s="1">
        <v>180</v>
      </c>
      <c r="AB282" s="1">
        <v>140.66</v>
      </c>
      <c r="AC282" s="1">
        <v>195.21</v>
      </c>
      <c r="AD282" s="1">
        <v>60.19</v>
      </c>
      <c r="AE282" s="1">
        <v>224.81</v>
      </c>
      <c r="AF282" s="1">
        <v>128.74</v>
      </c>
      <c r="AG282" s="1">
        <v>97.13</v>
      </c>
      <c r="AH282" s="1">
        <v>370.21</v>
      </c>
      <c r="AI282" s="1">
        <v>176.38</v>
      </c>
      <c r="AJ282" s="37"/>
      <c r="AK282" s="747">
        <v>142638.21</v>
      </c>
      <c r="AL282" s="223"/>
    </row>
    <row r="283" spans="1:38" ht="15" customHeight="1" x14ac:dyDescent="0.25">
      <c r="A283" s="11" t="s">
        <v>26</v>
      </c>
      <c r="B283" s="1">
        <v>150</v>
      </c>
      <c r="C283" s="1">
        <v>149.74</v>
      </c>
      <c r="D283" s="1">
        <v>144.29</v>
      </c>
      <c r="E283" s="1">
        <v>128.72</v>
      </c>
      <c r="F283" s="1">
        <v>150</v>
      </c>
      <c r="G283" s="118">
        <v>150</v>
      </c>
      <c r="H283" s="173">
        <v>150</v>
      </c>
      <c r="I283" s="36"/>
      <c r="J283" s="1">
        <v>145.26</v>
      </c>
      <c r="K283" s="1">
        <v>150</v>
      </c>
      <c r="L283" s="1">
        <v>148.33000000000001</v>
      </c>
      <c r="M283" s="1">
        <v>144.71</v>
      </c>
      <c r="N283" s="1">
        <v>150</v>
      </c>
      <c r="O283" s="1">
        <v>145.05000000000001</v>
      </c>
      <c r="P283" s="1">
        <v>143.56</v>
      </c>
      <c r="Q283" s="37"/>
      <c r="R283" s="1">
        <v>150</v>
      </c>
      <c r="S283" s="1">
        <v>150</v>
      </c>
      <c r="T283" s="1">
        <v>150</v>
      </c>
      <c r="U283" s="1">
        <v>146.99</v>
      </c>
      <c r="V283" s="1">
        <v>150</v>
      </c>
      <c r="W283" s="1">
        <v>143.44999999999999</v>
      </c>
      <c r="X283" s="1"/>
      <c r="Y283" s="37"/>
      <c r="Z283" s="118">
        <v>140.53</v>
      </c>
      <c r="AA283" s="1">
        <v>135.44999999999999</v>
      </c>
      <c r="AB283" s="1">
        <v>149.81</v>
      </c>
      <c r="AC283" s="1">
        <v>150</v>
      </c>
      <c r="AD283" s="1">
        <v>134.65</v>
      </c>
      <c r="AE283" s="1">
        <v>138.97999999999999</v>
      </c>
      <c r="AF283" s="1">
        <v>139.03</v>
      </c>
      <c r="AG283" s="1">
        <v>120.35</v>
      </c>
      <c r="AH283" s="1">
        <v>108.35</v>
      </c>
      <c r="AI283" s="1">
        <v>142.54</v>
      </c>
      <c r="AJ283" s="37"/>
      <c r="AK283" s="747">
        <v>141324.94</v>
      </c>
      <c r="AL283" s="223"/>
    </row>
    <row r="284" spans="1:38" ht="15" customHeight="1" x14ac:dyDescent="0.25">
      <c r="A284" s="11" t="s">
        <v>27</v>
      </c>
      <c r="B284" s="1">
        <v>76.63</v>
      </c>
      <c r="C284" s="1">
        <v>112.63</v>
      </c>
      <c r="D284" s="1">
        <v>105.86</v>
      </c>
      <c r="E284" s="1">
        <v>95.13</v>
      </c>
      <c r="F284" s="1">
        <v>92.85</v>
      </c>
      <c r="G284" s="118">
        <v>113.01</v>
      </c>
      <c r="H284" s="211">
        <v>118.9</v>
      </c>
      <c r="I284" s="36"/>
      <c r="J284" s="1">
        <v>106.08</v>
      </c>
      <c r="K284" s="1">
        <v>92.62</v>
      </c>
      <c r="L284" s="1">
        <v>94.07</v>
      </c>
      <c r="M284" s="1">
        <v>107.98</v>
      </c>
      <c r="N284" s="1">
        <v>82.39</v>
      </c>
      <c r="O284" s="1">
        <v>99.16</v>
      </c>
      <c r="P284" s="1">
        <v>120</v>
      </c>
      <c r="Q284" s="37"/>
      <c r="R284" s="1">
        <v>120</v>
      </c>
      <c r="S284" s="1">
        <v>113.23</v>
      </c>
      <c r="T284" s="118">
        <v>110.34</v>
      </c>
      <c r="U284" s="1">
        <v>101.12</v>
      </c>
      <c r="V284" s="1">
        <v>107.02</v>
      </c>
      <c r="W284" s="1">
        <v>99.05</v>
      </c>
      <c r="X284" s="1"/>
      <c r="Y284" s="37"/>
      <c r="Z284" s="1">
        <v>104.44</v>
      </c>
      <c r="AA284" s="1">
        <v>104.31</v>
      </c>
      <c r="AB284" s="1">
        <v>98.2</v>
      </c>
      <c r="AC284" s="1">
        <v>103.47</v>
      </c>
      <c r="AD284" s="1">
        <v>103.5</v>
      </c>
      <c r="AE284" s="118">
        <v>107.14</v>
      </c>
      <c r="AF284" s="1">
        <v>104.06</v>
      </c>
      <c r="AG284" s="1">
        <v>64.81</v>
      </c>
      <c r="AH284" s="1">
        <v>117.96</v>
      </c>
      <c r="AI284" s="1">
        <v>106.48</v>
      </c>
      <c r="AJ284" s="37"/>
      <c r="AK284" s="747">
        <v>123053.86</v>
      </c>
      <c r="AL284" s="223"/>
    </row>
    <row r="285" spans="1:38" ht="15" customHeight="1" x14ac:dyDescent="0.25">
      <c r="A285" s="62" t="s">
        <v>375</v>
      </c>
      <c r="B285" s="596">
        <v>0</v>
      </c>
      <c r="C285" s="596">
        <v>0</v>
      </c>
      <c r="D285" s="596">
        <v>0</v>
      </c>
      <c r="E285" s="596">
        <v>0</v>
      </c>
      <c r="F285" s="596">
        <v>0</v>
      </c>
      <c r="G285" s="596">
        <v>0</v>
      </c>
      <c r="H285" s="596">
        <v>0</v>
      </c>
      <c r="I285" s="717"/>
      <c r="J285" s="531">
        <v>0</v>
      </c>
      <c r="K285" s="531">
        <v>0</v>
      </c>
      <c r="L285" s="531">
        <v>0</v>
      </c>
      <c r="M285" s="531">
        <v>0</v>
      </c>
      <c r="N285" s="531">
        <v>0</v>
      </c>
      <c r="O285" s="531">
        <v>0</v>
      </c>
      <c r="P285" s="531">
        <v>0</v>
      </c>
      <c r="Q285" s="750"/>
      <c r="R285" s="596">
        <v>0</v>
      </c>
      <c r="S285" s="531">
        <v>0</v>
      </c>
      <c r="T285" s="531">
        <v>0</v>
      </c>
      <c r="U285" s="531">
        <v>0</v>
      </c>
      <c r="V285" s="531">
        <v>0</v>
      </c>
      <c r="W285" s="531">
        <v>0</v>
      </c>
      <c r="X285" s="531">
        <v>0</v>
      </c>
      <c r="Y285" s="43"/>
      <c r="Z285" s="531">
        <v>0</v>
      </c>
      <c r="AA285" s="531">
        <v>0</v>
      </c>
      <c r="AB285" s="531">
        <v>0</v>
      </c>
      <c r="AC285" s="531">
        <v>0</v>
      </c>
      <c r="AD285" s="531">
        <v>0</v>
      </c>
      <c r="AE285" s="531">
        <v>0</v>
      </c>
      <c r="AF285" s="531">
        <v>0</v>
      </c>
      <c r="AG285" s="531">
        <v>0</v>
      </c>
      <c r="AH285" s="531">
        <v>0</v>
      </c>
      <c r="AI285" s="531">
        <v>0</v>
      </c>
      <c r="AJ285" s="43"/>
      <c r="AK285" s="748">
        <v>149943.04999999999</v>
      </c>
      <c r="AL285" s="229"/>
    </row>
    <row r="286" spans="1:38" ht="15" customHeight="1" thickBot="1" x14ac:dyDescent="0.3">
      <c r="A286" s="62" t="s">
        <v>28</v>
      </c>
      <c r="B286" s="596">
        <v>0</v>
      </c>
      <c r="C286" s="596">
        <v>0</v>
      </c>
      <c r="D286" s="596">
        <v>0</v>
      </c>
      <c r="E286" s="596">
        <v>0</v>
      </c>
      <c r="F286" s="596">
        <v>0</v>
      </c>
      <c r="G286" s="596">
        <v>0</v>
      </c>
      <c r="H286" s="596">
        <v>0</v>
      </c>
      <c r="I286" s="717"/>
      <c r="J286" s="531">
        <v>0</v>
      </c>
      <c r="K286" s="531">
        <v>0</v>
      </c>
      <c r="L286" s="531">
        <v>0</v>
      </c>
      <c r="M286" s="531">
        <v>0</v>
      </c>
      <c r="N286" s="531">
        <v>0</v>
      </c>
      <c r="O286" s="531">
        <v>0</v>
      </c>
      <c r="P286" s="531">
        <v>0</v>
      </c>
      <c r="Q286" s="750"/>
      <c r="R286" s="596">
        <v>0</v>
      </c>
      <c r="S286" s="531">
        <v>0</v>
      </c>
      <c r="T286" s="531">
        <v>0</v>
      </c>
      <c r="U286" s="531">
        <v>0</v>
      </c>
      <c r="V286" s="531">
        <v>0</v>
      </c>
      <c r="W286" s="531">
        <v>0</v>
      </c>
      <c r="X286" s="531">
        <v>0</v>
      </c>
      <c r="Y286" s="43"/>
      <c r="Z286" s="531">
        <v>0</v>
      </c>
      <c r="AA286" s="531">
        <v>0</v>
      </c>
      <c r="AB286" s="531">
        <v>0</v>
      </c>
      <c r="AC286" s="531">
        <v>0</v>
      </c>
      <c r="AD286" s="531">
        <v>0</v>
      </c>
      <c r="AE286" s="531">
        <v>0</v>
      </c>
      <c r="AF286" s="531">
        <v>0</v>
      </c>
      <c r="AG286" s="531">
        <v>0</v>
      </c>
      <c r="AH286" s="531">
        <v>0</v>
      </c>
      <c r="AI286" s="531">
        <v>4686</v>
      </c>
      <c r="AJ286" s="43"/>
      <c r="AK286" s="749"/>
      <c r="AL286" s="229"/>
    </row>
    <row r="287" spans="1:38" ht="18.75" x14ac:dyDescent="0.3">
      <c r="A287" s="230" t="s">
        <v>2</v>
      </c>
      <c r="B287" s="232">
        <f t="shared" ref="B287:G287" si="40">SUM(B277:B286)</f>
        <v>20744.780000000002</v>
      </c>
      <c r="C287" s="232">
        <f t="shared" si="40"/>
        <v>19803.310000000005</v>
      </c>
      <c r="D287" s="232">
        <f t="shared" si="40"/>
        <v>21190.920000000002</v>
      </c>
      <c r="E287" s="232">
        <f t="shared" si="40"/>
        <v>19889.54</v>
      </c>
      <c r="F287" s="232">
        <f t="shared" si="40"/>
        <v>20847.71</v>
      </c>
      <c r="G287" s="232">
        <f t="shared" si="40"/>
        <v>20575.989999999994</v>
      </c>
      <c r="H287" s="248">
        <f>SUM(H277:H286)</f>
        <v>19585.96</v>
      </c>
      <c r="I287" s="249">
        <f>SUM(B287:H287)</f>
        <v>142638.21</v>
      </c>
      <c r="J287" s="231">
        <f t="shared" ref="J287:O287" si="41">SUM(J277:J286)</f>
        <v>20883.240000000002</v>
      </c>
      <c r="K287" s="231">
        <f t="shared" si="41"/>
        <v>19698.969999999998</v>
      </c>
      <c r="L287" s="231">
        <f t="shared" si="41"/>
        <v>19953.770000000004</v>
      </c>
      <c r="M287" s="231">
        <f t="shared" si="41"/>
        <v>19903.069999999996</v>
      </c>
      <c r="N287" s="231">
        <f t="shared" si="41"/>
        <v>20530.36</v>
      </c>
      <c r="O287" s="231">
        <f t="shared" si="41"/>
        <v>20289.039999999997</v>
      </c>
      <c r="P287" s="231">
        <f>SUM(P277:P286)</f>
        <v>20065.990000000005</v>
      </c>
      <c r="Q287" s="249">
        <f>SUM(J287:P287)</f>
        <v>141324.44</v>
      </c>
      <c r="R287" s="233">
        <f t="shared" ref="R287:W287" si="42">SUM(R277:R286)</f>
        <v>21386.94</v>
      </c>
      <c r="S287" s="233">
        <f t="shared" si="42"/>
        <v>20565.18</v>
      </c>
      <c r="T287" s="233">
        <f t="shared" si="42"/>
        <v>20492.09</v>
      </c>
      <c r="U287" s="233">
        <f t="shared" si="42"/>
        <v>20148.59</v>
      </c>
      <c r="V287" s="233">
        <f t="shared" si="42"/>
        <v>20668.720000000005</v>
      </c>
      <c r="W287" s="233">
        <f t="shared" si="42"/>
        <v>19792.34</v>
      </c>
      <c r="X287" s="233"/>
      <c r="Y287" s="249">
        <f>SUM(R287:X287)</f>
        <v>123053.85999999999</v>
      </c>
      <c r="Z287" s="233">
        <f t="shared" ref="Z287:AE287" si="43">SUM(Z277:Z286)</f>
        <v>16065.470000000003</v>
      </c>
      <c r="AA287" s="233">
        <f t="shared" si="43"/>
        <v>15547.49</v>
      </c>
      <c r="AB287" s="233">
        <f t="shared" si="43"/>
        <v>15917.36</v>
      </c>
      <c r="AC287" s="233">
        <f t="shared" si="43"/>
        <v>14836.299999999997</v>
      </c>
      <c r="AD287" s="233">
        <f t="shared" si="43"/>
        <v>13680.590000000002</v>
      </c>
      <c r="AE287" s="233">
        <f t="shared" si="43"/>
        <v>14187.879999999997</v>
      </c>
      <c r="AF287" s="233">
        <f>SUM(AF277:AF286)</f>
        <v>16892.95</v>
      </c>
      <c r="AG287" s="233">
        <f>SUM(AG277:AG286)</f>
        <v>14303.729999999998</v>
      </c>
      <c r="AH287" s="233">
        <f>SUM(AH277:AH286)</f>
        <v>8238.32</v>
      </c>
      <c r="AI287" s="233">
        <f>SUM(AI277:AI286)</f>
        <v>20272.96</v>
      </c>
      <c r="AJ287" s="249">
        <f>SUM(Z287:AI287)</f>
        <v>149943.04999999999</v>
      </c>
      <c r="AK287" s="232">
        <f>SUM(AK277:AK286)</f>
        <v>726215.45</v>
      </c>
      <c r="AL287" s="235"/>
    </row>
    <row r="288" spans="1:38" ht="15.75" thickBot="1" x14ac:dyDescent="0.3">
      <c r="A288" s="224"/>
      <c r="B288" s="335"/>
      <c r="C288" s="225"/>
      <c r="D288" s="225"/>
      <c r="E288" s="225"/>
      <c r="F288" s="225"/>
      <c r="G288" s="225"/>
      <c r="H288" s="225"/>
      <c r="I288" s="56"/>
      <c r="J288" s="225"/>
      <c r="K288" s="225"/>
      <c r="L288" s="225"/>
      <c r="M288" s="225"/>
      <c r="N288" s="225"/>
      <c r="O288" s="225"/>
      <c r="P288" s="225"/>
      <c r="Q288" s="56"/>
      <c r="R288" s="225"/>
      <c r="S288" s="225"/>
      <c r="T288" s="225"/>
      <c r="U288" s="225"/>
      <c r="V288" s="225"/>
      <c r="W288" s="225"/>
      <c r="X288" s="225"/>
      <c r="Y288" s="56"/>
      <c r="Z288" s="226"/>
      <c r="AA288" s="225"/>
      <c r="AB288" s="227"/>
      <c r="AC288" s="225"/>
      <c r="AD288" s="225"/>
      <c r="AE288" s="225"/>
      <c r="AF288" s="225"/>
      <c r="AG288" s="225"/>
      <c r="AH288" s="225"/>
      <c r="AI288" s="225"/>
      <c r="AJ288" s="56"/>
      <c r="AK288" s="225"/>
      <c r="AL288" s="228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8"/>
  <sheetViews>
    <sheetView topLeftCell="A254" workbookViewId="0">
      <selection activeCell="A262" sqref="A262"/>
    </sheetView>
  </sheetViews>
  <sheetFormatPr defaultRowHeight="15" x14ac:dyDescent="0.25"/>
  <cols>
    <col min="1" max="1" width="18.28515625" customWidth="1"/>
    <col min="2" max="3" width="1.42578125" customWidth="1"/>
    <col min="4" max="4" width="1.28515625" customWidth="1"/>
    <col min="5" max="5" width="1.42578125" customWidth="1"/>
    <col min="6" max="7" width="1.28515625" customWidth="1"/>
    <col min="8" max="8" width="1.5703125" customWidth="1"/>
    <col min="9" max="9" width="11.28515625" customWidth="1"/>
    <col min="10" max="11" width="1.28515625" customWidth="1"/>
    <col min="12" max="12" width="1.5703125" customWidth="1"/>
    <col min="13" max="13" width="1.28515625" customWidth="1"/>
    <col min="14" max="14" width="1" customWidth="1"/>
    <col min="15" max="15" width="1.42578125" customWidth="1"/>
    <col min="16" max="16" width="1.140625" customWidth="1"/>
    <col min="17" max="17" width="11.28515625" customWidth="1"/>
    <col min="18" max="18" width="1.28515625" customWidth="1"/>
    <col min="19" max="19" width="1.140625" customWidth="1"/>
    <col min="20" max="21" width="1.42578125" customWidth="1"/>
    <col min="22" max="22" width="1.28515625" customWidth="1"/>
    <col min="23" max="23" width="1.42578125" customWidth="1"/>
    <col min="24" max="24" width="1.28515625" customWidth="1"/>
    <col min="25" max="25" width="11.28515625" customWidth="1"/>
    <col min="26" max="34" width="9.28515625" customWidth="1"/>
    <col min="35" max="35" width="0.28515625" customWidth="1"/>
    <col min="36" max="36" width="11.28515625" customWidth="1"/>
    <col min="37" max="37" width="14.5703125" customWidth="1"/>
    <col min="38" max="38" width="21.140625" customWidth="1"/>
  </cols>
  <sheetData>
    <row r="1" spans="1:38" ht="24" thickBot="1" x14ac:dyDescent="0.4">
      <c r="A1" s="256" t="s">
        <v>135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</row>
    <row r="2" spans="1:38" ht="16.5" thickBot="1" x14ac:dyDescent="0.3">
      <c r="A2" s="321" t="s">
        <v>3</v>
      </c>
      <c r="B2" s="322">
        <v>1</v>
      </c>
      <c r="C2" s="322">
        <v>2</v>
      </c>
      <c r="D2" s="322">
        <v>3</v>
      </c>
      <c r="E2" s="322">
        <v>4</v>
      </c>
      <c r="F2" s="322">
        <v>5</v>
      </c>
      <c r="G2" s="322">
        <v>6</v>
      </c>
      <c r="H2" s="322">
        <v>7</v>
      </c>
      <c r="I2" s="323" t="s">
        <v>6</v>
      </c>
      <c r="J2" s="322">
        <v>8</v>
      </c>
      <c r="K2" s="322">
        <v>9</v>
      </c>
      <c r="L2" s="322">
        <v>10</v>
      </c>
      <c r="M2" s="322">
        <v>11</v>
      </c>
      <c r="N2" s="322">
        <v>12</v>
      </c>
      <c r="O2" s="322">
        <v>13</v>
      </c>
      <c r="P2" s="322">
        <v>14</v>
      </c>
      <c r="Q2" s="323" t="s">
        <v>6</v>
      </c>
      <c r="R2" s="322">
        <v>15</v>
      </c>
      <c r="S2" s="322">
        <v>16</v>
      </c>
      <c r="T2" s="322">
        <v>17</v>
      </c>
      <c r="U2" s="322">
        <v>18</v>
      </c>
      <c r="V2" s="322">
        <v>19</v>
      </c>
      <c r="W2" s="322">
        <v>20</v>
      </c>
      <c r="X2" s="322">
        <v>21</v>
      </c>
      <c r="Y2" s="323" t="s">
        <v>6</v>
      </c>
      <c r="Z2" s="322">
        <v>22</v>
      </c>
      <c r="AA2" s="322">
        <v>23</v>
      </c>
      <c r="AB2" s="322">
        <v>24</v>
      </c>
      <c r="AC2" s="322">
        <v>25</v>
      </c>
      <c r="AD2" s="322">
        <v>26</v>
      </c>
      <c r="AE2" s="322">
        <v>27</v>
      </c>
      <c r="AF2" s="322">
        <v>28</v>
      </c>
      <c r="AG2" s="322">
        <v>29</v>
      </c>
      <c r="AH2" s="322">
        <v>30</v>
      </c>
      <c r="AI2" s="322">
        <v>31</v>
      </c>
      <c r="AJ2" s="324" t="s">
        <v>6</v>
      </c>
      <c r="AK2" s="325" t="s">
        <v>0</v>
      </c>
      <c r="AL2" s="772" t="s">
        <v>42</v>
      </c>
    </row>
    <row r="3" spans="1:38" x14ac:dyDescent="0.25">
      <c r="A3" s="11">
        <v>1</v>
      </c>
      <c r="B3" s="106">
        <v>0</v>
      </c>
      <c r="C3" s="106">
        <v>803</v>
      </c>
      <c r="D3" s="106">
        <v>354</v>
      </c>
      <c r="E3" s="106">
        <v>401</v>
      </c>
      <c r="F3" s="106">
        <v>315</v>
      </c>
      <c r="G3" s="106">
        <v>241</v>
      </c>
      <c r="H3" s="106">
        <v>510</v>
      </c>
      <c r="I3" s="157"/>
      <c r="J3" s="106">
        <v>457</v>
      </c>
      <c r="K3" s="106">
        <v>450</v>
      </c>
      <c r="L3" s="106">
        <v>303</v>
      </c>
      <c r="M3" s="106">
        <v>402</v>
      </c>
      <c r="N3" s="106">
        <v>335</v>
      </c>
      <c r="O3" s="106">
        <v>322</v>
      </c>
      <c r="P3" s="106">
        <v>386</v>
      </c>
      <c r="Q3" s="157"/>
      <c r="R3" s="106">
        <v>180</v>
      </c>
      <c r="S3" s="106" t="s">
        <v>289</v>
      </c>
      <c r="T3" s="106">
        <v>150</v>
      </c>
      <c r="U3" s="106">
        <v>407</v>
      </c>
      <c r="V3" s="106">
        <v>250</v>
      </c>
      <c r="W3" s="106">
        <v>300</v>
      </c>
      <c r="X3" s="106">
        <v>283.11</v>
      </c>
      <c r="Y3" s="157"/>
      <c r="Z3" s="106">
        <v>400</v>
      </c>
      <c r="AA3" s="106">
        <v>250</v>
      </c>
      <c r="AB3" s="106">
        <v>350</v>
      </c>
      <c r="AC3" s="106">
        <v>342.97</v>
      </c>
      <c r="AD3" s="106">
        <v>538.24</v>
      </c>
      <c r="AE3" s="106">
        <v>349.87</v>
      </c>
      <c r="AF3" s="106">
        <v>356.77</v>
      </c>
      <c r="AG3" s="106">
        <v>350</v>
      </c>
      <c r="AH3" s="106">
        <v>350.37</v>
      </c>
      <c r="AI3" s="106"/>
      <c r="AJ3" s="157"/>
      <c r="AK3" s="14"/>
      <c r="AL3" s="729"/>
    </row>
    <row r="4" spans="1:38" x14ac:dyDescent="0.25">
      <c r="A4" s="11">
        <v>2</v>
      </c>
      <c r="B4" s="106">
        <v>0</v>
      </c>
      <c r="C4" s="106" t="s">
        <v>289</v>
      </c>
      <c r="D4" s="106" t="s">
        <v>289</v>
      </c>
      <c r="E4" s="106" t="s">
        <v>289</v>
      </c>
      <c r="F4" s="106">
        <v>283</v>
      </c>
      <c r="G4" s="106">
        <v>402</v>
      </c>
      <c r="H4" s="106">
        <v>335</v>
      </c>
      <c r="I4" s="37"/>
      <c r="J4" s="106">
        <v>404</v>
      </c>
      <c r="K4" s="106">
        <v>352</v>
      </c>
      <c r="L4" s="106">
        <v>400</v>
      </c>
      <c r="M4" s="106">
        <v>401</v>
      </c>
      <c r="N4" s="106">
        <v>409</v>
      </c>
      <c r="O4" s="106">
        <v>301</v>
      </c>
      <c r="P4" s="106">
        <v>402</v>
      </c>
      <c r="Q4" s="774"/>
      <c r="R4" s="106">
        <v>360</v>
      </c>
      <c r="S4" s="106">
        <v>402</v>
      </c>
      <c r="T4" s="106">
        <v>350</v>
      </c>
      <c r="U4" s="106">
        <v>405</v>
      </c>
      <c r="V4" s="106">
        <v>400</v>
      </c>
      <c r="W4" s="106">
        <v>250</v>
      </c>
      <c r="X4" s="106">
        <v>222.07</v>
      </c>
      <c r="Y4" s="774"/>
      <c r="Z4" s="106">
        <v>500</v>
      </c>
      <c r="AA4" s="106">
        <v>350</v>
      </c>
      <c r="AB4" s="106">
        <v>400</v>
      </c>
      <c r="AC4" s="106">
        <v>300.58</v>
      </c>
      <c r="AD4" s="106">
        <v>449.98</v>
      </c>
      <c r="AE4" s="106">
        <v>300</v>
      </c>
      <c r="AF4" s="106">
        <v>400</v>
      </c>
      <c r="AG4" s="106">
        <v>400</v>
      </c>
      <c r="AH4" s="106">
        <v>450.33</v>
      </c>
      <c r="AI4" s="106"/>
      <c r="AJ4" s="774"/>
      <c r="AK4" s="38"/>
      <c r="AL4" s="154" t="s">
        <v>379</v>
      </c>
    </row>
    <row r="5" spans="1:38" x14ac:dyDescent="0.25">
      <c r="A5" s="11">
        <v>3</v>
      </c>
      <c r="B5" s="106">
        <v>0</v>
      </c>
      <c r="C5" s="106" t="s">
        <v>289</v>
      </c>
      <c r="D5" s="106" t="s">
        <v>289</v>
      </c>
      <c r="E5" s="106" t="s">
        <v>289</v>
      </c>
      <c r="F5" s="106" t="s">
        <v>289</v>
      </c>
      <c r="G5" s="106" t="s">
        <v>289</v>
      </c>
      <c r="H5" s="106" t="s">
        <v>289</v>
      </c>
      <c r="I5" s="37"/>
      <c r="J5" s="106" t="s">
        <v>289</v>
      </c>
      <c r="K5" s="106" t="s">
        <v>289</v>
      </c>
      <c r="L5" s="106" t="s">
        <v>289</v>
      </c>
      <c r="M5" s="106" t="s">
        <v>289</v>
      </c>
      <c r="N5" s="106" t="s">
        <v>289</v>
      </c>
      <c r="O5" s="106" t="s">
        <v>289</v>
      </c>
      <c r="P5" s="106" t="s">
        <v>289</v>
      </c>
      <c r="Q5" s="774"/>
      <c r="R5" s="106" t="s">
        <v>289</v>
      </c>
      <c r="S5" s="106" t="s">
        <v>289</v>
      </c>
      <c r="T5" s="106" t="s">
        <v>289</v>
      </c>
      <c r="U5" s="106" t="s">
        <v>289</v>
      </c>
      <c r="V5" s="106" t="s">
        <v>289</v>
      </c>
      <c r="W5" s="106" t="s">
        <v>289</v>
      </c>
      <c r="X5" s="106" t="s">
        <v>289</v>
      </c>
      <c r="Y5" s="774"/>
      <c r="Z5" s="106" t="s">
        <v>289</v>
      </c>
      <c r="AA5" s="106" t="s">
        <v>289</v>
      </c>
      <c r="AB5" s="106" t="s">
        <v>289</v>
      </c>
      <c r="AC5" s="106" t="s">
        <v>289</v>
      </c>
      <c r="AD5" s="106" t="s">
        <v>289</v>
      </c>
      <c r="AE5" s="106" t="s">
        <v>289</v>
      </c>
      <c r="AF5" s="106" t="s">
        <v>289</v>
      </c>
      <c r="AG5" s="106" t="s">
        <v>289</v>
      </c>
      <c r="AH5" s="106" t="s">
        <v>289</v>
      </c>
      <c r="AI5" s="106"/>
      <c r="AJ5" s="774"/>
      <c r="AK5" s="38"/>
      <c r="AL5" s="176" t="s">
        <v>395</v>
      </c>
    </row>
    <row r="6" spans="1:38" x14ac:dyDescent="0.25">
      <c r="A6" s="11">
        <v>4</v>
      </c>
      <c r="B6" s="106">
        <v>25</v>
      </c>
      <c r="C6" s="106">
        <v>884</v>
      </c>
      <c r="D6" s="106">
        <v>322</v>
      </c>
      <c r="E6" s="106">
        <v>481</v>
      </c>
      <c r="F6" s="106">
        <v>368</v>
      </c>
      <c r="G6" s="106">
        <v>450</v>
      </c>
      <c r="H6" s="106">
        <v>502</v>
      </c>
      <c r="I6" s="37"/>
      <c r="J6" s="106">
        <v>502</v>
      </c>
      <c r="K6" s="106">
        <v>499</v>
      </c>
      <c r="L6" s="106">
        <v>402</v>
      </c>
      <c r="M6" s="106">
        <v>504</v>
      </c>
      <c r="N6" s="106">
        <v>512</v>
      </c>
      <c r="O6" s="106">
        <v>401</v>
      </c>
      <c r="P6" s="106">
        <v>448</v>
      </c>
      <c r="Q6" s="774"/>
      <c r="R6" s="106">
        <v>402</v>
      </c>
      <c r="S6" s="106">
        <v>550</v>
      </c>
      <c r="T6" s="106">
        <v>400</v>
      </c>
      <c r="U6" s="106">
        <v>502</v>
      </c>
      <c r="V6" s="106">
        <v>486</v>
      </c>
      <c r="W6" s="106">
        <v>400</v>
      </c>
      <c r="X6" s="106">
        <v>399.28</v>
      </c>
      <c r="Y6" s="774"/>
      <c r="Z6" s="106">
        <v>500</v>
      </c>
      <c r="AA6" s="106">
        <v>400</v>
      </c>
      <c r="AB6" s="106">
        <v>400</v>
      </c>
      <c r="AC6" s="106">
        <v>400</v>
      </c>
      <c r="AD6" s="106">
        <v>500</v>
      </c>
      <c r="AE6" s="106">
        <v>470.33</v>
      </c>
      <c r="AF6" s="106">
        <v>351.17</v>
      </c>
      <c r="AG6" s="106">
        <v>400</v>
      </c>
      <c r="AH6" s="106">
        <v>500</v>
      </c>
      <c r="AI6" s="106"/>
      <c r="AJ6" s="774"/>
      <c r="AK6" s="38"/>
      <c r="AL6" s="176"/>
    </row>
    <row r="7" spans="1:38" x14ac:dyDescent="0.25">
      <c r="A7" s="11">
        <v>5</v>
      </c>
      <c r="B7" s="106" t="s">
        <v>289</v>
      </c>
      <c r="C7" s="106" t="s">
        <v>289</v>
      </c>
      <c r="D7" s="106" t="s">
        <v>289</v>
      </c>
      <c r="E7" s="106" t="s">
        <v>289</v>
      </c>
      <c r="F7" s="106" t="s">
        <v>289</v>
      </c>
      <c r="G7" s="106" t="s">
        <v>289</v>
      </c>
      <c r="H7" s="106" t="s">
        <v>289</v>
      </c>
      <c r="I7" s="37"/>
      <c r="J7" s="106" t="s">
        <v>289</v>
      </c>
      <c r="K7" s="106" t="s">
        <v>289</v>
      </c>
      <c r="L7" s="106" t="s">
        <v>289</v>
      </c>
      <c r="M7" s="106" t="s">
        <v>289</v>
      </c>
      <c r="N7" s="106" t="s">
        <v>289</v>
      </c>
      <c r="O7" s="106" t="s">
        <v>289</v>
      </c>
      <c r="P7" s="106" t="s">
        <v>289</v>
      </c>
      <c r="Q7" s="774"/>
      <c r="R7" s="106" t="s">
        <v>289</v>
      </c>
      <c r="S7" s="106" t="s">
        <v>289</v>
      </c>
      <c r="T7" s="106" t="s">
        <v>289</v>
      </c>
      <c r="U7" s="106" t="s">
        <v>289</v>
      </c>
      <c r="V7" s="106" t="s">
        <v>289</v>
      </c>
      <c r="W7" s="106" t="s">
        <v>289</v>
      </c>
      <c r="X7" s="106" t="s">
        <v>289</v>
      </c>
      <c r="Y7" s="774"/>
      <c r="Z7" s="106" t="s">
        <v>289</v>
      </c>
      <c r="AA7" s="106" t="s">
        <v>289</v>
      </c>
      <c r="AB7" s="106" t="s">
        <v>289</v>
      </c>
      <c r="AC7" s="106" t="s">
        <v>289</v>
      </c>
      <c r="AD7" s="106" t="s">
        <v>289</v>
      </c>
      <c r="AE7" s="106" t="s">
        <v>289</v>
      </c>
      <c r="AF7" s="106" t="s">
        <v>289</v>
      </c>
      <c r="AG7" s="106" t="s">
        <v>289</v>
      </c>
      <c r="AH7" s="106" t="s">
        <v>289</v>
      </c>
      <c r="AI7" s="106"/>
      <c r="AJ7" s="774"/>
      <c r="AK7" s="38"/>
      <c r="AL7" s="176" t="s">
        <v>381</v>
      </c>
    </row>
    <row r="8" spans="1:38" x14ac:dyDescent="0.25">
      <c r="A8" s="11">
        <v>6</v>
      </c>
      <c r="B8" s="106">
        <v>0</v>
      </c>
      <c r="C8" s="106">
        <v>462</v>
      </c>
      <c r="D8" s="106">
        <v>243</v>
      </c>
      <c r="E8" s="106">
        <v>378</v>
      </c>
      <c r="F8" s="106">
        <v>268</v>
      </c>
      <c r="G8" s="106">
        <v>259</v>
      </c>
      <c r="H8" s="106">
        <v>450</v>
      </c>
      <c r="I8" s="37"/>
      <c r="J8" s="106">
        <v>344</v>
      </c>
      <c r="K8" s="106">
        <v>453</v>
      </c>
      <c r="L8" s="106">
        <v>354</v>
      </c>
      <c r="M8" s="106">
        <v>360</v>
      </c>
      <c r="N8" s="106">
        <v>308</v>
      </c>
      <c r="O8" s="106">
        <v>207</v>
      </c>
      <c r="P8" s="106">
        <v>391</v>
      </c>
      <c r="Q8" s="774"/>
      <c r="R8" s="106">
        <v>259</v>
      </c>
      <c r="S8" s="106">
        <v>404</v>
      </c>
      <c r="T8" s="106">
        <v>400</v>
      </c>
      <c r="U8" s="106">
        <v>353</v>
      </c>
      <c r="V8" s="106">
        <v>250</v>
      </c>
      <c r="W8" s="106">
        <v>400</v>
      </c>
      <c r="X8" s="106">
        <v>300</v>
      </c>
      <c r="Y8" s="774"/>
      <c r="Z8" s="106">
        <v>302.01</v>
      </c>
      <c r="AA8" s="106">
        <v>300</v>
      </c>
      <c r="AB8" s="106">
        <v>400</v>
      </c>
      <c r="AC8" s="106">
        <v>200</v>
      </c>
      <c r="AD8" s="106">
        <v>347.26</v>
      </c>
      <c r="AE8" s="106">
        <v>300</v>
      </c>
      <c r="AF8" s="106">
        <v>300</v>
      </c>
      <c r="AG8" s="106">
        <v>250</v>
      </c>
      <c r="AH8" s="106">
        <v>465.13</v>
      </c>
      <c r="AI8" s="106"/>
      <c r="AJ8" s="774"/>
      <c r="AK8" s="38"/>
      <c r="AL8" s="176" t="s">
        <v>382</v>
      </c>
    </row>
    <row r="9" spans="1:38" x14ac:dyDescent="0.25">
      <c r="A9" s="11">
        <v>7</v>
      </c>
      <c r="B9" s="776" t="s">
        <v>290</v>
      </c>
      <c r="C9" s="776" t="s">
        <v>290</v>
      </c>
      <c r="D9" s="776" t="s">
        <v>290</v>
      </c>
      <c r="E9" s="776" t="s">
        <v>290</v>
      </c>
      <c r="F9" s="776" t="s">
        <v>290</v>
      </c>
      <c r="G9" s="776" t="s">
        <v>290</v>
      </c>
      <c r="H9" s="776" t="s">
        <v>290</v>
      </c>
      <c r="I9" s="182" t="s">
        <v>290</v>
      </c>
      <c r="J9" s="776" t="s">
        <v>290</v>
      </c>
      <c r="K9" s="776" t="s">
        <v>290</v>
      </c>
      <c r="L9" s="776" t="s">
        <v>290</v>
      </c>
      <c r="M9" s="776" t="s">
        <v>290</v>
      </c>
      <c r="N9" s="776" t="s">
        <v>290</v>
      </c>
      <c r="O9" s="776" t="s">
        <v>290</v>
      </c>
      <c r="P9" s="776" t="s">
        <v>290</v>
      </c>
      <c r="Q9" s="182" t="s">
        <v>290</v>
      </c>
      <c r="R9" s="776" t="s">
        <v>290</v>
      </c>
      <c r="S9" s="776" t="s">
        <v>290</v>
      </c>
      <c r="T9" s="776" t="s">
        <v>290</v>
      </c>
      <c r="U9" s="776" t="s">
        <v>290</v>
      </c>
      <c r="V9" s="776" t="s">
        <v>290</v>
      </c>
      <c r="W9" s="776" t="s">
        <v>290</v>
      </c>
      <c r="X9" s="776" t="s">
        <v>290</v>
      </c>
      <c r="Y9" s="182" t="s">
        <v>290</v>
      </c>
      <c r="Z9" s="776" t="s">
        <v>290</v>
      </c>
      <c r="AA9" s="776" t="s">
        <v>290</v>
      </c>
      <c r="AB9" s="776" t="s">
        <v>290</v>
      </c>
      <c r="AC9" s="776" t="s">
        <v>290</v>
      </c>
      <c r="AD9" s="776" t="s">
        <v>290</v>
      </c>
      <c r="AE9" s="776" t="s">
        <v>290</v>
      </c>
      <c r="AF9" s="776" t="s">
        <v>290</v>
      </c>
      <c r="AG9" s="776" t="s">
        <v>290</v>
      </c>
      <c r="AH9" s="776" t="s">
        <v>290</v>
      </c>
      <c r="AI9" s="776" t="s">
        <v>290</v>
      </c>
      <c r="AJ9" s="182" t="s">
        <v>290</v>
      </c>
      <c r="AK9" s="38"/>
      <c r="AL9" s="197"/>
    </row>
    <row r="10" spans="1:38" x14ac:dyDescent="0.25">
      <c r="A10" s="11">
        <v>8</v>
      </c>
      <c r="B10" s="106">
        <v>301</v>
      </c>
      <c r="C10" s="106">
        <v>129</v>
      </c>
      <c r="D10" s="106">
        <v>295</v>
      </c>
      <c r="E10" s="106" t="s">
        <v>289</v>
      </c>
      <c r="F10" s="106">
        <v>298</v>
      </c>
      <c r="G10" s="106">
        <v>310</v>
      </c>
      <c r="H10" s="106">
        <v>249</v>
      </c>
      <c r="I10" s="37"/>
      <c r="J10" s="106">
        <v>454</v>
      </c>
      <c r="K10" s="106">
        <v>348</v>
      </c>
      <c r="L10" s="106">
        <v>410</v>
      </c>
      <c r="M10" s="106">
        <v>313</v>
      </c>
      <c r="N10" s="106">
        <v>400</v>
      </c>
      <c r="O10" s="106">
        <v>136</v>
      </c>
      <c r="P10" s="106">
        <v>408</v>
      </c>
      <c r="Q10" s="774"/>
      <c r="R10" s="106">
        <v>380</v>
      </c>
      <c r="S10" s="106">
        <v>401</v>
      </c>
      <c r="T10" s="106">
        <v>347.38</v>
      </c>
      <c r="U10" s="106">
        <v>500</v>
      </c>
      <c r="V10" s="106">
        <v>400</v>
      </c>
      <c r="W10" s="106">
        <v>350</v>
      </c>
      <c r="X10" s="106">
        <v>384.44</v>
      </c>
      <c r="Y10" s="774"/>
      <c r="Z10" s="106">
        <v>381.53</v>
      </c>
      <c r="AA10" s="106">
        <v>349.3</v>
      </c>
      <c r="AB10" s="106">
        <v>400</v>
      </c>
      <c r="AC10" s="106">
        <v>350.17</v>
      </c>
      <c r="AD10" s="106">
        <v>391.81</v>
      </c>
      <c r="AE10" s="106">
        <v>400</v>
      </c>
      <c r="AF10" s="106">
        <v>120.36</v>
      </c>
      <c r="AG10" s="106">
        <v>204.83</v>
      </c>
      <c r="AH10" s="106">
        <v>211.41</v>
      </c>
      <c r="AI10" s="106"/>
      <c r="AJ10" s="774"/>
      <c r="AK10" s="38"/>
      <c r="AL10" s="176" t="s">
        <v>383</v>
      </c>
    </row>
    <row r="11" spans="1:38" x14ac:dyDescent="0.25">
      <c r="A11" s="11">
        <v>9</v>
      </c>
      <c r="B11" s="106" t="s">
        <v>289</v>
      </c>
      <c r="C11" s="106" t="s">
        <v>289</v>
      </c>
      <c r="D11" s="106" t="s">
        <v>289</v>
      </c>
      <c r="E11" s="106" t="s">
        <v>289</v>
      </c>
      <c r="F11" s="106" t="s">
        <v>289</v>
      </c>
      <c r="G11" s="106" t="s">
        <v>289</v>
      </c>
      <c r="H11" s="106" t="s">
        <v>289</v>
      </c>
      <c r="I11" s="37"/>
      <c r="J11" s="106" t="s">
        <v>289</v>
      </c>
      <c r="K11" s="106" t="s">
        <v>289</v>
      </c>
      <c r="L11" s="106" t="s">
        <v>289</v>
      </c>
      <c r="M11" s="106" t="s">
        <v>289</v>
      </c>
      <c r="N11" s="106" t="s">
        <v>289</v>
      </c>
      <c r="O11" s="106" t="s">
        <v>289</v>
      </c>
      <c r="P11" s="106" t="s">
        <v>289</v>
      </c>
      <c r="Q11" s="774"/>
      <c r="R11" s="106" t="s">
        <v>289</v>
      </c>
      <c r="S11" s="106" t="s">
        <v>289</v>
      </c>
      <c r="T11" s="106" t="s">
        <v>289</v>
      </c>
      <c r="U11" s="106" t="s">
        <v>289</v>
      </c>
      <c r="V11" s="106" t="s">
        <v>289</v>
      </c>
      <c r="W11" s="106" t="s">
        <v>289</v>
      </c>
      <c r="X11" s="106" t="s">
        <v>289</v>
      </c>
      <c r="Y11" s="774"/>
      <c r="Z11" s="106" t="s">
        <v>289</v>
      </c>
      <c r="AA11" s="106" t="s">
        <v>289</v>
      </c>
      <c r="AB11" s="106" t="s">
        <v>289</v>
      </c>
      <c r="AC11" s="106" t="s">
        <v>289</v>
      </c>
      <c r="AD11" s="106" t="s">
        <v>289</v>
      </c>
      <c r="AE11" s="106" t="s">
        <v>289</v>
      </c>
      <c r="AF11" s="106" t="s">
        <v>289</v>
      </c>
      <c r="AG11" s="106" t="s">
        <v>289</v>
      </c>
      <c r="AH11" s="106" t="s">
        <v>289</v>
      </c>
      <c r="AI11" s="106"/>
      <c r="AJ11" s="774"/>
      <c r="AK11" s="38"/>
      <c r="AL11" s="176" t="s">
        <v>387</v>
      </c>
    </row>
    <row r="12" spans="1:38" x14ac:dyDescent="0.25">
      <c r="A12" s="11">
        <v>10</v>
      </c>
      <c r="B12" s="106">
        <v>186</v>
      </c>
      <c r="C12" s="106">
        <v>202</v>
      </c>
      <c r="D12" s="106">
        <v>259</v>
      </c>
      <c r="E12" s="106">
        <v>433</v>
      </c>
      <c r="F12" s="106">
        <v>410</v>
      </c>
      <c r="G12" s="106">
        <v>449</v>
      </c>
      <c r="H12" s="106">
        <v>401</v>
      </c>
      <c r="I12" s="37"/>
      <c r="J12" s="106">
        <v>501</v>
      </c>
      <c r="K12" s="106">
        <v>498</v>
      </c>
      <c r="L12" s="106">
        <v>451</v>
      </c>
      <c r="M12" s="106">
        <v>404</v>
      </c>
      <c r="N12" s="106">
        <v>454</v>
      </c>
      <c r="O12" s="106">
        <v>445</v>
      </c>
      <c r="P12" s="106" t="s">
        <v>289</v>
      </c>
      <c r="Q12" s="774"/>
      <c r="R12" s="106" t="s">
        <v>289</v>
      </c>
      <c r="S12" s="106" t="s">
        <v>289</v>
      </c>
      <c r="T12" s="106">
        <v>400</v>
      </c>
      <c r="U12" s="106">
        <v>502</v>
      </c>
      <c r="V12" s="106">
        <v>476.9</v>
      </c>
      <c r="W12" s="106">
        <v>437.87</v>
      </c>
      <c r="X12" s="106">
        <v>500</v>
      </c>
      <c r="Y12" s="774"/>
      <c r="Z12" s="106">
        <v>400</v>
      </c>
      <c r="AA12" s="106">
        <v>500</v>
      </c>
      <c r="AB12" s="106">
        <v>400</v>
      </c>
      <c r="AC12" s="106">
        <v>500</v>
      </c>
      <c r="AD12" s="106">
        <v>448.93</v>
      </c>
      <c r="AE12" s="106">
        <v>450</v>
      </c>
      <c r="AF12" s="106">
        <v>400</v>
      </c>
      <c r="AG12" s="106">
        <v>150.22</v>
      </c>
      <c r="AH12" s="106">
        <v>448.42</v>
      </c>
      <c r="AI12" s="106"/>
      <c r="AJ12" s="774"/>
      <c r="AK12" s="38"/>
      <c r="AL12" s="176"/>
    </row>
    <row r="13" spans="1:38" x14ac:dyDescent="0.25">
      <c r="A13" s="11">
        <v>11</v>
      </c>
      <c r="B13" s="106">
        <v>112</v>
      </c>
      <c r="C13" s="106">
        <v>364</v>
      </c>
      <c r="D13" s="106">
        <v>414</v>
      </c>
      <c r="E13" s="106">
        <v>652</v>
      </c>
      <c r="F13" s="106">
        <v>401</v>
      </c>
      <c r="G13" s="106">
        <v>599</v>
      </c>
      <c r="H13" s="106">
        <v>551</v>
      </c>
      <c r="I13" s="37"/>
      <c r="J13" s="106">
        <v>652</v>
      </c>
      <c r="K13" s="106">
        <v>701</v>
      </c>
      <c r="L13" s="106">
        <v>601</v>
      </c>
      <c r="M13" s="106">
        <v>670</v>
      </c>
      <c r="N13" s="106">
        <v>451</v>
      </c>
      <c r="O13" s="106">
        <v>500</v>
      </c>
      <c r="P13" s="106">
        <v>413</v>
      </c>
      <c r="Q13" s="774"/>
      <c r="R13" s="106">
        <v>406</v>
      </c>
      <c r="S13" s="106">
        <v>601</v>
      </c>
      <c r="T13" s="106">
        <v>600</v>
      </c>
      <c r="U13" s="106">
        <v>501</v>
      </c>
      <c r="V13" s="106">
        <v>575.29999999999995</v>
      </c>
      <c r="W13" s="106">
        <v>449.89</v>
      </c>
      <c r="X13" s="106">
        <v>500</v>
      </c>
      <c r="Y13" s="774"/>
      <c r="Z13" s="106">
        <v>504.69</v>
      </c>
      <c r="AA13" s="106">
        <v>500</v>
      </c>
      <c r="AB13" s="106">
        <v>500</v>
      </c>
      <c r="AC13" s="106">
        <v>500</v>
      </c>
      <c r="AD13" s="106">
        <v>500</v>
      </c>
      <c r="AE13" s="106">
        <v>500</v>
      </c>
      <c r="AF13" s="106">
        <v>500</v>
      </c>
      <c r="AG13" s="106">
        <v>500</v>
      </c>
      <c r="AH13" s="106">
        <v>400</v>
      </c>
      <c r="AI13" s="106"/>
      <c r="AJ13" s="774"/>
      <c r="AK13" s="38"/>
      <c r="AL13" s="176" t="s">
        <v>384</v>
      </c>
    </row>
    <row r="14" spans="1:38" x14ac:dyDescent="0.25">
      <c r="A14" s="11">
        <v>12</v>
      </c>
      <c r="B14" s="106" t="s">
        <v>289</v>
      </c>
      <c r="C14" s="106" t="s">
        <v>289</v>
      </c>
      <c r="D14" s="106" t="s">
        <v>289</v>
      </c>
      <c r="E14" s="106" t="s">
        <v>289</v>
      </c>
      <c r="F14" s="106" t="s">
        <v>289</v>
      </c>
      <c r="G14" s="106" t="s">
        <v>289</v>
      </c>
      <c r="H14" s="106" t="s">
        <v>289</v>
      </c>
      <c r="I14" s="37"/>
      <c r="J14" s="106" t="s">
        <v>289</v>
      </c>
      <c r="K14" s="106" t="s">
        <v>289</v>
      </c>
      <c r="L14" s="106" t="s">
        <v>289</v>
      </c>
      <c r="M14" s="106" t="s">
        <v>289</v>
      </c>
      <c r="N14" s="106" t="s">
        <v>289</v>
      </c>
      <c r="O14" s="106" t="s">
        <v>289</v>
      </c>
      <c r="P14" s="106" t="s">
        <v>289</v>
      </c>
      <c r="Q14" s="774"/>
      <c r="R14" s="106" t="s">
        <v>289</v>
      </c>
      <c r="S14" s="106" t="s">
        <v>289</v>
      </c>
      <c r="T14" s="106" t="s">
        <v>289</v>
      </c>
      <c r="U14" s="106" t="s">
        <v>289</v>
      </c>
      <c r="V14" s="106" t="s">
        <v>289</v>
      </c>
      <c r="W14" s="106" t="s">
        <v>289</v>
      </c>
      <c r="X14" s="106" t="s">
        <v>289</v>
      </c>
      <c r="Y14" s="774"/>
      <c r="Z14" s="106" t="s">
        <v>289</v>
      </c>
      <c r="AA14" s="106" t="s">
        <v>289</v>
      </c>
      <c r="AB14" s="106" t="s">
        <v>289</v>
      </c>
      <c r="AC14" s="106" t="s">
        <v>289</v>
      </c>
      <c r="AD14" s="106" t="s">
        <v>289</v>
      </c>
      <c r="AE14" s="106" t="s">
        <v>289</v>
      </c>
      <c r="AF14" s="106" t="s">
        <v>289</v>
      </c>
      <c r="AG14" s="106" t="s">
        <v>289</v>
      </c>
      <c r="AH14" s="106" t="s">
        <v>289</v>
      </c>
      <c r="AI14" s="106"/>
      <c r="AJ14" s="774"/>
      <c r="AK14" s="38"/>
      <c r="AL14" s="176" t="s">
        <v>385</v>
      </c>
    </row>
    <row r="15" spans="1:38" x14ac:dyDescent="0.25">
      <c r="A15" s="11">
        <v>13</v>
      </c>
      <c r="B15" s="106">
        <v>0</v>
      </c>
      <c r="C15" s="106">
        <v>965</v>
      </c>
      <c r="D15" s="106">
        <v>331</v>
      </c>
      <c r="E15" s="106">
        <v>460</v>
      </c>
      <c r="F15" s="106">
        <v>267</v>
      </c>
      <c r="G15" s="106">
        <v>102</v>
      </c>
      <c r="H15" s="106">
        <v>319</v>
      </c>
      <c r="I15" s="37"/>
      <c r="J15" s="106">
        <v>535</v>
      </c>
      <c r="K15" s="106">
        <v>500</v>
      </c>
      <c r="L15" s="106">
        <v>469</v>
      </c>
      <c r="M15" s="106">
        <v>421</v>
      </c>
      <c r="N15" s="106">
        <v>453</v>
      </c>
      <c r="O15" s="106">
        <v>470</v>
      </c>
      <c r="P15" s="106">
        <v>581</v>
      </c>
      <c r="Q15" s="774"/>
      <c r="R15" s="106">
        <v>404</v>
      </c>
      <c r="S15" s="106">
        <v>499</v>
      </c>
      <c r="T15" s="106">
        <v>365.15</v>
      </c>
      <c r="U15" s="106">
        <v>503</v>
      </c>
      <c r="V15" s="106">
        <v>400</v>
      </c>
      <c r="W15" s="106">
        <v>500</v>
      </c>
      <c r="X15" s="106">
        <v>400</v>
      </c>
      <c r="Y15" s="774"/>
      <c r="Z15" s="106">
        <v>500</v>
      </c>
      <c r="AA15" s="106">
        <v>500</v>
      </c>
      <c r="AB15" s="106">
        <v>500</v>
      </c>
      <c r="AC15" s="106">
        <v>500</v>
      </c>
      <c r="AD15" s="106">
        <v>500</v>
      </c>
      <c r="AE15" s="106">
        <v>500</v>
      </c>
      <c r="AF15" s="106">
        <v>500</v>
      </c>
      <c r="AG15" s="106">
        <v>400</v>
      </c>
      <c r="AH15" s="106">
        <v>500</v>
      </c>
      <c r="AI15" s="106"/>
      <c r="AJ15" s="774"/>
      <c r="AK15" s="38"/>
      <c r="AL15" s="176" t="s">
        <v>386</v>
      </c>
    </row>
    <row r="16" spans="1:38" x14ac:dyDescent="0.25">
      <c r="A16" s="11">
        <v>14</v>
      </c>
      <c r="B16" s="106">
        <v>0</v>
      </c>
      <c r="C16" s="106">
        <v>118</v>
      </c>
      <c r="D16" s="106" t="s">
        <v>289</v>
      </c>
      <c r="E16" s="106">
        <v>402</v>
      </c>
      <c r="F16" s="106">
        <v>406</v>
      </c>
      <c r="G16" s="106">
        <v>448</v>
      </c>
      <c r="H16" s="106">
        <v>451</v>
      </c>
      <c r="I16" s="37"/>
      <c r="J16" s="106">
        <v>212</v>
      </c>
      <c r="K16" s="106">
        <v>646</v>
      </c>
      <c r="L16" s="106">
        <v>560</v>
      </c>
      <c r="M16" s="106">
        <v>503</v>
      </c>
      <c r="N16" s="106">
        <v>502</v>
      </c>
      <c r="O16" s="106">
        <v>453</v>
      </c>
      <c r="P16" s="106">
        <v>504</v>
      </c>
      <c r="Q16" s="774"/>
      <c r="R16" s="106">
        <v>403</v>
      </c>
      <c r="S16" s="106">
        <v>502</v>
      </c>
      <c r="T16" s="106">
        <v>305</v>
      </c>
      <c r="U16" s="106">
        <v>400</v>
      </c>
      <c r="V16" s="106">
        <v>500</v>
      </c>
      <c r="W16" s="106" t="s">
        <v>289</v>
      </c>
      <c r="X16" s="106">
        <v>250</v>
      </c>
      <c r="Y16" s="774"/>
      <c r="Z16" s="106">
        <v>500</v>
      </c>
      <c r="AA16" s="106">
        <v>300</v>
      </c>
      <c r="AB16" s="106">
        <v>150</v>
      </c>
      <c r="AC16" s="106">
        <v>400.45</v>
      </c>
      <c r="AD16" s="106">
        <v>400</v>
      </c>
      <c r="AE16" s="106" t="s">
        <v>289</v>
      </c>
      <c r="AF16" s="106">
        <v>300.11</v>
      </c>
      <c r="AG16" s="106">
        <v>400</v>
      </c>
      <c r="AH16" s="106">
        <v>399.13</v>
      </c>
      <c r="AI16" s="106"/>
      <c r="AJ16" s="774"/>
      <c r="AK16" s="38"/>
      <c r="AL16" s="172"/>
    </row>
    <row r="17" spans="1:38" x14ac:dyDescent="0.25">
      <c r="A17" s="11">
        <v>15</v>
      </c>
      <c r="B17" s="106">
        <v>368</v>
      </c>
      <c r="C17" s="106">
        <v>931</v>
      </c>
      <c r="D17" s="106">
        <v>397</v>
      </c>
      <c r="E17" s="106">
        <v>464</v>
      </c>
      <c r="F17" s="106">
        <v>412</v>
      </c>
      <c r="G17" s="106">
        <v>309</v>
      </c>
      <c r="H17" s="106">
        <v>228</v>
      </c>
      <c r="I17" s="37"/>
      <c r="J17" s="106">
        <v>537</v>
      </c>
      <c r="K17" s="106">
        <v>343</v>
      </c>
      <c r="L17" s="106">
        <v>415</v>
      </c>
      <c r="M17" s="106">
        <v>408</v>
      </c>
      <c r="N17" s="106">
        <v>443</v>
      </c>
      <c r="O17" s="106">
        <v>427</v>
      </c>
      <c r="P17" s="106">
        <v>508</v>
      </c>
      <c r="Q17" s="774"/>
      <c r="R17" s="106">
        <v>407</v>
      </c>
      <c r="S17" s="106">
        <v>573</v>
      </c>
      <c r="T17" s="106">
        <v>389.45</v>
      </c>
      <c r="U17" s="106">
        <v>482</v>
      </c>
      <c r="V17" s="106">
        <v>390.34</v>
      </c>
      <c r="W17" s="106">
        <v>329.87</v>
      </c>
      <c r="X17" s="106">
        <v>141.06</v>
      </c>
      <c r="Y17" s="774"/>
      <c r="Z17" s="106">
        <v>49.91</v>
      </c>
      <c r="AA17" s="106">
        <v>10.43</v>
      </c>
      <c r="AB17" s="106">
        <v>265.68</v>
      </c>
      <c r="AC17" s="106">
        <v>452.01</v>
      </c>
      <c r="AD17" s="106">
        <v>116.75</v>
      </c>
      <c r="AE17" s="106">
        <v>479.13</v>
      </c>
      <c r="AF17" s="106">
        <v>376.02</v>
      </c>
      <c r="AG17" s="106">
        <v>391.52</v>
      </c>
      <c r="AH17" s="106">
        <v>490.52</v>
      </c>
      <c r="AI17" s="106"/>
      <c r="AJ17" s="774"/>
      <c r="AK17" s="38"/>
      <c r="AL17" s="172"/>
    </row>
    <row r="18" spans="1:38" x14ac:dyDescent="0.25">
      <c r="A18" s="11">
        <v>16</v>
      </c>
      <c r="B18" s="109" t="s">
        <v>291</v>
      </c>
      <c r="C18" s="109" t="s">
        <v>291</v>
      </c>
      <c r="D18" s="109" t="s">
        <v>291</v>
      </c>
      <c r="E18" s="109" t="s">
        <v>291</v>
      </c>
      <c r="F18" s="109" t="s">
        <v>291</v>
      </c>
      <c r="G18" s="109" t="s">
        <v>291</v>
      </c>
      <c r="H18" s="109" t="s">
        <v>291</v>
      </c>
      <c r="I18" s="39" t="s">
        <v>291</v>
      </c>
      <c r="J18" s="109"/>
      <c r="K18" s="109"/>
      <c r="L18" s="109"/>
      <c r="M18" s="109"/>
      <c r="N18" s="109"/>
      <c r="O18" s="109"/>
      <c r="P18" s="109"/>
      <c r="Q18" s="39" t="s">
        <v>291</v>
      </c>
      <c r="R18" s="109"/>
      <c r="S18" s="109"/>
      <c r="T18" s="109"/>
      <c r="U18" s="109"/>
      <c r="V18" s="109"/>
      <c r="W18" s="109"/>
      <c r="X18" s="109"/>
      <c r="Y18" s="39" t="s">
        <v>291</v>
      </c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39" t="s">
        <v>291</v>
      </c>
      <c r="AK18" s="41"/>
      <c r="AL18" s="172"/>
    </row>
    <row r="19" spans="1:38" x14ac:dyDescent="0.25">
      <c r="A19" s="11">
        <v>17</v>
      </c>
      <c r="B19" s="106">
        <v>0</v>
      </c>
      <c r="C19" s="106">
        <v>843</v>
      </c>
      <c r="D19" s="106">
        <v>402</v>
      </c>
      <c r="E19" s="106">
        <v>476</v>
      </c>
      <c r="F19" s="106">
        <v>406</v>
      </c>
      <c r="G19" s="106">
        <v>401</v>
      </c>
      <c r="H19" s="106">
        <v>400</v>
      </c>
      <c r="I19" s="37"/>
      <c r="J19" s="106">
        <v>504</v>
      </c>
      <c r="K19" s="106">
        <v>401</v>
      </c>
      <c r="L19" s="106">
        <v>410</v>
      </c>
      <c r="M19" s="106">
        <v>407</v>
      </c>
      <c r="N19" s="106">
        <v>511</v>
      </c>
      <c r="O19" s="106">
        <v>301</v>
      </c>
      <c r="P19" s="106">
        <v>444</v>
      </c>
      <c r="Q19" s="774"/>
      <c r="R19" s="106">
        <v>411</v>
      </c>
      <c r="S19" s="106">
        <v>403</v>
      </c>
      <c r="T19" s="106">
        <v>399.99</v>
      </c>
      <c r="U19" s="106">
        <v>500</v>
      </c>
      <c r="V19" s="106">
        <v>405.46</v>
      </c>
      <c r="W19" s="106">
        <v>500</v>
      </c>
      <c r="X19" s="106">
        <v>248.82</v>
      </c>
      <c r="Y19" s="774"/>
      <c r="Z19" s="106">
        <v>449.61</v>
      </c>
      <c r="AA19" s="106">
        <v>400</v>
      </c>
      <c r="AB19" s="106">
        <v>300</v>
      </c>
      <c r="AC19" s="106">
        <v>300.12</v>
      </c>
      <c r="AD19" s="106">
        <v>500</v>
      </c>
      <c r="AE19" s="106">
        <v>299.67</v>
      </c>
      <c r="AF19" s="106">
        <v>400</v>
      </c>
      <c r="AG19" s="106">
        <v>350.25</v>
      </c>
      <c r="AH19" s="106">
        <v>459.41</v>
      </c>
      <c r="AI19" s="106"/>
      <c r="AJ19" s="774"/>
      <c r="AK19" s="38"/>
      <c r="AL19" s="172"/>
    </row>
    <row r="20" spans="1:38" x14ac:dyDescent="0.25">
      <c r="A20" s="11">
        <v>18</v>
      </c>
      <c r="B20" s="106" t="s">
        <v>289</v>
      </c>
      <c r="C20" s="106" t="s">
        <v>289</v>
      </c>
      <c r="D20" s="106" t="s">
        <v>289</v>
      </c>
      <c r="E20" s="106" t="s">
        <v>289</v>
      </c>
      <c r="F20" s="106" t="s">
        <v>289</v>
      </c>
      <c r="G20" s="106" t="s">
        <v>289</v>
      </c>
      <c r="H20" s="106" t="s">
        <v>289</v>
      </c>
      <c r="I20" s="37"/>
      <c r="J20" s="106" t="s">
        <v>289</v>
      </c>
      <c r="K20" s="106" t="s">
        <v>289</v>
      </c>
      <c r="L20" s="106" t="s">
        <v>289</v>
      </c>
      <c r="M20" s="106" t="s">
        <v>289</v>
      </c>
      <c r="N20" s="106" t="s">
        <v>289</v>
      </c>
      <c r="O20" s="106" t="s">
        <v>289</v>
      </c>
      <c r="P20" s="106" t="s">
        <v>289</v>
      </c>
      <c r="Q20" s="774"/>
      <c r="R20" s="106" t="s">
        <v>289</v>
      </c>
      <c r="S20" s="106" t="s">
        <v>289</v>
      </c>
      <c r="T20" s="106" t="s">
        <v>289</v>
      </c>
      <c r="U20" s="106" t="s">
        <v>289</v>
      </c>
      <c r="V20" s="106" t="s">
        <v>289</v>
      </c>
      <c r="W20" s="106" t="s">
        <v>289</v>
      </c>
      <c r="X20" s="106" t="s">
        <v>289</v>
      </c>
      <c r="Y20" s="774"/>
      <c r="Z20" s="106" t="s">
        <v>289</v>
      </c>
      <c r="AA20" s="106" t="s">
        <v>289</v>
      </c>
      <c r="AB20" s="106" t="s">
        <v>289</v>
      </c>
      <c r="AC20" s="106" t="s">
        <v>289</v>
      </c>
      <c r="AD20" s="106" t="s">
        <v>289</v>
      </c>
      <c r="AE20" s="106" t="s">
        <v>289</v>
      </c>
      <c r="AF20" s="106" t="s">
        <v>289</v>
      </c>
      <c r="AG20" s="106" t="s">
        <v>289</v>
      </c>
      <c r="AH20" s="106" t="s">
        <v>289</v>
      </c>
      <c r="AI20" s="106"/>
      <c r="AJ20" s="774"/>
      <c r="AK20" s="38"/>
      <c r="AL20" s="176"/>
    </row>
    <row r="21" spans="1:38" x14ac:dyDescent="0.25">
      <c r="A21" s="11">
        <v>19</v>
      </c>
      <c r="B21" s="106" t="s">
        <v>289</v>
      </c>
      <c r="C21" s="106" t="s">
        <v>289</v>
      </c>
      <c r="D21" s="106" t="s">
        <v>289</v>
      </c>
      <c r="E21" s="106" t="s">
        <v>289</v>
      </c>
      <c r="F21" s="106" t="s">
        <v>289</v>
      </c>
      <c r="G21" s="106" t="s">
        <v>289</v>
      </c>
      <c r="H21" s="106" t="s">
        <v>289</v>
      </c>
      <c r="I21" s="37"/>
      <c r="J21" s="106" t="s">
        <v>289</v>
      </c>
      <c r="K21" s="106" t="s">
        <v>289</v>
      </c>
      <c r="L21" s="106" t="s">
        <v>289</v>
      </c>
      <c r="M21" s="106" t="s">
        <v>289</v>
      </c>
      <c r="N21" s="106" t="s">
        <v>289</v>
      </c>
      <c r="O21" s="106" t="s">
        <v>289</v>
      </c>
      <c r="P21" s="106" t="s">
        <v>289</v>
      </c>
      <c r="Q21" s="774"/>
      <c r="R21" s="106" t="s">
        <v>289</v>
      </c>
      <c r="S21" s="106" t="s">
        <v>289</v>
      </c>
      <c r="T21" s="106" t="s">
        <v>289</v>
      </c>
      <c r="U21" s="106" t="s">
        <v>289</v>
      </c>
      <c r="V21" s="106" t="s">
        <v>289</v>
      </c>
      <c r="W21" s="106" t="s">
        <v>289</v>
      </c>
      <c r="X21" s="106" t="s">
        <v>289</v>
      </c>
      <c r="Y21" s="774"/>
      <c r="Z21" s="106" t="s">
        <v>289</v>
      </c>
      <c r="AA21" s="106" t="s">
        <v>289</v>
      </c>
      <c r="AB21" s="106" t="s">
        <v>289</v>
      </c>
      <c r="AC21" s="106" t="s">
        <v>289</v>
      </c>
      <c r="AD21" s="106" t="s">
        <v>289</v>
      </c>
      <c r="AE21" s="106" t="s">
        <v>289</v>
      </c>
      <c r="AF21" s="106" t="s">
        <v>289</v>
      </c>
      <c r="AG21" s="106" t="s">
        <v>289</v>
      </c>
      <c r="AH21" s="106" t="s">
        <v>289</v>
      </c>
      <c r="AI21" s="106"/>
      <c r="AJ21" s="774"/>
      <c r="AK21" s="38"/>
      <c r="AL21" s="172"/>
    </row>
    <row r="22" spans="1:38" x14ac:dyDescent="0.25">
      <c r="A22" s="11">
        <v>20</v>
      </c>
      <c r="B22" s="106">
        <v>502</v>
      </c>
      <c r="C22" s="106">
        <v>403</v>
      </c>
      <c r="D22" s="106" t="s">
        <v>289</v>
      </c>
      <c r="E22" s="106" t="s">
        <v>289</v>
      </c>
      <c r="F22" s="106">
        <v>327</v>
      </c>
      <c r="G22" s="106">
        <v>299</v>
      </c>
      <c r="H22" s="106" t="s">
        <v>289</v>
      </c>
      <c r="I22" s="37"/>
      <c r="J22" s="106">
        <v>401</v>
      </c>
      <c r="K22" s="106">
        <v>550</v>
      </c>
      <c r="L22" s="106">
        <v>450</v>
      </c>
      <c r="M22" s="106">
        <v>507</v>
      </c>
      <c r="N22" s="106">
        <v>403</v>
      </c>
      <c r="O22" s="106" t="s">
        <v>289</v>
      </c>
      <c r="P22" s="106">
        <v>357</v>
      </c>
      <c r="Q22" s="774"/>
      <c r="R22" s="106">
        <v>408</v>
      </c>
      <c r="S22" s="106">
        <v>555</v>
      </c>
      <c r="T22" s="106">
        <v>400</v>
      </c>
      <c r="U22" s="106">
        <v>652</v>
      </c>
      <c r="V22" s="106">
        <v>500</v>
      </c>
      <c r="W22" s="106">
        <v>500</v>
      </c>
      <c r="X22" s="106">
        <v>500</v>
      </c>
      <c r="Y22" s="774"/>
      <c r="Z22" s="106">
        <v>600</v>
      </c>
      <c r="AA22" s="106">
        <v>150</v>
      </c>
      <c r="AB22" s="106">
        <v>150</v>
      </c>
      <c r="AC22" s="106">
        <v>350</v>
      </c>
      <c r="AD22" s="106">
        <v>493.45</v>
      </c>
      <c r="AE22" s="106">
        <v>450</v>
      </c>
      <c r="AF22" s="106">
        <v>500</v>
      </c>
      <c r="AG22" s="106">
        <v>400</v>
      </c>
      <c r="AH22" s="106" t="s">
        <v>289</v>
      </c>
      <c r="AI22" s="106"/>
      <c r="AJ22" s="774"/>
      <c r="AK22" s="38"/>
      <c r="AL22" s="176"/>
    </row>
    <row r="23" spans="1:38" x14ac:dyDescent="0.25">
      <c r="A23" s="11">
        <v>21</v>
      </c>
      <c r="B23" s="174"/>
      <c r="C23" s="174"/>
      <c r="D23" s="174"/>
      <c r="E23" s="174"/>
      <c r="F23" s="174"/>
      <c r="G23" s="174"/>
      <c r="H23" s="174"/>
      <c r="I23" s="182" t="s">
        <v>369</v>
      </c>
      <c r="J23" s="174"/>
      <c r="K23" s="174"/>
      <c r="L23" s="174"/>
      <c r="M23" s="174"/>
      <c r="N23" s="174"/>
      <c r="O23" s="174"/>
      <c r="P23" s="174"/>
      <c r="Q23" s="182" t="s">
        <v>369</v>
      </c>
      <c r="R23" s="174"/>
      <c r="S23" s="174"/>
      <c r="T23" s="174"/>
      <c r="U23" s="174"/>
      <c r="V23" s="174"/>
      <c r="W23" s="174"/>
      <c r="X23" s="174"/>
      <c r="Y23" s="182" t="s">
        <v>369</v>
      </c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82" t="s">
        <v>369</v>
      </c>
      <c r="AK23" s="38"/>
      <c r="AL23" s="154"/>
    </row>
    <row r="24" spans="1:38" x14ac:dyDescent="0.25">
      <c r="A24" s="11">
        <v>22</v>
      </c>
      <c r="B24" s="106" t="s">
        <v>289</v>
      </c>
      <c r="C24" s="106" t="s">
        <v>289</v>
      </c>
      <c r="D24" s="106" t="s">
        <v>289</v>
      </c>
      <c r="E24" s="106" t="s">
        <v>289</v>
      </c>
      <c r="F24" s="106" t="s">
        <v>289</v>
      </c>
      <c r="G24" s="106" t="s">
        <v>289</v>
      </c>
      <c r="H24" s="106" t="s">
        <v>289</v>
      </c>
      <c r="I24" s="37"/>
      <c r="J24" s="106" t="s">
        <v>289</v>
      </c>
      <c r="K24" s="106" t="s">
        <v>289</v>
      </c>
      <c r="L24" s="106" t="s">
        <v>289</v>
      </c>
      <c r="M24" s="106" t="s">
        <v>289</v>
      </c>
      <c r="N24" s="106" t="s">
        <v>289</v>
      </c>
      <c r="O24" s="106" t="s">
        <v>289</v>
      </c>
      <c r="P24" s="106" t="s">
        <v>289</v>
      </c>
      <c r="Q24" s="774"/>
      <c r="R24" s="106" t="s">
        <v>289</v>
      </c>
      <c r="S24" s="106" t="s">
        <v>289</v>
      </c>
      <c r="T24" s="106" t="s">
        <v>289</v>
      </c>
      <c r="U24" s="106" t="s">
        <v>289</v>
      </c>
      <c r="V24" s="106" t="s">
        <v>289</v>
      </c>
      <c r="W24" s="106" t="s">
        <v>289</v>
      </c>
      <c r="X24" s="106" t="s">
        <v>289</v>
      </c>
      <c r="Y24" s="774"/>
      <c r="Z24" s="106" t="s">
        <v>289</v>
      </c>
      <c r="AA24" s="106" t="s">
        <v>289</v>
      </c>
      <c r="AB24" s="106" t="s">
        <v>289</v>
      </c>
      <c r="AC24" s="106" t="s">
        <v>289</v>
      </c>
      <c r="AD24" s="106" t="s">
        <v>289</v>
      </c>
      <c r="AE24" s="106" t="s">
        <v>289</v>
      </c>
      <c r="AF24" s="106" t="s">
        <v>289</v>
      </c>
      <c r="AG24" s="106" t="s">
        <v>289</v>
      </c>
      <c r="AH24" s="106" t="s">
        <v>289</v>
      </c>
      <c r="AI24" s="106"/>
      <c r="AJ24" s="774"/>
      <c r="AK24" s="38"/>
      <c r="AL24" s="154"/>
    </row>
    <row r="25" spans="1:38" x14ac:dyDescent="0.25">
      <c r="A25" s="11">
        <v>23</v>
      </c>
      <c r="B25" s="174"/>
      <c r="C25" s="174"/>
      <c r="D25" s="174"/>
      <c r="E25" s="174"/>
      <c r="F25" s="174"/>
      <c r="G25" s="174"/>
      <c r="H25" s="174"/>
      <c r="I25" s="182" t="s">
        <v>369</v>
      </c>
      <c r="J25" s="174"/>
      <c r="K25" s="174"/>
      <c r="L25" s="174"/>
      <c r="M25" s="174"/>
      <c r="N25" s="174"/>
      <c r="O25" s="174"/>
      <c r="P25" s="174"/>
      <c r="Q25" s="182" t="s">
        <v>369</v>
      </c>
      <c r="R25" s="174"/>
      <c r="S25" s="174"/>
      <c r="T25" s="174"/>
      <c r="U25" s="174"/>
      <c r="V25" s="174"/>
      <c r="W25" s="174"/>
      <c r="X25" s="174"/>
      <c r="Y25" s="182" t="s">
        <v>369</v>
      </c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82" t="s">
        <v>369</v>
      </c>
      <c r="AK25" s="38"/>
      <c r="AL25" s="176"/>
    </row>
    <row r="26" spans="1:38" x14ac:dyDescent="0.25">
      <c r="A26" s="11">
        <v>24</v>
      </c>
      <c r="B26" s="174"/>
      <c r="C26" s="174"/>
      <c r="D26" s="174"/>
      <c r="E26" s="174"/>
      <c r="F26" s="174"/>
      <c r="G26" s="174"/>
      <c r="H26" s="174"/>
      <c r="I26" s="182" t="s">
        <v>369</v>
      </c>
      <c r="J26" s="174"/>
      <c r="K26" s="174"/>
      <c r="L26" s="174"/>
      <c r="M26" s="174"/>
      <c r="N26" s="174"/>
      <c r="O26" s="174"/>
      <c r="P26" s="174"/>
      <c r="Q26" s="182" t="s">
        <v>369</v>
      </c>
      <c r="R26" s="174"/>
      <c r="S26" s="174"/>
      <c r="T26" s="174"/>
      <c r="U26" s="174"/>
      <c r="V26" s="174"/>
      <c r="W26" s="174"/>
      <c r="X26" s="174"/>
      <c r="Y26" s="182" t="s">
        <v>369</v>
      </c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82" t="s">
        <v>369</v>
      </c>
      <c r="AK26" s="38"/>
      <c r="AL26" s="197"/>
    </row>
    <row r="27" spans="1:38" x14ac:dyDescent="0.25">
      <c r="A27" s="11">
        <v>25</v>
      </c>
      <c r="B27" s="174"/>
      <c r="C27" s="174"/>
      <c r="D27" s="174"/>
      <c r="E27" s="174"/>
      <c r="F27" s="174"/>
      <c r="G27" s="174"/>
      <c r="H27" s="174"/>
      <c r="I27" s="182" t="s">
        <v>369</v>
      </c>
      <c r="J27" s="174"/>
      <c r="K27" s="174"/>
      <c r="L27" s="174"/>
      <c r="M27" s="174"/>
      <c r="N27" s="174"/>
      <c r="O27" s="174"/>
      <c r="P27" s="174"/>
      <c r="Q27" s="182" t="s">
        <v>369</v>
      </c>
      <c r="R27" s="174"/>
      <c r="S27" s="174"/>
      <c r="T27" s="174"/>
      <c r="U27" s="174"/>
      <c r="V27" s="174"/>
      <c r="W27" s="174"/>
      <c r="X27" s="174"/>
      <c r="Y27" s="182" t="s">
        <v>369</v>
      </c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82" t="s">
        <v>369</v>
      </c>
      <c r="AK27" s="38"/>
      <c r="AL27" s="197"/>
    </row>
    <row r="28" spans="1:38" x14ac:dyDescent="0.25">
      <c r="A28" s="11">
        <v>26</v>
      </c>
      <c r="B28" s="776" t="s">
        <v>290</v>
      </c>
      <c r="C28" s="776" t="s">
        <v>290</v>
      </c>
      <c r="D28" s="776" t="s">
        <v>290</v>
      </c>
      <c r="E28" s="776" t="s">
        <v>290</v>
      </c>
      <c r="F28" s="776" t="s">
        <v>290</v>
      </c>
      <c r="G28" s="776" t="s">
        <v>290</v>
      </c>
      <c r="H28" s="776" t="s">
        <v>290</v>
      </c>
      <c r="I28" s="182" t="s">
        <v>290</v>
      </c>
      <c r="J28" s="776" t="s">
        <v>290</v>
      </c>
      <c r="K28" s="776" t="s">
        <v>290</v>
      </c>
      <c r="L28" s="776" t="s">
        <v>290</v>
      </c>
      <c r="M28" s="776" t="s">
        <v>290</v>
      </c>
      <c r="N28" s="776" t="s">
        <v>290</v>
      </c>
      <c r="O28" s="776" t="s">
        <v>290</v>
      </c>
      <c r="P28" s="776" t="s">
        <v>290</v>
      </c>
      <c r="Q28" s="182" t="s">
        <v>290</v>
      </c>
      <c r="R28" s="776" t="s">
        <v>290</v>
      </c>
      <c r="S28" s="776" t="s">
        <v>290</v>
      </c>
      <c r="T28" s="776" t="s">
        <v>290</v>
      </c>
      <c r="U28" s="776" t="s">
        <v>290</v>
      </c>
      <c r="V28" s="776" t="s">
        <v>290</v>
      </c>
      <c r="W28" s="776" t="s">
        <v>290</v>
      </c>
      <c r="X28" s="776" t="s">
        <v>290</v>
      </c>
      <c r="Y28" s="182" t="s">
        <v>290</v>
      </c>
      <c r="Z28" s="776" t="s">
        <v>290</v>
      </c>
      <c r="AA28" s="776" t="s">
        <v>290</v>
      </c>
      <c r="AB28" s="776" t="s">
        <v>290</v>
      </c>
      <c r="AC28" s="776" t="s">
        <v>290</v>
      </c>
      <c r="AD28" s="776" t="s">
        <v>290</v>
      </c>
      <c r="AE28" s="776" t="s">
        <v>290</v>
      </c>
      <c r="AF28" s="776" t="s">
        <v>290</v>
      </c>
      <c r="AG28" s="776" t="s">
        <v>290</v>
      </c>
      <c r="AH28" s="776" t="s">
        <v>290</v>
      </c>
      <c r="AI28" s="776" t="s">
        <v>290</v>
      </c>
      <c r="AJ28" s="182" t="s">
        <v>290</v>
      </c>
      <c r="AK28" s="38"/>
      <c r="AL28" s="197"/>
    </row>
    <row r="29" spans="1:38" x14ac:dyDescent="0.25">
      <c r="A29" s="11">
        <v>27</v>
      </c>
      <c r="B29" s="106">
        <v>0</v>
      </c>
      <c r="C29" s="106">
        <v>443</v>
      </c>
      <c r="D29" s="106">
        <v>252</v>
      </c>
      <c r="E29" s="106">
        <v>207</v>
      </c>
      <c r="F29" s="106">
        <v>253</v>
      </c>
      <c r="G29" s="106">
        <v>201</v>
      </c>
      <c r="H29" s="106" t="s">
        <v>289</v>
      </c>
      <c r="I29" s="37"/>
      <c r="J29" s="106">
        <v>403</v>
      </c>
      <c r="K29" s="106">
        <v>303</v>
      </c>
      <c r="L29" s="106">
        <v>253</v>
      </c>
      <c r="M29" s="106">
        <v>256</v>
      </c>
      <c r="N29" s="106">
        <v>254</v>
      </c>
      <c r="O29" s="106">
        <v>154</v>
      </c>
      <c r="P29" s="106">
        <v>210</v>
      </c>
      <c r="Q29" s="774"/>
      <c r="R29" s="106">
        <v>289.35000000000002</v>
      </c>
      <c r="S29" s="106">
        <v>301</v>
      </c>
      <c r="T29" s="106">
        <v>200</v>
      </c>
      <c r="U29" s="106">
        <v>204</v>
      </c>
      <c r="V29" s="106">
        <v>150</v>
      </c>
      <c r="W29" s="106" t="s">
        <v>289</v>
      </c>
      <c r="X29" s="106">
        <v>254.88</v>
      </c>
      <c r="Y29" s="774"/>
      <c r="Z29" s="106">
        <v>300</v>
      </c>
      <c r="AA29" s="106">
        <v>200</v>
      </c>
      <c r="AB29" s="106">
        <v>300</v>
      </c>
      <c r="AC29" s="106">
        <v>400</v>
      </c>
      <c r="AD29" s="106">
        <v>300</v>
      </c>
      <c r="AE29" s="106">
        <v>200</v>
      </c>
      <c r="AF29" s="106">
        <v>200</v>
      </c>
      <c r="AG29" s="106" t="s">
        <v>289</v>
      </c>
      <c r="AH29" s="106">
        <v>253.58</v>
      </c>
      <c r="AI29" s="106"/>
      <c r="AJ29" s="774"/>
      <c r="AK29" s="38"/>
      <c r="AL29" s="197"/>
    </row>
    <row r="30" spans="1:38" x14ac:dyDescent="0.25">
      <c r="A30" s="11">
        <v>28</v>
      </c>
      <c r="B30" s="106">
        <v>0</v>
      </c>
      <c r="C30" s="106">
        <v>238</v>
      </c>
      <c r="D30" s="106">
        <v>158</v>
      </c>
      <c r="E30" s="106">
        <v>214</v>
      </c>
      <c r="F30" s="106" t="s">
        <v>289</v>
      </c>
      <c r="G30" s="106">
        <v>350</v>
      </c>
      <c r="H30" s="106">
        <v>320</v>
      </c>
      <c r="I30" s="37"/>
      <c r="J30" s="106">
        <v>360</v>
      </c>
      <c r="K30" s="106">
        <v>252</v>
      </c>
      <c r="L30" s="106">
        <v>258</v>
      </c>
      <c r="M30" s="106">
        <v>305</v>
      </c>
      <c r="N30" s="106">
        <v>291</v>
      </c>
      <c r="O30" s="106">
        <v>201</v>
      </c>
      <c r="P30" s="106">
        <v>301</v>
      </c>
      <c r="Q30" s="774"/>
      <c r="R30" s="106">
        <v>252</v>
      </c>
      <c r="S30" s="106" t="s">
        <v>289</v>
      </c>
      <c r="T30" s="106">
        <v>300</v>
      </c>
      <c r="U30" s="106">
        <v>308</v>
      </c>
      <c r="V30" s="106">
        <v>700.98</v>
      </c>
      <c r="W30" s="106">
        <v>200</v>
      </c>
      <c r="X30" s="106">
        <v>200</v>
      </c>
      <c r="Y30" s="774"/>
      <c r="Z30" s="106">
        <v>300</v>
      </c>
      <c r="AA30" s="106">
        <v>250</v>
      </c>
      <c r="AB30" s="106">
        <v>300</v>
      </c>
      <c r="AC30" s="106">
        <v>200</v>
      </c>
      <c r="AD30" s="106">
        <v>300</v>
      </c>
      <c r="AE30" s="106">
        <v>150</v>
      </c>
      <c r="AF30" s="106">
        <v>300</v>
      </c>
      <c r="AG30" s="106">
        <v>200</v>
      </c>
      <c r="AH30" s="106">
        <v>300</v>
      </c>
      <c r="AI30" s="106"/>
      <c r="AJ30" s="774"/>
      <c r="AK30" s="38"/>
      <c r="AL30" s="197"/>
    </row>
    <row r="31" spans="1:38" x14ac:dyDescent="0.25">
      <c r="A31" s="11">
        <v>29</v>
      </c>
      <c r="B31" s="776" t="s">
        <v>290</v>
      </c>
      <c r="C31" s="776" t="s">
        <v>290</v>
      </c>
      <c r="D31" s="776" t="s">
        <v>290</v>
      </c>
      <c r="E31" s="776" t="s">
        <v>290</v>
      </c>
      <c r="F31" s="776" t="s">
        <v>290</v>
      </c>
      <c r="G31" s="776" t="s">
        <v>290</v>
      </c>
      <c r="H31" s="776" t="s">
        <v>290</v>
      </c>
      <c r="I31" s="182" t="s">
        <v>290</v>
      </c>
      <c r="J31" s="776" t="s">
        <v>290</v>
      </c>
      <c r="K31" s="776" t="s">
        <v>290</v>
      </c>
      <c r="L31" s="776" t="s">
        <v>290</v>
      </c>
      <c r="M31" s="776" t="s">
        <v>290</v>
      </c>
      <c r="N31" s="776" t="s">
        <v>290</v>
      </c>
      <c r="O31" s="776" t="s">
        <v>290</v>
      </c>
      <c r="P31" s="776" t="s">
        <v>290</v>
      </c>
      <c r="Q31" s="182" t="s">
        <v>290</v>
      </c>
      <c r="R31" s="776" t="s">
        <v>290</v>
      </c>
      <c r="S31" s="776" t="s">
        <v>290</v>
      </c>
      <c r="T31" s="776" t="s">
        <v>290</v>
      </c>
      <c r="U31" s="776" t="s">
        <v>290</v>
      </c>
      <c r="V31" s="776" t="s">
        <v>290</v>
      </c>
      <c r="W31" s="776" t="s">
        <v>290</v>
      </c>
      <c r="X31" s="776" t="s">
        <v>290</v>
      </c>
      <c r="Y31" s="182" t="s">
        <v>290</v>
      </c>
      <c r="Z31" s="776" t="s">
        <v>290</v>
      </c>
      <c r="AA31" s="776" t="s">
        <v>290</v>
      </c>
      <c r="AB31" s="776" t="s">
        <v>290</v>
      </c>
      <c r="AC31" s="776" t="s">
        <v>290</v>
      </c>
      <c r="AD31" s="776" t="s">
        <v>290</v>
      </c>
      <c r="AE31" s="776" t="s">
        <v>290</v>
      </c>
      <c r="AF31" s="776" t="s">
        <v>290</v>
      </c>
      <c r="AG31" s="776" t="s">
        <v>290</v>
      </c>
      <c r="AH31" s="776" t="s">
        <v>290</v>
      </c>
      <c r="AI31" s="776" t="s">
        <v>290</v>
      </c>
      <c r="AJ31" s="182" t="s">
        <v>290</v>
      </c>
      <c r="AK31" s="38"/>
      <c r="AL31" s="197"/>
    </row>
    <row r="32" spans="1:38" x14ac:dyDescent="0.25">
      <c r="A32" s="11">
        <v>30</v>
      </c>
      <c r="B32" s="106">
        <v>153</v>
      </c>
      <c r="C32" s="106">
        <v>313</v>
      </c>
      <c r="D32" s="106">
        <v>238</v>
      </c>
      <c r="E32" s="106">
        <v>319</v>
      </c>
      <c r="F32" s="106">
        <v>251</v>
      </c>
      <c r="G32" s="106">
        <v>303</v>
      </c>
      <c r="H32" s="106">
        <v>198</v>
      </c>
      <c r="I32" s="37"/>
      <c r="J32" s="106">
        <v>205</v>
      </c>
      <c r="K32" s="106">
        <v>300</v>
      </c>
      <c r="L32" s="106">
        <v>303</v>
      </c>
      <c r="M32" s="106">
        <v>255</v>
      </c>
      <c r="N32" s="106">
        <v>302</v>
      </c>
      <c r="O32" s="106">
        <v>251</v>
      </c>
      <c r="P32" s="106">
        <v>308</v>
      </c>
      <c r="Q32" s="774"/>
      <c r="R32" s="106">
        <v>205</v>
      </c>
      <c r="S32" s="106">
        <v>401</v>
      </c>
      <c r="T32" s="106">
        <v>253.93</v>
      </c>
      <c r="U32" s="106">
        <v>402</v>
      </c>
      <c r="V32" s="106">
        <v>400</v>
      </c>
      <c r="W32" s="106">
        <v>250</v>
      </c>
      <c r="X32" s="106">
        <v>250</v>
      </c>
      <c r="Y32" s="774"/>
      <c r="Z32" s="106">
        <v>300</v>
      </c>
      <c r="AA32" s="106">
        <v>300</v>
      </c>
      <c r="AB32" s="106">
        <v>300</v>
      </c>
      <c r="AC32" s="106">
        <v>200</v>
      </c>
      <c r="AD32" s="106">
        <v>400</v>
      </c>
      <c r="AE32" s="106">
        <v>250</v>
      </c>
      <c r="AF32" s="106">
        <v>370.1</v>
      </c>
      <c r="AG32" s="106">
        <v>150</v>
      </c>
      <c r="AH32" s="106">
        <v>397.35</v>
      </c>
      <c r="AI32" s="106"/>
      <c r="AJ32" s="774"/>
      <c r="AK32" s="38"/>
      <c r="AL32" s="197"/>
    </row>
    <row r="33" spans="1:38" x14ac:dyDescent="0.25">
      <c r="A33" s="11">
        <v>31</v>
      </c>
      <c r="B33" s="106">
        <v>0</v>
      </c>
      <c r="C33" s="106">
        <v>626</v>
      </c>
      <c r="D33" s="106">
        <v>254</v>
      </c>
      <c r="E33" s="106">
        <v>298</v>
      </c>
      <c r="F33" s="106">
        <v>248</v>
      </c>
      <c r="G33" s="106">
        <v>255</v>
      </c>
      <c r="H33" s="106">
        <v>320</v>
      </c>
      <c r="I33" s="37"/>
      <c r="J33" s="106">
        <v>308</v>
      </c>
      <c r="K33" s="106">
        <v>311</v>
      </c>
      <c r="L33" s="106">
        <v>398</v>
      </c>
      <c r="M33" s="106">
        <v>352</v>
      </c>
      <c r="N33" s="106">
        <v>304</v>
      </c>
      <c r="O33" s="106">
        <v>301</v>
      </c>
      <c r="P33" s="106">
        <v>267</v>
      </c>
      <c r="Q33" s="774"/>
      <c r="R33" s="106">
        <v>305</v>
      </c>
      <c r="S33" s="106">
        <v>360</v>
      </c>
      <c r="T33" s="106">
        <v>204.97</v>
      </c>
      <c r="U33" s="106">
        <v>269</v>
      </c>
      <c r="V33" s="106">
        <v>156.41999999999999</v>
      </c>
      <c r="W33" s="106">
        <v>300</v>
      </c>
      <c r="X33" s="106">
        <v>250</v>
      </c>
      <c r="Y33" s="774"/>
      <c r="Z33" s="106">
        <v>350</v>
      </c>
      <c r="AA33" s="106">
        <v>300</v>
      </c>
      <c r="AB33" s="106">
        <v>400</v>
      </c>
      <c r="AC33" s="106">
        <v>350</v>
      </c>
      <c r="AD33" s="106">
        <v>356.62</v>
      </c>
      <c r="AE33" s="106">
        <v>350</v>
      </c>
      <c r="AF33" s="106">
        <v>350.14</v>
      </c>
      <c r="AG33" s="106">
        <v>250</v>
      </c>
      <c r="AH33" s="106">
        <v>300.41000000000003</v>
      </c>
      <c r="AI33" s="106"/>
      <c r="AJ33" s="774"/>
      <c r="AK33" s="38"/>
      <c r="AL33" s="197"/>
    </row>
    <row r="34" spans="1:38" x14ac:dyDescent="0.25">
      <c r="A34" s="11">
        <v>32</v>
      </c>
      <c r="B34" s="106">
        <v>0</v>
      </c>
      <c r="C34" s="106">
        <v>848</v>
      </c>
      <c r="D34" s="106">
        <v>279</v>
      </c>
      <c r="E34" s="106">
        <v>331</v>
      </c>
      <c r="F34" s="106">
        <v>300</v>
      </c>
      <c r="G34" s="106">
        <v>355</v>
      </c>
      <c r="H34" s="106">
        <v>359</v>
      </c>
      <c r="I34" s="37"/>
      <c r="J34" s="106">
        <v>402</v>
      </c>
      <c r="K34" s="106">
        <v>301</v>
      </c>
      <c r="L34" s="106">
        <v>351</v>
      </c>
      <c r="M34" s="106">
        <v>354</v>
      </c>
      <c r="N34" s="106">
        <v>327</v>
      </c>
      <c r="O34" s="106">
        <v>302</v>
      </c>
      <c r="P34" s="106">
        <v>366</v>
      </c>
      <c r="Q34" s="774"/>
      <c r="R34" s="106">
        <v>307</v>
      </c>
      <c r="S34" s="106">
        <v>454</v>
      </c>
      <c r="T34" s="106">
        <v>350</v>
      </c>
      <c r="U34" s="106">
        <v>303</v>
      </c>
      <c r="V34" s="106">
        <v>400</v>
      </c>
      <c r="W34" s="106">
        <v>350</v>
      </c>
      <c r="X34" s="106">
        <v>350</v>
      </c>
      <c r="Y34" s="774"/>
      <c r="Z34" s="106">
        <v>350</v>
      </c>
      <c r="AA34" s="106">
        <v>300</v>
      </c>
      <c r="AB34" s="106">
        <v>400</v>
      </c>
      <c r="AC34" s="106">
        <v>300</v>
      </c>
      <c r="AD34" s="106">
        <v>400</v>
      </c>
      <c r="AE34" s="106">
        <v>300</v>
      </c>
      <c r="AF34" s="106">
        <v>400</v>
      </c>
      <c r="AG34" s="106">
        <v>250</v>
      </c>
      <c r="AH34" s="106">
        <v>400</v>
      </c>
      <c r="AI34" s="106"/>
      <c r="AJ34" s="774"/>
      <c r="AK34" s="38"/>
      <c r="AL34" s="197"/>
    </row>
    <row r="35" spans="1:38" x14ac:dyDescent="0.25">
      <c r="A35" s="11">
        <v>33</v>
      </c>
      <c r="B35" s="106">
        <v>0</v>
      </c>
      <c r="C35" s="106">
        <v>546</v>
      </c>
      <c r="D35" s="106" t="s">
        <v>289</v>
      </c>
      <c r="E35" s="106">
        <v>404</v>
      </c>
      <c r="F35" s="106">
        <v>328</v>
      </c>
      <c r="G35" s="106">
        <v>196</v>
      </c>
      <c r="H35" s="106">
        <v>355</v>
      </c>
      <c r="I35" s="37"/>
      <c r="J35" s="106">
        <v>203</v>
      </c>
      <c r="K35" s="106">
        <v>401</v>
      </c>
      <c r="L35" s="106">
        <v>301</v>
      </c>
      <c r="M35" s="106">
        <v>251</v>
      </c>
      <c r="N35" s="106">
        <v>356</v>
      </c>
      <c r="O35" s="106">
        <v>259</v>
      </c>
      <c r="P35" s="106">
        <v>306</v>
      </c>
      <c r="Q35" s="774"/>
      <c r="R35" s="106">
        <v>306</v>
      </c>
      <c r="S35" s="106">
        <v>302</v>
      </c>
      <c r="T35" s="106">
        <v>350</v>
      </c>
      <c r="U35" s="106">
        <v>202</v>
      </c>
      <c r="V35" s="106">
        <v>350</v>
      </c>
      <c r="W35" s="106">
        <v>350</v>
      </c>
      <c r="X35" s="106">
        <v>300</v>
      </c>
      <c r="Y35" s="774"/>
      <c r="Z35" s="106">
        <v>300</v>
      </c>
      <c r="AA35" s="106">
        <v>200</v>
      </c>
      <c r="AB35" s="106">
        <v>400</v>
      </c>
      <c r="AC35" s="106">
        <v>250</v>
      </c>
      <c r="AD35" s="106">
        <v>300</v>
      </c>
      <c r="AE35" s="106">
        <v>250</v>
      </c>
      <c r="AF35" s="106">
        <v>350</v>
      </c>
      <c r="AG35" s="106">
        <v>200</v>
      </c>
      <c r="AH35" s="106">
        <v>300</v>
      </c>
      <c r="AI35" s="106"/>
      <c r="AJ35" s="774"/>
      <c r="AK35" s="38"/>
      <c r="AL35" s="197"/>
    </row>
    <row r="36" spans="1:38" x14ac:dyDescent="0.25">
      <c r="A36" s="11">
        <v>34</v>
      </c>
      <c r="B36" s="106">
        <v>0</v>
      </c>
      <c r="C36" s="106">
        <v>30</v>
      </c>
      <c r="D36" s="106" t="s">
        <v>289</v>
      </c>
      <c r="E36" s="106" t="s">
        <v>289</v>
      </c>
      <c r="F36" s="106" t="s">
        <v>289</v>
      </c>
      <c r="G36" s="106" t="s">
        <v>289</v>
      </c>
      <c r="H36" s="106" t="s">
        <v>289</v>
      </c>
      <c r="I36" s="37"/>
      <c r="J36" s="106" t="s">
        <v>289</v>
      </c>
      <c r="K36" s="106" t="s">
        <v>289</v>
      </c>
      <c r="L36" s="106" t="s">
        <v>289</v>
      </c>
      <c r="M36" s="106" t="s">
        <v>289</v>
      </c>
      <c r="N36" s="106" t="s">
        <v>289</v>
      </c>
      <c r="O36" s="106" t="s">
        <v>289</v>
      </c>
      <c r="P36" s="106" t="s">
        <v>289</v>
      </c>
      <c r="Q36" s="774"/>
      <c r="R36" s="106" t="s">
        <v>289</v>
      </c>
      <c r="S36" s="106" t="s">
        <v>289</v>
      </c>
      <c r="T36" s="106" t="s">
        <v>289</v>
      </c>
      <c r="U36" s="106" t="s">
        <v>289</v>
      </c>
      <c r="V36" s="106">
        <v>500</v>
      </c>
      <c r="W36" s="106">
        <v>300</v>
      </c>
      <c r="X36" s="106">
        <v>200</v>
      </c>
      <c r="Y36" s="774"/>
      <c r="Z36" s="106">
        <v>250</v>
      </c>
      <c r="AA36" s="106">
        <v>300</v>
      </c>
      <c r="AB36" s="106">
        <v>250</v>
      </c>
      <c r="AC36" s="106">
        <v>400</v>
      </c>
      <c r="AD36" s="106">
        <v>350.92</v>
      </c>
      <c r="AE36" s="106">
        <v>250</v>
      </c>
      <c r="AF36" s="106">
        <v>300</v>
      </c>
      <c r="AG36" s="106">
        <v>100</v>
      </c>
      <c r="AH36" s="106">
        <v>300</v>
      </c>
      <c r="AI36" s="106"/>
      <c r="AJ36" s="774"/>
      <c r="AK36" s="38"/>
      <c r="AL36" s="197"/>
    </row>
    <row r="37" spans="1:38" x14ac:dyDescent="0.25">
      <c r="A37" s="11">
        <v>35</v>
      </c>
      <c r="B37" s="106" t="s">
        <v>289</v>
      </c>
      <c r="C37" s="106" t="s">
        <v>289</v>
      </c>
      <c r="D37" s="106" t="s">
        <v>289</v>
      </c>
      <c r="E37" s="106" t="s">
        <v>289</v>
      </c>
      <c r="F37" s="106" t="s">
        <v>289</v>
      </c>
      <c r="G37" s="106" t="s">
        <v>289</v>
      </c>
      <c r="H37" s="106" t="s">
        <v>289</v>
      </c>
      <c r="I37" s="37"/>
      <c r="J37" s="106" t="s">
        <v>289</v>
      </c>
      <c r="K37" s="106" t="s">
        <v>289</v>
      </c>
      <c r="L37" s="106" t="s">
        <v>289</v>
      </c>
      <c r="M37" s="106" t="s">
        <v>289</v>
      </c>
      <c r="N37" s="106" t="s">
        <v>289</v>
      </c>
      <c r="O37" s="106" t="s">
        <v>289</v>
      </c>
      <c r="P37" s="106" t="s">
        <v>289</v>
      </c>
      <c r="Q37" s="774"/>
      <c r="R37" s="106" t="s">
        <v>289</v>
      </c>
      <c r="S37" s="106" t="s">
        <v>289</v>
      </c>
      <c r="T37" s="106" t="s">
        <v>289</v>
      </c>
      <c r="U37" s="106" t="s">
        <v>289</v>
      </c>
      <c r="V37" s="106" t="s">
        <v>289</v>
      </c>
      <c r="W37" s="106" t="s">
        <v>289</v>
      </c>
      <c r="X37" s="106" t="s">
        <v>289</v>
      </c>
      <c r="Y37" s="774"/>
      <c r="Z37" s="106" t="s">
        <v>289</v>
      </c>
      <c r="AA37" s="106" t="s">
        <v>289</v>
      </c>
      <c r="AB37" s="106" t="s">
        <v>289</v>
      </c>
      <c r="AC37" s="106" t="s">
        <v>289</v>
      </c>
      <c r="AD37" s="106" t="s">
        <v>289</v>
      </c>
      <c r="AE37" s="106" t="s">
        <v>289</v>
      </c>
      <c r="AF37" s="106" t="s">
        <v>289</v>
      </c>
      <c r="AG37" s="106" t="s">
        <v>289</v>
      </c>
      <c r="AH37" s="106" t="s">
        <v>289</v>
      </c>
      <c r="AI37" s="106"/>
      <c r="AJ37" s="774"/>
      <c r="AK37" s="38"/>
      <c r="AL37" s="197"/>
    </row>
    <row r="38" spans="1:38" x14ac:dyDescent="0.25">
      <c r="A38" s="11">
        <v>36</v>
      </c>
      <c r="B38" s="776" t="s">
        <v>290</v>
      </c>
      <c r="C38" s="776" t="s">
        <v>290</v>
      </c>
      <c r="D38" s="776" t="s">
        <v>290</v>
      </c>
      <c r="E38" s="776" t="s">
        <v>290</v>
      </c>
      <c r="F38" s="776" t="s">
        <v>290</v>
      </c>
      <c r="G38" s="776" t="s">
        <v>290</v>
      </c>
      <c r="H38" s="776" t="s">
        <v>290</v>
      </c>
      <c r="I38" s="182" t="s">
        <v>290</v>
      </c>
      <c r="J38" s="776" t="s">
        <v>290</v>
      </c>
      <c r="K38" s="776" t="s">
        <v>290</v>
      </c>
      <c r="L38" s="776" t="s">
        <v>290</v>
      </c>
      <c r="M38" s="776" t="s">
        <v>290</v>
      </c>
      <c r="N38" s="776" t="s">
        <v>290</v>
      </c>
      <c r="O38" s="776" t="s">
        <v>290</v>
      </c>
      <c r="P38" s="776" t="s">
        <v>290</v>
      </c>
      <c r="Q38" s="182" t="s">
        <v>290</v>
      </c>
      <c r="R38" s="776" t="s">
        <v>290</v>
      </c>
      <c r="S38" s="776" t="s">
        <v>290</v>
      </c>
      <c r="T38" s="776" t="s">
        <v>290</v>
      </c>
      <c r="U38" s="776" t="s">
        <v>290</v>
      </c>
      <c r="V38" s="776" t="s">
        <v>290</v>
      </c>
      <c r="W38" s="776" t="s">
        <v>290</v>
      </c>
      <c r="X38" s="776" t="s">
        <v>290</v>
      </c>
      <c r="Y38" s="182" t="s">
        <v>290</v>
      </c>
      <c r="Z38" s="776" t="s">
        <v>290</v>
      </c>
      <c r="AA38" s="776" t="s">
        <v>290</v>
      </c>
      <c r="AB38" s="776" t="s">
        <v>290</v>
      </c>
      <c r="AC38" s="776" t="s">
        <v>290</v>
      </c>
      <c r="AD38" s="776" t="s">
        <v>290</v>
      </c>
      <c r="AE38" s="776" t="s">
        <v>290</v>
      </c>
      <c r="AF38" s="776" t="s">
        <v>290</v>
      </c>
      <c r="AG38" s="776" t="s">
        <v>290</v>
      </c>
      <c r="AH38" s="776" t="s">
        <v>290</v>
      </c>
      <c r="AI38" s="776" t="s">
        <v>290</v>
      </c>
      <c r="AJ38" s="182" t="s">
        <v>290</v>
      </c>
      <c r="AK38" s="38"/>
      <c r="AL38" s="197"/>
    </row>
    <row r="39" spans="1:38" x14ac:dyDescent="0.25">
      <c r="A39" s="11">
        <v>37</v>
      </c>
      <c r="B39" s="106">
        <v>0</v>
      </c>
      <c r="C39" s="106" t="s">
        <v>289</v>
      </c>
      <c r="D39" s="106" t="s">
        <v>289</v>
      </c>
      <c r="E39" s="106" t="s">
        <v>289</v>
      </c>
      <c r="F39" s="106" t="s">
        <v>289</v>
      </c>
      <c r="G39" s="106" t="s">
        <v>289</v>
      </c>
      <c r="H39" s="106" t="s">
        <v>289</v>
      </c>
      <c r="I39" s="37"/>
      <c r="J39" s="106" t="s">
        <v>289</v>
      </c>
      <c r="K39" s="106">
        <v>369</v>
      </c>
      <c r="L39" s="106" t="s">
        <v>289</v>
      </c>
      <c r="M39" s="106" t="s">
        <v>289</v>
      </c>
      <c r="N39" s="106" t="s">
        <v>289</v>
      </c>
      <c r="O39" s="106" t="s">
        <v>289</v>
      </c>
      <c r="P39" s="106" t="s">
        <v>289</v>
      </c>
      <c r="Q39" s="774"/>
      <c r="R39" s="106">
        <v>55</v>
      </c>
      <c r="S39" s="106">
        <v>251</v>
      </c>
      <c r="T39" s="106">
        <v>300</v>
      </c>
      <c r="U39" s="106">
        <v>471</v>
      </c>
      <c r="V39" s="106">
        <v>400</v>
      </c>
      <c r="W39" s="106">
        <v>327.3</v>
      </c>
      <c r="X39" s="106">
        <v>300</v>
      </c>
      <c r="Y39" s="774"/>
      <c r="Z39" s="106">
        <v>399.77</v>
      </c>
      <c r="AA39" s="106">
        <v>300</v>
      </c>
      <c r="AB39" s="106">
        <v>350</v>
      </c>
      <c r="AC39" s="106">
        <v>350</v>
      </c>
      <c r="AD39" s="106">
        <v>390.61</v>
      </c>
      <c r="AE39" s="106">
        <v>296.60000000000002</v>
      </c>
      <c r="AF39" s="106">
        <v>300</v>
      </c>
      <c r="AG39" s="106">
        <v>300</v>
      </c>
      <c r="AH39" s="106">
        <v>226.74</v>
      </c>
      <c r="AI39" s="106"/>
      <c r="AJ39" s="774"/>
      <c r="AK39" s="38"/>
      <c r="AL39" s="197"/>
    </row>
    <row r="40" spans="1:38" x14ac:dyDescent="0.25">
      <c r="A40" s="11">
        <v>38</v>
      </c>
      <c r="B40" s="106" t="s">
        <v>289</v>
      </c>
      <c r="C40" s="106" t="s">
        <v>289</v>
      </c>
      <c r="D40" s="106" t="s">
        <v>289</v>
      </c>
      <c r="E40" s="106" t="s">
        <v>289</v>
      </c>
      <c r="F40" s="106" t="s">
        <v>289</v>
      </c>
      <c r="G40" s="106" t="s">
        <v>289</v>
      </c>
      <c r="H40" s="106" t="s">
        <v>289</v>
      </c>
      <c r="I40" s="37"/>
      <c r="J40" s="106" t="s">
        <v>289</v>
      </c>
      <c r="K40" s="106" t="s">
        <v>289</v>
      </c>
      <c r="L40" s="106" t="s">
        <v>289</v>
      </c>
      <c r="M40" s="106" t="s">
        <v>289</v>
      </c>
      <c r="N40" s="106" t="s">
        <v>289</v>
      </c>
      <c r="O40" s="106" t="s">
        <v>289</v>
      </c>
      <c r="P40" s="106" t="s">
        <v>289</v>
      </c>
      <c r="Q40" s="774"/>
      <c r="R40" s="106" t="s">
        <v>289</v>
      </c>
      <c r="S40" s="106" t="s">
        <v>289</v>
      </c>
      <c r="T40" s="106" t="s">
        <v>289</v>
      </c>
      <c r="U40" s="106" t="s">
        <v>289</v>
      </c>
      <c r="V40" s="106" t="s">
        <v>289</v>
      </c>
      <c r="W40" s="106" t="s">
        <v>289</v>
      </c>
      <c r="X40" s="106" t="s">
        <v>289</v>
      </c>
      <c r="Y40" s="774"/>
      <c r="Z40" s="106" t="s">
        <v>289</v>
      </c>
      <c r="AA40" s="106" t="s">
        <v>289</v>
      </c>
      <c r="AB40" s="106" t="s">
        <v>289</v>
      </c>
      <c r="AC40" s="106" t="s">
        <v>289</v>
      </c>
      <c r="AD40" s="106" t="s">
        <v>289</v>
      </c>
      <c r="AE40" s="106" t="s">
        <v>289</v>
      </c>
      <c r="AF40" s="106" t="s">
        <v>289</v>
      </c>
      <c r="AG40" s="106" t="s">
        <v>289</v>
      </c>
      <c r="AH40" s="106" t="s">
        <v>289</v>
      </c>
      <c r="AI40" s="106"/>
      <c r="AJ40" s="774"/>
      <c r="AK40" s="38"/>
      <c r="AL40" s="197"/>
    </row>
    <row r="41" spans="1:38" x14ac:dyDescent="0.25">
      <c r="A41" s="11">
        <v>39</v>
      </c>
      <c r="B41" s="106">
        <v>151</v>
      </c>
      <c r="C41" s="106">
        <v>289</v>
      </c>
      <c r="D41" s="106">
        <v>286</v>
      </c>
      <c r="E41" s="106">
        <v>199</v>
      </c>
      <c r="F41" s="106">
        <v>293</v>
      </c>
      <c r="G41" s="106">
        <v>109</v>
      </c>
      <c r="H41" s="106">
        <v>208</v>
      </c>
      <c r="I41" s="37"/>
      <c r="J41" s="116" t="s">
        <v>289</v>
      </c>
      <c r="K41" s="116">
        <v>150</v>
      </c>
      <c r="L41" s="106" t="s">
        <v>289</v>
      </c>
      <c r="M41" s="106" t="s">
        <v>289</v>
      </c>
      <c r="N41" s="106" t="s">
        <v>289</v>
      </c>
      <c r="O41" s="106" t="s">
        <v>289</v>
      </c>
      <c r="P41" s="106" t="s">
        <v>289</v>
      </c>
      <c r="Q41" s="774"/>
      <c r="R41" s="106">
        <v>220</v>
      </c>
      <c r="S41" s="106">
        <v>203</v>
      </c>
      <c r="T41" s="106" t="s">
        <v>289</v>
      </c>
      <c r="U41" s="106">
        <v>403</v>
      </c>
      <c r="V41" s="106">
        <v>200</v>
      </c>
      <c r="W41" s="106">
        <v>200</v>
      </c>
      <c r="X41" s="106">
        <v>200</v>
      </c>
      <c r="Y41" s="774"/>
      <c r="Z41" s="106">
        <v>285.07</v>
      </c>
      <c r="AA41" s="106" t="s">
        <v>289</v>
      </c>
      <c r="AB41" s="106">
        <v>300</v>
      </c>
      <c r="AC41" s="106">
        <v>200</v>
      </c>
      <c r="AD41" s="106">
        <v>300.82</v>
      </c>
      <c r="AE41" s="106" t="s">
        <v>289</v>
      </c>
      <c r="AF41" s="106">
        <v>199.7</v>
      </c>
      <c r="AG41" s="106" t="s">
        <v>289</v>
      </c>
      <c r="AH41" s="106">
        <v>181.54</v>
      </c>
      <c r="AI41" s="106"/>
      <c r="AJ41" s="774"/>
      <c r="AK41" s="38"/>
      <c r="AL41" s="197"/>
    </row>
    <row r="42" spans="1:38" x14ac:dyDescent="0.25">
      <c r="A42" s="11">
        <v>40</v>
      </c>
      <c r="B42" s="106">
        <v>0</v>
      </c>
      <c r="C42" s="106">
        <v>766</v>
      </c>
      <c r="D42" s="106">
        <v>203</v>
      </c>
      <c r="E42" s="106">
        <v>273</v>
      </c>
      <c r="F42" s="106">
        <v>331</v>
      </c>
      <c r="G42" s="106">
        <v>256</v>
      </c>
      <c r="H42" s="106">
        <v>403</v>
      </c>
      <c r="I42" s="37"/>
      <c r="J42" s="106">
        <v>353</v>
      </c>
      <c r="K42" s="106">
        <v>402</v>
      </c>
      <c r="L42" s="106">
        <v>315</v>
      </c>
      <c r="M42" s="106">
        <v>457</v>
      </c>
      <c r="N42" s="106">
        <v>353</v>
      </c>
      <c r="O42" s="106">
        <v>252</v>
      </c>
      <c r="P42" s="106">
        <v>302</v>
      </c>
      <c r="Q42" s="774"/>
      <c r="R42" s="106">
        <v>313</v>
      </c>
      <c r="S42" s="106">
        <v>402</v>
      </c>
      <c r="T42" s="106">
        <v>350</v>
      </c>
      <c r="U42" s="106">
        <v>405</v>
      </c>
      <c r="V42" s="106">
        <v>400</v>
      </c>
      <c r="W42" s="106">
        <v>300</v>
      </c>
      <c r="X42" s="106">
        <v>250</v>
      </c>
      <c r="Y42" s="774"/>
      <c r="Z42" s="106">
        <v>500</v>
      </c>
      <c r="AA42" s="106">
        <v>300</v>
      </c>
      <c r="AB42" s="106">
        <v>300</v>
      </c>
      <c r="AC42" s="106">
        <v>350</v>
      </c>
      <c r="AD42" s="106">
        <v>400.63</v>
      </c>
      <c r="AE42" s="106">
        <v>300</v>
      </c>
      <c r="AF42" s="106">
        <v>385.24</v>
      </c>
      <c r="AG42" s="106">
        <v>300</v>
      </c>
      <c r="AH42" s="106">
        <v>351.2</v>
      </c>
      <c r="AI42" s="106"/>
      <c r="AJ42" s="774"/>
      <c r="AK42" s="38"/>
      <c r="AL42" s="197"/>
    </row>
    <row r="43" spans="1:38" x14ac:dyDescent="0.25">
      <c r="A43" s="11">
        <v>41</v>
      </c>
      <c r="B43" s="106">
        <v>202</v>
      </c>
      <c r="C43" s="106">
        <v>403</v>
      </c>
      <c r="D43" s="106">
        <v>286</v>
      </c>
      <c r="E43" s="106">
        <v>389</v>
      </c>
      <c r="F43" s="106">
        <v>342</v>
      </c>
      <c r="G43" s="106">
        <v>356</v>
      </c>
      <c r="H43" s="106">
        <v>353</v>
      </c>
      <c r="I43" s="37"/>
      <c r="J43" s="106">
        <v>403</v>
      </c>
      <c r="K43" s="106">
        <v>353</v>
      </c>
      <c r="L43" s="106">
        <v>300</v>
      </c>
      <c r="M43" s="106">
        <v>322</v>
      </c>
      <c r="N43" s="106">
        <v>353</v>
      </c>
      <c r="O43" s="106">
        <v>201</v>
      </c>
      <c r="P43" s="106">
        <v>284</v>
      </c>
      <c r="Q43" s="774"/>
      <c r="R43" s="106">
        <v>300</v>
      </c>
      <c r="S43" s="106">
        <v>402</v>
      </c>
      <c r="T43" s="106">
        <v>350</v>
      </c>
      <c r="U43" s="106">
        <v>405</v>
      </c>
      <c r="V43" s="106" t="s">
        <v>289</v>
      </c>
      <c r="W43" s="106">
        <v>200</v>
      </c>
      <c r="X43" s="106">
        <v>300</v>
      </c>
      <c r="Y43" s="774"/>
      <c r="Z43" s="106">
        <v>300</v>
      </c>
      <c r="AA43" s="106">
        <v>350</v>
      </c>
      <c r="AB43" s="106">
        <v>400</v>
      </c>
      <c r="AC43" s="106">
        <v>316.85000000000002</v>
      </c>
      <c r="AD43" s="106">
        <v>500</v>
      </c>
      <c r="AE43" s="106">
        <v>350</v>
      </c>
      <c r="AF43" s="106">
        <v>300</v>
      </c>
      <c r="AG43" s="106">
        <v>350</v>
      </c>
      <c r="AH43" s="106">
        <v>400</v>
      </c>
      <c r="AI43" s="106"/>
      <c r="AJ43" s="774"/>
      <c r="AK43" s="38"/>
      <c r="AL43" s="197"/>
    </row>
    <row r="44" spans="1:38" x14ac:dyDescent="0.25">
      <c r="A44" s="11">
        <v>42</v>
      </c>
      <c r="B44" s="776" t="s">
        <v>290</v>
      </c>
      <c r="C44" s="776" t="s">
        <v>290</v>
      </c>
      <c r="D44" s="776" t="s">
        <v>290</v>
      </c>
      <c r="E44" s="776" t="s">
        <v>290</v>
      </c>
      <c r="F44" s="776" t="s">
        <v>290</v>
      </c>
      <c r="G44" s="776" t="s">
        <v>290</v>
      </c>
      <c r="H44" s="776" t="s">
        <v>290</v>
      </c>
      <c r="I44" s="182" t="s">
        <v>290</v>
      </c>
      <c r="J44" s="776" t="s">
        <v>290</v>
      </c>
      <c r="K44" s="776" t="s">
        <v>290</v>
      </c>
      <c r="L44" s="776" t="s">
        <v>290</v>
      </c>
      <c r="M44" s="776" t="s">
        <v>290</v>
      </c>
      <c r="N44" s="776" t="s">
        <v>290</v>
      </c>
      <c r="O44" s="776" t="s">
        <v>290</v>
      </c>
      <c r="P44" s="776" t="s">
        <v>290</v>
      </c>
      <c r="Q44" s="182" t="s">
        <v>290</v>
      </c>
      <c r="R44" s="776" t="s">
        <v>290</v>
      </c>
      <c r="S44" s="776" t="s">
        <v>290</v>
      </c>
      <c r="T44" s="776" t="s">
        <v>290</v>
      </c>
      <c r="U44" s="776" t="s">
        <v>290</v>
      </c>
      <c r="V44" s="776" t="s">
        <v>290</v>
      </c>
      <c r="W44" s="776" t="s">
        <v>290</v>
      </c>
      <c r="X44" s="776" t="s">
        <v>290</v>
      </c>
      <c r="Y44" s="182" t="s">
        <v>290</v>
      </c>
      <c r="Z44" s="776" t="s">
        <v>290</v>
      </c>
      <c r="AA44" s="776" t="s">
        <v>290</v>
      </c>
      <c r="AB44" s="776" t="s">
        <v>290</v>
      </c>
      <c r="AC44" s="776" t="s">
        <v>290</v>
      </c>
      <c r="AD44" s="776" t="s">
        <v>290</v>
      </c>
      <c r="AE44" s="776" t="s">
        <v>290</v>
      </c>
      <c r="AF44" s="776" t="s">
        <v>290</v>
      </c>
      <c r="AG44" s="776" t="s">
        <v>290</v>
      </c>
      <c r="AH44" s="776" t="s">
        <v>290</v>
      </c>
      <c r="AI44" s="776" t="s">
        <v>290</v>
      </c>
      <c r="AJ44" s="182" t="s">
        <v>290</v>
      </c>
      <c r="AK44" s="38"/>
      <c r="AL44" s="197"/>
    </row>
    <row r="45" spans="1:38" x14ac:dyDescent="0.25">
      <c r="A45" s="11">
        <v>43</v>
      </c>
      <c r="B45" s="106" t="s">
        <v>289</v>
      </c>
      <c r="C45" s="106" t="s">
        <v>289</v>
      </c>
      <c r="D45" s="106" t="s">
        <v>289</v>
      </c>
      <c r="E45" s="106" t="s">
        <v>289</v>
      </c>
      <c r="F45" s="106" t="s">
        <v>289</v>
      </c>
      <c r="G45" s="106" t="s">
        <v>289</v>
      </c>
      <c r="H45" s="106">
        <v>300</v>
      </c>
      <c r="I45" s="37"/>
      <c r="J45" s="106" t="s">
        <v>289</v>
      </c>
      <c r="K45" s="106" t="s">
        <v>289</v>
      </c>
      <c r="L45" s="106" t="s">
        <v>289</v>
      </c>
      <c r="M45" s="106" t="s">
        <v>289</v>
      </c>
      <c r="N45" s="106" t="s">
        <v>289</v>
      </c>
      <c r="O45" s="106" t="s">
        <v>289</v>
      </c>
      <c r="P45" s="106" t="s">
        <v>289</v>
      </c>
      <c r="Q45" s="774"/>
      <c r="R45" s="106" t="s">
        <v>289</v>
      </c>
      <c r="S45" s="106">
        <v>150</v>
      </c>
      <c r="T45" s="106">
        <v>299.98</v>
      </c>
      <c r="U45" s="106">
        <v>308</v>
      </c>
      <c r="V45" s="106">
        <v>361.11</v>
      </c>
      <c r="W45" s="106">
        <v>300</v>
      </c>
      <c r="X45" s="106">
        <v>400</v>
      </c>
      <c r="Y45" s="774"/>
      <c r="Z45" s="106">
        <v>350</v>
      </c>
      <c r="AA45" s="106">
        <v>400</v>
      </c>
      <c r="AB45" s="106">
        <v>350</v>
      </c>
      <c r="AC45" s="106">
        <v>350</v>
      </c>
      <c r="AD45" s="106">
        <v>333.03</v>
      </c>
      <c r="AE45" s="106">
        <v>200</v>
      </c>
      <c r="AF45" s="106">
        <v>250</v>
      </c>
      <c r="AG45" s="106">
        <v>350</v>
      </c>
      <c r="AH45" s="106">
        <v>400</v>
      </c>
      <c r="AI45" s="106"/>
      <c r="AJ45" s="774"/>
      <c r="AK45" s="38"/>
      <c r="AL45" s="197"/>
    </row>
    <row r="46" spans="1:38" x14ac:dyDescent="0.25">
      <c r="A46" s="11">
        <v>44</v>
      </c>
      <c r="B46" s="106" t="s">
        <v>289</v>
      </c>
      <c r="C46" s="106" t="s">
        <v>289</v>
      </c>
      <c r="D46" s="106" t="s">
        <v>289</v>
      </c>
      <c r="E46" s="106" t="s">
        <v>289</v>
      </c>
      <c r="F46" s="106" t="s">
        <v>289</v>
      </c>
      <c r="G46" s="106" t="s">
        <v>289</v>
      </c>
      <c r="H46" s="106" t="s">
        <v>289</v>
      </c>
      <c r="I46" s="37"/>
      <c r="J46" s="106" t="s">
        <v>289</v>
      </c>
      <c r="K46" s="106" t="s">
        <v>289</v>
      </c>
      <c r="L46" s="106" t="s">
        <v>289</v>
      </c>
      <c r="M46" s="106" t="s">
        <v>289</v>
      </c>
      <c r="N46" s="106" t="s">
        <v>289</v>
      </c>
      <c r="O46" s="106" t="s">
        <v>289</v>
      </c>
      <c r="P46" s="106" t="s">
        <v>289</v>
      </c>
      <c r="Q46" s="774"/>
      <c r="R46" s="106" t="s">
        <v>289</v>
      </c>
      <c r="S46" s="106" t="s">
        <v>289</v>
      </c>
      <c r="T46" s="106" t="s">
        <v>289</v>
      </c>
      <c r="U46" s="106" t="s">
        <v>289</v>
      </c>
      <c r="V46" s="106" t="s">
        <v>289</v>
      </c>
      <c r="W46" s="106" t="s">
        <v>289</v>
      </c>
      <c r="X46" s="106" t="s">
        <v>289</v>
      </c>
      <c r="Y46" s="774"/>
      <c r="Z46" s="106" t="s">
        <v>289</v>
      </c>
      <c r="AA46" s="106" t="s">
        <v>289</v>
      </c>
      <c r="AB46" s="106" t="s">
        <v>289</v>
      </c>
      <c r="AC46" s="106" t="s">
        <v>289</v>
      </c>
      <c r="AD46" s="106" t="s">
        <v>289</v>
      </c>
      <c r="AE46" s="106" t="s">
        <v>289</v>
      </c>
      <c r="AF46" s="106" t="s">
        <v>289</v>
      </c>
      <c r="AG46" s="106" t="s">
        <v>289</v>
      </c>
      <c r="AH46" s="106" t="s">
        <v>289</v>
      </c>
      <c r="AI46" s="106"/>
      <c r="AJ46" s="774"/>
      <c r="AK46" s="38"/>
      <c r="AL46" s="197"/>
    </row>
    <row r="47" spans="1:38" x14ac:dyDescent="0.25">
      <c r="A47" s="11">
        <v>45</v>
      </c>
      <c r="B47" s="106">
        <v>301</v>
      </c>
      <c r="C47" s="106">
        <v>439</v>
      </c>
      <c r="D47" s="106">
        <v>167</v>
      </c>
      <c r="E47" s="106">
        <v>304</v>
      </c>
      <c r="F47" s="106">
        <v>243</v>
      </c>
      <c r="G47" s="106">
        <v>222</v>
      </c>
      <c r="H47" s="106">
        <v>334</v>
      </c>
      <c r="I47" s="37"/>
      <c r="J47" s="106">
        <v>268</v>
      </c>
      <c r="K47" s="106">
        <v>354</v>
      </c>
      <c r="L47" s="106">
        <v>156</v>
      </c>
      <c r="M47" s="106">
        <v>235</v>
      </c>
      <c r="N47" s="106">
        <v>356</v>
      </c>
      <c r="O47" s="106">
        <v>301</v>
      </c>
      <c r="P47" s="106">
        <v>400</v>
      </c>
      <c r="Q47" s="774"/>
      <c r="R47" s="106">
        <v>301</v>
      </c>
      <c r="S47" s="106">
        <v>301</v>
      </c>
      <c r="T47" s="106">
        <v>300</v>
      </c>
      <c r="U47" s="106">
        <v>353</v>
      </c>
      <c r="V47" s="106">
        <v>263.89999999999998</v>
      </c>
      <c r="W47" s="106">
        <v>88.75</v>
      </c>
      <c r="X47" s="106" t="s">
        <v>289</v>
      </c>
      <c r="Y47" s="774"/>
      <c r="Z47" s="106">
        <v>337.92</v>
      </c>
      <c r="AA47" s="106">
        <v>365.74</v>
      </c>
      <c r="AB47" s="106">
        <v>300</v>
      </c>
      <c r="AC47" s="106">
        <v>318.58</v>
      </c>
      <c r="AD47" s="106">
        <v>274.66000000000003</v>
      </c>
      <c r="AE47" s="106">
        <v>300</v>
      </c>
      <c r="AF47" s="106">
        <v>307.47000000000003</v>
      </c>
      <c r="AG47" s="106">
        <v>300</v>
      </c>
      <c r="AH47" s="106">
        <v>216.21</v>
      </c>
      <c r="AI47" s="106"/>
      <c r="AJ47" s="774"/>
      <c r="AK47" s="38"/>
      <c r="AL47" s="197"/>
    </row>
    <row r="48" spans="1:38" x14ac:dyDescent="0.25">
      <c r="A48" s="11">
        <v>46</v>
      </c>
      <c r="B48" s="106">
        <v>309</v>
      </c>
      <c r="C48" s="106">
        <v>484</v>
      </c>
      <c r="D48" s="106">
        <v>303</v>
      </c>
      <c r="E48" s="106">
        <v>346</v>
      </c>
      <c r="F48" s="106">
        <v>301</v>
      </c>
      <c r="G48" s="106">
        <v>304</v>
      </c>
      <c r="H48" s="106">
        <v>388</v>
      </c>
      <c r="I48" s="37"/>
      <c r="J48" s="106">
        <v>374</v>
      </c>
      <c r="K48" s="106">
        <v>354</v>
      </c>
      <c r="L48" s="106">
        <v>354</v>
      </c>
      <c r="M48" s="106">
        <v>355</v>
      </c>
      <c r="N48" s="106">
        <v>357</v>
      </c>
      <c r="O48" s="106">
        <v>351</v>
      </c>
      <c r="P48" s="106">
        <v>491</v>
      </c>
      <c r="Q48" s="774"/>
      <c r="R48" s="106">
        <v>273.85000000000002</v>
      </c>
      <c r="S48" s="106">
        <v>392</v>
      </c>
      <c r="T48" s="106">
        <v>300</v>
      </c>
      <c r="U48" s="106">
        <v>302</v>
      </c>
      <c r="V48" s="106">
        <v>400</v>
      </c>
      <c r="W48" s="106">
        <v>300</v>
      </c>
      <c r="X48" s="106">
        <v>300</v>
      </c>
      <c r="Y48" s="774"/>
      <c r="Z48" s="106">
        <v>400</v>
      </c>
      <c r="AA48" s="106">
        <v>349.94</v>
      </c>
      <c r="AB48" s="106">
        <v>250</v>
      </c>
      <c r="AC48" s="106" t="s">
        <v>289</v>
      </c>
      <c r="AD48" s="106" t="s">
        <v>289</v>
      </c>
      <c r="AE48" s="106" t="s">
        <v>289</v>
      </c>
      <c r="AF48" s="106" t="s">
        <v>289</v>
      </c>
      <c r="AG48" s="106" t="s">
        <v>289</v>
      </c>
      <c r="AH48" s="106" t="s">
        <v>289</v>
      </c>
      <c r="AI48" s="106"/>
      <c r="AJ48" s="774"/>
      <c r="AK48" s="38"/>
      <c r="AL48" s="197"/>
    </row>
    <row r="49" spans="1:38" x14ac:dyDescent="0.25">
      <c r="A49" s="11">
        <v>47</v>
      </c>
      <c r="B49" s="106">
        <v>0</v>
      </c>
      <c r="C49" s="106">
        <v>607</v>
      </c>
      <c r="D49" s="106">
        <v>267</v>
      </c>
      <c r="E49" s="106">
        <v>299</v>
      </c>
      <c r="F49" s="106">
        <v>203</v>
      </c>
      <c r="G49" s="106">
        <v>368</v>
      </c>
      <c r="H49" s="106">
        <v>311</v>
      </c>
      <c r="I49" s="37"/>
      <c r="J49" s="106" t="s">
        <v>289</v>
      </c>
      <c r="K49" s="106" t="s">
        <v>289</v>
      </c>
      <c r="L49" s="106" t="s">
        <v>289</v>
      </c>
      <c r="M49" s="106" t="s">
        <v>289</v>
      </c>
      <c r="N49" s="106" t="s">
        <v>289</v>
      </c>
      <c r="O49" s="106" t="s">
        <v>289</v>
      </c>
      <c r="P49" s="106" t="s">
        <v>289</v>
      </c>
      <c r="Q49" s="774"/>
      <c r="R49" s="106" t="s">
        <v>289</v>
      </c>
      <c r="S49" s="106" t="s">
        <v>289</v>
      </c>
      <c r="T49" s="106" t="s">
        <v>289</v>
      </c>
      <c r="U49" s="106" t="s">
        <v>289</v>
      </c>
      <c r="V49" s="106" t="s">
        <v>289</v>
      </c>
      <c r="W49" s="106" t="s">
        <v>289</v>
      </c>
      <c r="X49" s="106" t="s">
        <v>289</v>
      </c>
      <c r="Y49" s="774"/>
      <c r="Z49" s="106" t="s">
        <v>289</v>
      </c>
      <c r="AA49" s="106" t="s">
        <v>289</v>
      </c>
      <c r="AB49" s="106" t="s">
        <v>289</v>
      </c>
      <c r="AC49" s="106" t="s">
        <v>289</v>
      </c>
      <c r="AD49" s="106" t="s">
        <v>289</v>
      </c>
      <c r="AE49" s="106" t="s">
        <v>289</v>
      </c>
      <c r="AF49" s="106">
        <v>277.72000000000003</v>
      </c>
      <c r="AG49" s="106">
        <v>200</v>
      </c>
      <c r="AH49" s="106">
        <v>400</v>
      </c>
      <c r="AI49" s="106"/>
      <c r="AJ49" s="774"/>
      <c r="AK49" s="38"/>
      <c r="AL49" s="197"/>
    </row>
    <row r="50" spans="1:38" x14ac:dyDescent="0.25">
      <c r="A50" s="11">
        <v>48</v>
      </c>
      <c r="B50" s="106">
        <v>0</v>
      </c>
      <c r="C50" s="106">
        <v>590</v>
      </c>
      <c r="D50" s="106">
        <v>273</v>
      </c>
      <c r="E50" s="106">
        <v>252</v>
      </c>
      <c r="F50" s="106">
        <v>298</v>
      </c>
      <c r="G50" s="106">
        <v>65</v>
      </c>
      <c r="H50" s="106">
        <v>340</v>
      </c>
      <c r="I50" s="37"/>
      <c r="J50" s="106">
        <v>301</v>
      </c>
      <c r="K50" s="106">
        <v>316</v>
      </c>
      <c r="L50" s="106">
        <v>306</v>
      </c>
      <c r="M50" s="106">
        <v>302</v>
      </c>
      <c r="N50" s="106">
        <v>304</v>
      </c>
      <c r="O50" s="106">
        <v>260</v>
      </c>
      <c r="P50" s="106">
        <v>348</v>
      </c>
      <c r="Q50" s="774"/>
      <c r="R50" s="106">
        <v>286</v>
      </c>
      <c r="S50" s="106">
        <v>352</v>
      </c>
      <c r="T50" s="106">
        <v>300</v>
      </c>
      <c r="U50" s="106">
        <v>407</v>
      </c>
      <c r="V50" s="106">
        <v>300</v>
      </c>
      <c r="W50" s="106">
        <v>250</v>
      </c>
      <c r="X50" s="106">
        <v>300</v>
      </c>
      <c r="Y50" s="774"/>
      <c r="Z50" s="106">
        <v>350</v>
      </c>
      <c r="AA50" s="106">
        <v>300</v>
      </c>
      <c r="AB50" s="106">
        <v>250</v>
      </c>
      <c r="AC50" s="106">
        <v>300</v>
      </c>
      <c r="AD50" s="106">
        <v>350.17</v>
      </c>
      <c r="AE50" s="106">
        <v>300</v>
      </c>
      <c r="AF50" s="106">
        <v>212.85</v>
      </c>
      <c r="AG50" s="106">
        <v>300</v>
      </c>
      <c r="AH50" s="106">
        <v>400</v>
      </c>
      <c r="AI50" s="106"/>
      <c r="AJ50" s="774"/>
      <c r="AK50" s="38"/>
      <c r="AL50" s="197"/>
    </row>
    <row r="51" spans="1:38" x14ac:dyDescent="0.25">
      <c r="A51" s="11">
        <v>49</v>
      </c>
      <c r="B51" s="106">
        <v>0</v>
      </c>
      <c r="C51" s="106">
        <v>519</v>
      </c>
      <c r="D51" s="106">
        <v>154</v>
      </c>
      <c r="E51" s="106">
        <v>42</v>
      </c>
      <c r="F51" s="106" t="s">
        <v>289</v>
      </c>
      <c r="G51" s="106">
        <v>147</v>
      </c>
      <c r="H51" s="106">
        <v>301</v>
      </c>
      <c r="I51" s="37"/>
      <c r="J51" s="106">
        <v>305</v>
      </c>
      <c r="K51" s="106">
        <v>362</v>
      </c>
      <c r="L51" s="106">
        <v>304</v>
      </c>
      <c r="M51" s="106">
        <v>286</v>
      </c>
      <c r="N51" s="106">
        <v>322</v>
      </c>
      <c r="O51" s="106">
        <v>294</v>
      </c>
      <c r="P51" s="106">
        <v>314</v>
      </c>
      <c r="Q51" s="774"/>
      <c r="R51" s="106">
        <v>273</v>
      </c>
      <c r="S51" s="106">
        <v>302</v>
      </c>
      <c r="T51" s="106">
        <v>300</v>
      </c>
      <c r="U51" s="106">
        <v>352</v>
      </c>
      <c r="V51" s="106">
        <v>321.48</v>
      </c>
      <c r="W51" s="106">
        <v>274.57</v>
      </c>
      <c r="X51" s="106">
        <v>200</v>
      </c>
      <c r="Y51" s="774"/>
      <c r="Z51" s="106">
        <v>400</v>
      </c>
      <c r="AA51" s="106">
        <v>288.22000000000003</v>
      </c>
      <c r="AB51" s="106">
        <v>250</v>
      </c>
      <c r="AC51" s="106">
        <v>300</v>
      </c>
      <c r="AD51" s="106">
        <v>400</v>
      </c>
      <c r="AE51" s="106">
        <v>272.07</v>
      </c>
      <c r="AF51" s="106">
        <v>250</v>
      </c>
      <c r="AG51" s="106">
        <v>299.83999999999997</v>
      </c>
      <c r="AH51" s="106">
        <v>251.25</v>
      </c>
      <c r="AI51" s="106"/>
      <c r="AJ51" s="774"/>
      <c r="AK51" s="38"/>
      <c r="AL51" s="197"/>
    </row>
    <row r="52" spans="1:38" x14ac:dyDescent="0.25">
      <c r="A52" s="11">
        <v>50</v>
      </c>
      <c r="B52" s="106">
        <v>0</v>
      </c>
      <c r="C52" s="106">
        <v>538</v>
      </c>
      <c r="D52" s="106">
        <v>104</v>
      </c>
      <c r="E52" s="106">
        <v>340</v>
      </c>
      <c r="F52" s="106">
        <v>208</v>
      </c>
      <c r="G52" s="106">
        <v>251</v>
      </c>
      <c r="H52" s="106">
        <v>350</v>
      </c>
      <c r="I52" s="37"/>
      <c r="J52" s="106">
        <v>306</v>
      </c>
      <c r="K52" s="106">
        <v>294</v>
      </c>
      <c r="L52" s="106">
        <v>255</v>
      </c>
      <c r="M52" s="106">
        <v>171</v>
      </c>
      <c r="N52" s="106" t="s">
        <v>289</v>
      </c>
      <c r="O52" s="106">
        <v>40</v>
      </c>
      <c r="P52" s="106">
        <v>238</v>
      </c>
      <c r="Q52" s="774"/>
      <c r="R52" s="106">
        <v>152</v>
      </c>
      <c r="S52" s="106">
        <v>304</v>
      </c>
      <c r="T52" s="106">
        <v>300</v>
      </c>
      <c r="U52" s="106">
        <v>303</v>
      </c>
      <c r="V52" s="106" t="s">
        <v>289</v>
      </c>
      <c r="W52" s="106">
        <v>70.180000000000007</v>
      </c>
      <c r="X52" s="106">
        <v>150</v>
      </c>
      <c r="Y52" s="774"/>
      <c r="Z52" s="106">
        <v>255.57</v>
      </c>
      <c r="AA52" s="106">
        <v>200.76</v>
      </c>
      <c r="AB52" s="106">
        <v>100</v>
      </c>
      <c r="AC52" s="106">
        <v>200</v>
      </c>
      <c r="AD52" s="106">
        <v>202.91</v>
      </c>
      <c r="AE52" s="106" t="s">
        <v>289</v>
      </c>
      <c r="AF52" s="106">
        <v>150</v>
      </c>
      <c r="AG52" s="106">
        <v>55.8</v>
      </c>
      <c r="AH52" s="106">
        <v>391.37</v>
      </c>
      <c r="AI52" s="106"/>
      <c r="AJ52" s="774"/>
      <c r="AK52" s="38"/>
      <c r="AL52" s="197"/>
    </row>
    <row r="53" spans="1:38" x14ac:dyDescent="0.25">
      <c r="A53" s="11">
        <v>51</v>
      </c>
      <c r="B53" s="106">
        <v>0</v>
      </c>
      <c r="C53" s="106">
        <v>510</v>
      </c>
      <c r="D53" s="106">
        <v>338</v>
      </c>
      <c r="E53" s="106">
        <v>305</v>
      </c>
      <c r="F53" s="106">
        <v>364</v>
      </c>
      <c r="G53" s="106">
        <v>211</v>
      </c>
      <c r="H53" s="106">
        <v>308</v>
      </c>
      <c r="I53" s="37"/>
      <c r="J53" s="106">
        <v>303</v>
      </c>
      <c r="K53" s="106">
        <v>302</v>
      </c>
      <c r="L53" s="106">
        <v>209</v>
      </c>
      <c r="M53" s="106">
        <v>150</v>
      </c>
      <c r="N53" s="106" t="s">
        <v>289</v>
      </c>
      <c r="O53" s="106">
        <v>131</v>
      </c>
      <c r="P53" s="106">
        <v>158</v>
      </c>
      <c r="Q53" s="774"/>
      <c r="R53" s="106">
        <v>251</v>
      </c>
      <c r="S53" s="106">
        <v>203</v>
      </c>
      <c r="T53" s="106">
        <v>400</v>
      </c>
      <c r="U53" s="106">
        <v>503</v>
      </c>
      <c r="V53" s="106">
        <v>300</v>
      </c>
      <c r="W53" s="106">
        <v>350</v>
      </c>
      <c r="X53" s="106">
        <v>300</v>
      </c>
      <c r="Y53" s="774"/>
      <c r="Z53" s="106">
        <v>350</v>
      </c>
      <c r="AA53" s="106">
        <v>191.05</v>
      </c>
      <c r="AB53" s="106">
        <v>250</v>
      </c>
      <c r="AC53" s="106">
        <v>300</v>
      </c>
      <c r="AD53" s="106">
        <v>300.27999999999997</v>
      </c>
      <c r="AE53" s="106">
        <v>348.19</v>
      </c>
      <c r="AF53" s="106">
        <v>300</v>
      </c>
      <c r="AG53" s="106">
        <v>300</v>
      </c>
      <c r="AH53" s="106">
        <v>400</v>
      </c>
      <c r="AI53" s="106"/>
      <c r="AJ53" s="774"/>
      <c r="AK53" s="38"/>
      <c r="AL53" s="176"/>
    </row>
    <row r="54" spans="1:38" x14ac:dyDescent="0.25">
      <c r="A54" s="11">
        <v>52</v>
      </c>
      <c r="B54" s="106">
        <v>0</v>
      </c>
      <c r="C54" s="106">
        <v>419</v>
      </c>
      <c r="D54" s="106">
        <v>265</v>
      </c>
      <c r="E54" s="106">
        <v>207</v>
      </c>
      <c r="F54" s="116" t="s">
        <v>289</v>
      </c>
      <c r="G54" s="116">
        <v>145</v>
      </c>
      <c r="H54" s="116">
        <v>198</v>
      </c>
      <c r="I54" s="37"/>
      <c r="J54" s="116">
        <v>209</v>
      </c>
      <c r="K54" s="106">
        <v>274</v>
      </c>
      <c r="L54" s="106">
        <v>182</v>
      </c>
      <c r="M54" s="106">
        <v>256</v>
      </c>
      <c r="N54" s="106">
        <v>180</v>
      </c>
      <c r="O54" s="106">
        <v>182</v>
      </c>
      <c r="P54" s="106">
        <v>248</v>
      </c>
      <c r="Q54" s="774"/>
      <c r="R54" s="106">
        <v>203</v>
      </c>
      <c r="S54" s="106">
        <v>213</v>
      </c>
      <c r="T54" s="106">
        <v>210</v>
      </c>
      <c r="U54" s="106">
        <v>237</v>
      </c>
      <c r="V54" s="106">
        <v>265.05</v>
      </c>
      <c r="W54" s="106">
        <v>200</v>
      </c>
      <c r="X54" s="106">
        <v>256.44</v>
      </c>
      <c r="Y54" s="774"/>
      <c r="Z54" s="106">
        <v>205.3</v>
      </c>
      <c r="AA54" s="106">
        <v>252.92</v>
      </c>
      <c r="AB54" s="106">
        <v>150</v>
      </c>
      <c r="AC54" s="106">
        <v>299.26</v>
      </c>
      <c r="AD54" s="106">
        <v>163.44</v>
      </c>
      <c r="AE54" s="106">
        <v>200</v>
      </c>
      <c r="AF54" s="106">
        <v>250</v>
      </c>
      <c r="AG54" s="106">
        <v>231.67</v>
      </c>
      <c r="AH54" s="106">
        <v>221.37</v>
      </c>
      <c r="AI54" s="106"/>
      <c r="AJ54" s="774"/>
      <c r="AK54" s="38"/>
      <c r="AL54" s="197"/>
    </row>
    <row r="55" spans="1:38" x14ac:dyDescent="0.25">
      <c r="A55" s="11">
        <v>53</v>
      </c>
      <c r="B55" s="106">
        <v>0</v>
      </c>
      <c r="C55" s="106">
        <v>408</v>
      </c>
      <c r="D55" s="106">
        <v>260</v>
      </c>
      <c r="E55" s="106">
        <v>187</v>
      </c>
      <c r="F55" s="106">
        <v>167</v>
      </c>
      <c r="G55" s="106">
        <v>104</v>
      </c>
      <c r="H55" s="106">
        <v>178</v>
      </c>
      <c r="I55" s="37"/>
      <c r="J55" s="106">
        <v>290</v>
      </c>
      <c r="K55" s="106">
        <v>238</v>
      </c>
      <c r="L55" s="106">
        <v>237</v>
      </c>
      <c r="M55" s="106">
        <v>248</v>
      </c>
      <c r="N55" s="106">
        <v>159</v>
      </c>
      <c r="O55" s="106">
        <v>269</v>
      </c>
      <c r="P55" s="106">
        <v>240</v>
      </c>
      <c r="Q55" s="774"/>
      <c r="R55" s="106">
        <v>228</v>
      </c>
      <c r="S55" s="106">
        <v>167</v>
      </c>
      <c r="T55" s="106">
        <v>289</v>
      </c>
      <c r="U55" s="106">
        <v>240</v>
      </c>
      <c r="V55" s="106">
        <v>230.34</v>
      </c>
      <c r="W55" s="106">
        <v>192.18</v>
      </c>
      <c r="X55" s="106">
        <v>250</v>
      </c>
      <c r="Y55" s="774"/>
      <c r="Z55" s="106">
        <v>238.69</v>
      </c>
      <c r="AA55" s="106">
        <v>231.33</v>
      </c>
      <c r="AB55" s="106">
        <v>250</v>
      </c>
      <c r="AC55" s="106">
        <v>269.58</v>
      </c>
      <c r="AD55" s="106">
        <v>155.9</v>
      </c>
      <c r="AE55" s="106">
        <v>250</v>
      </c>
      <c r="AF55" s="106">
        <v>261.20999999999998</v>
      </c>
      <c r="AG55" s="106">
        <v>231.15</v>
      </c>
      <c r="AH55" s="106">
        <v>257.01</v>
      </c>
      <c r="AI55" s="106"/>
      <c r="AJ55" s="774"/>
      <c r="AK55" s="38"/>
      <c r="AL55" s="197"/>
    </row>
    <row r="56" spans="1:38" x14ac:dyDescent="0.25">
      <c r="A56" s="11">
        <v>54</v>
      </c>
      <c r="B56" s="106">
        <v>0</v>
      </c>
      <c r="C56" s="106">
        <v>370</v>
      </c>
      <c r="D56" s="106">
        <v>311</v>
      </c>
      <c r="E56" s="106">
        <v>230</v>
      </c>
      <c r="F56" s="106">
        <v>241</v>
      </c>
      <c r="G56" s="106" t="s">
        <v>289</v>
      </c>
      <c r="H56" s="106">
        <v>125</v>
      </c>
      <c r="I56" s="37"/>
      <c r="J56" s="106">
        <v>380</v>
      </c>
      <c r="K56" s="106">
        <v>267</v>
      </c>
      <c r="L56" s="106">
        <v>211</v>
      </c>
      <c r="M56" s="106">
        <v>236</v>
      </c>
      <c r="N56" s="106">
        <v>255</v>
      </c>
      <c r="O56" s="106">
        <v>206</v>
      </c>
      <c r="P56" s="106">
        <v>289</v>
      </c>
      <c r="Q56" s="774"/>
      <c r="R56" s="106">
        <v>272</v>
      </c>
      <c r="S56" s="106">
        <v>166</v>
      </c>
      <c r="T56" s="106">
        <v>221</v>
      </c>
      <c r="U56" s="106">
        <v>290</v>
      </c>
      <c r="V56" s="106">
        <v>250</v>
      </c>
      <c r="W56" s="106">
        <v>200</v>
      </c>
      <c r="X56" s="106">
        <v>250</v>
      </c>
      <c r="Y56" s="774"/>
      <c r="Z56" s="106">
        <v>284.39</v>
      </c>
      <c r="AA56" s="106">
        <v>241.28</v>
      </c>
      <c r="AB56" s="106">
        <v>150</v>
      </c>
      <c r="AC56" s="106">
        <v>250</v>
      </c>
      <c r="AD56" s="106">
        <v>276.64999999999998</v>
      </c>
      <c r="AE56" s="106">
        <v>200</v>
      </c>
      <c r="AF56" s="106">
        <v>300</v>
      </c>
      <c r="AG56" s="106">
        <v>120.74</v>
      </c>
      <c r="AH56" s="106">
        <v>330.12</v>
      </c>
      <c r="AI56" s="106"/>
      <c r="AJ56" s="774"/>
      <c r="AK56" s="38"/>
      <c r="AL56" s="197"/>
    </row>
    <row r="57" spans="1:38" x14ac:dyDescent="0.25">
      <c r="A57" s="11">
        <v>55</v>
      </c>
      <c r="B57" s="106">
        <v>0</v>
      </c>
      <c r="C57" s="106">
        <v>388</v>
      </c>
      <c r="D57" s="106">
        <v>334</v>
      </c>
      <c r="E57" s="106">
        <v>207</v>
      </c>
      <c r="F57" s="106">
        <v>114</v>
      </c>
      <c r="G57" s="106">
        <v>99</v>
      </c>
      <c r="H57" s="106">
        <v>211</v>
      </c>
      <c r="I57" s="37"/>
      <c r="J57" s="106">
        <v>263</v>
      </c>
      <c r="K57" s="106">
        <v>277</v>
      </c>
      <c r="L57" s="106">
        <v>203</v>
      </c>
      <c r="M57" s="106">
        <v>257</v>
      </c>
      <c r="N57" s="106">
        <v>193</v>
      </c>
      <c r="O57" s="106">
        <v>262</v>
      </c>
      <c r="P57" s="106">
        <v>259</v>
      </c>
      <c r="Q57" s="774"/>
      <c r="R57" s="106">
        <v>240</v>
      </c>
      <c r="S57" s="106">
        <v>203</v>
      </c>
      <c r="T57" s="106">
        <v>219</v>
      </c>
      <c r="U57" s="106">
        <v>282</v>
      </c>
      <c r="V57" s="106">
        <v>130.18</v>
      </c>
      <c r="W57" s="106">
        <v>200</v>
      </c>
      <c r="X57" s="106">
        <v>150</v>
      </c>
      <c r="Y57" s="774"/>
      <c r="Z57" s="106">
        <v>249.05</v>
      </c>
      <c r="AA57" s="106">
        <v>237.58</v>
      </c>
      <c r="AB57" s="106">
        <v>200</v>
      </c>
      <c r="AC57" s="106">
        <v>250</v>
      </c>
      <c r="AD57" s="106">
        <v>242.63</v>
      </c>
      <c r="AE57" s="106">
        <v>200</v>
      </c>
      <c r="AF57" s="106">
        <v>300</v>
      </c>
      <c r="AG57" s="106">
        <v>250</v>
      </c>
      <c r="AH57" s="106">
        <v>262.29000000000002</v>
      </c>
      <c r="AI57" s="106"/>
      <c r="AJ57" s="774"/>
      <c r="AK57" s="38"/>
      <c r="AL57" s="197"/>
    </row>
    <row r="58" spans="1:38" x14ac:dyDescent="0.25">
      <c r="A58" s="11">
        <v>56</v>
      </c>
      <c r="B58" s="106">
        <v>0</v>
      </c>
      <c r="C58" s="106">
        <v>534</v>
      </c>
      <c r="D58" s="106">
        <v>239</v>
      </c>
      <c r="E58" s="106">
        <v>209</v>
      </c>
      <c r="F58" s="106">
        <v>215</v>
      </c>
      <c r="G58" s="106">
        <v>191</v>
      </c>
      <c r="H58" s="106">
        <v>253</v>
      </c>
      <c r="I58" s="37"/>
      <c r="J58" s="106">
        <v>203</v>
      </c>
      <c r="K58" s="106">
        <v>257</v>
      </c>
      <c r="L58" s="106">
        <v>255</v>
      </c>
      <c r="M58" s="106">
        <v>267</v>
      </c>
      <c r="N58" s="106">
        <v>200</v>
      </c>
      <c r="O58" s="106" t="s">
        <v>289</v>
      </c>
      <c r="P58" s="106">
        <v>420</v>
      </c>
      <c r="Q58" s="774"/>
      <c r="R58" s="106">
        <v>232</v>
      </c>
      <c r="S58" s="106">
        <v>236</v>
      </c>
      <c r="T58" s="106">
        <v>324</v>
      </c>
      <c r="U58" s="106">
        <v>257</v>
      </c>
      <c r="V58" s="106">
        <v>300</v>
      </c>
      <c r="W58" s="106">
        <v>200</v>
      </c>
      <c r="X58" s="106">
        <v>315.93</v>
      </c>
      <c r="Y58" s="774"/>
      <c r="Z58" s="106">
        <v>215.92</v>
      </c>
      <c r="AA58" s="106">
        <v>200</v>
      </c>
      <c r="AB58" s="106">
        <v>200</v>
      </c>
      <c r="AC58" s="106">
        <v>250</v>
      </c>
      <c r="AD58" s="106">
        <v>232.08</v>
      </c>
      <c r="AE58" s="106">
        <v>250</v>
      </c>
      <c r="AF58" s="106">
        <v>226.84</v>
      </c>
      <c r="AG58" s="106">
        <v>250</v>
      </c>
      <c r="AH58" s="106">
        <v>308.19</v>
      </c>
      <c r="AI58" s="106"/>
      <c r="AJ58" s="774"/>
      <c r="AK58" s="38"/>
      <c r="AL58" s="197"/>
    </row>
    <row r="59" spans="1:38" x14ac:dyDescent="0.25">
      <c r="A59" s="11">
        <v>57</v>
      </c>
      <c r="B59" s="106">
        <v>298</v>
      </c>
      <c r="C59" s="106">
        <v>234</v>
      </c>
      <c r="D59" s="106" t="s">
        <v>289</v>
      </c>
      <c r="E59" s="106" t="s">
        <v>289</v>
      </c>
      <c r="F59" s="106" t="s">
        <v>289</v>
      </c>
      <c r="G59" s="106" t="s">
        <v>289</v>
      </c>
      <c r="H59" s="106" t="s">
        <v>289</v>
      </c>
      <c r="I59" s="37"/>
      <c r="J59" s="106" t="s">
        <v>289</v>
      </c>
      <c r="K59" s="106" t="s">
        <v>289</v>
      </c>
      <c r="L59" s="106">
        <v>275</v>
      </c>
      <c r="M59" s="106">
        <v>300</v>
      </c>
      <c r="N59" s="106">
        <v>222</v>
      </c>
      <c r="O59" s="106">
        <v>298</v>
      </c>
      <c r="P59" s="106">
        <v>264</v>
      </c>
      <c r="Q59" s="774"/>
      <c r="R59" s="106">
        <v>200</v>
      </c>
      <c r="S59" s="106">
        <v>258</v>
      </c>
      <c r="T59" s="106">
        <v>240</v>
      </c>
      <c r="U59" s="106">
        <v>300</v>
      </c>
      <c r="V59" s="106">
        <v>400</v>
      </c>
      <c r="W59" s="106">
        <v>300</v>
      </c>
      <c r="X59" s="106">
        <v>250</v>
      </c>
      <c r="Y59" s="774"/>
      <c r="Z59" s="106">
        <v>304.42</v>
      </c>
      <c r="AA59" s="106">
        <v>250</v>
      </c>
      <c r="AB59" s="106">
        <v>200</v>
      </c>
      <c r="AC59" s="106">
        <v>250</v>
      </c>
      <c r="AD59" s="106">
        <v>234.54</v>
      </c>
      <c r="AE59" s="106">
        <v>245.06</v>
      </c>
      <c r="AF59" s="106">
        <v>241.2</v>
      </c>
      <c r="AG59" s="106" t="s">
        <v>289</v>
      </c>
      <c r="AH59" s="106">
        <v>183.75</v>
      </c>
      <c r="AI59" s="106"/>
      <c r="AJ59" s="774"/>
      <c r="AK59" s="38"/>
      <c r="AL59" s="197"/>
    </row>
    <row r="60" spans="1:38" x14ac:dyDescent="0.25">
      <c r="A60" s="11">
        <v>58</v>
      </c>
      <c r="B60" s="106">
        <v>0</v>
      </c>
      <c r="C60" s="106">
        <v>519</v>
      </c>
      <c r="D60" s="106">
        <v>269</v>
      </c>
      <c r="E60" s="106">
        <v>175</v>
      </c>
      <c r="F60" s="106">
        <v>212</v>
      </c>
      <c r="G60" s="106">
        <v>254</v>
      </c>
      <c r="H60" s="106">
        <v>275</v>
      </c>
      <c r="I60" s="37"/>
      <c r="J60" s="106">
        <v>182</v>
      </c>
      <c r="K60" s="106">
        <v>257</v>
      </c>
      <c r="L60" s="106">
        <v>181</v>
      </c>
      <c r="M60" s="106">
        <v>213</v>
      </c>
      <c r="N60" s="106">
        <v>176</v>
      </c>
      <c r="O60" s="106">
        <v>236</v>
      </c>
      <c r="P60" s="106" t="s">
        <v>289</v>
      </c>
      <c r="Q60" s="774"/>
      <c r="R60" s="106">
        <v>211</v>
      </c>
      <c r="S60" s="106">
        <v>256</v>
      </c>
      <c r="T60" s="106">
        <v>256</v>
      </c>
      <c r="U60" s="106">
        <v>253</v>
      </c>
      <c r="V60" s="106">
        <v>248.59</v>
      </c>
      <c r="W60" s="106">
        <v>200</v>
      </c>
      <c r="X60" s="106">
        <v>206.15</v>
      </c>
      <c r="Y60" s="774"/>
      <c r="Z60" s="106">
        <v>248.1</v>
      </c>
      <c r="AA60" s="106">
        <v>32.130000000000003</v>
      </c>
      <c r="AB60" s="106">
        <v>150</v>
      </c>
      <c r="AC60" s="106">
        <v>250</v>
      </c>
      <c r="AD60" s="106">
        <v>305.48</v>
      </c>
      <c r="AE60" s="106">
        <v>200</v>
      </c>
      <c r="AF60" s="106">
        <v>250</v>
      </c>
      <c r="AG60" s="106">
        <v>200</v>
      </c>
      <c r="AH60" s="106">
        <v>350.35</v>
      </c>
      <c r="AI60" s="106"/>
      <c r="AJ60" s="774"/>
      <c r="AK60" s="38"/>
      <c r="AL60" s="197"/>
    </row>
    <row r="61" spans="1:38" ht="18.75" x14ac:dyDescent="0.3">
      <c r="A61" s="11">
        <v>59</v>
      </c>
      <c r="B61" s="106" t="s">
        <v>289</v>
      </c>
      <c r="C61" s="106">
        <v>473</v>
      </c>
      <c r="D61" s="106">
        <v>219</v>
      </c>
      <c r="E61" s="106" t="s">
        <v>289</v>
      </c>
      <c r="F61" s="106">
        <v>278</v>
      </c>
      <c r="G61" s="106">
        <v>204</v>
      </c>
      <c r="H61" s="106">
        <v>186</v>
      </c>
      <c r="I61" s="37"/>
      <c r="J61" s="106">
        <v>309</v>
      </c>
      <c r="K61" s="106">
        <v>303</v>
      </c>
      <c r="L61" s="106">
        <v>244</v>
      </c>
      <c r="M61" s="106">
        <v>222</v>
      </c>
      <c r="N61" s="106">
        <v>215</v>
      </c>
      <c r="O61" s="106">
        <v>215</v>
      </c>
      <c r="P61" s="106">
        <v>254</v>
      </c>
      <c r="Q61" s="774"/>
      <c r="R61" s="106">
        <v>220</v>
      </c>
      <c r="S61" s="106">
        <v>242</v>
      </c>
      <c r="T61" s="106">
        <v>216</v>
      </c>
      <c r="U61" s="106">
        <v>218</v>
      </c>
      <c r="V61" s="106">
        <v>283.99</v>
      </c>
      <c r="W61" s="106">
        <v>200</v>
      </c>
      <c r="X61" s="106">
        <v>235.54</v>
      </c>
      <c r="Y61" s="774"/>
      <c r="Z61" s="106">
        <v>250.41</v>
      </c>
      <c r="AA61" s="106">
        <v>200</v>
      </c>
      <c r="AB61" s="106">
        <v>250</v>
      </c>
      <c r="AC61" s="106">
        <v>250</v>
      </c>
      <c r="AD61" s="106">
        <v>201.88</v>
      </c>
      <c r="AE61" s="106">
        <v>250</v>
      </c>
      <c r="AF61" s="106">
        <v>300</v>
      </c>
      <c r="AG61" s="106">
        <v>209.18</v>
      </c>
      <c r="AH61" s="106">
        <v>259.07</v>
      </c>
      <c r="AI61" s="106"/>
      <c r="AJ61" s="774"/>
      <c r="AK61" s="340">
        <v>73024</v>
      </c>
      <c r="AL61" s="197"/>
    </row>
    <row r="62" spans="1:38" ht="18.75" x14ac:dyDescent="0.3">
      <c r="A62" s="11">
        <v>60</v>
      </c>
      <c r="B62" s="106">
        <v>0</v>
      </c>
      <c r="C62" s="106">
        <v>513</v>
      </c>
      <c r="D62" s="106">
        <v>376</v>
      </c>
      <c r="E62" s="106">
        <v>201</v>
      </c>
      <c r="F62" s="106">
        <v>249</v>
      </c>
      <c r="G62" s="106">
        <v>209</v>
      </c>
      <c r="H62" s="804">
        <v>215</v>
      </c>
      <c r="I62" s="37"/>
      <c r="J62" s="106">
        <v>257</v>
      </c>
      <c r="K62" s="106">
        <v>317</v>
      </c>
      <c r="L62" s="106">
        <v>239</v>
      </c>
      <c r="M62" s="106">
        <v>288</v>
      </c>
      <c r="N62" s="106">
        <v>204</v>
      </c>
      <c r="O62" s="106">
        <v>255</v>
      </c>
      <c r="P62" s="106">
        <v>249</v>
      </c>
      <c r="Q62" s="774"/>
      <c r="R62" s="106">
        <v>277</v>
      </c>
      <c r="S62" s="106">
        <v>154</v>
      </c>
      <c r="T62" s="106">
        <v>283</v>
      </c>
      <c r="U62" s="106">
        <v>244</v>
      </c>
      <c r="V62" s="106">
        <v>300</v>
      </c>
      <c r="W62" s="106">
        <v>200</v>
      </c>
      <c r="X62" s="106">
        <v>293</v>
      </c>
      <c r="Y62" s="774"/>
      <c r="Z62" s="106">
        <v>216.05</v>
      </c>
      <c r="AA62" s="106">
        <v>300</v>
      </c>
      <c r="AB62" s="106">
        <v>200</v>
      </c>
      <c r="AC62" s="106">
        <v>250</v>
      </c>
      <c r="AD62" s="106">
        <v>216.84</v>
      </c>
      <c r="AE62" s="106">
        <v>239.96</v>
      </c>
      <c r="AF62" s="106">
        <v>222.72</v>
      </c>
      <c r="AG62" s="106">
        <v>250</v>
      </c>
      <c r="AH62" s="106">
        <v>285.82</v>
      </c>
      <c r="AI62" s="106"/>
      <c r="AJ62" s="774"/>
      <c r="AK62" s="340">
        <v>82798</v>
      </c>
      <c r="AL62" s="197"/>
    </row>
    <row r="63" spans="1:38" ht="18.75" x14ac:dyDescent="0.3">
      <c r="A63" s="11">
        <v>61</v>
      </c>
      <c r="B63" s="106">
        <v>0</v>
      </c>
      <c r="C63" s="106">
        <v>422</v>
      </c>
      <c r="D63" s="106">
        <v>234</v>
      </c>
      <c r="E63" s="106">
        <v>260</v>
      </c>
      <c r="F63" s="106" t="s">
        <v>289</v>
      </c>
      <c r="G63" s="106">
        <v>154</v>
      </c>
      <c r="H63" s="106">
        <v>180</v>
      </c>
      <c r="I63" s="37"/>
      <c r="J63" s="106">
        <v>315</v>
      </c>
      <c r="K63" s="106">
        <v>310</v>
      </c>
      <c r="L63" s="106">
        <v>199</v>
      </c>
      <c r="M63" s="106">
        <v>267</v>
      </c>
      <c r="N63" s="106">
        <v>172</v>
      </c>
      <c r="O63" s="106">
        <v>205</v>
      </c>
      <c r="P63" s="106">
        <v>305</v>
      </c>
      <c r="Q63" s="774"/>
      <c r="R63" s="106">
        <v>205</v>
      </c>
      <c r="S63" s="106">
        <v>247</v>
      </c>
      <c r="T63" s="106">
        <v>207</v>
      </c>
      <c r="U63" s="106">
        <v>238</v>
      </c>
      <c r="V63" s="106">
        <v>250</v>
      </c>
      <c r="W63" s="106">
        <v>200</v>
      </c>
      <c r="X63" s="106">
        <v>200</v>
      </c>
      <c r="Y63" s="774"/>
      <c r="Z63" s="106">
        <v>299.61</v>
      </c>
      <c r="AA63" s="106">
        <v>200</v>
      </c>
      <c r="AB63" s="106">
        <v>250</v>
      </c>
      <c r="AC63" s="106">
        <v>250</v>
      </c>
      <c r="AD63" s="106">
        <v>261.02999999999997</v>
      </c>
      <c r="AE63" s="106">
        <v>200</v>
      </c>
      <c r="AF63" s="106">
        <v>300</v>
      </c>
      <c r="AG63" s="106">
        <v>123.16</v>
      </c>
      <c r="AH63" s="106">
        <v>399.78</v>
      </c>
      <c r="AI63" s="106"/>
      <c r="AJ63" s="774"/>
      <c r="AK63" s="340">
        <v>85282.42</v>
      </c>
      <c r="AL63" s="197"/>
    </row>
    <row r="64" spans="1:38" ht="18.75" x14ac:dyDescent="0.3">
      <c r="A64" s="11">
        <v>62</v>
      </c>
      <c r="B64" s="106">
        <v>0</v>
      </c>
      <c r="C64" s="106">
        <v>450</v>
      </c>
      <c r="D64" s="106">
        <v>318</v>
      </c>
      <c r="E64" s="106">
        <v>193</v>
      </c>
      <c r="F64" s="106">
        <v>226</v>
      </c>
      <c r="G64" s="106">
        <v>162</v>
      </c>
      <c r="H64" s="106">
        <v>220</v>
      </c>
      <c r="I64" s="37"/>
      <c r="J64" s="106">
        <v>222</v>
      </c>
      <c r="K64" s="106">
        <v>226</v>
      </c>
      <c r="L64" s="106">
        <v>207</v>
      </c>
      <c r="M64" s="106">
        <v>240</v>
      </c>
      <c r="N64" s="106">
        <v>164</v>
      </c>
      <c r="O64" s="106">
        <v>239</v>
      </c>
      <c r="P64" s="106">
        <v>223</v>
      </c>
      <c r="Q64" s="774"/>
      <c r="R64" s="106">
        <v>201</v>
      </c>
      <c r="S64" s="106">
        <v>206</v>
      </c>
      <c r="T64" s="106">
        <v>214</v>
      </c>
      <c r="U64" s="106">
        <v>198</v>
      </c>
      <c r="V64" s="106">
        <v>300</v>
      </c>
      <c r="W64" s="106">
        <v>200</v>
      </c>
      <c r="X64" s="106">
        <v>200</v>
      </c>
      <c r="Y64" s="774"/>
      <c r="Z64" s="106">
        <v>225.91</v>
      </c>
      <c r="AA64" s="106">
        <v>200</v>
      </c>
      <c r="AB64" s="106">
        <v>150</v>
      </c>
      <c r="AC64" s="106">
        <v>300</v>
      </c>
      <c r="AD64" s="106">
        <v>249.22</v>
      </c>
      <c r="AE64" s="106">
        <v>200</v>
      </c>
      <c r="AF64" s="106">
        <v>250</v>
      </c>
      <c r="AG64" s="106">
        <v>200</v>
      </c>
      <c r="AH64" s="106">
        <v>233.68</v>
      </c>
      <c r="AI64" s="106"/>
      <c r="AJ64" s="774"/>
      <c r="AK64" s="339">
        <v>110572.28</v>
      </c>
      <c r="AL64" s="197"/>
    </row>
    <row r="65" spans="1:40" ht="15.75" thickBot="1" x14ac:dyDescent="0.3">
      <c r="A65" s="62">
        <v>63</v>
      </c>
      <c r="B65" s="547" t="s">
        <v>290</v>
      </c>
      <c r="C65" s="703" t="s">
        <v>290</v>
      </c>
      <c r="D65" s="703" t="s">
        <v>290</v>
      </c>
      <c r="E65" s="703" t="s">
        <v>290</v>
      </c>
      <c r="F65" s="703" t="s">
        <v>290</v>
      </c>
      <c r="G65" s="703" t="s">
        <v>290</v>
      </c>
      <c r="H65" s="703" t="s">
        <v>290</v>
      </c>
      <c r="I65" s="773" t="s">
        <v>290</v>
      </c>
      <c r="J65" s="776" t="s">
        <v>290</v>
      </c>
      <c r="K65" s="776" t="s">
        <v>290</v>
      </c>
      <c r="L65" s="776" t="s">
        <v>290</v>
      </c>
      <c r="M65" s="776" t="s">
        <v>290</v>
      </c>
      <c r="N65" s="776" t="s">
        <v>290</v>
      </c>
      <c r="O65" s="776" t="s">
        <v>290</v>
      </c>
      <c r="P65" s="776" t="s">
        <v>290</v>
      </c>
      <c r="Q65" s="773" t="s">
        <v>290</v>
      </c>
      <c r="R65" s="776" t="s">
        <v>290</v>
      </c>
      <c r="S65" s="776" t="s">
        <v>290</v>
      </c>
      <c r="T65" s="776" t="s">
        <v>290</v>
      </c>
      <c r="U65" s="776" t="s">
        <v>290</v>
      </c>
      <c r="V65" s="776" t="s">
        <v>290</v>
      </c>
      <c r="W65" s="776" t="s">
        <v>290</v>
      </c>
      <c r="X65" s="776" t="s">
        <v>290</v>
      </c>
      <c r="Y65" s="773" t="s">
        <v>290</v>
      </c>
      <c r="Z65" s="776" t="s">
        <v>290</v>
      </c>
      <c r="AA65" s="776" t="s">
        <v>290</v>
      </c>
      <c r="AB65" s="776" t="s">
        <v>290</v>
      </c>
      <c r="AC65" s="776" t="s">
        <v>290</v>
      </c>
      <c r="AD65" s="776" t="s">
        <v>290</v>
      </c>
      <c r="AE65" s="776" t="s">
        <v>290</v>
      </c>
      <c r="AF65" s="776" t="s">
        <v>290</v>
      </c>
      <c r="AG65" s="776" t="s">
        <v>290</v>
      </c>
      <c r="AH65" s="776" t="s">
        <v>290</v>
      </c>
      <c r="AI65" s="776" t="s">
        <v>290</v>
      </c>
      <c r="AJ65" s="773" t="s">
        <v>290</v>
      </c>
      <c r="AK65" s="44"/>
      <c r="AL65" s="197"/>
    </row>
    <row r="66" spans="1:40" ht="18.75" x14ac:dyDescent="0.3">
      <c r="A66" s="281" t="s">
        <v>2</v>
      </c>
      <c r="B66" s="163">
        <f t="shared" ref="B66:G66" si="0">SUM(B3:B65)</f>
        <v>2908</v>
      </c>
      <c r="C66" s="163">
        <f t="shared" si="0"/>
        <v>19023</v>
      </c>
      <c r="D66" s="163">
        <f t="shared" si="0"/>
        <v>9404</v>
      </c>
      <c r="E66" s="163">
        <f t="shared" si="0"/>
        <v>10538</v>
      </c>
      <c r="F66" s="163">
        <f t="shared" si="0"/>
        <v>9826</v>
      </c>
      <c r="G66" s="163">
        <f t="shared" si="0"/>
        <v>9740</v>
      </c>
      <c r="H66" s="163">
        <f>SUM(H3:H65)</f>
        <v>11585</v>
      </c>
      <c r="I66" s="158">
        <f>SUM(B66:H66)</f>
        <v>73024</v>
      </c>
      <c r="J66" s="163">
        <f t="shared" ref="J66:O66" si="1">SUM(J3:J65)</f>
        <v>12627</v>
      </c>
      <c r="K66" s="163">
        <f t="shared" si="1"/>
        <v>13591</v>
      </c>
      <c r="L66" s="163">
        <f t="shared" si="1"/>
        <v>11721</v>
      </c>
      <c r="M66" s="163">
        <f t="shared" si="1"/>
        <v>12145</v>
      </c>
      <c r="N66" s="163">
        <f t="shared" si="1"/>
        <v>11200</v>
      </c>
      <c r="O66" s="163">
        <f t="shared" si="1"/>
        <v>9628</v>
      </c>
      <c r="P66" s="163">
        <f>SUM(P3:P65)</f>
        <v>11886</v>
      </c>
      <c r="Q66" s="158">
        <f>SUM(J66:P66)</f>
        <v>82798</v>
      </c>
      <c r="R66" s="163">
        <f>SUM(R3:R65)</f>
        <v>10598.2</v>
      </c>
      <c r="S66" s="163">
        <f>SUM(S4:S65)</f>
        <v>12318</v>
      </c>
      <c r="T66" s="163">
        <f>SUM(T3:T65)</f>
        <v>12044.85</v>
      </c>
      <c r="U66" s="163">
        <f>SUM(U3:U65)</f>
        <v>14364</v>
      </c>
      <c r="V66" s="163">
        <f>SUM(V3:V65)</f>
        <v>13596.039999999999</v>
      </c>
      <c r="W66" s="163">
        <f>SUM(W3:W65)</f>
        <v>11120.61</v>
      </c>
      <c r="X66" s="163">
        <f>SUM(X3:X65)</f>
        <v>11240.720000000001</v>
      </c>
      <c r="Y66" s="221">
        <f>SUM(R66:X66)</f>
        <v>85282.420000000013</v>
      </c>
      <c r="Z66" s="163">
        <f t="shared" ref="Z66:AE66" si="2">SUM(Z3:Z65)</f>
        <v>13903.929999999998</v>
      </c>
      <c r="AA66" s="163">
        <f t="shared" si="2"/>
        <v>11250.679999999998</v>
      </c>
      <c r="AB66" s="163">
        <f t="shared" si="2"/>
        <v>11815.68</v>
      </c>
      <c r="AC66" s="163">
        <f t="shared" si="2"/>
        <v>12550.570000000002</v>
      </c>
      <c r="AD66" s="163">
        <f t="shared" si="2"/>
        <v>13586.759999999998</v>
      </c>
      <c r="AE66" s="163">
        <f t="shared" si="2"/>
        <v>11050.88</v>
      </c>
      <c r="AF66" s="163">
        <f>SUM(AF3:AF65)</f>
        <v>12609.619999999999</v>
      </c>
      <c r="AG66" s="163">
        <f>SUM(AG3:AG65)</f>
        <v>10168.359999999999</v>
      </c>
      <c r="AH66" s="163">
        <f>SUM(AH3:AH65)</f>
        <v>13635.800000000003</v>
      </c>
      <c r="AI66" s="163"/>
      <c r="AJ66" s="158">
        <f>SUM(Z66:AI66)</f>
        <v>110572.28</v>
      </c>
      <c r="AK66" s="879">
        <f>SUM(AK61:AK65)</f>
        <v>351676.69999999995</v>
      </c>
      <c r="AL66" s="105"/>
    </row>
    <row r="67" spans="1:40" ht="15.75" thickBot="1" x14ac:dyDescent="0.3">
      <c r="A67" s="264"/>
      <c r="B67" s="265" t="s">
        <v>394</v>
      </c>
      <c r="C67" s="265" t="s">
        <v>265</v>
      </c>
      <c r="D67" s="265" t="s">
        <v>335</v>
      </c>
      <c r="E67" s="265" t="s">
        <v>292</v>
      </c>
      <c r="F67" s="265" t="s">
        <v>260</v>
      </c>
      <c r="G67" s="265" t="s">
        <v>259</v>
      </c>
      <c r="H67" s="265" t="s">
        <v>406</v>
      </c>
      <c r="I67" s="56"/>
      <c r="J67" s="265" t="s">
        <v>292</v>
      </c>
      <c r="K67" s="265" t="s">
        <v>260</v>
      </c>
      <c r="L67" s="265" t="s">
        <v>259</v>
      </c>
      <c r="M67" s="265" t="s">
        <v>260</v>
      </c>
      <c r="N67" s="265" t="s">
        <v>264</v>
      </c>
      <c r="O67" s="265" t="s">
        <v>264</v>
      </c>
      <c r="P67" s="265" t="s">
        <v>414</v>
      </c>
      <c r="Q67" s="56"/>
      <c r="R67" s="265" t="s">
        <v>260</v>
      </c>
      <c r="S67" s="265" t="s">
        <v>259</v>
      </c>
      <c r="T67" s="265" t="s">
        <v>414</v>
      </c>
      <c r="U67" s="265" t="s">
        <v>261</v>
      </c>
      <c r="V67" s="265" t="s">
        <v>265</v>
      </c>
      <c r="W67" s="265" t="s">
        <v>265</v>
      </c>
      <c r="X67" s="265" t="s">
        <v>261</v>
      </c>
      <c r="Y67" s="56"/>
      <c r="Z67" s="265" t="s">
        <v>262</v>
      </c>
      <c r="AA67" s="265" t="s">
        <v>261</v>
      </c>
      <c r="AB67" s="265" t="s">
        <v>262</v>
      </c>
      <c r="AC67" s="265" t="s">
        <v>261</v>
      </c>
      <c r="AD67" s="265" t="s">
        <v>261</v>
      </c>
      <c r="AE67" s="265" t="s">
        <v>259</v>
      </c>
      <c r="AF67" s="265" t="s">
        <v>262</v>
      </c>
      <c r="AG67" s="265" t="s">
        <v>260</v>
      </c>
      <c r="AH67" s="265" t="s">
        <v>262</v>
      </c>
      <c r="AI67" s="265"/>
      <c r="AJ67" s="56"/>
      <c r="AK67" s="225"/>
      <c r="AL67" s="197"/>
    </row>
    <row r="68" spans="1:40" ht="24" thickBot="1" x14ac:dyDescent="0.4">
      <c r="A68" s="252" t="s">
        <v>136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3"/>
    </row>
    <row r="69" spans="1:40" ht="16.5" thickBot="1" x14ac:dyDescent="0.3">
      <c r="A69" s="321" t="s">
        <v>7</v>
      </c>
      <c r="B69" s="322">
        <v>1</v>
      </c>
      <c r="C69" s="322">
        <v>2</v>
      </c>
      <c r="D69" s="322">
        <v>3</v>
      </c>
      <c r="E69" s="322">
        <v>4</v>
      </c>
      <c r="F69" s="322">
        <v>5</v>
      </c>
      <c r="G69" s="322">
        <v>6</v>
      </c>
      <c r="H69" s="322">
        <v>7</v>
      </c>
      <c r="I69" s="323" t="s">
        <v>6</v>
      </c>
      <c r="J69" s="322">
        <v>8</v>
      </c>
      <c r="K69" s="322">
        <v>9</v>
      </c>
      <c r="L69" s="322">
        <v>10</v>
      </c>
      <c r="M69" s="322">
        <v>11</v>
      </c>
      <c r="N69" s="322">
        <v>12</v>
      </c>
      <c r="O69" s="322">
        <v>13</v>
      </c>
      <c r="P69" s="322">
        <v>14</v>
      </c>
      <c r="Q69" s="323" t="s">
        <v>6</v>
      </c>
      <c r="R69" s="322">
        <v>15</v>
      </c>
      <c r="S69" s="322">
        <v>16</v>
      </c>
      <c r="T69" s="322">
        <v>17</v>
      </c>
      <c r="U69" s="322">
        <v>18</v>
      </c>
      <c r="V69" s="322">
        <v>19</v>
      </c>
      <c r="W69" s="322">
        <v>20</v>
      </c>
      <c r="X69" s="322">
        <v>21</v>
      </c>
      <c r="Y69" s="323" t="s">
        <v>6</v>
      </c>
      <c r="Z69" s="322">
        <v>22</v>
      </c>
      <c r="AA69" s="322">
        <v>23</v>
      </c>
      <c r="AB69" s="322">
        <v>24</v>
      </c>
      <c r="AC69" s="322">
        <v>25</v>
      </c>
      <c r="AD69" s="322">
        <v>26</v>
      </c>
      <c r="AE69" s="322">
        <v>27</v>
      </c>
      <c r="AF69" s="322">
        <v>28</v>
      </c>
      <c r="AG69" s="322">
        <v>29</v>
      </c>
      <c r="AH69" s="322">
        <v>30</v>
      </c>
      <c r="AI69" s="322">
        <v>31</v>
      </c>
      <c r="AJ69" s="324" t="s">
        <v>6</v>
      </c>
      <c r="AK69" s="325" t="s">
        <v>0</v>
      </c>
      <c r="AL69" s="635"/>
    </row>
    <row r="70" spans="1:40" x14ac:dyDescent="0.25">
      <c r="A70" s="394">
        <v>23</v>
      </c>
      <c r="B70" s="530"/>
      <c r="C70" s="530"/>
      <c r="D70" s="530"/>
      <c r="E70" s="530"/>
      <c r="F70" s="578"/>
      <c r="G70" s="578"/>
      <c r="H70" s="578"/>
      <c r="I70" s="861" t="s">
        <v>290</v>
      </c>
      <c r="J70" s="530"/>
      <c r="K70" s="530"/>
      <c r="L70" s="530"/>
      <c r="M70" s="530"/>
      <c r="N70" s="530"/>
      <c r="O70" s="530"/>
      <c r="P70" s="530"/>
      <c r="Q70" s="861" t="s">
        <v>290</v>
      </c>
      <c r="R70" s="530"/>
      <c r="S70" s="530"/>
      <c r="T70" s="530"/>
      <c r="U70" s="530"/>
      <c r="V70" s="530"/>
      <c r="W70" s="530"/>
      <c r="X70" s="530"/>
      <c r="Y70" s="861" t="s">
        <v>290</v>
      </c>
      <c r="Z70" s="530"/>
      <c r="AA70" s="530"/>
      <c r="AB70" s="530"/>
      <c r="AC70" s="530"/>
      <c r="AD70" s="530"/>
      <c r="AE70" s="530"/>
      <c r="AF70" s="530"/>
      <c r="AG70" s="530"/>
      <c r="AH70" s="530"/>
      <c r="AI70" s="530"/>
      <c r="AJ70" s="861" t="s">
        <v>290</v>
      </c>
      <c r="AK70" s="14"/>
      <c r="AL70" s="635" t="s">
        <v>234</v>
      </c>
      <c r="AN70" s="819"/>
    </row>
    <row r="71" spans="1:40" x14ac:dyDescent="0.25">
      <c r="A71" s="381">
        <v>83</v>
      </c>
      <c r="B71" s="135">
        <v>120.94</v>
      </c>
      <c r="C71" s="135">
        <v>42.42</v>
      </c>
      <c r="D71" s="530"/>
      <c r="E71" s="12">
        <v>62.1</v>
      </c>
      <c r="F71" s="135">
        <v>54.96</v>
      </c>
      <c r="G71" s="530"/>
      <c r="H71" s="530"/>
      <c r="I71" s="37"/>
      <c r="J71" s="530"/>
      <c r="K71" s="530"/>
      <c r="L71" s="530"/>
      <c r="M71" s="530"/>
      <c r="N71" s="530"/>
      <c r="O71" s="537"/>
      <c r="P71" s="537"/>
      <c r="Q71" s="861" t="s">
        <v>290</v>
      </c>
      <c r="R71" s="530"/>
      <c r="S71" s="537"/>
      <c r="T71" s="537"/>
      <c r="U71" s="530"/>
      <c r="V71" s="537"/>
      <c r="W71" s="135">
        <v>119.46</v>
      </c>
      <c r="X71" s="135">
        <v>81.83</v>
      </c>
      <c r="Y71" s="37"/>
      <c r="Z71" s="12">
        <v>108.01</v>
      </c>
      <c r="AA71" s="131">
        <v>96.27</v>
      </c>
      <c r="AB71" s="12">
        <v>100.52</v>
      </c>
      <c r="AC71" s="12">
        <v>99.07</v>
      </c>
      <c r="AD71" s="12">
        <v>100.77</v>
      </c>
      <c r="AE71" s="537"/>
      <c r="AF71" s="537"/>
      <c r="AG71" s="537"/>
      <c r="AH71" s="537"/>
      <c r="AI71" s="131"/>
      <c r="AJ71" s="37"/>
      <c r="AK71" s="38"/>
      <c r="AL71" s="448" t="s">
        <v>235</v>
      </c>
      <c r="AN71" s="820"/>
    </row>
    <row r="72" spans="1:40" x14ac:dyDescent="0.25">
      <c r="A72" s="381">
        <v>90</v>
      </c>
      <c r="B72" s="530"/>
      <c r="C72" s="530"/>
      <c r="D72" s="530"/>
      <c r="E72" s="537"/>
      <c r="F72" s="778"/>
      <c r="G72" s="778"/>
      <c r="H72" s="778"/>
      <c r="I72" s="861" t="s">
        <v>290</v>
      </c>
      <c r="J72" s="537"/>
      <c r="K72" s="537"/>
      <c r="L72" s="537"/>
      <c r="M72" s="537"/>
      <c r="N72" s="537"/>
      <c r="O72" s="537"/>
      <c r="P72" s="537"/>
      <c r="Q72" s="861" t="s">
        <v>290</v>
      </c>
      <c r="R72" s="537"/>
      <c r="S72" s="537"/>
      <c r="T72" s="537"/>
      <c r="U72" s="537"/>
      <c r="V72" s="537"/>
      <c r="W72" s="530"/>
      <c r="X72" s="530"/>
      <c r="Y72" s="861" t="s">
        <v>290</v>
      </c>
      <c r="Z72" s="530"/>
      <c r="AA72" s="530"/>
      <c r="AB72" s="530"/>
      <c r="AC72" s="530"/>
      <c r="AD72" s="530"/>
      <c r="AE72" s="530"/>
      <c r="AF72" s="530"/>
      <c r="AG72" s="530"/>
      <c r="AH72" s="530"/>
      <c r="AI72" s="530"/>
      <c r="AJ72" s="861" t="s">
        <v>290</v>
      </c>
      <c r="AK72" s="38"/>
      <c r="AL72" s="448"/>
      <c r="AN72" s="820"/>
    </row>
    <row r="73" spans="1:40" x14ac:dyDescent="0.25">
      <c r="A73" s="381">
        <v>93</v>
      </c>
      <c r="B73" s="537"/>
      <c r="C73" s="537"/>
      <c r="D73" s="537"/>
      <c r="E73" s="537"/>
      <c r="F73" s="778"/>
      <c r="G73" s="778"/>
      <c r="H73" s="778"/>
      <c r="I73" s="861" t="s">
        <v>290</v>
      </c>
      <c r="J73" s="530"/>
      <c r="K73" s="530"/>
      <c r="L73" s="530"/>
      <c r="M73" s="537"/>
      <c r="N73" s="537"/>
      <c r="O73" s="537"/>
      <c r="P73" s="537"/>
      <c r="Q73" s="861" t="s">
        <v>290</v>
      </c>
      <c r="R73" s="530"/>
      <c r="S73" s="537"/>
      <c r="T73" s="533">
        <v>56.2</v>
      </c>
      <c r="U73" s="530"/>
      <c r="V73" s="530"/>
      <c r="W73" s="533">
        <v>62.9</v>
      </c>
      <c r="X73" s="530"/>
      <c r="Y73" s="37"/>
      <c r="Z73" s="537"/>
      <c r="AA73" s="530"/>
      <c r="AB73" s="530"/>
      <c r="AC73" s="530"/>
      <c r="AD73" s="530"/>
      <c r="AE73" s="537"/>
      <c r="AF73" s="530"/>
      <c r="AG73" s="537"/>
      <c r="AH73" s="537"/>
      <c r="AI73" s="537"/>
      <c r="AJ73" s="37"/>
      <c r="AK73" s="38"/>
      <c r="AL73" s="449" t="s">
        <v>236</v>
      </c>
      <c r="AN73" s="870"/>
    </row>
    <row r="74" spans="1:40" x14ac:dyDescent="0.25">
      <c r="A74" s="381">
        <v>95</v>
      </c>
      <c r="B74" s="131">
        <v>98.04</v>
      </c>
      <c r="C74" s="135">
        <v>13.07</v>
      </c>
      <c r="D74" s="135">
        <v>29.85</v>
      </c>
      <c r="E74" s="135">
        <v>91.87</v>
      </c>
      <c r="F74" s="135">
        <v>71.64</v>
      </c>
      <c r="G74" s="530"/>
      <c r="H74" s="532">
        <v>155.83000000000001</v>
      </c>
      <c r="I74" s="37"/>
      <c r="J74" s="135">
        <v>100.86</v>
      </c>
      <c r="K74" s="135">
        <v>68.19</v>
      </c>
      <c r="L74" s="131">
        <v>64.61</v>
      </c>
      <c r="M74" s="530"/>
      <c r="N74" s="530"/>
      <c r="O74" s="530"/>
      <c r="P74" s="155">
        <v>47.29</v>
      </c>
      <c r="Q74" s="37"/>
      <c r="R74" s="131">
        <v>94.49</v>
      </c>
      <c r="S74" s="131">
        <v>94.99</v>
      </c>
      <c r="T74" s="155">
        <v>107.83</v>
      </c>
      <c r="U74" s="12">
        <v>103.35</v>
      </c>
      <c r="V74" s="131">
        <v>119.03</v>
      </c>
      <c r="W74" s="135">
        <v>100.33</v>
      </c>
      <c r="X74" s="532">
        <v>128.28</v>
      </c>
      <c r="Y74" s="37"/>
      <c r="Z74" s="131">
        <v>90.79</v>
      </c>
      <c r="AA74" s="131">
        <v>91.57</v>
      </c>
      <c r="AB74" s="12">
        <v>119.76</v>
      </c>
      <c r="AC74" s="12">
        <v>112.16</v>
      </c>
      <c r="AD74" s="12">
        <v>79.14</v>
      </c>
      <c r="AE74" s="131">
        <v>103.42</v>
      </c>
      <c r="AF74" s="537"/>
      <c r="AG74" s="548">
        <v>163.18</v>
      </c>
      <c r="AH74" s="131">
        <v>90.19</v>
      </c>
      <c r="AI74" s="131"/>
      <c r="AJ74" s="37"/>
      <c r="AK74" s="38"/>
      <c r="AL74" s="448" t="s">
        <v>237</v>
      </c>
      <c r="AN74" s="30"/>
    </row>
    <row r="75" spans="1:40" x14ac:dyDescent="0.25">
      <c r="A75" s="381">
        <v>98</v>
      </c>
      <c r="B75" s="537"/>
      <c r="C75" s="537"/>
      <c r="D75" s="537"/>
      <c r="E75" s="537"/>
      <c r="F75" s="778"/>
      <c r="G75" s="778"/>
      <c r="H75" s="778"/>
      <c r="I75" s="861" t="s">
        <v>290</v>
      </c>
      <c r="J75" s="537"/>
      <c r="K75" s="537"/>
      <c r="L75" s="537"/>
      <c r="M75" s="537"/>
      <c r="N75" s="537"/>
      <c r="O75" s="537"/>
      <c r="P75" s="537"/>
      <c r="Q75" s="861" t="s">
        <v>290</v>
      </c>
      <c r="R75" s="537"/>
      <c r="S75" s="537"/>
      <c r="T75" s="537"/>
      <c r="U75" s="537"/>
      <c r="V75" s="537"/>
      <c r="W75" s="530"/>
      <c r="X75" s="530"/>
      <c r="Y75" s="861" t="s">
        <v>290</v>
      </c>
      <c r="Z75" s="530"/>
      <c r="AA75" s="530"/>
      <c r="AB75" s="530"/>
      <c r="AC75" s="530"/>
      <c r="AD75" s="530"/>
      <c r="AE75" s="530"/>
      <c r="AF75" s="530"/>
      <c r="AG75" s="530"/>
      <c r="AH75" s="530"/>
      <c r="AI75" s="530"/>
      <c r="AJ75" s="861" t="s">
        <v>290</v>
      </c>
      <c r="AK75" s="38"/>
      <c r="AL75" s="448" t="s">
        <v>238</v>
      </c>
      <c r="AN75" s="820"/>
    </row>
    <row r="76" spans="1:40" x14ac:dyDescent="0.25">
      <c r="A76" s="381">
        <v>104</v>
      </c>
      <c r="B76" s="131">
        <v>85.82</v>
      </c>
      <c r="C76" s="530"/>
      <c r="D76" s="135">
        <v>24.08</v>
      </c>
      <c r="E76" s="135">
        <v>108.7</v>
      </c>
      <c r="F76" s="135">
        <v>97.94</v>
      </c>
      <c r="G76" s="135">
        <v>106.26</v>
      </c>
      <c r="H76" s="530"/>
      <c r="I76" s="37"/>
      <c r="J76" s="135">
        <v>98.29</v>
      </c>
      <c r="K76" s="530"/>
      <c r="L76" s="530"/>
      <c r="M76" s="530"/>
      <c r="N76" s="537"/>
      <c r="O76" s="530"/>
      <c r="P76" s="537"/>
      <c r="Q76" s="37"/>
      <c r="R76" s="530"/>
      <c r="S76" s="537"/>
      <c r="T76" s="537"/>
      <c r="U76" s="530"/>
      <c r="V76" s="537"/>
      <c r="W76" s="530"/>
      <c r="X76" s="530"/>
      <c r="Y76" s="861" t="s">
        <v>290</v>
      </c>
      <c r="Z76" s="530"/>
      <c r="AA76" s="537"/>
      <c r="AB76" s="530"/>
      <c r="AC76" s="530"/>
      <c r="AD76" s="530"/>
      <c r="AE76" s="530"/>
      <c r="AF76" s="537"/>
      <c r="AG76" s="537"/>
      <c r="AH76" s="537"/>
      <c r="AI76" s="537"/>
      <c r="AJ76" s="37"/>
      <c r="AK76" s="38"/>
      <c r="AL76" s="448"/>
      <c r="AN76" s="820"/>
    </row>
    <row r="77" spans="1:40" x14ac:dyDescent="0.25">
      <c r="A77" s="393">
        <v>118</v>
      </c>
      <c r="B77" s="537"/>
      <c r="C77" s="537"/>
      <c r="D77" s="537"/>
      <c r="E77" s="537"/>
      <c r="F77" s="778"/>
      <c r="G77" s="778"/>
      <c r="H77" s="778"/>
      <c r="I77" s="861" t="s">
        <v>290</v>
      </c>
      <c r="J77" s="537"/>
      <c r="K77" s="537"/>
      <c r="L77" s="537"/>
      <c r="M77" s="537"/>
      <c r="N77" s="537"/>
      <c r="O77" s="537"/>
      <c r="P77" s="537"/>
      <c r="Q77" s="861" t="s">
        <v>290</v>
      </c>
      <c r="R77" s="537"/>
      <c r="S77" s="537"/>
      <c r="T77" s="537"/>
      <c r="U77" s="537"/>
      <c r="V77" s="537"/>
      <c r="W77" s="537"/>
      <c r="X77" s="537"/>
      <c r="Y77" s="861" t="s">
        <v>290</v>
      </c>
      <c r="Z77" s="530"/>
      <c r="AA77" s="530"/>
      <c r="AB77" s="530"/>
      <c r="AC77" s="530"/>
      <c r="AD77" s="530"/>
      <c r="AE77" s="530"/>
      <c r="AF77" s="530"/>
      <c r="AG77" s="537"/>
      <c r="AH77" s="537"/>
      <c r="AI77" s="537"/>
      <c r="AJ77" s="861" t="s">
        <v>290</v>
      </c>
      <c r="AK77" s="38"/>
      <c r="AL77" s="112" t="s">
        <v>239</v>
      </c>
      <c r="AN77" s="820"/>
    </row>
    <row r="78" spans="1:40" x14ac:dyDescent="0.25">
      <c r="A78" s="382">
        <v>128</v>
      </c>
      <c r="B78" s="548">
        <v>122.49</v>
      </c>
      <c r="C78" s="530"/>
      <c r="D78" s="135">
        <v>120.22</v>
      </c>
      <c r="E78" s="135">
        <v>86.7</v>
      </c>
      <c r="F78" s="135">
        <v>71.099999999999994</v>
      </c>
      <c r="G78" s="135">
        <v>77.22</v>
      </c>
      <c r="H78" s="155">
        <v>92.04</v>
      </c>
      <c r="I78" s="37"/>
      <c r="J78" s="155">
        <v>91.82</v>
      </c>
      <c r="K78" s="135">
        <v>56.01</v>
      </c>
      <c r="L78" s="135">
        <v>61.54</v>
      </c>
      <c r="M78" s="135">
        <v>90.42</v>
      </c>
      <c r="N78" s="135">
        <v>91.39</v>
      </c>
      <c r="O78" s="155">
        <v>99.36</v>
      </c>
      <c r="P78" s="155">
        <v>71.87</v>
      </c>
      <c r="Q78" s="37"/>
      <c r="R78" s="131">
        <v>92.51</v>
      </c>
      <c r="S78" s="131">
        <v>72.28</v>
      </c>
      <c r="T78" s="155">
        <v>76.489999999999995</v>
      </c>
      <c r="U78" s="12">
        <v>105.51</v>
      </c>
      <c r="V78" s="131">
        <v>102.47</v>
      </c>
      <c r="W78" s="532">
        <v>123.58</v>
      </c>
      <c r="X78" s="135">
        <v>94.23</v>
      </c>
      <c r="Y78" s="37"/>
      <c r="Z78" s="12">
        <v>112.5</v>
      </c>
      <c r="AA78" s="131">
        <v>77.27</v>
      </c>
      <c r="AB78" s="12">
        <v>86.99</v>
      </c>
      <c r="AC78" s="12">
        <v>89.09</v>
      </c>
      <c r="AD78" s="12">
        <v>116.06</v>
      </c>
      <c r="AE78" s="131">
        <v>76.23</v>
      </c>
      <c r="AF78" s="131">
        <v>88.62</v>
      </c>
      <c r="AG78" s="131">
        <v>91.13</v>
      </c>
      <c r="AH78" s="131">
        <v>92.88</v>
      </c>
      <c r="AI78" s="131"/>
      <c r="AJ78" s="37"/>
      <c r="AK78" s="38"/>
      <c r="AL78" s="450" t="s">
        <v>240</v>
      </c>
      <c r="AN78" s="30"/>
    </row>
    <row r="79" spans="1:40" x14ac:dyDescent="0.25">
      <c r="A79" s="382">
        <v>131</v>
      </c>
      <c r="B79" s="135">
        <v>96.3</v>
      </c>
      <c r="C79" s="135">
        <v>35.630000000000003</v>
      </c>
      <c r="D79" s="135">
        <v>71.569999999999993</v>
      </c>
      <c r="E79" s="135">
        <v>104.36</v>
      </c>
      <c r="F79" s="155">
        <v>66.59</v>
      </c>
      <c r="G79" s="135">
        <v>81.38</v>
      </c>
      <c r="H79" s="155">
        <v>79.989999999999995</v>
      </c>
      <c r="I79" s="37"/>
      <c r="J79" s="530"/>
      <c r="K79" s="537"/>
      <c r="L79" s="444">
        <v>120.98</v>
      </c>
      <c r="M79" s="135">
        <v>66.86</v>
      </c>
      <c r="N79" s="135">
        <v>94.41</v>
      </c>
      <c r="O79" s="135">
        <v>94.75</v>
      </c>
      <c r="P79" s="155">
        <v>72.53</v>
      </c>
      <c r="Q79" s="37"/>
      <c r="R79" s="131">
        <v>92.08</v>
      </c>
      <c r="S79" s="131">
        <v>72.92</v>
      </c>
      <c r="T79" s="155">
        <v>93.02</v>
      </c>
      <c r="U79" s="12">
        <v>100.62</v>
      </c>
      <c r="V79" s="131">
        <v>121.57</v>
      </c>
      <c r="W79" s="135">
        <v>89.21</v>
      </c>
      <c r="X79" s="135">
        <v>72.13</v>
      </c>
      <c r="Y79" s="37"/>
      <c r="Z79" s="131">
        <v>90.98</v>
      </c>
      <c r="AA79" s="131">
        <v>96.53</v>
      </c>
      <c r="AB79" s="12">
        <v>88.25</v>
      </c>
      <c r="AC79" s="530"/>
      <c r="AD79" s="530"/>
      <c r="AE79" s="537"/>
      <c r="AF79" s="537"/>
      <c r="AG79" s="537"/>
      <c r="AH79" s="537"/>
      <c r="AI79" s="131"/>
      <c r="AJ79" s="37"/>
      <c r="AK79" s="38"/>
      <c r="AL79" s="450" t="s">
        <v>241</v>
      </c>
      <c r="AN79" s="30"/>
    </row>
    <row r="80" spans="1:40" x14ac:dyDescent="0.25">
      <c r="A80" s="382">
        <v>132</v>
      </c>
      <c r="B80" s="12">
        <v>96.19</v>
      </c>
      <c r="C80" s="530"/>
      <c r="D80" s="135">
        <v>105.34</v>
      </c>
      <c r="E80" s="155">
        <v>96.98</v>
      </c>
      <c r="F80" s="135">
        <v>69.64</v>
      </c>
      <c r="G80" s="135">
        <v>104.64</v>
      </c>
      <c r="H80" s="135">
        <v>77.22</v>
      </c>
      <c r="I80" s="37"/>
      <c r="J80" s="155">
        <v>75.38</v>
      </c>
      <c r="K80" s="135">
        <v>91.26</v>
      </c>
      <c r="L80" s="135">
        <v>91.78</v>
      </c>
      <c r="M80" s="135">
        <v>82.3</v>
      </c>
      <c r="N80" s="135">
        <v>85.88</v>
      </c>
      <c r="O80" s="135">
        <v>78.12</v>
      </c>
      <c r="P80" s="155">
        <v>92.41</v>
      </c>
      <c r="Q80" s="37"/>
      <c r="R80" s="131">
        <v>85.67</v>
      </c>
      <c r="S80" s="131">
        <v>65.540000000000006</v>
      </c>
      <c r="T80" s="135">
        <v>80.5</v>
      </c>
      <c r="U80" s="12">
        <v>107.13</v>
      </c>
      <c r="V80" s="12">
        <v>70.94</v>
      </c>
      <c r="W80" s="135">
        <v>69.84</v>
      </c>
      <c r="X80" s="135">
        <v>81.849999999999994</v>
      </c>
      <c r="Y80" s="37"/>
      <c r="Z80" s="131">
        <v>91.49</v>
      </c>
      <c r="AA80" s="12">
        <v>85.41</v>
      </c>
      <c r="AB80" s="12">
        <v>103.6</v>
      </c>
      <c r="AC80" s="12">
        <v>94.89</v>
      </c>
      <c r="AD80" s="135">
        <v>90.81</v>
      </c>
      <c r="AE80" s="135">
        <v>92</v>
      </c>
      <c r="AF80" s="537"/>
      <c r="AG80" s="131">
        <v>72.31</v>
      </c>
      <c r="AH80" s="548">
        <v>189.25</v>
      </c>
      <c r="AI80" s="131"/>
      <c r="AJ80" s="37"/>
      <c r="AK80" s="38"/>
      <c r="AL80" s="450"/>
      <c r="AN80" s="31"/>
    </row>
    <row r="81" spans="1:40" x14ac:dyDescent="0.25">
      <c r="A81" s="382">
        <v>133</v>
      </c>
      <c r="B81" s="131">
        <v>84.96</v>
      </c>
      <c r="C81" s="131">
        <v>66.08</v>
      </c>
      <c r="D81" s="135">
        <v>45.66</v>
      </c>
      <c r="E81" s="135">
        <v>75.84</v>
      </c>
      <c r="F81" s="537"/>
      <c r="G81" s="155">
        <v>109.81</v>
      </c>
      <c r="H81" s="135">
        <v>60.27</v>
      </c>
      <c r="I81" s="37"/>
      <c r="J81" s="135">
        <v>76.59</v>
      </c>
      <c r="K81" s="131">
        <v>79.44</v>
      </c>
      <c r="L81" s="12">
        <v>73.88</v>
      </c>
      <c r="M81" s="135">
        <v>95.7</v>
      </c>
      <c r="N81" s="155">
        <v>61.73</v>
      </c>
      <c r="O81" s="155">
        <v>83.54</v>
      </c>
      <c r="P81" s="135">
        <v>90.64</v>
      </c>
      <c r="Q81" s="37"/>
      <c r="R81" s="131">
        <v>69.16</v>
      </c>
      <c r="S81" s="131">
        <v>79.11</v>
      </c>
      <c r="T81" s="155">
        <v>81.27</v>
      </c>
      <c r="U81" s="12">
        <v>88.77</v>
      </c>
      <c r="V81" s="12">
        <v>72.900000000000006</v>
      </c>
      <c r="W81" s="135">
        <v>77.52</v>
      </c>
      <c r="X81" s="135">
        <v>70.92</v>
      </c>
      <c r="Y81" s="37"/>
      <c r="Z81" s="131">
        <v>112.02</v>
      </c>
      <c r="AA81" s="12">
        <v>70.900000000000006</v>
      </c>
      <c r="AB81" s="12">
        <v>73.78</v>
      </c>
      <c r="AC81" s="12">
        <v>117.05</v>
      </c>
      <c r="AD81" s="12">
        <v>84.38</v>
      </c>
      <c r="AE81" s="135">
        <v>57.39</v>
      </c>
      <c r="AF81" s="155">
        <v>60.16</v>
      </c>
      <c r="AG81" s="131">
        <v>75.290000000000006</v>
      </c>
      <c r="AH81" s="12">
        <v>102.7</v>
      </c>
      <c r="AI81" s="131"/>
      <c r="AJ81" s="37"/>
      <c r="AK81" s="38"/>
      <c r="AL81" s="689" t="s">
        <v>242</v>
      </c>
      <c r="AN81" s="30"/>
    </row>
    <row r="82" spans="1:40" x14ac:dyDescent="0.25">
      <c r="A82" s="382">
        <v>134</v>
      </c>
      <c r="B82" s="548">
        <v>129.52000000000001</v>
      </c>
      <c r="C82" s="131">
        <v>63.87</v>
      </c>
      <c r="D82" s="135">
        <v>70</v>
      </c>
      <c r="E82" s="135">
        <v>99.02</v>
      </c>
      <c r="F82" s="135">
        <v>71.8</v>
      </c>
      <c r="G82" s="135">
        <v>117.94</v>
      </c>
      <c r="H82" s="135">
        <v>93.1</v>
      </c>
      <c r="I82" s="37"/>
      <c r="J82" s="155">
        <v>91.06</v>
      </c>
      <c r="K82" s="131">
        <v>97.61</v>
      </c>
      <c r="L82" s="135">
        <v>93.9</v>
      </c>
      <c r="M82" s="135">
        <v>102.34</v>
      </c>
      <c r="N82" s="131">
        <v>87.24</v>
      </c>
      <c r="O82" s="548">
        <v>121.89</v>
      </c>
      <c r="P82" s="135">
        <v>96.9</v>
      </c>
      <c r="Q82" s="37"/>
      <c r="R82" s="12">
        <v>100</v>
      </c>
      <c r="S82" s="131">
        <v>76.47</v>
      </c>
      <c r="T82" s="135">
        <v>115</v>
      </c>
      <c r="U82" s="12">
        <v>105.72</v>
      </c>
      <c r="V82" s="131">
        <v>77.739999999999995</v>
      </c>
      <c r="W82" s="135">
        <v>115.25</v>
      </c>
      <c r="X82" s="530"/>
      <c r="Y82" s="37"/>
      <c r="Z82" s="548">
        <v>167.26</v>
      </c>
      <c r="AA82" s="131">
        <v>84.07</v>
      </c>
      <c r="AB82" s="532">
        <v>137.53</v>
      </c>
      <c r="AC82" s="12">
        <v>111.11</v>
      </c>
      <c r="AD82" s="12">
        <v>101.46</v>
      </c>
      <c r="AE82" s="131">
        <v>85.84</v>
      </c>
      <c r="AF82" s="131">
        <v>98.55</v>
      </c>
      <c r="AG82" s="131">
        <v>105.49</v>
      </c>
      <c r="AH82" s="131">
        <v>105.19</v>
      </c>
      <c r="AI82" s="131"/>
      <c r="AJ82" s="37"/>
      <c r="AK82" s="38"/>
      <c r="AL82" s="452" t="s">
        <v>243</v>
      </c>
      <c r="AN82" s="31"/>
    </row>
    <row r="83" spans="1:40" x14ac:dyDescent="0.25">
      <c r="A83" s="382">
        <v>135</v>
      </c>
      <c r="B83" s="131">
        <v>100.39</v>
      </c>
      <c r="C83" s="155">
        <v>71.23</v>
      </c>
      <c r="D83" s="135">
        <v>72.05</v>
      </c>
      <c r="E83" s="135">
        <v>92.88</v>
      </c>
      <c r="F83" s="155">
        <v>71.94</v>
      </c>
      <c r="G83" s="135">
        <v>108.83</v>
      </c>
      <c r="H83" s="135">
        <v>75.09</v>
      </c>
      <c r="I83" s="37"/>
      <c r="J83" s="135">
        <v>88.42</v>
      </c>
      <c r="K83" s="135">
        <v>107.6</v>
      </c>
      <c r="L83" s="135">
        <v>74.7</v>
      </c>
      <c r="M83" s="135">
        <v>95.35</v>
      </c>
      <c r="N83" s="135">
        <v>97.38</v>
      </c>
      <c r="O83" s="135">
        <v>97.99</v>
      </c>
      <c r="P83" s="135">
        <v>87.91</v>
      </c>
      <c r="Q83" s="37"/>
      <c r="R83" s="131">
        <v>95.93</v>
      </c>
      <c r="S83" s="131">
        <v>83.23</v>
      </c>
      <c r="T83" s="155">
        <v>87.17</v>
      </c>
      <c r="U83" s="12">
        <v>93.06</v>
      </c>
      <c r="V83" s="131">
        <v>82.15</v>
      </c>
      <c r="W83" s="135">
        <v>101.68</v>
      </c>
      <c r="X83" s="135">
        <v>100.32</v>
      </c>
      <c r="Y83" s="37"/>
      <c r="Z83" s="131">
        <v>89.23</v>
      </c>
      <c r="AA83" s="131">
        <v>97.88</v>
      </c>
      <c r="AB83" s="12">
        <v>94.35</v>
      </c>
      <c r="AC83" s="530"/>
      <c r="AD83" s="532">
        <v>168.09</v>
      </c>
      <c r="AE83" s="445">
        <v>93.52</v>
      </c>
      <c r="AF83" s="131">
        <v>88.04</v>
      </c>
      <c r="AG83" s="131">
        <v>96.98</v>
      </c>
      <c r="AH83" s="131">
        <v>106.2</v>
      </c>
      <c r="AI83" s="131"/>
      <c r="AJ83" s="37"/>
      <c r="AK83" s="38"/>
      <c r="AL83" s="452" t="s">
        <v>244</v>
      </c>
      <c r="AN83" s="30"/>
    </row>
    <row r="84" spans="1:40" x14ac:dyDescent="0.25">
      <c r="A84" s="382">
        <v>136</v>
      </c>
      <c r="B84" s="131">
        <v>78.55</v>
      </c>
      <c r="C84" s="135">
        <v>78.459999999999994</v>
      </c>
      <c r="D84" s="155">
        <v>57.19</v>
      </c>
      <c r="E84" s="135">
        <v>86</v>
      </c>
      <c r="F84" s="155">
        <v>70.42</v>
      </c>
      <c r="G84" s="135">
        <v>74.72</v>
      </c>
      <c r="H84" s="135">
        <v>65.28</v>
      </c>
      <c r="I84" s="37"/>
      <c r="J84" s="135">
        <v>82.46</v>
      </c>
      <c r="K84" s="135">
        <v>79.12</v>
      </c>
      <c r="L84" s="131">
        <v>58.52</v>
      </c>
      <c r="M84" s="155">
        <v>75.010000000000005</v>
      </c>
      <c r="N84" s="131">
        <v>75.95</v>
      </c>
      <c r="O84" s="131">
        <v>92.24</v>
      </c>
      <c r="P84" s="155">
        <v>70.63</v>
      </c>
      <c r="Q84" s="37"/>
      <c r="R84" s="131">
        <v>84.16</v>
      </c>
      <c r="S84" s="12">
        <v>61.6</v>
      </c>
      <c r="T84" s="135">
        <v>67.75</v>
      </c>
      <c r="U84" s="12">
        <v>85.91</v>
      </c>
      <c r="V84" s="131">
        <v>78.930000000000007</v>
      </c>
      <c r="W84" s="135">
        <v>83.96</v>
      </c>
      <c r="X84" s="135">
        <v>88.12</v>
      </c>
      <c r="Y84" s="37"/>
      <c r="Z84" s="12">
        <v>82.11</v>
      </c>
      <c r="AA84" s="135">
        <v>64.37</v>
      </c>
      <c r="AB84" s="12">
        <v>74.98</v>
      </c>
      <c r="AC84" s="12">
        <v>85.9</v>
      </c>
      <c r="AD84" s="12">
        <v>81.94</v>
      </c>
      <c r="AE84" s="131">
        <v>82.49</v>
      </c>
      <c r="AF84" s="445">
        <v>75.37</v>
      </c>
      <c r="AG84" s="131">
        <v>69.19</v>
      </c>
      <c r="AH84" s="131">
        <v>85.18</v>
      </c>
      <c r="AI84" s="131"/>
      <c r="AJ84" s="37"/>
      <c r="AK84" s="38"/>
      <c r="AL84" s="452" t="s">
        <v>245</v>
      </c>
      <c r="AN84" s="31"/>
    </row>
    <row r="85" spans="1:40" x14ac:dyDescent="0.25">
      <c r="A85" s="382">
        <v>137</v>
      </c>
      <c r="B85" s="131">
        <v>121.51</v>
      </c>
      <c r="C85" s="155">
        <v>72.63</v>
      </c>
      <c r="D85" s="155">
        <v>49.82</v>
      </c>
      <c r="E85" s="135">
        <v>88.87</v>
      </c>
      <c r="F85" s="530"/>
      <c r="G85" s="530"/>
      <c r="H85" s="532">
        <v>128.96</v>
      </c>
      <c r="I85" s="37"/>
      <c r="J85" s="135">
        <v>78.45</v>
      </c>
      <c r="K85" s="131">
        <v>85.97</v>
      </c>
      <c r="L85" s="135">
        <v>79.989999999999995</v>
      </c>
      <c r="M85" s="135">
        <v>79.459999999999994</v>
      </c>
      <c r="N85" s="135">
        <v>77.47</v>
      </c>
      <c r="O85" s="131">
        <v>93.88</v>
      </c>
      <c r="P85" s="155">
        <v>83.63</v>
      </c>
      <c r="Q85" s="37"/>
      <c r="R85" s="155">
        <v>97.06</v>
      </c>
      <c r="S85" s="12">
        <v>88.43</v>
      </c>
      <c r="T85" s="135">
        <v>95.02</v>
      </c>
      <c r="U85" s="12">
        <v>91.39</v>
      </c>
      <c r="V85" s="131">
        <v>102.82</v>
      </c>
      <c r="W85" s="135">
        <v>93.42</v>
      </c>
      <c r="X85" s="131">
        <v>102.83</v>
      </c>
      <c r="Y85" s="37"/>
      <c r="Z85" s="131">
        <v>77.02</v>
      </c>
      <c r="AA85" s="12">
        <v>92.1</v>
      </c>
      <c r="AB85" s="12">
        <v>103.52</v>
      </c>
      <c r="AC85" s="12">
        <v>101.95</v>
      </c>
      <c r="AD85" s="12">
        <v>85.88</v>
      </c>
      <c r="AE85" s="131">
        <v>74.53</v>
      </c>
      <c r="AF85" s="12">
        <v>81.92</v>
      </c>
      <c r="AG85" s="131">
        <v>74.87</v>
      </c>
      <c r="AH85" s="131">
        <v>98.58</v>
      </c>
      <c r="AI85" s="131"/>
      <c r="AJ85" s="37"/>
      <c r="AK85" s="38"/>
      <c r="AL85" s="452" t="s">
        <v>246</v>
      </c>
      <c r="AN85" s="31"/>
    </row>
    <row r="86" spans="1:40" x14ac:dyDescent="0.25">
      <c r="A86" s="382">
        <v>138</v>
      </c>
      <c r="B86" s="131">
        <v>86.08</v>
      </c>
      <c r="C86" s="135">
        <v>62.29</v>
      </c>
      <c r="D86" s="135">
        <v>69</v>
      </c>
      <c r="E86" s="155">
        <v>72.040000000000006</v>
      </c>
      <c r="F86" s="135">
        <v>79</v>
      </c>
      <c r="G86" s="135">
        <v>79.459999999999994</v>
      </c>
      <c r="H86" s="135">
        <v>81.97</v>
      </c>
      <c r="I86" s="37"/>
      <c r="J86" s="135">
        <v>79.5</v>
      </c>
      <c r="K86" s="135">
        <v>85.92</v>
      </c>
      <c r="L86" s="135">
        <v>70</v>
      </c>
      <c r="M86" s="135">
        <v>85.1</v>
      </c>
      <c r="N86" s="135">
        <v>74.930000000000007</v>
      </c>
      <c r="O86" s="135">
        <v>93.6</v>
      </c>
      <c r="P86" s="155">
        <v>40.520000000000003</v>
      </c>
      <c r="Q86" s="37"/>
      <c r="R86" s="548">
        <v>150.97</v>
      </c>
      <c r="S86" s="131">
        <v>73.489999999999995</v>
      </c>
      <c r="T86" s="155">
        <v>93.08</v>
      </c>
      <c r="U86" s="131">
        <v>78.680000000000007</v>
      </c>
      <c r="V86" s="131">
        <v>107.48</v>
      </c>
      <c r="W86" s="131">
        <v>83.71</v>
      </c>
      <c r="X86" s="131">
        <v>95.19</v>
      </c>
      <c r="Y86" s="37"/>
      <c r="Z86" s="135">
        <v>93.81</v>
      </c>
      <c r="AA86" s="135">
        <v>76.78</v>
      </c>
      <c r="AB86" s="135">
        <v>102.62</v>
      </c>
      <c r="AC86" s="135">
        <v>99.41</v>
      </c>
      <c r="AD86" s="135">
        <v>93.69</v>
      </c>
      <c r="AE86" s="135">
        <v>67.37</v>
      </c>
      <c r="AF86" s="135">
        <v>55.74</v>
      </c>
      <c r="AG86" s="135">
        <v>60.83</v>
      </c>
      <c r="AH86" s="135">
        <v>88.68</v>
      </c>
      <c r="AI86" s="135"/>
      <c r="AJ86" s="37"/>
      <c r="AK86" s="38"/>
      <c r="AL86" s="452" t="s">
        <v>247</v>
      </c>
      <c r="AN86" s="30"/>
    </row>
    <row r="87" spans="1:40" x14ac:dyDescent="0.25">
      <c r="A87" s="382">
        <v>139</v>
      </c>
      <c r="B87" s="537"/>
      <c r="C87" s="530"/>
      <c r="D87" s="570">
        <v>58.06</v>
      </c>
      <c r="E87" s="570">
        <v>74.75</v>
      </c>
      <c r="F87" s="570">
        <v>79.02</v>
      </c>
      <c r="G87" s="533">
        <v>92.73</v>
      </c>
      <c r="H87" s="570">
        <v>72.78</v>
      </c>
      <c r="I87" s="37"/>
      <c r="J87" s="135">
        <v>107.72</v>
      </c>
      <c r="K87" s="131">
        <v>65.92</v>
      </c>
      <c r="L87" s="135">
        <v>96.53</v>
      </c>
      <c r="M87" s="135">
        <v>81.209999999999994</v>
      </c>
      <c r="N87" s="135">
        <v>69.84</v>
      </c>
      <c r="O87" s="131">
        <v>114.65</v>
      </c>
      <c r="P87" s="155">
        <v>64.11</v>
      </c>
      <c r="Q87" s="37"/>
      <c r="R87" s="131">
        <v>95.92</v>
      </c>
      <c r="S87" s="131">
        <v>79.540000000000006</v>
      </c>
      <c r="T87" s="155">
        <v>96.83</v>
      </c>
      <c r="U87" s="12">
        <v>70.22</v>
      </c>
      <c r="V87" s="131">
        <v>85.13</v>
      </c>
      <c r="W87" s="135">
        <v>69.42</v>
      </c>
      <c r="X87" s="135">
        <v>106.82</v>
      </c>
      <c r="Y87" s="37"/>
      <c r="Z87" s="131">
        <v>81.430000000000007</v>
      </c>
      <c r="AA87" s="131">
        <v>74.64</v>
      </c>
      <c r="AB87" s="12">
        <v>99.3</v>
      </c>
      <c r="AC87" s="12">
        <v>84.09</v>
      </c>
      <c r="AD87" s="12">
        <v>104.12</v>
      </c>
      <c r="AE87" s="131">
        <v>55.43</v>
      </c>
      <c r="AF87" s="12">
        <v>71.150000000000006</v>
      </c>
      <c r="AG87" s="131">
        <v>83.27</v>
      </c>
      <c r="AH87" s="131">
        <v>82.41</v>
      </c>
      <c r="AI87" s="131"/>
      <c r="AJ87" s="37"/>
      <c r="AK87" s="38"/>
      <c r="AL87" s="450"/>
      <c r="AN87" s="30"/>
    </row>
    <row r="88" spans="1:40" x14ac:dyDescent="0.25">
      <c r="A88" s="382">
        <v>140</v>
      </c>
      <c r="B88" s="155">
        <v>74.53</v>
      </c>
      <c r="C88" s="131">
        <v>76.61</v>
      </c>
      <c r="D88" s="135">
        <v>55.01</v>
      </c>
      <c r="E88" s="155">
        <v>80.819999999999993</v>
      </c>
      <c r="F88" s="135">
        <v>69.11</v>
      </c>
      <c r="G88" s="135">
        <v>58.34</v>
      </c>
      <c r="H88" s="155">
        <v>77.12</v>
      </c>
      <c r="I88" s="37"/>
      <c r="J88" s="155">
        <v>96.36</v>
      </c>
      <c r="K88" s="131">
        <v>68.77</v>
      </c>
      <c r="L88" s="131">
        <v>75.53</v>
      </c>
      <c r="M88" s="155">
        <v>85.93</v>
      </c>
      <c r="N88" s="131">
        <v>83.91</v>
      </c>
      <c r="O88" s="12">
        <v>88.8</v>
      </c>
      <c r="P88" s="155">
        <v>82.75</v>
      </c>
      <c r="Q88" s="37"/>
      <c r="R88" s="131">
        <v>61.39</v>
      </c>
      <c r="S88" s="131">
        <v>81.36</v>
      </c>
      <c r="T88" s="135">
        <v>93</v>
      </c>
      <c r="U88" s="12">
        <v>103.04</v>
      </c>
      <c r="V88" s="12">
        <v>66.489999999999995</v>
      </c>
      <c r="W88" s="135">
        <v>80.989999999999995</v>
      </c>
      <c r="X88" s="135">
        <v>96.36</v>
      </c>
      <c r="Y88" s="37"/>
      <c r="Z88" s="131">
        <v>98.19</v>
      </c>
      <c r="AA88" s="131">
        <v>100.14</v>
      </c>
      <c r="AB88" s="12">
        <v>67.489999999999995</v>
      </c>
      <c r="AC88" s="12">
        <v>82.85</v>
      </c>
      <c r="AD88" s="12">
        <v>89.76</v>
      </c>
      <c r="AE88" s="131">
        <v>67.25</v>
      </c>
      <c r="AF88" s="12">
        <v>86.56</v>
      </c>
      <c r="AG88" s="131">
        <v>65.42</v>
      </c>
      <c r="AH88" s="537"/>
      <c r="AI88" s="131"/>
      <c r="AJ88" s="37"/>
      <c r="AK88" s="38"/>
      <c r="AL88" s="452" t="s">
        <v>248</v>
      </c>
      <c r="AN88" s="31"/>
    </row>
    <row r="89" spans="1:40" x14ac:dyDescent="0.25">
      <c r="A89" s="382">
        <v>141</v>
      </c>
      <c r="B89" s="155">
        <v>88.57</v>
      </c>
      <c r="C89" s="155">
        <v>55.97</v>
      </c>
      <c r="D89" s="155">
        <v>66.22</v>
      </c>
      <c r="E89" s="135">
        <v>109.4</v>
      </c>
      <c r="F89" s="135">
        <v>55.06</v>
      </c>
      <c r="G89" s="135">
        <v>102.53</v>
      </c>
      <c r="H89" s="135">
        <v>85.86</v>
      </c>
      <c r="I89" s="37"/>
      <c r="J89" s="135">
        <v>101.76</v>
      </c>
      <c r="K89" s="135">
        <v>83.46</v>
      </c>
      <c r="L89" s="135">
        <v>76.97</v>
      </c>
      <c r="M89" s="135">
        <v>69.510000000000005</v>
      </c>
      <c r="N89" s="135">
        <v>104.02</v>
      </c>
      <c r="O89" s="135">
        <v>64.62</v>
      </c>
      <c r="P89" s="155">
        <v>101.41</v>
      </c>
      <c r="Q89" s="37"/>
      <c r="R89" s="131">
        <v>73.540000000000006</v>
      </c>
      <c r="S89" s="131">
        <v>68.209999999999994</v>
      </c>
      <c r="T89" s="155">
        <v>114.98</v>
      </c>
      <c r="U89" s="12">
        <v>90.86</v>
      </c>
      <c r="V89" s="12">
        <v>111.33</v>
      </c>
      <c r="W89" s="135">
        <v>109.3</v>
      </c>
      <c r="X89" s="135">
        <v>52.32</v>
      </c>
      <c r="Y89" s="37"/>
      <c r="Z89" s="12">
        <v>97.49</v>
      </c>
      <c r="AA89" s="131">
        <v>62.16</v>
      </c>
      <c r="AB89" s="12">
        <v>110.08</v>
      </c>
      <c r="AC89" s="530"/>
      <c r="AD89" s="12">
        <v>90.39</v>
      </c>
      <c r="AE89" s="131">
        <v>94.86</v>
      </c>
      <c r="AF89" s="131">
        <v>107.84</v>
      </c>
      <c r="AG89" s="131">
        <v>83.87</v>
      </c>
      <c r="AH89" s="131">
        <v>100.48</v>
      </c>
      <c r="AI89" s="131"/>
      <c r="AJ89" s="37"/>
      <c r="AK89" s="38"/>
      <c r="AL89" s="450"/>
      <c r="AN89" s="30"/>
    </row>
    <row r="90" spans="1:40" x14ac:dyDescent="0.25">
      <c r="A90" s="382">
        <v>142</v>
      </c>
      <c r="B90" s="131">
        <v>74.02</v>
      </c>
      <c r="C90" s="131">
        <v>59.41</v>
      </c>
      <c r="D90" s="135">
        <v>45</v>
      </c>
      <c r="E90" s="155">
        <v>87.09</v>
      </c>
      <c r="F90" s="155">
        <v>67.41</v>
      </c>
      <c r="G90" s="135">
        <v>92.43</v>
      </c>
      <c r="H90" s="135">
        <v>86.45</v>
      </c>
      <c r="I90" s="37"/>
      <c r="J90" s="135">
        <v>76.87</v>
      </c>
      <c r="K90" s="131">
        <v>63.24</v>
      </c>
      <c r="L90" s="131">
        <v>55.53</v>
      </c>
      <c r="M90" s="135">
        <v>72.099999999999994</v>
      </c>
      <c r="N90" s="131">
        <v>99.92</v>
      </c>
      <c r="O90" s="131">
        <v>93.67</v>
      </c>
      <c r="P90" s="155">
        <v>71.790000000000006</v>
      </c>
      <c r="Q90" s="37"/>
      <c r="R90" s="131">
        <v>79.88</v>
      </c>
      <c r="S90" s="537"/>
      <c r="T90" s="155">
        <v>90.48</v>
      </c>
      <c r="U90" s="12">
        <v>87.5</v>
      </c>
      <c r="V90" s="131">
        <v>96.29</v>
      </c>
      <c r="W90" s="135">
        <v>81.47</v>
      </c>
      <c r="X90" s="135">
        <v>85.08</v>
      </c>
      <c r="Y90" s="37"/>
      <c r="Z90" s="131">
        <v>107.03</v>
      </c>
      <c r="AA90" s="131">
        <v>80.75</v>
      </c>
      <c r="AB90" s="12">
        <v>74.83</v>
      </c>
      <c r="AC90" s="12">
        <v>92.18</v>
      </c>
      <c r="AD90" s="12">
        <v>85.21</v>
      </c>
      <c r="AE90" s="131">
        <v>56.87</v>
      </c>
      <c r="AF90" s="12">
        <v>88.4</v>
      </c>
      <c r="AG90" s="131">
        <v>89.29</v>
      </c>
      <c r="AH90" s="131">
        <v>79.64</v>
      </c>
      <c r="AI90" s="131"/>
      <c r="AJ90" s="37"/>
      <c r="AK90" s="38"/>
      <c r="AL90" s="451" t="s">
        <v>249</v>
      </c>
      <c r="AN90" s="30"/>
    </row>
    <row r="91" spans="1:40" x14ac:dyDescent="0.25">
      <c r="A91" s="382">
        <v>143</v>
      </c>
      <c r="B91" s="155">
        <v>78.45</v>
      </c>
      <c r="C91" s="155">
        <v>78.69</v>
      </c>
      <c r="D91" s="135">
        <v>66.010000000000005</v>
      </c>
      <c r="E91" s="135">
        <v>121.42</v>
      </c>
      <c r="F91" s="135">
        <v>77.91</v>
      </c>
      <c r="G91" s="135">
        <v>113.11</v>
      </c>
      <c r="H91" s="155">
        <v>92.94</v>
      </c>
      <c r="I91" s="37"/>
      <c r="J91" s="135">
        <v>105.07</v>
      </c>
      <c r="K91" s="135">
        <v>110.25</v>
      </c>
      <c r="L91" s="135">
        <v>71</v>
      </c>
      <c r="M91" s="135">
        <v>109.18</v>
      </c>
      <c r="N91" s="135">
        <v>64.13</v>
      </c>
      <c r="O91" s="135">
        <v>117.03</v>
      </c>
      <c r="P91" s="135">
        <v>80.27</v>
      </c>
      <c r="Q91" s="37"/>
      <c r="R91" s="12">
        <v>102.1</v>
      </c>
      <c r="S91" s="131">
        <v>84.32</v>
      </c>
      <c r="T91" s="155">
        <v>120.07</v>
      </c>
      <c r="U91" s="12">
        <v>92.04</v>
      </c>
      <c r="V91" s="12">
        <v>114.28</v>
      </c>
      <c r="W91" s="135">
        <v>97.4</v>
      </c>
      <c r="X91" s="135">
        <v>104.42</v>
      </c>
      <c r="Y91" s="37"/>
      <c r="Z91" s="131">
        <v>104.13</v>
      </c>
      <c r="AA91" s="131">
        <v>91.24</v>
      </c>
      <c r="AB91" s="12">
        <v>94.98</v>
      </c>
      <c r="AC91" s="530"/>
      <c r="AD91" s="12">
        <v>60.6</v>
      </c>
      <c r="AE91" s="131">
        <v>85.56</v>
      </c>
      <c r="AF91" s="131">
        <v>82.16</v>
      </c>
      <c r="AG91" s="131">
        <v>94.22</v>
      </c>
      <c r="AH91" s="131">
        <v>103.12</v>
      </c>
      <c r="AI91" s="131"/>
      <c r="AJ91" s="37"/>
      <c r="AK91" s="38"/>
      <c r="AL91" s="451" t="s">
        <v>250</v>
      </c>
      <c r="AN91" s="30"/>
    </row>
    <row r="92" spans="1:40" x14ac:dyDescent="0.25">
      <c r="A92" s="382">
        <v>144</v>
      </c>
      <c r="B92" s="12">
        <v>93.07</v>
      </c>
      <c r="C92" s="131">
        <v>67.239999999999995</v>
      </c>
      <c r="D92" s="135">
        <v>48.3</v>
      </c>
      <c r="E92" s="135">
        <v>60.79</v>
      </c>
      <c r="F92" s="155">
        <v>61.26</v>
      </c>
      <c r="G92" s="135">
        <v>75.06</v>
      </c>
      <c r="H92" s="530"/>
      <c r="I92" s="37"/>
      <c r="J92" s="135">
        <v>83.82</v>
      </c>
      <c r="K92" s="131">
        <v>89.36</v>
      </c>
      <c r="L92" s="135">
        <v>61.91</v>
      </c>
      <c r="M92" s="135">
        <v>99.62</v>
      </c>
      <c r="N92" s="135">
        <v>69.34</v>
      </c>
      <c r="O92" s="155">
        <v>94.71</v>
      </c>
      <c r="P92" s="155">
        <v>80.06</v>
      </c>
      <c r="Q92" s="37"/>
      <c r="R92" s="131">
        <v>81.05</v>
      </c>
      <c r="S92" s="131">
        <v>73.239999999999995</v>
      </c>
      <c r="T92" s="135">
        <v>106.3</v>
      </c>
      <c r="U92" s="12">
        <v>81.260000000000005</v>
      </c>
      <c r="V92" s="131">
        <v>105.37</v>
      </c>
      <c r="W92" s="135">
        <v>105.86</v>
      </c>
      <c r="X92" s="135">
        <v>99.51</v>
      </c>
      <c r="Y92" s="37"/>
      <c r="Z92" s="12">
        <v>94.74</v>
      </c>
      <c r="AA92" s="131">
        <v>74.63</v>
      </c>
      <c r="AB92" s="12">
        <v>97.3</v>
      </c>
      <c r="AC92" s="12">
        <v>93.4</v>
      </c>
      <c r="AD92" s="12">
        <v>85.29</v>
      </c>
      <c r="AE92" s="131">
        <v>78.73</v>
      </c>
      <c r="AF92" s="131">
        <v>70.540000000000006</v>
      </c>
      <c r="AG92" s="131">
        <v>83.52</v>
      </c>
      <c r="AH92" s="131">
        <v>39.54</v>
      </c>
      <c r="AI92" s="131"/>
      <c r="AJ92" s="37"/>
      <c r="AK92" s="38"/>
      <c r="AL92" s="450"/>
      <c r="AN92" s="31"/>
    </row>
    <row r="93" spans="1:40" x14ac:dyDescent="0.25">
      <c r="A93" s="382">
        <v>145</v>
      </c>
      <c r="B93" s="131">
        <v>98.58</v>
      </c>
      <c r="C93" s="155">
        <v>63.18</v>
      </c>
      <c r="D93" s="135">
        <v>70.489999999999995</v>
      </c>
      <c r="E93" s="135">
        <v>96.06</v>
      </c>
      <c r="F93" s="155">
        <v>68.09</v>
      </c>
      <c r="G93" s="135">
        <v>110.33</v>
      </c>
      <c r="H93" s="135">
        <v>67.86</v>
      </c>
      <c r="I93" s="37"/>
      <c r="J93" s="135">
        <v>78.78</v>
      </c>
      <c r="K93" s="135">
        <v>75.78</v>
      </c>
      <c r="L93" s="135">
        <v>45.96</v>
      </c>
      <c r="M93" s="135">
        <v>81.5</v>
      </c>
      <c r="N93" s="532">
        <v>128.62</v>
      </c>
      <c r="O93" s="135">
        <v>120.65</v>
      </c>
      <c r="P93" s="155">
        <v>73.19</v>
      </c>
      <c r="Q93" s="37"/>
      <c r="R93" s="131">
        <v>82.71</v>
      </c>
      <c r="S93" s="131">
        <v>80.459999999999994</v>
      </c>
      <c r="T93" s="537"/>
      <c r="U93" s="530"/>
      <c r="V93" s="548">
        <v>130.76</v>
      </c>
      <c r="W93" s="135">
        <v>106.85</v>
      </c>
      <c r="X93" s="135">
        <v>94.42</v>
      </c>
      <c r="Y93" s="37"/>
      <c r="Z93" s="12">
        <v>82.3</v>
      </c>
      <c r="AA93" s="12">
        <v>88.32</v>
      </c>
      <c r="AB93" s="12">
        <v>100.3</v>
      </c>
      <c r="AC93" s="12">
        <v>96.74</v>
      </c>
      <c r="AD93" s="12">
        <v>79.95</v>
      </c>
      <c r="AE93" s="131">
        <v>90.35</v>
      </c>
      <c r="AF93" s="12">
        <v>100.3</v>
      </c>
      <c r="AG93" s="12">
        <v>9.8000000000000007</v>
      </c>
      <c r="AH93" s="131">
        <v>90.63</v>
      </c>
      <c r="AI93" s="131"/>
      <c r="AJ93" s="37"/>
      <c r="AK93" s="38"/>
      <c r="AL93" s="453"/>
      <c r="AN93" s="820"/>
    </row>
    <row r="94" spans="1:40" x14ac:dyDescent="0.25">
      <c r="A94" s="382">
        <v>147</v>
      </c>
      <c r="B94" s="532">
        <v>133.11000000000001</v>
      </c>
      <c r="C94" s="135">
        <v>51.2</v>
      </c>
      <c r="D94" s="135">
        <v>55.22</v>
      </c>
      <c r="E94" s="155">
        <v>86.42</v>
      </c>
      <c r="F94" s="530"/>
      <c r="G94" s="532">
        <v>140.52000000000001</v>
      </c>
      <c r="H94" s="135">
        <v>90.5</v>
      </c>
      <c r="I94" s="37"/>
      <c r="J94" s="135">
        <v>105.74</v>
      </c>
      <c r="K94" s="135">
        <v>91.28</v>
      </c>
      <c r="L94" s="135">
        <v>69.709999999999994</v>
      </c>
      <c r="M94" s="135">
        <v>108.23</v>
      </c>
      <c r="N94" s="135">
        <v>86.41</v>
      </c>
      <c r="O94" s="12">
        <v>103.7</v>
      </c>
      <c r="P94" s="155">
        <v>84.38</v>
      </c>
      <c r="Q94" s="37"/>
      <c r="R94" s="155">
        <v>76.53</v>
      </c>
      <c r="S94" s="12">
        <v>91.2</v>
      </c>
      <c r="T94" s="155">
        <v>103.92</v>
      </c>
      <c r="U94" s="12">
        <v>85.38</v>
      </c>
      <c r="V94" s="131">
        <v>78.05</v>
      </c>
      <c r="W94" s="135">
        <v>98.45</v>
      </c>
      <c r="X94" s="532">
        <v>126.9</v>
      </c>
      <c r="Y94" s="37"/>
      <c r="Z94" s="537"/>
      <c r="AA94" s="12">
        <v>91.4</v>
      </c>
      <c r="AB94" s="532">
        <v>138.62</v>
      </c>
      <c r="AC94" s="530"/>
      <c r="AD94" s="532">
        <v>163.66999999999999</v>
      </c>
      <c r="AE94" s="12">
        <v>74.77</v>
      </c>
      <c r="AF94" s="131">
        <v>89.49</v>
      </c>
      <c r="AG94" s="131">
        <v>91.88</v>
      </c>
      <c r="AH94" s="131">
        <v>115.09</v>
      </c>
      <c r="AI94" s="131"/>
      <c r="AJ94" s="37"/>
      <c r="AK94" s="38"/>
      <c r="AL94" s="453"/>
      <c r="AN94" s="30"/>
    </row>
    <row r="95" spans="1:40" x14ac:dyDescent="0.25">
      <c r="A95" s="382">
        <v>148</v>
      </c>
      <c r="B95" s="135">
        <v>109.51</v>
      </c>
      <c r="C95" s="131">
        <v>70.819999999999993</v>
      </c>
      <c r="D95" s="155">
        <v>66.22</v>
      </c>
      <c r="E95" s="135">
        <v>80.86</v>
      </c>
      <c r="F95" s="135">
        <v>63.34</v>
      </c>
      <c r="G95" s="135">
        <v>91.39</v>
      </c>
      <c r="H95" s="135">
        <v>70.53</v>
      </c>
      <c r="I95" s="37"/>
      <c r="J95" s="135">
        <v>94.08</v>
      </c>
      <c r="K95" s="135">
        <v>86.37</v>
      </c>
      <c r="L95" s="135">
        <v>58.14</v>
      </c>
      <c r="M95" s="155">
        <v>69.849999999999994</v>
      </c>
      <c r="N95" s="135">
        <v>101.23</v>
      </c>
      <c r="O95" s="135">
        <v>80.45</v>
      </c>
      <c r="P95" s="155">
        <v>99.31</v>
      </c>
      <c r="Q95" s="37"/>
      <c r="R95" s="12">
        <v>54.2</v>
      </c>
      <c r="S95" s="131">
        <v>71.22</v>
      </c>
      <c r="T95" s="155">
        <v>103.25</v>
      </c>
      <c r="U95" s="12">
        <v>89.46</v>
      </c>
      <c r="V95" s="131">
        <v>76.069999999999993</v>
      </c>
      <c r="W95" s="135">
        <v>86.37</v>
      </c>
      <c r="X95" s="135">
        <v>78.81</v>
      </c>
      <c r="Y95" s="37"/>
      <c r="Z95" s="131">
        <v>76.05</v>
      </c>
      <c r="AA95" s="131">
        <v>79.05</v>
      </c>
      <c r="AB95" s="12">
        <v>89.69</v>
      </c>
      <c r="AC95" s="12">
        <v>64.63</v>
      </c>
      <c r="AD95" s="12">
        <v>76.28</v>
      </c>
      <c r="AE95" s="131">
        <v>77.59</v>
      </c>
      <c r="AF95" s="537"/>
      <c r="AG95" s="131">
        <v>84.99</v>
      </c>
      <c r="AH95" s="131">
        <v>98.77</v>
      </c>
      <c r="AI95" s="131"/>
      <c r="AJ95" s="37"/>
      <c r="AK95" s="38"/>
      <c r="AL95" s="453"/>
      <c r="AN95" s="30"/>
    </row>
    <row r="96" spans="1:40" x14ac:dyDescent="0.25">
      <c r="A96" s="382">
        <v>149</v>
      </c>
      <c r="B96" s="537"/>
      <c r="C96" s="533">
        <v>112.88</v>
      </c>
      <c r="D96" s="533">
        <v>81.67</v>
      </c>
      <c r="E96" s="533">
        <v>112.71</v>
      </c>
      <c r="F96" s="532">
        <v>174.93</v>
      </c>
      <c r="G96" s="533">
        <v>85.13</v>
      </c>
      <c r="H96" s="533">
        <v>39.24</v>
      </c>
      <c r="I96" s="37"/>
      <c r="J96" s="135">
        <v>71.33</v>
      </c>
      <c r="K96" s="135">
        <v>71.81</v>
      </c>
      <c r="L96" s="135">
        <v>39.04</v>
      </c>
      <c r="M96" s="135">
        <v>89.41</v>
      </c>
      <c r="N96" s="135">
        <v>83.76</v>
      </c>
      <c r="O96" s="135">
        <v>121.49</v>
      </c>
      <c r="P96" s="155">
        <v>63.91</v>
      </c>
      <c r="Q96" s="37"/>
      <c r="R96" s="131">
        <v>72.22</v>
      </c>
      <c r="S96" s="12">
        <v>84.2</v>
      </c>
      <c r="T96" s="155">
        <v>83.57</v>
      </c>
      <c r="U96" s="12">
        <v>55.65</v>
      </c>
      <c r="V96" s="131">
        <v>67.22</v>
      </c>
      <c r="W96" s="135">
        <v>86.04</v>
      </c>
      <c r="X96" s="135">
        <v>43.94</v>
      </c>
      <c r="Y96" s="37"/>
      <c r="Z96" s="131">
        <v>82.26</v>
      </c>
      <c r="AA96" s="131">
        <v>75.78</v>
      </c>
      <c r="AB96" s="12">
        <v>86.14</v>
      </c>
      <c r="AC96" s="12">
        <v>88.59</v>
      </c>
      <c r="AD96" s="12">
        <v>82.9</v>
      </c>
      <c r="AE96" s="131">
        <v>68.47</v>
      </c>
      <c r="AF96" s="131">
        <v>76.73</v>
      </c>
      <c r="AG96" s="131">
        <v>81.17</v>
      </c>
      <c r="AH96" s="537"/>
      <c r="AI96" s="131"/>
      <c r="AJ96" s="37"/>
      <c r="AK96" s="38"/>
      <c r="AL96" s="453"/>
      <c r="AN96" s="30"/>
    </row>
    <row r="97" spans="1:40" x14ac:dyDescent="0.25">
      <c r="A97" s="382">
        <v>150</v>
      </c>
      <c r="B97" s="537"/>
      <c r="C97" s="530"/>
      <c r="D97" s="530"/>
      <c r="E97" s="530"/>
      <c r="F97" s="578"/>
      <c r="G97" s="578"/>
      <c r="H97" s="578"/>
      <c r="I97" s="861" t="s">
        <v>290</v>
      </c>
      <c r="J97" s="530"/>
      <c r="K97" s="530"/>
      <c r="L97" s="530"/>
      <c r="M97" s="537"/>
      <c r="N97" s="530"/>
      <c r="O97" s="530"/>
      <c r="P97" s="537"/>
      <c r="Q97" s="861" t="s">
        <v>290</v>
      </c>
      <c r="R97" s="537"/>
      <c r="S97" s="537"/>
      <c r="T97" s="537"/>
      <c r="U97" s="530"/>
      <c r="V97" s="537"/>
      <c r="W97" s="530"/>
      <c r="X97" s="530"/>
      <c r="Y97" s="861" t="s">
        <v>290</v>
      </c>
      <c r="Z97" s="537"/>
      <c r="AA97" s="537"/>
      <c r="AB97" s="530"/>
      <c r="AC97" s="530"/>
      <c r="AD97" s="533">
        <v>83.85</v>
      </c>
      <c r="AE97" s="533">
        <v>60.6</v>
      </c>
      <c r="AF97" s="570">
        <v>82.03</v>
      </c>
      <c r="AG97" s="570">
        <v>63.13</v>
      </c>
      <c r="AH97" s="533">
        <v>77.2</v>
      </c>
      <c r="AI97" s="570"/>
      <c r="AJ97" s="37"/>
      <c r="AK97" s="38"/>
      <c r="AL97" s="453"/>
      <c r="AN97" s="820"/>
    </row>
    <row r="98" spans="1:40" x14ac:dyDescent="0.25">
      <c r="A98" s="382">
        <v>151</v>
      </c>
      <c r="B98" s="135">
        <v>108.83</v>
      </c>
      <c r="C98" s="155">
        <v>27.95</v>
      </c>
      <c r="D98" s="530"/>
      <c r="E98" s="530"/>
      <c r="F98" s="530"/>
      <c r="G98" s="530"/>
      <c r="H98" s="135">
        <v>70.87</v>
      </c>
      <c r="I98" s="37"/>
      <c r="J98" s="135">
        <v>70.16</v>
      </c>
      <c r="K98" s="530"/>
      <c r="L98" s="135">
        <v>82.58</v>
      </c>
      <c r="M98" s="135">
        <v>72.55</v>
      </c>
      <c r="N98" s="135">
        <v>77.58</v>
      </c>
      <c r="O98" s="135">
        <v>97.36</v>
      </c>
      <c r="P98" s="135">
        <v>75.099999999999994</v>
      </c>
      <c r="Q98" s="37"/>
      <c r="R98" s="155">
        <v>90.21</v>
      </c>
      <c r="S98" s="155">
        <v>90.24</v>
      </c>
      <c r="T98" s="135">
        <v>93.1</v>
      </c>
      <c r="U98" s="12">
        <v>81.819999999999993</v>
      </c>
      <c r="V98" s="131">
        <v>93.19</v>
      </c>
      <c r="W98" s="135">
        <v>99.07</v>
      </c>
      <c r="X98" s="135">
        <v>89.72</v>
      </c>
      <c r="Y98" s="37"/>
      <c r="Z98" s="12">
        <v>93.01</v>
      </c>
      <c r="AA98" s="131">
        <v>91.35</v>
      </c>
      <c r="AB98" s="12">
        <v>86.8</v>
      </c>
      <c r="AC98" s="12">
        <v>67.459999999999994</v>
      </c>
      <c r="AD98" s="12">
        <v>90.63</v>
      </c>
      <c r="AE98" s="12">
        <v>116.12</v>
      </c>
      <c r="AF98" s="537"/>
      <c r="AG98" s="131">
        <v>88.92</v>
      </c>
      <c r="AH98" s="131">
        <v>81.87</v>
      </c>
      <c r="AI98" s="131"/>
      <c r="AJ98" s="37"/>
      <c r="AK98" s="38"/>
      <c r="AL98" s="453"/>
      <c r="AN98" s="31"/>
    </row>
    <row r="99" spans="1:40" x14ac:dyDescent="0.25">
      <c r="A99" s="382">
        <v>152</v>
      </c>
      <c r="B99" s="570">
        <v>106.71</v>
      </c>
      <c r="C99" s="12">
        <v>79.260000000000005</v>
      </c>
      <c r="D99" s="155">
        <v>69.650000000000006</v>
      </c>
      <c r="E99" s="537"/>
      <c r="F99" s="548">
        <v>186.63</v>
      </c>
      <c r="G99" s="155">
        <v>87.61</v>
      </c>
      <c r="H99" s="155">
        <v>78.680000000000007</v>
      </c>
      <c r="I99" s="37"/>
      <c r="J99" s="155">
        <v>89.11</v>
      </c>
      <c r="K99" s="12">
        <v>76.040000000000006</v>
      </c>
      <c r="L99" s="131">
        <v>80.760000000000005</v>
      </c>
      <c r="M99" s="135">
        <v>81.58</v>
      </c>
      <c r="N99" s="131">
        <v>97.85</v>
      </c>
      <c r="O99" s="131">
        <v>79.209999999999994</v>
      </c>
      <c r="P99" s="155">
        <v>86.25</v>
      </c>
      <c r="Q99" s="37"/>
      <c r="R99" s="155">
        <v>105.86</v>
      </c>
      <c r="S99" s="131">
        <v>56.56</v>
      </c>
      <c r="T99" s="155">
        <v>116.81</v>
      </c>
      <c r="U99" s="131">
        <v>55.92</v>
      </c>
      <c r="V99" s="131">
        <v>68.22</v>
      </c>
      <c r="W99" s="135">
        <v>95.44</v>
      </c>
      <c r="X99" s="135">
        <v>101.4</v>
      </c>
      <c r="Y99" s="37"/>
      <c r="Z99" s="532">
        <v>122.4</v>
      </c>
      <c r="AA99" s="135">
        <v>60.17</v>
      </c>
      <c r="AB99" s="135">
        <v>112.68</v>
      </c>
      <c r="AC99" s="135">
        <v>92.97</v>
      </c>
      <c r="AD99" s="135">
        <v>88.11</v>
      </c>
      <c r="AE99" s="135">
        <v>89.46</v>
      </c>
      <c r="AF99" s="135">
        <v>73.08</v>
      </c>
      <c r="AG99" s="135">
        <v>63.48</v>
      </c>
      <c r="AH99" s="135">
        <v>99.66</v>
      </c>
      <c r="AI99" s="135"/>
      <c r="AJ99" s="37"/>
      <c r="AK99" s="38"/>
      <c r="AL99" s="453"/>
      <c r="AN99" s="30"/>
    </row>
    <row r="100" spans="1:40" x14ac:dyDescent="0.25">
      <c r="A100" s="382">
        <v>153</v>
      </c>
      <c r="B100" s="12">
        <v>78.25</v>
      </c>
      <c r="C100" s="135">
        <v>58.49</v>
      </c>
      <c r="D100" s="155">
        <v>53.43</v>
      </c>
      <c r="E100" s="135">
        <v>93.47</v>
      </c>
      <c r="F100" s="155">
        <v>63.98</v>
      </c>
      <c r="G100" s="135">
        <v>82.05</v>
      </c>
      <c r="H100" s="135">
        <v>62.91</v>
      </c>
      <c r="I100" s="37"/>
      <c r="J100" s="135">
        <v>81.349999999999994</v>
      </c>
      <c r="K100" s="12">
        <v>66.03</v>
      </c>
      <c r="L100" s="135">
        <v>65.180000000000007</v>
      </c>
      <c r="M100" s="135">
        <v>80.3</v>
      </c>
      <c r="N100" s="131">
        <v>83.17</v>
      </c>
      <c r="O100" s="135">
        <v>91.59</v>
      </c>
      <c r="P100" s="155">
        <v>80.91</v>
      </c>
      <c r="Q100" s="37"/>
      <c r="R100" s="131">
        <v>82.82</v>
      </c>
      <c r="S100" s="131">
        <v>67.08</v>
      </c>
      <c r="T100" s="155">
        <v>95.57</v>
      </c>
      <c r="U100" s="12">
        <v>62.07</v>
      </c>
      <c r="V100" s="131">
        <v>90.63</v>
      </c>
      <c r="W100" s="135">
        <v>94.92</v>
      </c>
      <c r="X100" s="135">
        <v>78.28</v>
      </c>
      <c r="Y100" s="37"/>
      <c r="Z100" s="131">
        <v>81.98</v>
      </c>
      <c r="AA100" s="131">
        <v>72.55</v>
      </c>
      <c r="AB100" s="12">
        <v>92.35</v>
      </c>
      <c r="AC100" s="12">
        <v>77.599999999999994</v>
      </c>
      <c r="AD100" s="12">
        <v>87.73</v>
      </c>
      <c r="AE100" s="131">
        <v>69.180000000000007</v>
      </c>
      <c r="AF100" s="131">
        <v>81.430000000000007</v>
      </c>
      <c r="AG100" s="131">
        <v>73.06</v>
      </c>
      <c r="AH100" s="131">
        <v>65.25</v>
      </c>
      <c r="AI100" s="131"/>
      <c r="AJ100" s="37"/>
      <c r="AK100" s="38"/>
      <c r="AL100" s="453"/>
      <c r="AN100" s="30"/>
    </row>
    <row r="101" spans="1:40" x14ac:dyDescent="0.25">
      <c r="A101" s="382">
        <v>154</v>
      </c>
      <c r="B101" s="131">
        <v>91.35</v>
      </c>
      <c r="C101" s="131">
        <v>50.49</v>
      </c>
      <c r="D101" s="135">
        <v>66.489999999999995</v>
      </c>
      <c r="E101" s="135">
        <v>77.86</v>
      </c>
      <c r="F101" s="135">
        <v>67.83</v>
      </c>
      <c r="G101" s="135">
        <v>84.25</v>
      </c>
      <c r="H101" s="135">
        <v>72.78</v>
      </c>
      <c r="I101" s="37"/>
      <c r="J101" s="135">
        <v>94.89</v>
      </c>
      <c r="K101" s="135">
        <v>78.14</v>
      </c>
      <c r="L101" s="135">
        <v>90.71</v>
      </c>
      <c r="M101" s="135">
        <v>68.38</v>
      </c>
      <c r="N101" s="135">
        <v>82.6</v>
      </c>
      <c r="O101" s="135">
        <v>98.78</v>
      </c>
      <c r="P101" s="155">
        <v>64.05</v>
      </c>
      <c r="Q101" s="37"/>
      <c r="R101" s="135">
        <v>82.71</v>
      </c>
      <c r="S101" s="131">
        <v>81.12</v>
      </c>
      <c r="T101" s="155">
        <v>98.48</v>
      </c>
      <c r="U101" s="12">
        <v>94.96</v>
      </c>
      <c r="V101" s="131">
        <v>83.47</v>
      </c>
      <c r="W101" s="532">
        <v>128.99</v>
      </c>
      <c r="X101" s="135">
        <v>83.36</v>
      </c>
      <c r="Y101" s="37"/>
      <c r="Z101" s="131">
        <v>90.45</v>
      </c>
      <c r="AA101" s="131">
        <v>90.53</v>
      </c>
      <c r="AB101" s="12">
        <v>91.52</v>
      </c>
      <c r="AC101" s="12">
        <v>104.9</v>
      </c>
      <c r="AD101" s="12">
        <v>93.88</v>
      </c>
      <c r="AE101" s="131">
        <v>93.31</v>
      </c>
      <c r="AF101" s="131">
        <v>76.010000000000005</v>
      </c>
      <c r="AG101" s="131">
        <v>83.96</v>
      </c>
      <c r="AH101" s="131">
        <v>79.88</v>
      </c>
      <c r="AI101" s="131"/>
      <c r="AJ101" s="37"/>
      <c r="AK101" s="38"/>
      <c r="AL101" s="453"/>
      <c r="AN101" s="30"/>
    </row>
    <row r="102" spans="1:40" x14ac:dyDescent="0.25">
      <c r="A102" s="382">
        <v>155</v>
      </c>
      <c r="B102" s="131">
        <v>49.63</v>
      </c>
      <c r="C102" s="12">
        <v>80.599999999999994</v>
      </c>
      <c r="D102" s="135">
        <v>71.209999999999994</v>
      </c>
      <c r="E102" s="155">
        <v>91.08</v>
      </c>
      <c r="F102" s="135">
        <v>76.08</v>
      </c>
      <c r="G102" s="530"/>
      <c r="H102" s="532">
        <v>141.06</v>
      </c>
      <c r="I102" s="37"/>
      <c r="J102" s="135">
        <v>97.03</v>
      </c>
      <c r="K102" s="135">
        <v>87.29</v>
      </c>
      <c r="L102" s="135">
        <v>83.16</v>
      </c>
      <c r="M102" s="135">
        <v>91.48</v>
      </c>
      <c r="N102" s="135">
        <v>98.8</v>
      </c>
      <c r="O102" s="135">
        <v>93.09</v>
      </c>
      <c r="P102" s="155">
        <v>91.44</v>
      </c>
      <c r="Q102" s="37"/>
      <c r="R102" s="12">
        <v>72.61</v>
      </c>
      <c r="S102" s="131">
        <v>86.59</v>
      </c>
      <c r="T102" s="135">
        <v>88</v>
      </c>
      <c r="U102" s="12">
        <v>93.26</v>
      </c>
      <c r="V102" s="131">
        <v>82.27</v>
      </c>
      <c r="W102" s="135">
        <v>98.95</v>
      </c>
      <c r="X102" s="135">
        <v>90.46</v>
      </c>
      <c r="Y102" s="37"/>
      <c r="Z102" s="131">
        <v>74.03</v>
      </c>
      <c r="AA102" s="131">
        <v>83.62</v>
      </c>
      <c r="AB102" s="12">
        <v>78.77</v>
      </c>
      <c r="AC102" s="12">
        <v>104.03</v>
      </c>
      <c r="AD102" s="12">
        <v>98.91</v>
      </c>
      <c r="AE102" s="131">
        <v>76.239999999999995</v>
      </c>
      <c r="AF102" s="12">
        <v>102.11</v>
      </c>
      <c r="AG102" s="131">
        <v>78.52</v>
      </c>
      <c r="AH102" s="131">
        <v>95.16</v>
      </c>
      <c r="AI102" s="131"/>
      <c r="AJ102" s="37"/>
      <c r="AK102" s="38"/>
      <c r="AL102" s="453"/>
      <c r="AN102" s="31"/>
    </row>
    <row r="103" spans="1:40" x14ac:dyDescent="0.25">
      <c r="A103" s="382">
        <v>156</v>
      </c>
      <c r="B103" s="131">
        <v>94.43</v>
      </c>
      <c r="C103" s="135">
        <v>56</v>
      </c>
      <c r="D103" s="135">
        <v>53.41</v>
      </c>
      <c r="E103" s="155">
        <v>87.94</v>
      </c>
      <c r="F103" s="155">
        <v>74.92</v>
      </c>
      <c r="G103" s="135">
        <v>83.15</v>
      </c>
      <c r="H103" s="135">
        <v>71.72</v>
      </c>
      <c r="I103" s="37"/>
      <c r="J103" s="135">
        <v>86.75</v>
      </c>
      <c r="K103" s="135">
        <v>64.540000000000006</v>
      </c>
      <c r="L103" s="135">
        <v>119.74</v>
      </c>
      <c r="M103" s="135">
        <v>80.39</v>
      </c>
      <c r="N103" s="135">
        <v>82.63</v>
      </c>
      <c r="O103" s="135">
        <v>106.12</v>
      </c>
      <c r="P103" s="155">
        <v>72.16</v>
      </c>
      <c r="Q103" s="37"/>
      <c r="R103" s="155">
        <v>85.71</v>
      </c>
      <c r="S103" s="131">
        <v>66.17</v>
      </c>
      <c r="T103" s="135">
        <v>81.709999999999994</v>
      </c>
      <c r="U103" s="12">
        <v>58.47</v>
      </c>
      <c r="V103" s="131">
        <v>88.57</v>
      </c>
      <c r="W103" s="135">
        <v>91.33</v>
      </c>
      <c r="X103" s="135">
        <v>89.79</v>
      </c>
      <c r="Y103" s="37"/>
      <c r="Z103" s="131">
        <v>71.67</v>
      </c>
      <c r="AA103" s="131">
        <v>97.19</v>
      </c>
      <c r="AB103" s="12">
        <v>80.73</v>
      </c>
      <c r="AC103" s="530"/>
      <c r="AD103" s="12">
        <v>98.8</v>
      </c>
      <c r="AE103" s="12">
        <v>81.599999999999994</v>
      </c>
      <c r="AF103" s="131">
        <v>76.06</v>
      </c>
      <c r="AG103" s="131">
        <v>72.650000000000006</v>
      </c>
      <c r="AH103" s="131">
        <v>112.91</v>
      </c>
      <c r="AI103" s="131"/>
      <c r="AJ103" s="37"/>
      <c r="AK103" s="38"/>
      <c r="AL103" s="453"/>
      <c r="AN103" s="31"/>
    </row>
    <row r="104" spans="1:40" x14ac:dyDescent="0.25">
      <c r="A104" s="382">
        <v>157</v>
      </c>
      <c r="B104" s="131">
        <v>88.75</v>
      </c>
      <c r="C104" s="155">
        <v>75.34</v>
      </c>
      <c r="D104" s="155">
        <v>54.45</v>
      </c>
      <c r="E104" s="135">
        <v>101.01</v>
      </c>
      <c r="F104" s="155">
        <v>61.24</v>
      </c>
      <c r="G104" s="530"/>
      <c r="H104" s="532">
        <v>148.02000000000001</v>
      </c>
      <c r="I104" s="37"/>
      <c r="J104" s="155">
        <v>82.17</v>
      </c>
      <c r="K104" s="530"/>
      <c r="L104" s="548">
        <v>165.43</v>
      </c>
      <c r="M104" s="135">
        <v>85.6</v>
      </c>
      <c r="N104" s="131">
        <v>76.89</v>
      </c>
      <c r="O104" s="12">
        <v>111.52</v>
      </c>
      <c r="P104" s="155">
        <v>63.68</v>
      </c>
      <c r="Q104" s="37"/>
      <c r="R104" s="155">
        <v>78.989999999999995</v>
      </c>
      <c r="S104" s="131">
        <v>70.78</v>
      </c>
      <c r="T104" s="155">
        <v>84.75</v>
      </c>
      <c r="U104" s="131">
        <v>53.16</v>
      </c>
      <c r="V104" s="131">
        <v>75.510000000000005</v>
      </c>
      <c r="W104" s="135">
        <v>101.01</v>
      </c>
      <c r="X104" s="135">
        <v>100.61</v>
      </c>
      <c r="Y104" s="37"/>
      <c r="Z104" s="131">
        <v>72.040000000000006</v>
      </c>
      <c r="AA104" s="131">
        <v>85.32</v>
      </c>
      <c r="AB104" s="12">
        <v>90.19</v>
      </c>
      <c r="AC104" s="12">
        <v>88.06</v>
      </c>
      <c r="AD104" s="12">
        <v>100.52</v>
      </c>
      <c r="AE104" s="131">
        <v>80.66</v>
      </c>
      <c r="AF104" s="12">
        <v>82.65</v>
      </c>
      <c r="AG104" s="131">
        <v>59.05</v>
      </c>
      <c r="AH104" s="131">
        <v>50.76</v>
      </c>
      <c r="AI104" s="131"/>
      <c r="AJ104" s="37"/>
      <c r="AK104" s="38"/>
      <c r="AL104" s="453"/>
      <c r="AN104" s="30"/>
    </row>
    <row r="105" spans="1:40" x14ac:dyDescent="0.25">
      <c r="A105" s="382">
        <v>158</v>
      </c>
      <c r="B105" s="12">
        <v>75</v>
      </c>
      <c r="C105" s="155">
        <v>53.86</v>
      </c>
      <c r="D105" s="155">
        <v>57.91</v>
      </c>
      <c r="E105" s="135">
        <v>91.46</v>
      </c>
      <c r="F105" s="570">
        <v>69.31</v>
      </c>
      <c r="G105" s="135">
        <v>78.849999999999994</v>
      </c>
      <c r="H105" s="135">
        <v>79.83</v>
      </c>
      <c r="I105" s="37"/>
      <c r="J105" s="135">
        <v>92.25</v>
      </c>
      <c r="K105" s="135">
        <v>71.540000000000006</v>
      </c>
      <c r="L105" s="135">
        <v>50.38</v>
      </c>
      <c r="M105" s="135">
        <v>88.66</v>
      </c>
      <c r="N105" s="135">
        <v>73.739999999999995</v>
      </c>
      <c r="O105" s="155">
        <v>93.98</v>
      </c>
      <c r="P105" s="155">
        <v>72.84</v>
      </c>
      <c r="Q105" s="37"/>
      <c r="R105" s="131">
        <v>60.62</v>
      </c>
      <c r="S105" s="12">
        <v>91.89</v>
      </c>
      <c r="T105" s="155">
        <v>113.73</v>
      </c>
      <c r="U105" s="12">
        <v>89.76</v>
      </c>
      <c r="V105" s="131">
        <v>89.01</v>
      </c>
      <c r="W105" s="135">
        <v>86.19</v>
      </c>
      <c r="X105" s="135">
        <v>117.42</v>
      </c>
      <c r="Y105" s="37"/>
      <c r="Z105" s="131">
        <v>94.43</v>
      </c>
      <c r="AA105" s="135">
        <v>75.69</v>
      </c>
      <c r="AB105" s="12">
        <v>114.61</v>
      </c>
      <c r="AC105" s="12">
        <v>101.32</v>
      </c>
      <c r="AD105" s="12">
        <v>95.02</v>
      </c>
      <c r="AE105" s="131">
        <v>84.17</v>
      </c>
      <c r="AF105" s="131">
        <v>80.010000000000005</v>
      </c>
      <c r="AG105" s="12">
        <v>78.7</v>
      </c>
      <c r="AH105" s="131">
        <v>112.48</v>
      </c>
      <c r="AI105" s="131"/>
      <c r="AJ105" s="37"/>
      <c r="AK105" s="38"/>
      <c r="AL105" s="453"/>
      <c r="AN105" s="30"/>
    </row>
    <row r="106" spans="1:40" x14ac:dyDescent="0.25">
      <c r="A106" s="382">
        <v>159</v>
      </c>
      <c r="B106" s="131">
        <v>79.209999999999994</v>
      </c>
      <c r="C106" s="135">
        <v>40.020000000000003</v>
      </c>
      <c r="D106" s="135">
        <v>48.11</v>
      </c>
      <c r="E106" s="135">
        <v>81.62</v>
      </c>
      <c r="F106" s="155">
        <v>63.61</v>
      </c>
      <c r="G106" s="530"/>
      <c r="H106" s="135">
        <v>85.92</v>
      </c>
      <c r="I106" s="37"/>
      <c r="J106" s="135">
        <v>62.82</v>
      </c>
      <c r="K106" s="135">
        <v>95.18</v>
      </c>
      <c r="L106" s="135">
        <v>72.3</v>
      </c>
      <c r="M106" s="135">
        <v>90.24</v>
      </c>
      <c r="N106" s="135">
        <v>77.849999999999994</v>
      </c>
      <c r="O106" s="12">
        <v>104.12</v>
      </c>
      <c r="P106" s="135">
        <v>82.9</v>
      </c>
      <c r="Q106" s="37"/>
      <c r="R106" s="135">
        <v>72.599999999999994</v>
      </c>
      <c r="S106" s="12">
        <v>75.349999999999994</v>
      </c>
      <c r="T106" s="155">
        <v>92.62</v>
      </c>
      <c r="U106" s="12">
        <v>92.61</v>
      </c>
      <c r="V106" s="131">
        <v>90.15</v>
      </c>
      <c r="W106" s="532">
        <v>126.23</v>
      </c>
      <c r="X106" s="135">
        <v>77.48</v>
      </c>
      <c r="Y106" s="37"/>
      <c r="Z106" s="12">
        <v>90.66</v>
      </c>
      <c r="AA106" s="131">
        <v>80.72</v>
      </c>
      <c r="AB106" s="530"/>
      <c r="AC106" s="532">
        <v>166.84</v>
      </c>
      <c r="AD106" s="12">
        <v>89.6</v>
      </c>
      <c r="AE106" s="131">
        <v>80.569999999999993</v>
      </c>
      <c r="AF106" s="131">
        <v>85.14</v>
      </c>
      <c r="AG106" s="131">
        <v>69.94</v>
      </c>
      <c r="AH106" s="537"/>
      <c r="AI106" s="131"/>
      <c r="AJ106" s="37"/>
      <c r="AK106" s="38"/>
      <c r="AL106" s="453"/>
      <c r="AN106" s="30"/>
    </row>
    <row r="107" spans="1:40" x14ac:dyDescent="0.25">
      <c r="A107" s="382">
        <v>161</v>
      </c>
      <c r="B107" s="131">
        <v>70.239999999999995</v>
      </c>
      <c r="C107" s="131">
        <v>76.97</v>
      </c>
      <c r="D107" s="155">
        <v>41.33</v>
      </c>
      <c r="E107" s="155">
        <v>74.510000000000005</v>
      </c>
      <c r="F107" s="537"/>
      <c r="G107" s="537"/>
      <c r="H107" s="548">
        <v>232.47</v>
      </c>
      <c r="I107" s="37"/>
      <c r="J107" s="155">
        <v>62.18</v>
      </c>
      <c r="K107" s="135">
        <v>78.16</v>
      </c>
      <c r="L107" s="135">
        <v>68.290000000000006</v>
      </c>
      <c r="M107" s="135">
        <v>84.58</v>
      </c>
      <c r="N107" s="135">
        <v>76.23</v>
      </c>
      <c r="O107" s="135">
        <v>91.17</v>
      </c>
      <c r="P107" s="155">
        <v>80.34</v>
      </c>
      <c r="Q107" s="37"/>
      <c r="R107" s="131">
        <v>86.37</v>
      </c>
      <c r="S107" s="131">
        <v>68.17</v>
      </c>
      <c r="T107" s="135">
        <v>95</v>
      </c>
      <c r="U107" s="12">
        <v>77.680000000000007</v>
      </c>
      <c r="V107" s="131">
        <v>74.569999999999993</v>
      </c>
      <c r="W107" s="135">
        <v>81.819999999999993</v>
      </c>
      <c r="X107" s="135">
        <v>81.430000000000007</v>
      </c>
      <c r="Y107" s="37"/>
      <c r="Z107" s="131">
        <v>86.23</v>
      </c>
      <c r="AA107" s="131">
        <v>77.66</v>
      </c>
      <c r="AB107" s="12">
        <v>84.23</v>
      </c>
      <c r="AC107" s="12">
        <v>91.84</v>
      </c>
      <c r="AD107" s="12">
        <v>91.53</v>
      </c>
      <c r="AE107" s="131">
        <v>70.55</v>
      </c>
      <c r="AF107" s="131">
        <v>68.819999999999993</v>
      </c>
      <c r="AG107" s="131">
        <v>49.15</v>
      </c>
      <c r="AH107" s="131">
        <v>41.71</v>
      </c>
      <c r="AI107" s="131"/>
      <c r="AJ107" s="37"/>
      <c r="AK107" s="38"/>
      <c r="AL107" s="453"/>
      <c r="AN107" s="31"/>
    </row>
    <row r="108" spans="1:40" x14ac:dyDescent="0.25">
      <c r="A108" s="382">
        <v>162</v>
      </c>
      <c r="B108" s="131">
        <v>106.05</v>
      </c>
      <c r="C108" s="135">
        <v>45.23</v>
      </c>
      <c r="D108" s="135">
        <v>58.9</v>
      </c>
      <c r="E108" s="578"/>
      <c r="F108" s="537"/>
      <c r="G108" s="135">
        <v>65.010000000000005</v>
      </c>
      <c r="H108" s="135">
        <v>70.53</v>
      </c>
      <c r="I108" s="37"/>
      <c r="J108" s="135">
        <v>98.17</v>
      </c>
      <c r="K108" s="12">
        <v>71.37</v>
      </c>
      <c r="L108" s="135">
        <v>80.209999999999994</v>
      </c>
      <c r="M108" s="135">
        <v>97.94</v>
      </c>
      <c r="N108" s="135">
        <v>69.08</v>
      </c>
      <c r="O108" s="12">
        <v>83.54</v>
      </c>
      <c r="P108" s="155">
        <v>65.94</v>
      </c>
      <c r="Q108" s="37"/>
      <c r="R108" s="131">
        <v>64.23</v>
      </c>
      <c r="S108" s="131">
        <v>61.39</v>
      </c>
      <c r="T108" s="155">
        <v>101.19</v>
      </c>
      <c r="U108" s="12">
        <v>86.83</v>
      </c>
      <c r="V108" s="131">
        <v>75.59</v>
      </c>
      <c r="W108" s="135">
        <v>79.75</v>
      </c>
      <c r="X108" s="135">
        <v>97.23</v>
      </c>
      <c r="Y108" s="37"/>
      <c r="Z108" s="131">
        <v>86.39</v>
      </c>
      <c r="AA108" s="131">
        <v>81.069999999999993</v>
      </c>
      <c r="AB108" s="12">
        <v>102.34</v>
      </c>
      <c r="AC108" s="12">
        <v>93.74</v>
      </c>
      <c r="AD108" s="12">
        <v>92.33</v>
      </c>
      <c r="AE108" s="131">
        <v>74.14</v>
      </c>
      <c r="AF108" s="131">
        <v>69.989999999999995</v>
      </c>
      <c r="AG108" s="131">
        <v>96.88</v>
      </c>
      <c r="AH108" s="12">
        <v>72.5</v>
      </c>
      <c r="AI108" s="131"/>
      <c r="AJ108" s="37"/>
      <c r="AK108" s="38"/>
      <c r="AL108" s="453"/>
      <c r="AN108" s="30"/>
    </row>
    <row r="109" spans="1:40" x14ac:dyDescent="0.25">
      <c r="A109" s="382">
        <v>163</v>
      </c>
      <c r="B109" s="155">
        <v>104.92</v>
      </c>
      <c r="C109" s="155">
        <v>37.33</v>
      </c>
      <c r="D109" s="135">
        <v>61.61</v>
      </c>
      <c r="E109" s="135">
        <v>109.74</v>
      </c>
      <c r="F109" s="135">
        <v>69.040000000000006</v>
      </c>
      <c r="G109" s="135">
        <v>95.93</v>
      </c>
      <c r="H109" s="135">
        <v>63.17</v>
      </c>
      <c r="I109" s="37"/>
      <c r="J109" s="530"/>
      <c r="K109" s="135">
        <v>95.11</v>
      </c>
      <c r="L109" s="548">
        <v>190.56</v>
      </c>
      <c r="M109" s="135">
        <v>89.82</v>
      </c>
      <c r="N109" s="131">
        <v>86.05</v>
      </c>
      <c r="O109" s="131">
        <v>99.48</v>
      </c>
      <c r="P109" s="131">
        <v>90.89</v>
      </c>
      <c r="Q109" s="37"/>
      <c r="R109" s="135">
        <v>76.84</v>
      </c>
      <c r="S109" s="537"/>
      <c r="T109" s="537"/>
      <c r="U109" s="530"/>
      <c r="V109" s="12">
        <v>41.9</v>
      </c>
      <c r="W109" s="135">
        <v>82.01</v>
      </c>
      <c r="X109" s="530"/>
      <c r="Y109" s="37"/>
      <c r="Z109" s="548">
        <v>189.92</v>
      </c>
      <c r="AA109" s="131">
        <v>58.61</v>
      </c>
      <c r="AB109" s="12">
        <v>93.03</v>
      </c>
      <c r="AC109" s="12">
        <v>81.14</v>
      </c>
      <c r="AD109" s="12">
        <v>95.53</v>
      </c>
      <c r="AE109" s="131">
        <v>71.790000000000006</v>
      </c>
      <c r="AF109" s="131">
        <v>92.54</v>
      </c>
      <c r="AG109" s="131">
        <v>79.930000000000007</v>
      </c>
      <c r="AH109" s="131">
        <v>70.98</v>
      </c>
      <c r="AI109" s="131"/>
      <c r="AJ109" s="37"/>
      <c r="AK109" s="38"/>
      <c r="AL109" s="453"/>
      <c r="AN109" s="820"/>
    </row>
    <row r="110" spans="1:40" x14ac:dyDescent="0.25">
      <c r="A110" s="382">
        <v>164</v>
      </c>
      <c r="B110" s="131">
        <v>77.55</v>
      </c>
      <c r="C110" s="135">
        <v>59.8</v>
      </c>
      <c r="D110" s="155">
        <v>52.74</v>
      </c>
      <c r="E110" s="155">
        <v>98.37</v>
      </c>
      <c r="F110" s="135">
        <v>84.39</v>
      </c>
      <c r="G110" s="135">
        <v>82.49</v>
      </c>
      <c r="H110" s="135">
        <v>73.849999999999994</v>
      </c>
      <c r="I110" s="37"/>
      <c r="J110" s="135">
        <v>81.8</v>
      </c>
      <c r="K110" s="135">
        <v>66.760000000000005</v>
      </c>
      <c r="L110" s="444">
        <v>82.66</v>
      </c>
      <c r="M110" s="135">
        <v>64.36</v>
      </c>
      <c r="N110" s="135">
        <v>90.81</v>
      </c>
      <c r="O110" s="135">
        <v>91.98</v>
      </c>
      <c r="P110" s="155">
        <v>101.26</v>
      </c>
      <c r="Q110" s="37"/>
      <c r="R110" s="131">
        <v>59.49</v>
      </c>
      <c r="S110" s="131">
        <v>75.06</v>
      </c>
      <c r="T110" s="155">
        <v>87.32</v>
      </c>
      <c r="U110" s="12">
        <v>64.56</v>
      </c>
      <c r="V110" s="12">
        <v>57.7</v>
      </c>
      <c r="W110" s="135">
        <v>113.09</v>
      </c>
      <c r="X110" s="135">
        <v>54.98</v>
      </c>
      <c r="Y110" s="37"/>
      <c r="Z110" s="537"/>
      <c r="AA110" s="131">
        <v>86.66</v>
      </c>
      <c r="AB110" s="12">
        <v>72.62</v>
      </c>
      <c r="AC110" s="12">
        <v>88.51</v>
      </c>
      <c r="AD110" s="12">
        <v>83.15</v>
      </c>
      <c r="AE110" s="131">
        <v>72.92</v>
      </c>
      <c r="AF110" s="131">
        <v>65.48</v>
      </c>
      <c r="AG110" s="131">
        <v>68.23</v>
      </c>
      <c r="AH110" s="131">
        <v>82.42</v>
      </c>
      <c r="AI110" s="131"/>
      <c r="AJ110" s="37"/>
      <c r="AK110" s="38"/>
      <c r="AL110" s="453"/>
      <c r="AN110" s="30"/>
    </row>
    <row r="111" spans="1:40" x14ac:dyDescent="0.25">
      <c r="A111" s="382">
        <v>165</v>
      </c>
      <c r="B111" s="548">
        <v>183.79</v>
      </c>
      <c r="C111" s="131">
        <v>80.89</v>
      </c>
      <c r="D111" s="135">
        <v>53.62</v>
      </c>
      <c r="E111" s="155">
        <v>99.99</v>
      </c>
      <c r="F111" s="135">
        <v>84.18</v>
      </c>
      <c r="G111" s="135">
        <v>101.94</v>
      </c>
      <c r="H111" s="135">
        <v>78.37</v>
      </c>
      <c r="I111" s="37"/>
      <c r="J111" s="548">
        <v>124.37</v>
      </c>
      <c r="K111" s="135">
        <v>74.86</v>
      </c>
      <c r="L111" s="135">
        <v>58.45</v>
      </c>
      <c r="M111" s="135">
        <v>94.37</v>
      </c>
      <c r="N111" s="135">
        <v>111.92</v>
      </c>
      <c r="O111" s="155">
        <v>105.35</v>
      </c>
      <c r="P111" s="155">
        <v>66.87</v>
      </c>
      <c r="Q111" s="37"/>
      <c r="R111" s="12">
        <v>90.51</v>
      </c>
      <c r="S111" s="131">
        <v>78.09</v>
      </c>
      <c r="T111" s="155">
        <v>111.54</v>
      </c>
      <c r="U111" s="12">
        <v>84.87</v>
      </c>
      <c r="V111" s="131">
        <v>67.63</v>
      </c>
      <c r="W111" s="135">
        <v>102.61</v>
      </c>
      <c r="X111" s="135">
        <v>96.29</v>
      </c>
      <c r="Y111" s="37"/>
      <c r="Z111" s="131">
        <v>97.77</v>
      </c>
      <c r="AA111" s="131">
        <v>59.93</v>
      </c>
      <c r="AB111" s="12">
        <v>86.41</v>
      </c>
      <c r="AC111" s="12">
        <v>106.93</v>
      </c>
      <c r="AD111" s="12">
        <v>94.66</v>
      </c>
      <c r="AE111" s="131">
        <v>70.19</v>
      </c>
      <c r="AF111" s="548">
        <v>141.01</v>
      </c>
      <c r="AG111" s="131">
        <v>95.75</v>
      </c>
      <c r="AH111" s="672">
        <v>85.65</v>
      </c>
      <c r="AI111" s="131"/>
      <c r="AJ111" s="37"/>
      <c r="AK111" s="38"/>
      <c r="AL111" s="453"/>
      <c r="AN111" s="30"/>
    </row>
    <row r="112" spans="1:40" x14ac:dyDescent="0.25">
      <c r="A112" s="382">
        <v>166</v>
      </c>
      <c r="B112" s="135">
        <v>106.08</v>
      </c>
      <c r="C112" s="530"/>
      <c r="D112" s="135">
        <v>38.909999999999997</v>
      </c>
      <c r="E112" s="135">
        <v>88.54</v>
      </c>
      <c r="F112" s="135">
        <v>72.77</v>
      </c>
      <c r="G112" s="135">
        <v>96.28</v>
      </c>
      <c r="H112" s="135">
        <v>78.489999999999995</v>
      </c>
      <c r="I112" s="37"/>
      <c r="J112" s="135">
        <v>73.010000000000005</v>
      </c>
      <c r="K112" s="12">
        <v>77.39</v>
      </c>
      <c r="L112" s="12">
        <v>54.13</v>
      </c>
      <c r="M112" s="135">
        <v>66.86</v>
      </c>
      <c r="N112" s="131">
        <v>84.54</v>
      </c>
      <c r="O112" s="155">
        <v>72.72</v>
      </c>
      <c r="P112" s="135">
        <v>72.599999999999994</v>
      </c>
      <c r="Q112" s="37"/>
      <c r="R112" s="131">
        <v>78.540000000000006</v>
      </c>
      <c r="S112" s="131">
        <v>66.319999999999993</v>
      </c>
      <c r="T112" s="135">
        <v>78.5</v>
      </c>
      <c r="U112" s="12">
        <v>80.58</v>
      </c>
      <c r="V112" s="131">
        <v>29.26</v>
      </c>
      <c r="W112" s="532">
        <v>129.22</v>
      </c>
      <c r="X112" s="135">
        <v>80.27</v>
      </c>
      <c r="Y112" s="37"/>
      <c r="Z112" s="131">
        <v>91.96</v>
      </c>
      <c r="AA112" s="131">
        <v>54.04</v>
      </c>
      <c r="AB112" s="12">
        <v>76.11</v>
      </c>
      <c r="AC112" s="12">
        <v>82.27</v>
      </c>
      <c r="AD112" s="12">
        <v>82.63</v>
      </c>
      <c r="AE112" s="131">
        <v>50.51</v>
      </c>
      <c r="AF112" s="12">
        <v>73.84</v>
      </c>
      <c r="AG112" s="12">
        <v>80.2</v>
      </c>
      <c r="AH112" s="131">
        <v>64.55</v>
      </c>
      <c r="AI112" s="131"/>
      <c r="AJ112" s="37"/>
      <c r="AK112" s="38"/>
      <c r="AL112" s="453"/>
      <c r="AN112" s="31"/>
    </row>
    <row r="113" spans="1:40" x14ac:dyDescent="0.25">
      <c r="A113" s="382">
        <v>167</v>
      </c>
      <c r="B113" s="155">
        <v>114.95</v>
      </c>
      <c r="C113" s="155">
        <v>78.09</v>
      </c>
      <c r="D113" s="135">
        <v>72.010000000000005</v>
      </c>
      <c r="E113" s="135">
        <v>72.349999999999994</v>
      </c>
      <c r="F113" s="135">
        <v>84.6</v>
      </c>
      <c r="G113" s="135">
        <v>79.41</v>
      </c>
      <c r="H113" s="135">
        <v>80.680000000000007</v>
      </c>
      <c r="I113" s="37"/>
      <c r="J113" s="135">
        <v>89.95</v>
      </c>
      <c r="K113" s="135">
        <v>80.849999999999994</v>
      </c>
      <c r="L113" s="530"/>
      <c r="M113" s="135">
        <v>65.790000000000006</v>
      </c>
      <c r="N113" s="155">
        <v>78.540000000000006</v>
      </c>
      <c r="O113" s="135">
        <v>99.66</v>
      </c>
      <c r="P113" s="155">
        <v>93.71</v>
      </c>
      <c r="Q113" s="37"/>
      <c r="R113" s="131">
        <v>89.58</v>
      </c>
      <c r="S113" s="131">
        <v>68.010000000000005</v>
      </c>
      <c r="T113" s="155">
        <v>95.97</v>
      </c>
      <c r="U113" s="12">
        <v>80.900000000000006</v>
      </c>
      <c r="V113" s="12">
        <v>87.3</v>
      </c>
      <c r="W113" s="135">
        <v>107.31</v>
      </c>
      <c r="X113" s="135">
        <v>101.53</v>
      </c>
      <c r="Y113" s="37"/>
      <c r="Z113" s="537"/>
      <c r="AA113" s="131">
        <v>109.29</v>
      </c>
      <c r="AB113" s="12">
        <v>68.290000000000006</v>
      </c>
      <c r="AC113" s="532">
        <v>132</v>
      </c>
      <c r="AD113" s="12">
        <v>100.25</v>
      </c>
      <c r="AE113" s="131">
        <v>67.349999999999994</v>
      </c>
      <c r="AF113" s="131">
        <v>85.12</v>
      </c>
      <c r="AG113" s="131">
        <v>61.25</v>
      </c>
      <c r="AH113" s="131">
        <v>99.68</v>
      </c>
      <c r="AI113" s="131"/>
      <c r="AJ113" s="37"/>
      <c r="AK113" s="38"/>
      <c r="AL113" s="453"/>
      <c r="AN113" s="30"/>
    </row>
    <row r="114" spans="1:40" x14ac:dyDescent="0.25">
      <c r="A114" s="382">
        <v>168</v>
      </c>
      <c r="B114" s="131">
        <v>83.45</v>
      </c>
      <c r="C114" s="131">
        <v>48.98</v>
      </c>
      <c r="D114" s="135">
        <v>41.09</v>
      </c>
      <c r="E114" s="135">
        <v>84.52</v>
      </c>
      <c r="F114" s="135">
        <v>55.53</v>
      </c>
      <c r="G114" s="135">
        <v>90.31</v>
      </c>
      <c r="H114" s="135">
        <v>71.27</v>
      </c>
      <c r="I114" s="37"/>
      <c r="J114" s="135">
        <v>94.56</v>
      </c>
      <c r="K114" s="530"/>
      <c r="L114" s="548">
        <v>128.13999999999999</v>
      </c>
      <c r="M114" s="135">
        <v>77.010000000000005</v>
      </c>
      <c r="N114" s="131">
        <v>82.61</v>
      </c>
      <c r="O114" s="155">
        <v>70.16</v>
      </c>
      <c r="P114" s="155">
        <v>73.180000000000007</v>
      </c>
      <c r="Q114" s="37"/>
      <c r="R114" s="131">
        <v>90.82</v>
      </c>
      <c r="S114" s="131">
        <v>77.010000000000005</v>
      </c>
      <c r="T114" s="155">
        <v>91.23</v>
      </c>
      <c r="U114" s="12">
        <v>72.47</v>
      </c>
      <c r="V114" s="131">
        <v>87.49</v>
      </c>
      <c r="W114" s="135">
        <v>110</v>
      </c>
      <c r="X114" s="135">
        <v>94.67</v>
      </c>
      <c r="Y114" s="37"/>
      <c r="Z114" s="12">
        <v>94.4</v>
      </c>
      <c r="AA114" s="12">
        <v>77.03</v>
      </c>
      <c r="AB114" s="12">
        <v>63.79</v>
      </c>
      <c r="AC114" s="532">
        <v>122</v>
      </c>
      <c r="AD114" s="12">
        <v>82.19</v>
      </c>
      <c r="AE114" s="537"/>
      <c r="AF114" s="537"/>
      <c r="AG114" s="131">
        <v>118.27</v>
      </c>
      <c r="AH114" s="131">
        <v>95.98</v>
      </c>
      <c r="AI114" s="131"/>
      <c r="AJ114" s="37"/>
      <c r="AK114" s="38"/>
      <c r="AL114" s="453"/>
      <c r="AN114" s="30"/>
    </row>
    <row r="115" spans="1:40" x14ac:dyDescent="0.25">
      <c r="A115" s="382">
        <v>169</v>
      </c>
      <c r="B115" s="12">
        <v>66.989999999999995</v>
      </c>
      <c r="C115" s="135">
        <v>57.1</v>
      </c>
      <c r="D115" s="135">
        <v>66.180000000000007</v>
      </c>
      <c r="E115" s="155">
        <v>85.03</v>
      </c>
      <c r="F115" s="135">
        <v>55.38</v>
      </c>
      <c r="G115" s="135">
        <v>77.22</v>
      </c>
      <c r="H115" s="135">
        <v>66.12</v>
      </c>
      <c r="I115" s="37"/>
      <c r="J115" s="135">
        <v>74.84</v>
      </c>
      <c r="K115" s="131">
        <v>67.819999999999993</v>
      </c>
      <c r="L115" s="131">
        <v>79.81</v>
      </c>
      <c r="M115" s="135">
        <v>74.849999999999994</v>
      </c>
      <c r="N115" s="12">
        <v>78.959999999999994</v>
      </c>
      <c r="O115" s="131">
        <v>92.36</v>
      </c>
      <c r="P115" s="155">
        <v>52.04</v>
      </c>
      <c r="Q115" s="37"/>
      <c r="R115" s="131">
        <v>81.42</v>
      </c>
      <c r="S115" s="131">
        <v>62.94</v>
      </c>
      <c r="T115" s="155">
        <v>89.45</v>
      </c>
      <c r="U115" s="12">
        <v>66.28</v>
      </c>
      <c r="V115" s="131">
        <v>84.96</v>
      </c>
      <c r="W115" s="135">
        <v>56.39</v>
      </c>
      <c r="X115" s="135">
        <v>63.63</v>
      </c>
      <c r="Y115" s="37"/>
      <c r="Z115" s="12">
        <v>78.25</v>
      </c>
      <c r="AA115" s="131">
        <v>77.84</v>
      </c>
      <c r="AB115" s="12">
        <v>53.57</v>
      </c>
      <c r="AC115" s="12">
        <v>60.72</v>
      </c>
      <c r="AD115" s="12">
        <v>71.81</v>
      </c>
      <c r="AE115" s="131">
        <v>94.47</v>
      </c>
      <c r="AF115" s="12">
        <v>74.900000000000006</v>
      </c>
      <c r="AG115" s="131">
        <v>58.12</v>
      </c>
      <c r="AH115" s="12">
        <v>87.4</v>
      </c>
      <c r="AI115" s="131"/>
      <c r="AJ115" s="37"/>
      <c r="AK115" s="38"/>
      <c r="AL115" s="453"/>
      <c r="AN115" s="30"/>
    </row>
    <row r="116" spans="1:40" x14ac:dyDescent="0.25">
      <c r="A116" s="382">
        <v>170</v>
      </c>
      <c r="B116" s="155">
        <v>99.41</v>
      </c>
      <c r="C116" s="135">
        <v>88.93</v>
      </c>
      <c r="D116" s="135">
        <v>60.98</v>
      </c>
      <c r="E116" s="135">
        <v>100.9</v>
      </c>
      <c r="F116" s="135">
        <v>117.38</v>
      </c>
      <c r="G116" s="135">
        <v>110.35</v>
      </c>
      <c r="H116" s="530"/>
      <c r="I116" s="37"/>
      <c r="J116" s="532">
        <v>134.62</v>
      </c>
      <c r="K116" s="135">
        <v>87.29</v>
      </c>
      <c r="L116" s="12">
        <v>66.5</v>
      </c>
      <c r="M116" s="135">
        <v>86.73</v>
      </c>
      <c r="N116" s="135">
        <v>103.76</v>
      </c>
      <c r="O116" s="135">
        <v>107.67</v>
      </c>
      <c r="P116" s="155">
        <v>81.94</v>
      </c>
      <c r="Q116" s="37"/>
      <c r="R116" s="12">
        <v>110.8</v>
      </c>
      <c r="S116" s="131">
        <v>55.25</v>
      </c>
      <c r="T116" s="155">
        <v>113.67</v>
      </c>
      <c r="U116" s="12">
        <v>113.75</v>
      </c>
      <c r="V116" s="12">
        <v>76.38</v>
      </c>
      <c r="W116" s="135">
        <v>89.59</v>
      </c>
      <c r="X116" s="135">
        <v>97.88</v>
      </c>
      <c r="Y116" s="37"/>
      <c r="Z116" s="131">
        <v>92.33</v>
      </c>
      <c r="AA116" s="12">
        <v>91.1</v>
      </c>
      <c r="AB116" s="530"/>
      <c r="AC116" s="530"/>
      <c r="AD116" s="532">
        <v>132.46</v>
      </c>
      <c r="AE116" s="131">
        <v>70.459999999999994</v>
      </c>
      <c r="AF116" s="135">
        <v>75.33</v>
      </c>
      <c r="AG116" s="131">
        <v>84.82</v>
      </c>
      <c r="AH116" s="131">
        <v>90.92</v>
      </c>
      <c r="AI116" s="131"/>
      <c r="AJ116" s="37"/>
      <c r="AK116" s="38"/>
      <c r="AL116" s="453"/>
      <c r="AN116" s="30"/>
    </row>
    <row r="117" spans="1:40" x14ac:dyDescent="0.25">
      <c r="A117" s="382">
        <v>171</v>
      </c>
      <c r="B117" s="131">
        <v>76.55</v>
      </c>
      <c r="C117" s="135">
        <v>57.52</v>
      </c>
      <c r="D117" s="155">
        <v>55.35</v>
      </c>
      <c r="E117" s="135">
        <v>100.06</v>
      </c>
      <c r="F117" s="155">
        <v>71.040000000000006</v>
      </c>
      <c r="G117" s="135">
        <v>76.489999999999995</v>
      </c>
      <c r="H117" s="135">
        <v>35.159999999999997</v>
      </c>
      <c r="I117" s="37"/>
      <c r="J117" s="532">
        <v>122.74</v>
      </c>
      <c r="K117" s="135">
        <v>83.46</v>
      </c>
      <c r="L117" s="135">
        <v>85.52</v>
      </c>
      <c r="M117" s="135">
        <v>97.68</v>
      </c>
      <c r="N117" s="135">
        <v>107.13</v>
      </c>
      <c r="O117" s="135">
        <v>83.35</v>
      </c>
      <c r="P117" s="155">
        <v>100.06</v>
      </c>
      <c r="Q117" s="37"/>
      <c r="R117" s="530"/>
      <c r="S117" s="131">
        <v>50.13</v>
      </c>
      <c r="T117" s="155">
        <v>92.62</v>
      </c>
      <c r="U117" s="12">
        <v>87.2</v>
      </c>
      <c r="V117" s="131">
        <v>96.91</v>
      </c>
      <c r="W117" s="530"/>
      <c r="X117" s="530"/>
      <c r="Y117" s="37"/>
      <c r="Z117" s="131">
        <v>115.11</v>
      </c>
      <c r="AA117" s="131">
        <v>91.72</v>
      </c>
      <c r="AB117" s="12">
        <v>95.24</v>
      </c>
      <c r="AC117" s="12">
        <v>103.58</v>
      </c>
      <c r="AD117" s="12">
        <v>94.51</v>
      </c>
      <c r="AE117" s="131">
        <v>92.68</v>
      </c>
      <c r="AF117" s="537"/>
      <c r="AG117" s="131">
        <v>66.88</v>
      </c>
      <c r="AH117" s="12">
        <v>88.9</v>
      </c>
      <c r="AI117" s="131"/>
      <c r="AJ117" s="37"/>
      <c r="AK117" s="38"/>
      <c r="AL117" s="453"/>
      <c r="AN117" s="30"/>
    </row>
    <row r="118" spans="1:40" x14ac:dyDescent="0.25">
      <c r="A118" s="382">
        <v>172</v>
      </c>
      <c r="B118" s="537"/>
      <c r="C118" s="537"/>
      <c r="D118" s="537"/>
      <c r="E118" s="570">
        <v>98.94</v>
      </c>
      <c r="F118" s="778"/>
      <c r="G118" s="778"/>
      <c r="H118" s="778"/>
      <c r="I118" s="37"/>
      <c r="J118" s="530"/>
      <c r="K118" s="537"/>
      <c r="L118" s="537"/>
      <c r="M118" s="537"/>
      <c r="N118" s="537"/>
      <c r="O118" s="537"/>
      <c r="P118" s="537"/>
      <c r="Q118" s="861" t="s">
        <v>290</v>
      </c>
      <c r="R118" s="537"/>
      <c r="S118" s="537"/>
      <c r="T118" s="537"/>
      <c r="U118" s="537"/>
      <c r="V118" s="537"/>
      <c r="W118" s="530"/>
      <c r="X118" s="530"/>
      <c r="Y118" s="861" t="s">
        <v>290</v>
      </c>
      <c r="Z118" s="537"/>
      <c r="AA118" s="532">
        <v>200.34</v>
      </c>
      <c r="AB118" s="530"/>
      <c r="AC118" s="530"/>
      <c r="AD118" s="530"/>
      <c r="AE118" s="530"/>
      <c r="AF118" s="868">
        <v>65.739999999999995</v>
      </c>
      <c r="AG118" s="537"/>
      <c r="AH118" s="537"/>
      <c r="AI118" s="869"/>
      <c r="AJ118" s="37"/>
      <c r="AK118" s="38"/>
      <c r="AL118" s="453"/>
      <c r="AN118" s="820"/>
    </row>
    <row r="119" spans="1:40" x14ac:dyDescent="0.25">
      <c r="A119" s="382">
        <v>173</v>
      </c>
      <c r="B119" s="537"/>
      <c r="C119" s="537"/>
      <c r="D119" s="537"/>
      <c r="E119" s="537"/>
      <c r="F119" s="778"/>
      <c r="G119" s="778"/>
      <c r="H119" s="548">
        <v>141.18</v>
      </c>
      <c r="I119" s="37"/>
      <c r="J119" s="537"/>
      <c r="K119" s="537"/>
      <c r="L119" s="537"/>
      <c r="M119" s="537"/>
      <c r="N119" s="537"/>
      <c r="O119" s="537"/>
      <c r="P119" s="537"/>
      <c r="Q119" s="861" t="s">
        <v>290</v>
      </c>
      <c r="R119" s="537"/>
      <c r="S119" s="537"/>
      <c r="T119" s="537"/>
      <c r="U119" s="530"/>
      <c r="V119" s="537"/>
      <c r="W119" s="537"/>
      <c r="X119" s="537"/>
      <c r="Y119" s="861" t="s">
        <v>290</v>
      </c>
      <c r="Z119" s="530"/>
      <c r="AA119" s="530"/>
      <c r="AB119" s="532">
        <v>157.06</v>
      </c>
      <c r="AC119" s="530"/>
      <c r="AD119" s="530"/>
      <c r="AE119" s="530"/>
      <c r="AF119" s="530"/>
      <c r="AG119" s="530"/>
      <c r="AH119" s="530"/>
      <c r="AI119" s="572"/>
      <c r="AJ119" s="861" t="s">
        <v>290</v>
      </c>
      <c r="AK119" s="38"/>
      <c r="AL119" s="453"/>
      <c r="AN119" s="820"/>
    </row>
    <row r="120" spans="1:40" x14ac:dyDescent="0.25">
      <c r="A120" s="385">
        <v>174</v>
      </c>
      <c r="B120" s="131">
        <v>74.94</v>
      </c>
      <c r="C120" s="131">
        <v>38.14</v>
      </c>
      <c r="D120" s="155">
        <v>48.21</v>
      </c>
      <c r="E120" s="135">
        <v>63.01</v>
      </c>
      <c r="F120" s="530"/>
      <c r="G120" s="155">
        <v>72.97</v>
      </c>
      <c r="H120" s="155">
        <v>65.95</v>
      </c>
      <c r="I120" s="37"/>
      <c r="J120" s="135">
        <v>73.3</v>
      </c>
      <c r="K120" s="131">
        <v>90.04</v>
      </c>
      <c r="L120" s="135">
        <v>60.18</v>
      </c>
      <c r="M120" s="131">
        <v>87.78</v>
      </c>
      <c r="N120" s="131">
        <v>61.58</v>
      </c>
      <c r="O120" s="131">
        <v>74.36</v>
      </c>
      <c r="P120" s="155">
        <v>87.19</v>
      </c>
      <c r="Q120" s="37"/>
      <c r="R120" s="12">
        <v>60.77</v>
      </c>
      <c r="S120" s="537"/>
      <c r="T120" s="537"/>
      <c r="U120" s="12">
        <v>66.739999999999995</v>
      </c>
      <c r="V120" s="131">
        <v>87.57</v>
      </c>
      <c r="W120" s="135">
        <v>98.9</v>
      </c>
      <c r="X120" s="135">
        <v>66.930000000000007</v>
      </c>
      <c r="Y120" s="37"/>
      <c r="Z120" s="131">
        <v>83.77</v>
      </c>
      <c r="AA120" s="131">
        <v>72.989999999999995</v>
      </c>
      <c r="AB120" s="12">
        <v>68.260000000000005</v>
      </c>
      <c r="AC120" s="12">
        <v>79.41</v>
      </c>
      <c r="AD120" s="12">
        <v>81.38</v>
      </c>
      <c r="AE120" s="12">
        <v>77.900000000000006</v>
      </c>
      <c r="AF120" s="131">
        <v>73.930000000000007</v>
      </c>
      <c r="AG120" s="131">
        <v>73.62</v>
      </c>
      <c r="AH120" s="131">
        <v>75.63</v>
      </c>
      <c r="AI120" s="131"/>
      <c r="AJ120" s="37"/>
      <c r="AK120" s="38"/>
      <c r="AL120" s="454" t="s">
        <v>251</v>
      </c>
      <c r="AN120" s="820"/>
    </row>
    <row r="121" spans="1:40" x14ac:dyDescent="0.25">
      <c r="A121" s="385">
        <v>175</v>
      </c>
      <c r="B121" s="155">
        <v>61.83</v>
      </c>
      <c r="C121" s="131">
        <v>42.69</v>
      </c>
      <c r="D121" s="135">
        <v>38.24</v>
      </c>
      <c r="E121" s="135">
        <v>61.11</v>
      </c>
      <c r="F121" s="155">
        <v>70.58</v>
      </c>
      <c r="G121" s="135">
        <v>33.85</v>
      </c>
      <c r="H121" s="135">
        <v>69.42</v>
      </c>
      <c r="I121" s="37"/>
      <c r="J121" s="135">
        <v>73.760000000000005</v>
      </c>
      <c r="K121" s="135">
        <v>54.52</v>
      </c>
      <c r="L121" s="135">
        <v>63.84</v>
      </c>
      <c r="M121" s="135">
        <v>68.36</v>
      </c>
      <c r="N121" s="135">
        <v>73.06</v>
      </c>
      <c r="O121" s="155">
        <v>73.72</v>
      </c>
      <c r="P121" s="135">
        <v>67.16</v>
      </c>
      <c r="Q121" s="37"/>
      <c r="R121" s="131">
        <v>80.459999999999994</v>
      </c>
      <c r="S121" s="131">
        <v>64.09</v>
      </c>
      <c r="T121" s="155">
        <v>83.53</v>
      </c>
      <c r="U121" s="12">
        <v>72.599999999999994</v>
      </c>
      <c r="V121" s="131">
        <v>25.94</v>
      </c>
      <c r="W121" s="135">
        <v>99.15</v>
      </c>
      <c r="X121" s="135">
        <v>67.010000000000005</v>
      </c>
      <c r="Y121" s="37"/>
      <c r="Z121" s="131">
        <v>81.010000000000005</v>
      </c>
      <c r="AA121" s="12">
        <v>58.9</v>
      </c>
      <c r="AB121" s="12">
        <v>79.650000000000006</v>
      </c>
      <c r="AC121" s="12">
        <v>80.19</v>
      </c>
      <c r="AD121" s="12">
        <v>72.75</v>
      </c>
      <c r="AE121" s="131">
        <v>76.38</v>
      </c>
      <c r="AF121" s="131">
        <v>63.17</v>
      </c>
      <c r="AG121" s="537"/>
      <c r="AH121" s="12">
        <v>26.1</v>
      </c>
      <c r="AI121" s="131"/>
      <c r="AJ121" s="37"/>
      <c r="AK121" s="38"/>
      <c r="AL121" s="455" t="s">
        <v>376</v>
      </c>
      <c r="AN121" s="30"/>
    </row>
    <row r="122" spans="1:40" x14ac:dyDescent="0.25">
      <c r="A122" s="385">
        <v>176</v>
      </c>
      <c r="B122" s="131">
        <v>3.01</v>
      </c>
      <c r="C122" s="537"/>
      <c r="D122" s="537"/>
      <c r="E122" s="537"/>
      <c r="F122" s="537"/>
      <c r="G122" s="537"/>
      <c r="H122" s="537"/>
      <c r="I122" s="37"/>
      <c r="J122" s="537"/>
      <c r="K122" s="537"/>
      <c r="L122" s="537"/>
      <c r="M122" s="537"/>
      <c r="N122" s="537"/>
      <c r="O122" s="537"/>
      <c r="P122" s="537"/>
      <c r="Q122" s="861" t="s">
        <v>290</v>
      </c>
      <c r="R122" s="537"/>
      <c r="S122" s="537"/>
      <c r="T122" s="537"/>
      <c r="U122" s="537"/>
      <c r="V122" s="537"/>
      <c r="W122" s="530"/>
      <c r="X122" s="530"/>
      <c r="Y122" s="861" t="s">
        <v>290</v>
      </c>
      <c r="Z122" s="530"/>
      <c r="AA122" s="530"/>
      <c r="AB122" s="530"/>
      <c r="AC122" s="530"/>
      <c r="AD122" s="530"/>
      <c r="AE122" s="530"/>
      <c r="AF122" s="530"/>
      <c r="AG122" s="530"/>
      <c r="AH122" s="530"/>
      <c r="AI122" s="530"/>
      <c r="AJ122" s="861" t="s">
        <v>290</v>
      </c>
      <c r="AK122" s="44"/>
      <c r="AL122" s="455"/>
      <c r="AN122" s="820"/>
    </row>
    <row r="123" spans="1:40" x14ac:dyDescent="0.25">
      <c r="A123" s="385">
        <v>177</v>
      </c>
      <c r="B123" s="12">
        <v>78.8</v>
      </c>
      <c r="C123" s="155">
        <v>32.76</v>
      </c>
      <c r="D123" s="155">
        <v>65.59</v>
      </c>
      <c r="E123" s="155">
        <v>90.87</v>
      </c>
      <c r="F123" s="155">
        <v>71.540000000000006</v>
      </c>
      <c r="G123" s="155">
        <v>34.409999999999997</v>
      </c>
      <c r="H123" s="155">
        <v>91.36</v>
      </c>
      <c r="I123" s="37"/>
      <c r="J123" s="155">
        <v>87.69</v>
      </c>
      <c r="K123" s="12">
        <v>105.23</v>
      </c>
      <c r="L123" s="12">
        <v>46.83</v>
      </c>
      <c r="M123" s="155">
        <v>87.47</v>
      </c>
      <c r="N123" s="131">
        <v>90.76</v>
      </c>
      <c r="O123" s="131">
        <v>71.42</v>
      </c>
      <c r="P123" s="155">
        <v>48.13</v>
      </c>
      <c r="Q123" s="37"/>
      <c r="R123" s="131">
        <v>86.86</v>
      </c>
      <c r="S123" s="131">
        <v>78.23</v>
      </c>
      <c r="T123" s="155">
        <v>87.92</v>
      </c>
      <c r="U123" s="12">
        <v>42.85</v>
      </c>
      <c r="V123" s="12">
        <v>101.7</v>
      </c>
      <c r="W123" s="135">
        <v>112.09</v>
      </c>
      <c r="X123" s="135">
        <v>65.290000000000006</v>
      </c>
      <c r="Y123" s="37"/>
      <c r="Z123" s="135">
        <v>82.99</v>
      </c>
      <c r="AA123" s="131">
        <v>65.44</v>
      </c>
      <c r="AB123" s="12">
        <v>93.36</v>
      </c>
      <c r="AC123" s="12">
        <v>71.8</v>
      </c>
      <c r="AD123" s="12">
        <v>90.95</v>
      </c>
      <c r="AE123" s="530"/>
      <c r="AF123" s="537"/>
      <c r="AG123" s="537"/>
      <c r="AH123" s="537"/>
      <c r="AI123" s="131"/>
      <c r="AJ123" s="47"/>
      <c r="AK123" s="48"/>
      <c r="AL123" s="455"/>
      <c r="AN123" s="30"/>
    </row>
    <row r="124" spans="1:40" x14ac:dyDescent="0.25">
      <c r="A124" s="385">
        <v>178</v>
      </c>
      <c r="B124" s="131">
        <v>78.13</v>
      </c>
      <c r="C124" s="155">
        <v>90.07</v>
      </c>
      <c r="D124" s="135">
        <v>47.63</v>
      </c>
      <c r="E124" s="135">
        <v>88</v>
      </c>
      <c r="F124" s="135">
        <v>77.87</v>
      </c>
      <c r="G124" s="135">
        <v>77.22</v>
      </c>
      <c r="H124" s="135">
        <v>101.04</v>
      </c>
      <c r="I124" s="37"/>
      <c r="J124" s="135">
        <v>66.22</v>
      </c>
      <c r="K124" s="131">
        <v>67.02</v>
      </c>
      <c r="L124" s="155">
        <v>67.97</v>
      </c>
      <c r="M124" s="135">
        <v>84.21</v>
      </c>
      <c r="N124" s="135">
        <v>89.3</v>
      </c>
      <c r="O124" s="155">
        <v>95.27</v>
      </c>
      <c r="P124" s="135">
        <v>54.35</v>
      </c>
      <c r="Q124" s="37"/>
      <c r="R124" s="131">
        <v>67.989999999999995</v>
      </c>
      <c r="S124" s="537"/>
      <c r="T124" s="155">
        <v>72.83</v>
      </c>
      <c r="U124" s="532">
        <v>177.71</v>
      </c>
      <c r="V124" s="12">
        <v>101.68</v>
      </c>
      <c r="W124" s="135">
        <v>75.14</v>
      </c>
      <c r="X124" s="135">
        <v>101.06</v>
      </c>
      <c r="Y124" s="37"/>
      <c r="Z124" s="131">
        <v>85.98</v>
      </c>
      <c r="AA124" s="530"/>
      <c r="AB124" s="12">
        <v>77.260000000000005</v>
      </c>
      <c r="AC124" s="12">
        <v>89.88</v>
      </c>
      <c r="AD124" s="12">
        <v>79.989999999999995</v>
      </c>
      <c r="AE124" s="131">
        <v>75.98</v>
      </c>
      <c r="AF124" s="131">
        <v>64.180000000000007</v>
      </c>
      <c r="AG124" s="131">
        <v>62.56</v>
      </c>
      <c r="AH124" s="131">
        <v>88.74</v>
      </c>
      <c r="AI124" s="131"/>
      <c r="AJ124" s="49"/>
      <c r="AK124" s="48"/>
      <c r="AL124" s="455"/>
      <c r="AN124" s="30"/>
    </row>
    <row r="125" spans="1:40" x14ac:dyDescent="0.25">
      <c r="A125" s="385">
        <v>179</v>
      </c>
      <c r="B125" s="131">
        <v>100.44</v>
      </c>
      <c r="C125" s="155">
        <v>51.62</v>
      </c>
      <c r="D125" s="155">
        <v>23.74</v>
      </c>
      <c r="E125" s="135">
        <v>118.73</v>
      </c>
      <c r="F125" s="155">
        <v>71.47</v>
      </c>
      <c r="G125" s="155">
        <v>90.56</v>
      </c>
      <c r="H125" s="155">
        <v>80.16</v>
      </c>
      <c r="I125" s="37"/>
      <c r="J125" s="155">
        <v>93.29</v>
      </c>
      <c r="K125" s="131">
        <v>65.42</v>
      </c>
      <c r="L125" s="131">
        <v>78.010000000000005</v>
      </c>
      <c r="M125" s="135">
        <v>101.89</v>
      </c>
      <c r="N125" s="12">
        <v>85.27</v>
      </c>
      <c r="O125" s="131">
        <v>84.39</v>
      </c>
      <c r="P125" s="155">
        <v>58.15</v>
      </c>
      <c r="Q125" s="37"/>
      <c r="R125" s="131">
        <v>85.36</v>
      </c>
      <c r="S125" s="131">
        <v>77.349999999999994</v>
      </c>
      <c r="T125" s="135">
        <v>93</v>
      </c>
      <c r="U125" s="12">
        <v>80.66</v>
      </c>
      <c r="V125" s="131">
        <v>40.659999999999997</v>
      </c>
      <c r="W125" s="135">
        <v>116.71</v>
      </c>
      <c r="X125" s="530"/>
      <c r="Y125" s="37"/>
      <c r="Z125" s="131">
        <v>95.62</v>
      </c>
      <c r="AA125" s="131">
        <v>17.420000000000002</v>
      </c>
      <c r="AB125" s="12">
        <v>68.569999999999993</v>
      </c>
      <c r="AC125" s="12">
        <v>97.78</v>
      </c>
      <c r="AD125" s="12">
        <v>78.22</v>
      </c>
      <c r="AE125" s="131">
        <v>68.77</v>
      </c>
      <c r="AF125" s="131">
        <v>103.75</v>
      </c>
      <c r="AG125" s="131">
        <v>71.56</v>
      </c>
      <c r="AH125" s="131">
        <v>22.02</v>
      </c>
      <c r="AI125" s="131"/>
      <c r="AJ125" s="36"/>
      <c r="AK125" s="14"/>
      <c r="AL125" s="455"/>
      <c r="AN125" s="31"/>
    </row>
    <row r="126" spans="1:40" x14ac:dyDescent="0.25">
      <c r="A126" s="385">
        <v>180</v>
      </c>
      <c r="B126" s="131">
        <v>36.11</v>
      </c>
      <c r="C126" s="537"/>
      <c r="D126" s="778"/>
      <c r="E126" s="155">
        <v>57.43</v>
      </c>
      <c r="F126" s="537"/>
      <c r="G126" s="537"/>
      <c r="H126" s="537"/>
      <c r="I126" s="37"/>
      <c r="J126" s="537"/>
      <c r="K126" s="537"/>
      <c r="L126" s="537"/>
      <c r="M126" s="537"/>
      <c r="N126" s="537"/>
      <c r="O126" s="537"/>
      <c r="P126" s="131">
        <v>68.739999999999995</v>
      </c>
      <c r="Q126" s="37"/>
      <c r="R126" s="537"/>
      <c r="S126" s="537"/>
      <c r="T126" s="537"/>
      <c r="U126" s="537"/>
      <c r="V126" s="537"/>
      <c r="W126" s="135">
        <v>94.29</v>
      </c>
      <c r="X126" s="537"/>
      <c r="Y126" s="37"/>
      <c r="Z126" s="135">
        <v>61.74</v>
      </c>
      <c r="AA126" s="530"/>
      <c r="AB126" s="530"/>
      <c r="AC126" s="530"/>
      <c r="AD126" s="530"/>
      <c r="AE126" s="530"/>
      <c r="AF126" s="135">
        <v>68.209999999999994</v>
      </c>
      <c r="AG126" s="537"/>
      <c r="AH126" s="537"/>
      <c r="AI126" s="131"/>
      <c r="AJ126" s="37"/>
      <c r="AK126" s="38"/>
      <c r="AL126" s="455"/>
      <c r="AN126" s="820"/>
    </row>
    <row r="127" spans="1:40" x14ac:dyDescent="0.25">
      <c r="A127" s="385">
        <v>181</v>
      </c>
      <c r="B127" s="131">
        <v>88.22</v>
      </c>
      <c r="C127" s="155">
        <v>54.39</v>
      </c>
      <c r="D127" s="155">
        <v>59.05</v>
      </c>
      <c r="E127" s="135">
        <v>90.16</v>
      </c>
      <c r="F127" s="155">
        <v>82.49</v>
      </c>
      <c r="G127" s="155">
        <v>55.64</v>
      </c>
      <c r="H127" s="135">
        <v>87.38</v>
      </c>
      <c r="I127" s="37"/>
      <c r="J127" s="155">
        <v>91.29</v>
      </c>
      <c r="K127" s="131">
        <v>80.069999999999993</v>
      </c>
      <c r="L127" s="131">
        <v>83.96</v>
      </c>
      <c r="M127" s="135">
        <v>86.6</v>
      </c>
      <c r="N127" s="135">
        <v>65.16</v>
      </c>
      <c r="O127" s="155">
        <v>119.14</v>
      </c>
      <c r="P127" s="135">
        <v>75.66</v>
      </c>
      <c r="Q127" s="37"/>
      <c r="R127" s="131">
        <v>58.02</v>
      </c>
      <c r="S127" s="131">
        <v>117.21</v>
      </c>
      <c r="T127" s="135">
        <v>71.2</v>
      </c>
      <c r="U127" s="12">
        <v>80.47</v>
      </c>
      <c r="V127" s="131">
        <v>80.569999999999993</v>
      </c>
      <c r="W127" s="135">
        <v>94.68</v>
      </c>
      <c r="X127" s="135">
        <v>83.86</v>
      </c>
      <c r="Y127" s="37"/>
      <c r="Z127" s="131">
        <v>90.27</v>
      </c>
      <c r="AA127" s="131">
        <v>77.37</v>
      </c>
      <c r="AB127" s="12">
        <v>91.92</v>
      </c>
      <c r="AC127" s="12">
        <v>95.44</v>
      </c>
      <c r="AD127" s="12">
        <v>100.61</v>
      </c>
      <c r="AE127" s="131">
        <v>95.92</v>
      </c>
      <c r="AF127" s="131">
        <v>76.92</v>
      </c>
      <c r="AG127" s="131">
        <v>81.069999999999993</v>
      </c>
      <c r="AH127" s="131">
        <v>107.15</v>
      </c>
      <c r="AI127" s="131"/>
      <c r="AJ127" s="37"/>
      <c r="AK127" s="38"/>
      <c r="AL127" s="455"/>
      <c r="AN127" s="31"/>
    </row>
    <row r="128" spans="1:40" x14ac:dyDescent="0.25">
      <c r="A128" s="385">
        <v>182</v>
      </c>
      <c r="B128" s="131">
        <v>87.47</v>
      </c>
      <c r="C128" s="135">
        <v>37.69</v>
      </c>
      <c r="D128" s="135">
        <v>57.74</v>
      </c>
      <c r="E128" s="135">
        <v>84.91</v>
      </c>
      <c r="F128" s="135">
        <v>72.209999999999994</v>
      </c>
      <c r="G128" s="135">
        <v>79</v>
      </c>
      <c r="H128" s="135">
        <v>84.57</v>
      </c>
      <c r="I128" s="37"/>
      <c r="J128" s="135">
        <v>88.39</v>
      </c>
      <c r="K128" s="135">
        <v>60.23</v>
      </c>
      <c r="L128" s="530"/>
      <c r="M128" s="135">
        <v>58.49</v>
      </c>
      <c r="N128" s="530"/>
      <c r="O128" s="155">
        <v>32.950000000000003</v>
      </c>
      <c r="P128" s="155">
        <v>67.38</v>
      </c>
      <c r="Q128" s="37"/>
      <c r="R128" s="12">
        <v>69.7</v>
      </c>
      <c r="S128" s="131">
        <v>70.510000000000005</v>
      </c>
      <c r="T128" s="155">
        <v>87.15</v>
      </c>
      <c r="U128" s="12">
        <v>72.12</v>
      </c>
      <c r="V128" s="131">
        <v>99.46</v>
      </c>
      <c r="W128" s="135">
        <v>75.45</v>
      </c>
      <c r="X128" s="135">
        <v>72.67</v>
      </c>
      <c r="Y128" s="37"/>
      <c r="Z128" s="131">
        <v>81.81</v>
      </c>
      <c r="AA128" s="12">
        <v>88.7</v>
      </c>
      <c r="AB128" s="530"/>
      <c r="AC128" s="530"/>
      <c r="AD128" s="530"/>
      <c r="AE128" s="12">
        <v>67.89</v>
      </c>
      <c r="AF128" s="131">
        <v>72.03</v>
      </c>
      <c r="AG128" s="537"/>
      <c r="AH128" s="548">
        <v>133.11000000000001</v>
      </c>
      <c r="AI128" s="131"/>
      <c r="AJ128" s="37"/>
      <c r="AK128" s="38"/>
      <c r="AL128" s="455"/>
      <c r="AN128" s="30"/>
    </row>
    <row r="129" spans="1:40" x14ac:dyDescent="0.25">
      <c r="A129" s="385">
        <v>183</v>
      </c>
      <c r="B129" s="131">
        <v>53.69</v>
      </c>
      <c r="C129" s="131">
        <v>42.88</v>
      </c>
      <c r="D129" s="155">
        <v>31.66</v>
      </c>
      <c r="E129" s="155">
        <v>62.74</v>
      </c>
      <c r="F129" s="155">
        <v>73.150000000000006</v>
      </c>
      <c r="G129" s="155">
        <v>68.97</v>
      </c>
      <c r="H129" s="155">
        <v>75.650000000000006</v>
      </c>
      <c r="I129" s="37"/>
      <c r="J129" s="155">
        <v>82.28</v>
      </c>
      <c r="K129" s="12">
        <v>50</v>
      </c>
      <c r="L129" s="131">
        <v>109.25</v>
      </c>
      <c r="M129" s="135">
        <v>79.459999999999994</v>
      </c>
      <c r="N129" s="135">
        <v>76.42</v>
      </c>
      <c r="O129" s="131">
        <v>77.260000000000005</v>
      </c>
      <c r="P129" s="135">
        <v>72.900000000000006</v>
      </c>
      <c r="Q129" s="37"/>
      <c r="R129" s="131">
        <v>24.13</v>
      </c>
      <c r="S129" s="131">
        <v>59.12</v>
      </c>
      <c r="T129" s="155">
        <v>77.98</v>
      </c>
      <c r="U129" s="12">
        <v>85.02</v>
      </c>
      <c r="V129" s="131">
        <v>70.52</v>
      </c>
      <c r="W129" s="135">
        <v>75.03</v>
      </c>
      <c r="X129" s="135">
        <v>70.53</v>
      </c>
      <c r="Y129" s="37"/>
      <c r="Z129" s="131">
        <v>76.91</v>
      </c>
      <c r="AA129" s="12">
        <v>74.900000000000006</v>
      </c>
      <c r="AB129" s="12">
        <v>71.69</v>
      </c>
      <c r="AC129" s="12">
        <v>93.5</v>
      </c>
      <c r="AD129" s="12">
        <v>54.6</v>
      </c>
      <c r="AE129" s="131">
        <v>50.47</v>
      </c>
      <c r="AF129" s="131">
        <v>70.55</v>
      </c>
      <c r="AG129" s="131">
        <v>86.38</v>
      </c>
      <c r="AH129" s="131">
        <v>85.55</v>
      </c>
      <c r="AI129" s="131"/>
      <c r="AJ129" s="37"/>
      <c r="AK129" s="38"/>
      <c r="AL129" s="455"/>
      <c r="AN129" s="30"/>
    </row>
    <row r="130" spans="1:40" x14ac:dyDescent="0.25">
      <c r="A130" s="385">
        <v>184</v>
      </c>
      <c r="B130" s="155">
        <v>20.32</v>
      </c>
      <c r="C130" s="530"/>
      <c r="D130" s="578"/>
      <c r="E130" s="135">
        <v>53.39</v>
      </c>
      <c r="F130" s="155">
        <v>67.760000000000005</v>
      </c>
      <c r="G130" s="135">
        <v>42.94</v>
      </c>
      <c r="H130" s="155">
        <v>66.62</v>
      </c>
      <c r="I130" s="37"/>
      <c r="J130" s="537"/>
      <c r="K130" s="530"/>
      <c r="L130" s="135">
        <v>43.32</v>
      </c>
      <c r="M130" s="135">
        <v>115.96</v>
      </c>
      <c r="N130" s="135">
        <v>68.680000000000007</v>
      </c>
      <c r="O130" s="135">
        <v>79.09</v>
      </c>
      <c r="P130" s="155">
        <v>62.56</v>
      </c>
      <c r="Q130" s="37"/>
      <c r="R130" s="131">
        <v>79.84</v>
      </c>
      <c r="S130" s="131">
        <v>69.17</v>
      </c>
      <c r="T130" s="155">
        <v>54.23</v>
      </c>
      <c r="U130" s="12">
        <v>74.89</v>
      </c>
      <c r="V130" s="131">
        <v>57.48</v>
      </c>
      <c r="W130" s="135">
        <v>80.09</v>
      </c>
      <c r="X130" s="135">
        <v>65.73</v>
      </c>
      <c r="Y130" s="37"/>
      <c r="Z130" s="131">
        <v>60.99</v>
      </c>
      <c r="AA130" s="131">
        <v>82.81</v>
      </c>
      <c r="AB130" s="530"/>
      <c r="AC130" s="532">
        <v>152.6</v>
      </c>
      <c r="AD130" s="12">
        <v>74.7</v>
      </c>
      <c r="AE130" s="770">
        <v>80.260000000000005</v>
      </c>
      <c r="AF130" s="12">
        <v>43.3</v>
      </c>
      <c r="AG130" s="131">
        <v>74.11</v>
      </c>
      <c r="AH130" s="131">
        <v>76.239999999999995</v>
      </c>
      <c r="AI130" s="131"/>
      <c r="AJ130" s="37"/>
      <c r="AK130" s="38"/>
      <c r="AL130" s="455"/>
      <c r="AN130" s="30"/>
    </row>
    <row r="131" spans="1:40" x14ac:dyDescent="0.25">
      <c r="A131" s="385">
        <v>185</v>
      </c>
      <c r="B131" s="12">
        <v>64.400000000000006</v>
      </c>
      <c r="C131" s="155">
        <v>42.01</v>
      </c>
      <c r="D131" s="578"/>
      <c r="E131" s="135">
        <v>72.540000000000006</v>
      </c>
      <c r="F131" s="537"/>
      <c r="G131" s="155">
        <v>72.56</v>
      </c>
      <c r="H131" s="155">
        <v>72.27</v>
      </c>
      <c r="I131" s="37"/>
      <c r="J131" s="155">
        <v>69.209999999999994</v>
      </c>
      <c r="K131" s="131">
        <v>57.77</v>
      </c>
      <c r="L131" s="131">
        <v>61.24</v>
      </c>
      <c r="M131" s="135">
        <v>56.95</v>
      </c>
      <c r="N131" s="131">
        <v>89.87</v>
      </c>
      <c r="O131" s="12">
        <v>70.69</v>
      </c>
      <c r="P131" s="155">
        <v>50.84</v>
      </c>
      <c r="Q131" s="37"/>
      <c r="R131" s="131">
        <v>89.96</v>
      </c>
      <c r="S131" s="12">
        <v>66.790000000000006</v>
      </c>
      <c r="T131" s="155">
        <v>61.85</v>
      </c>
      <c r="U131" s="12">
        <v>74.23</v>
      </c>
      <c r="V131" s="12">
        <v>44.6</v>
      </c>
      <c r="W131" s="135">
        <v>76.959999999999994</v>
      </c>
      <c r="X131" s="135">
        <v>81.42</v>
      </c>
      <c r="Y131" s="37"/>
      <c r="Z131" s="12">
        <v>75.67</v>
      </c>
      <c r="AA131" s="135">
        <v>58.49</v>
      </c>
      <c r="AB131" s="12">
        <v>86.04</v>
      </c>
      <c r="AC131" s="12">
        <v>70.930000000000007</v>
      </c>
      <c r="AD131" s="12">
        <v>87.37</v>
      </c>
      <c r="AE131" s="131">
        <v>75.88</v>
      </c>
      <c r="AF131" s="131">
        <v>72.150000000000006</v>
      </c>
      <c r="AG131" s="131">
        <v>72.52</v>
      </c>
      <c r="AH131" s="131">
        <v>55.58</v>
      </c>
      <c r="AI131" s="131"/>
      <c r="AJ131" s="37"/>
      <c r="AK131" s="38"/>
      <c r="AL131" s="455"/>
      <c r="AN131" s="30"/>
    </row>
    <row r="132" spans="1:40" x14ac:dyDescent="0.25">
      <c r="A132" s="385">
        <v>186</v>
      </c>
      <c r="B132" s="131">
        <v>82.24</v>
      </c>
      <c r="C132" s="131">
        <v>48.44</v>
      </c>
      <c r="D132" s="155">
        <v>47.63</v>
      </c>
      <c r="E132" s="155">
        <v>97.13</v>
      </c>
      <c r="F132" s="155">
        <v>65.58</v>
      </c>
      <c r="G132" s="135">
        <v>86.2</v>
      </c>
      <c r="H132" s="135">
        <v>64.94</v>
      </c>
      <c r="I132" s="37"/>
      <c r="J132" s="135">
        <v>88.27</v>
      </c>
      <c r="K132" s="135">
        <v>66.790000000000006</v>
      </c>
      <c r="L132" s="135">
        <v>55.22</v>
      </c>
      <c r="M132" s="135">
        <v>73.849999999999994</v>
      </c>
      <c r="N132" s="135">
        <v>78.36</v>
      </c>
      <c r="O132" s="155">
        <v>86.39</v>
      </c>
      <c r="P132" s="155">
        <v>75.89</v>
      </c>
      <c r="Q132" s="37"/>
      <c r="R132" s="12">
        <v>73.59</v>
      </c>
      <c r="S132" s="131">
        <v>76.67</v>
      </c>
      <c r="T132" s="155">
        <v>65.75</v>
      </c>
      <c r="U132" s="12">
        <v>65.97</v>
      </c>
      <c r="V132" s="131">
        <v>91.71</v>
      </c>
      <c r="W132" s="135">
        <v>104.33</v>
      </c>
      <c r="X132" s="135">
        <v>69.78</v>
      </c>
      <c r="Y132" s="37"/>
      <c r="Z132" s="131">
        <v>92.12</v>
      </c>
      <c r="AA132" s="131">
        <v>90.78</v>
      </c>
      <c r="AB132" s="12">
        <v>64.16</v>
      </c>
      <c r="AC132" s="12">
        <v>82.22</v>
      </c>
      <c r="AD132" s="530"/>
      <c r="AE132" s="530"/>
      <c r="AF132" s="537"/>
      <c r="AG132" s="131">
        <v>92.64</v>
      </c>
      <c r="AH132" s="131">
        <v>27.01</v>
      </c>
      <c r="AI132" s="131"/>
      <c r="AJ132" s="37"/>
      <c r="AK132" s="38"/>
      <c r="AL132" s="455"/>
      <c r="AN132" s="30"/>
    </row>
    <row r="133" spans="1:40" x14ac:dyDescent="0.25">
      <c r="A133" s="385">
        <v>187</v>
      </c>
      <c r="B133" s="537"/>
      <c r="C133" s="537"/>
      <c r="D133" s="537"/>
      <c r="E133" s="537"/>
      <c r="F133" s="778"/>
      <c r="G133" s="778"/>
      <c r="H133" s="778"/>
      <c r="I133" s="861" t="s">
        <v>290</v>
      </c>
      <c r="J133" s="537"/>
      <c r="K133" s="537"/>
      <c r="L133" s="537"/>
      <c r="M133" s="537"/>
      <c r="N133" s="537"/>
      <c r="O133" s="537"/>
      <c r="P133" s="537"/>
      <c r="Q133" s="861" t="s">
        <v>290</v>
      </c>
      <c r="R133" s="537"/>
      <c r="S133" s="537"/>
      <c r="T133" s="537"/>
      <c r="U133" s="537"/>
      <c r="V133" s="537"/>
      <c r="W133" s="530"/>
      <c r="X133" s="530"/>
      <c r="Y133" s="861" t="s">
        <v>290</v>
      </c>
      <c r="Z133" s="530"/>
      <c r="AA133" s="530"/>
      <c r="AB133" s="530"/>
      <c r="AC133" s="530"/>
      <c r="AD133" s="530"/>
      <c r="AE133" s="530"/>
      <c r="AF133" s="530"/>
      <c r="AG133" s="530"/>
      <c r="AH133" s="530"/>
      <c r="AI133" s="530"/>
      <c r="AJ133" s="861" t="s">
        <v>290</v>
      </c>
      <c r="AK133" s="38"/>
      <c r="AL133" s="455"/>
      <c r="AN133" s="820"/>
    </row>
    <row r="134" spans="1:40" x14ac:dyDescent="0.25">
      <c r="A134" s="385">
        <v>188</v>
      </c>
      <c r="B134" s="537"/>
      <c r="C134" s="530"/>
      <c r="D134" s="537"/>
      <c r="E134" s="537"/>
      <c r="F134" s="778"/>
      <c r="G134" s="578"/>
      <c r="H134" s="578"/>
      <c r="I134" s="861" t="s">
        <v>290</v>
      </c>
      <c r="J134" s="530"/>
      <c r="K134" s="530"/>
      <c r="L134" s="530"/>
      <c r="M134" s="530"/>
      <c r="N134" s="537"/>
      <c r="O134" s="537"/>
      <c r="P134" s="537"/>
      <c r="Q134" s="861" t="s">
        <v>290</v>
      </c>
      <c r="R134" s="537"/>
      <c r="S134" s="537"/>
      <c r="T134" s="537"/>
      <c r="U134" s="530"/>
      <c r="V134" s="537"/>
      <c r="W134" s="530"/>
      <c r="X134" s="530"/>
      <c r="Y134" s="861" t="s">
        <v>290</v>
      </c>
      <c r="Z134" s="537"/>
      <c r="AA134" s="537"/>
      <c r="AB134" s="530"/>
      <c r="AC134" s="530"/>
      <c r="AD134" s="533">
        <v>88.84</v>
      </c>
      <c r="AE134" s="533">
        <v>28.7</v>
      </c>
      <c r="AF134" s="570">
        <v>67.98</v>
      </c>
      <c r="AG134" s="570">
        <v>102.41</v>
      </c>
      <c r="AH134" s="533">
        <v>58</v>
      </c>
      <c r="AI134" s="570"/>
      <c r="AJ134" s="37"/>
      <c r="AK134" s="38"/>
      <c r="AL134" s="455"/>
      <c r="AN134" s="820"/>
    </row>
    <row r="135" spans="1:40" x14ac:dyDescent="0.25">
      <c r="A135" s="385">
        <v>189</v>
      </c>
      <c r="B135" s="155">
        <v>73.89</v>
      </c>
      <c r="C135" s="12">
        <v>45.5</v>
      </c>
      <c r="D135" s="155">
        <v>45.26</v>
      </c>
      <c r="E135" s="155">
        <v>80.150000000000006</v>
      </c>
      <c r="F135" s="530"/>
      <c r="G135" s="537"/>
      <c r="H135" s="530"/>
      <c r="I135" s="37"/>
      <c r="J135" s="537"/>
      <c r="K135" s="12">
        <v>100.62</v>
      </c>
      <c r="L135" s="12">
        <v>93.15</v>
      </c>
      <c r="M135" s="155">
        <v>50.93</v>
      </c>
      <c r="N135" s="548">
        <v>155.96</v>
      </c>
      <c r="O135" s="131">
        <v>52.46</v>
      </c>
      <c r="P135" s="155">
        <v>103.92</v>
      </c>
      <c r="Q135" s="37"/>
      <c r="R135" s="135">
        <v>69.790000000000006</v>
      </c>
      <c r="S135" s="131">
        <v>52.88</v>
      </c>
      <c r="T135" s="530"/>
      <c r="U135" s="530"/>
      <c r="V135" s="537"/>
      <c r="W135" s="530"/>
      <c r="X135" s="530"/>
      <c r="Y135" s="37"/>
      <c r="Z135" s="537"/>
      <c r="AA135" s="537"/>
      <c r="AB135" s="530"/>
      <c r="AC135" s="12">
        <v>75.22</v>
      </c>
      <c r="AD135" s="12">
        <v>84.57</v>
      </c>
      <c r="AE135" s="131">
        <v>76.41</v>
      </c>
      <c r="AF135" s="12">
        <v>77.42</v>
      </c>
      <c r="AG135" s="131">
        <v>81.59</v>
      </c>
      <c r="AH135" s="131">
        <v>68.13</v>
      </c>
      <c r="AI135" s="131"/>
      <c r="AJ135" s="37"/>
      <c r="AK135" s="38"/>
      <c r="AL135" s="455"/>
      <c r="AN135" s="819"/>
    </row>
    <row r="136" spans="1:40" x14ac:dyDescent="0.25">
      <c r="A136" s="385">
        <v>190</v>
      </c>
      <c r="B136" s="12">
        <v>72.599999999999994</v>
      </c>
      <c r="C136" s="135">
        <v>59.4</v>
      </c>
      <c r="D136" s="135">
        <v>40.54</v>
      </c>
      <c r="E136" s="155">
        <v>50.56</v>
      </c>
      <c r="F136" s="135">
        <v>71.25</v>
      </c>
      <c r="G136" s="135">
        <v>75.94</v>
      </c>
      <c r="H136" s="135">
        <v>77.41</v>
      </c>
      <c r="I136" s="37"/>
      <c r="J136" s="135">
        <v>88.24</v>
      </c>
      <c r="K136" s="135">
        <v>67.87</v>
      </c>
      <c r="L136" s="131">
        <v>65.34</v>
      </c>
      <c r="M136" s="155">
        <v>86.71</v>
      </c>
      <c r="N136" s="135">
        <v>59.78</v>
      </c>
      <c r="O136" s="530"/>
      <c r="P136" s="155">
        <v>68.47</v>
      </c>
      <c r="Q136" s="37"/>
      <c r="R136" s="12">
        <v>47.26</v>
      </c>
      <c r="S136" s="131">
        <v>77.88</v>
      </c>
      <c r="T136" s="135">
        <v>91.6</v>
      </c>
      <c r="U136" s="12">
        <v>77.31</v>
      </c>
      <c r="V136" s="12">
        <v>76.16</v>
      </c>
      <c r="W136" s="135">
        <v>76.209999999999994</v>
      </c>
      <c r="X136" s="135">
        <v>82.52</v>
      </c>
      <c r="Y136" s="37"/>
      <c r="Z136" s="131">
        <v>91.72</v>
      </c>
      <c r="AA136" s="131">
        <v>53.93</v>
      </c>
      <c r="AB136" s="12">
        <v>89.81</v>
      </c>
      <c r="AC136" s="12">
        <v>100.02</v>
      </c>
      <c r="AD136" s="12">
        <v>93.95</v>
      </c>
      <c r="AE136" s="131">
        <v>68.64</v>
      </c>
      <c r="AF136" s="131">
        <v>72.67</v>
      </c>
      <c r="AG136" s="131">
        <v>82.03</v>
      </c>
      <c r="AH136" s="131">
        <v>81.61</v>
      </c>
      <c r="AI136" s="131"/>
      <c r="AJ136" s="37"/>
      <c r="AK136" s="38"/>
      <c r="AL136" s="455"/>
      <c r="AN136" s="31"/>
    </row>
    <row r="137" spans="1:40" x14ac:dyDescent="0.25">
      <c r="A137" s="385">
        <v>191</v>
      </c>
      <c r="B137" s="131">
        <v>88.02</v>
      </c>
      <c r="C137" s="135">
        <v>72.72</v>
      </c>
      <c r="D137" s="155">
        <v>17.079999999999998</v>
      </c>
      <c r="E137" s="135">
        <v>80.040000000000006</v>
      </c>
      <c r="F137" s="135">
        <v>71.94</v>
      </c>
      <c r="G137" s="135">
        <v>88.91</v>
      </c>
      <c r="H137" s="135">
        <v>73.5</v>
      </c>
      <c r="I137" s="37"/>
      <c r="J137" s="135">
        <v>67.73</v>
      </c>
      <c r="K137" s="135">
        <v>70.95</v>
      </c>
      <c r="L137" s="135">
        <v>69.59</v>
      </c>
      <c r="M137" s="135">
        <v>86.64</v>
      </c>
      <c r="N137" s="135">
        <v>78.39</v>
      </c>
      <c r="O137" s="12">
        <v>103.2</v>
      </c>
      <c r="P137" s="155">
        <v>91.13</v>
      </c>
      <c r="Q137" s="37"/>
      <c r="R137" s="155">
        <v>96.23</v>
      </c>
      <c r="S137" s="131">
        <v>57.96</v>
      </c>
      <c r="T137" s="155">
        <v>88.69</v>
      </c>
      <c r="U137" s="12">
        <v>88.06</v>
      </c>
      <c r="V137" s="131">
        <v>96.49</v>
      </c>
      <c r="W137" s="135">
        <v>92.07</v>
      </c>
      <c r="X137" s="135">
        <v>85.11</v>
      </c>
      <c r="Y137" s="37"/>
      <c r="Z137" s="12">
        <v>76.2</v>
      </c>
      <c r="AA137" s="131">
        <v>79.069999999999993</v>
      </c>
      <c r="AB137" s="12">
        <v>87.99</v>
      </c>
      <c r="AC137" s="530"/>
      <c r="AD137" s="12">
        <v>76.84</v>
      </c>
      <c r="AE137" s="131">
        <v>75.11</v>
      </c>
      <c r="AF137" s="12">
        <v>68.790000000000006</v>
      </c>
      <c r="AG137" s="131">
        <v>64.86</v>
      </c>
      <c r="AH137" s="131">
        <v>90.05</v>
      </c>
      <c r="AI137" s="131"/>
      <c r="AJ137" s="37"/>
      <c r="AK137" s="38"/>
      <c r="AL137" s="455"/>
      <c r="AN137" s="30"/>
    </row>
    <row r="138" spans="1:40" x14ac:dyDescent="0.25">
      <c r="A138" s="385">
        <v>192</v>
      </c>
      <c r="B138" s="537"/>
      <c r="C138" s="155">
        <v>16.059999999999999</v>
      </c>
      <c r="D138" s="135">
        <v>53.59</v>
      </c>
      <c r="E138" s="135">
        <v>76.75</v>
      </c>
      <c r="F138" s="135">
        <v>67.739999999999995</v>
      </c>
      <c r="G138" s="135">
        <v>67.84</v>
      </c>
      <c r="H138" s="135">
        <v>54.14</v>
      </c>
      <c r="I138" s="37"/>
      <c r="J138" s="155">
        <v>71.849999999999994</v>
      </c>
      <c r="K138" s="131">
        <v>63.47</v>
      </c>
      <c r="L138" s="131">
        <v>35.770000000000003</v>
      </c>
      <c r="M138" s="155">
        <v>76.44</v>
      </c>
      <c r="N138" s="537"/>
      <c r="O138" s="537"/>
      <c r="P138" s="131">
        <v>114.83</v>
      </c>
      <c r="Q138" s="37"/>
      <c r="R138" s="155">
        <v>75.66</v>
      </c>
      <c r="S138" s="131">
        <v>68.489999999999995</v>
      </c>
      <c r="T138" s="537"/>
      <c r="U138" s="12">
        <v>53.16</v>
      </c>
      <c r="V138" s="131">
        <v>65.84</v>
      </c>
      <c r="W138" s="135">
        <v>48.79</v>
      </c>
      <c r="X138" s="537"/>
      <c r="Y138" s="37"/>
      <c r="Z138" s="135">
        <v>93.2</v>
      </c>
      <c r="AA138" s="131">
        <v>68.510000000000005</v>
      </c>
      <c r="AB138" s="12">
        <v>80.55</v>
      </c>
      <c r="AC138" s="12">
        <v>92.32</v>
      </c>
      <c r="AD138" s="12">
        <v>74.36</v>
      </c>
      <c r="AE138" s="131">
        <v>63.71</v>
      </c>
      <c r="AF138" s="131">
        <v>83.92</v>
      </c>
      <c r="AG138" s="131">
        <v>85.06</v>
      </c>
      <c r="AH138" s="131">
        <v>63.75</v>
      </c>
      <c r="AI138" s="131"/>
      <c r="AJ138" s="37"/>
      <c r="AK138" s="38"/>
      <c r="AL138" s="455"/>
      <c r="AN138" s="820"/>
    </row>
    <row r="139" spans="1:40" x14ac:dyDescent="0.25">
      <c r="A139" s="385">
        <v>193</v>
      </c>
      <c r="B139" s="131">
        <v>75.69</v>
      </c>
      <c r="C139" s="135">
        <v>58.26</v>
      </c>
      <c r="D139" s="155">
        <v>70.510000000000005</v>
      </c>
      <c r="E139" s="135">
        <v>83.91</v>
      </c>
      <c r="F139" s="155">
        <v>84.12</v>
      </c>
      <c r="G139" s="155">
        <v>100.32</v>
      </c>
      <c r="H139" s="155">
        <v>99.43</v>
      </c>
      <c r="I139" s="37"/>
      <c r="J139" s="135">
        <v>79.260000000000005</v>
      </c>
      <c r="K139" s="135">
        <v>84.71</v>
      </c>
      <c r="L139" s="12">
        <v>95.3</v>
      </c>
      <c r="M139" s="537"/>
      <c r="N139" s="131">
        <v>71.040000000000006</v>
      </c>
      <c r="O139" s="131">
        <v>88.43</v>
      </c>
      <c r="P139" s="155">
        <v>82.81</v>
      </c>
      <c r="Q139" s="37"/>
      <c r="R139" s="131">
        <v>81.760000000000005</v>
      </c>
      <c r="S139" s="12">
        <v>85.49</v>
      </c>
      <c r="T139" s="155">
        <v>85.32</v>
      </c>
      <c r="U139" s="12">
        <v>101.54</v>
      </c>
      <c r="V139" s="131">
        <v>92.98</v>
      </c>
      <c r="W139" s="135">
        <v>77.83</v>
      </c>
      <c r="X139" s="135">
        <v>77.430000000000007</v>
      </c>
      <c r="Y139" s="37"/>
      <c r="Z139" s="548">
        <v>153.72999999999999</v>
      </c>
      <c r="AA139" s="131">
        <v>92.92</v>
      </c>
      <c r="AB139" s="12">
        <v>105.55</v>
      </c>
      <c r="AC139" s="12">
        <v>65.5</v>
      </c>
      <c r="AD139" s="12">
        <v>104.31</v>
      </c>
      <c r="AE139" s="12">
        <v>95.5</v>
      </c>
      <c r="AF139" s="131">
        <v>79.819999999999993</v>
      </c>
      <c r="AG139" s="131">
        <v>82.61</v>
      </c>
      <c r="AH139" s="537"/>
      <c r="AI139" s="131"/>
      <c r="AJ139" s="37"/>
      <c r="AK139" s="38"/>
      <c r="AL139" s="455"/>
      <c r="AN139" s="30"/>
    </row>
    <row r="140" spans="1:40" x14ac:dyDescent="0.25">
      <c r="A140" s="385">
        <v>194</v>
      </c>
      <c r="B140" s="135">
        <v>82.64</v>
      </c>
      <c r="C140" s="155">
        <v>48.64</v>
      </c>
      <c r="D140" s="135">
        <v>45.39</v>
      </c>
      <c r="E140" s="131">
        <v>83.27</v>
      </c>
      <c r="F140" s="135">
        <v>69.94</v>
      </c>
      <c r="G140" s="155">
        <v>78.91</v>
      </c>
      <c r="H140" s="155">
        <v>75.16</v>
      </c>
      <c r="I140" s="37"/>
      <c r="J140" s="155">
        <v>87.56</v>
      </c>
      <c r="K140" s="12">
        <v>68.989999999999995</v>
      </c>
      <c r="L140" s="131">
        <v>74.73</v>
      </c>
      <c r="M140" s="155">
        <v>80.72</v>
      </c>
      <c r="N140" s="12">
        <v>81.7</v>
      </c>
      <c r="O140" s="135">
        <v>106.97</v>
      </c>
      <c r="P140" s="155">
        <v>71.290000000000006</v>
      </c>
      <c r="Q140" s="37"/>
      <c r="R140" s="12">
        <v>87.4</v>
      </c>
      <c r="S140" s="131">
        <v>66.44</v>
      </c>
      <c r="T140" s="155">
        <v>90.11</v>
      </c>
      <c r="U140" s="12">
        <v>103.96</v>
      </c>
      <c r="V140" s="131">
        <v>75.19</v>
      </c>
      <c r="W140" s="135">
        <v>88.22</v>
      </c>
      <c r="X140" s="135">
        <v>98.39</v>
      </c>
      <c r="Y140" s="37"/>
      <c r="Z140" s="131">
        <v>66.84</v>
      </c>
      <c r="AA140" s="12">
        <v>66.84</v>
      </c>
      <c r="AB140" s="135">
        <v>91.89</v>
      </c>
      <c r="AC140" s="12">
        <v>74.11</v>
      </c>
      <c r="AD140" s="12">
        <v>80.319999999999993</v>
      </c>
      <c r="AE140" s="12">
        <v>55.8</v>
      </c>
      <c r="AF140" s="131">
        <v>63.74</v>
      </c>
      <c r="AG140" s="131">
        <v>71.95</v>
      </c>
      <c r="AH140" s="12">
        <v>66.900000000000006</v>
      </c>
      <c r="AI140" s="131"/>
      <c r="AJ140" s="40"/>
      <c r="AK140" s="41"/>
      <c r="AL140" s="455"/>
      <c r="AN140" s="30"/>
    </row>
    <row r="141" spans="1:40" x14ac:dyDescent="0.25">
      <c r="A141" s="385">
        <v>195</v>
      </c>
      <c r="B141" s="131">
        <v>90.56</v>
      </c>
      <c r="C141" s="135">
        <v>81.25</v>
      </c>
      <c r="D141" s="135">
        <v>56.7</v>
      </c>
      <c r="E141" s="131">
        <v>91.18</v>
      </c>
      <c r="F141" s="135">
        <v>68.290000000000006</v>
      </c>
      <c r="G141" s="135">
        <v>88.06</v>
      </c>
      <c r="H141" s="135">
        <v>90.54</v>
      </c>
      <c r="I141" s="37"/>
      <c r="J141" s="135">
        <v>107.35</v>
      </c>
      <c r="K141" s="135">
        <v>89.34</v>
      </c>
      <c r="L141" s="135">
        <v>52.56</v>
      </c>
      <c r="M141" s="135">
        <v>83.24</v>
      </c>
      <c r="N141" s="135">
        <v>95.44</v>
      </c>
      <c r="O141" s="155">
        <v>93.99</v>
      </c>
      <c r="P141" s="155">
        <v>84.63</v>
      </c>
      <c r="Q141" s="37"/>
      <c r="R141" s="12">
        <v>90.81</v>
      </c>
      <c r="S141" s="131">
        <v>78.55</v>
      </c>
      <c r="T141" s="155">
        <v>83.09</v>
      </c>
      <c r="U141" s="12">
        <v>82.37</v>
      </c>
      <c r="V141" s="131">
        <v>71.34</v>
      </c>
      <c r="W141" s="135">
        <v>95.2</v>
      </c>
      <c r="X141" s="135">
        <v>74.27</v>
      </c>
      <c r="Y141" s="37"/>
      <c r="Z141" s="131">
        <v>93.83</v>
      </c>
      <c r="AA141" s="12">
        <v>88.38</v>
      </c>
      <c r="AB141" s="12">
        <v>80.84</v>
      </c>
      <c r="AC141" s="530"/>
      <c r="AD141" s="12">
        <v>112.72</v>
      </c>
      <c r="AE141" s="131">
        <v>88.36</v>
      </c>
      <c r="AF141" s="131">
        <v>76.010000000000005</v>
      </c>
      <c r="AG141" s="131">
        <v>92.55</v>
      </c>
      <c r="AH141" s="131">
        <v>75.61</v>
      </c>
      <c r="AI141" s="131"/>
      <c r="AJ141" s="37"/>
      <c r="AK141" s="38"/>
      <c r="AL141" s="455"/>
      <c r="AN141" s="30"/>
    </row>
    <row r="142" spans="1:40" x14ac:dyDescent="0.25">
      <c r="A142" s="385">
        <v>196</v>
      </c>
      <c r="B142" s="530"/>
      <c r="C142" s="570">
        <v>61.15</v>
      </c>
      <c r="D142" s="533">
        <v>50.16</v>
      </c>
      <c r="E142" s="533">
        <v>82.04</v>
      </c>
      <c r="F142" s="533">
        <v>70.89</v>
      </c>
      <c r="G142" s="533">
        <v>65.37</v>
      </c>
      <c r="H142" s="533">
        <v>72.540000000000006</v>
      </c>
      <c r="I142" s="37"/>
      <c r="J142" s="135">
        <v>79.260000000000005</v>
      </c>
      <c r="K142" s="155">
        <v>76.150000000000006</v>
      </c>
      <c r="L142" s="135">
        <v>69.400000000000006</v>
      </c>
      <c r="M142" s="135">
        <v>101.34</v>
      </c>
      <c r="N142" s="135">
        <v>89.89</v>
      </c>
      <c r="O142" s="131">
        <v>81.72</v>
      </c>
      <c r="P142" s="131">
        <v>78.290000000000006</v>
      </c>
      <c r="Q142" s="37"/>
      <c r="R142" s="131">
        <v>92.68</v>
      </c>
      <c r="S142" s="131">
        <v>80.290000000000006</v>
      </c>
      <c r="T142" s="135">
        <v>92.48</v>
      </c>
      <c r="U142" s="12">
        <v>119.05</v>
      </c>
      <c r="V142" s="131">
        <v>117.95</v>
      </c>
      <c r="W142" s="135">
        <v>108.78</v>
      </c>
      <c r="X142" s="135">
        <v>60.91</v>
      </c>
      <c r="Y142" s="37"/>
      <c r="Z142" s="131">
        <v>110.93</v>
      </c>
      <c r="AA142" s="12">
        <v>67.3</v>
      </c>
      <c r="AB142" s="12">
        <v>57.8</v>
      </c>
      <c r="AC142" s="12">
        <v>113.77</v>
      </c>
      <c r="AD142" s="532">
        <v>130.55000000000001</v>
      </c>
      <c r="AE142" s="131">
        <v>84.16</v>
      </c>
      <c r="AF142" s="131">
        <v>93.71</v>
      </c>
      <c r="AG142" s="131">
        <v>59.37</v>
      </c>
      <c r="AH142" s="131">
        <v>99.61</v>
      </c>
      <c r="AI142" s="131"/>
      <c r="AJ142" s="37"/>
      <c r="AK142" s="38"/>
      <c r="AL142" s="455"/>
      <c r="AN142" s="31"/>
    </row>
    <row r="143" spans="1:40" x14ac:dyDescent="0.25">
      <c r="A143" s="385">
        <v>197</v>
      </c>
      <c r="B143" s="131">
        <v>74.77</v>
      </c>
      <c r="C143" s="155">
        <v>67.62</v>
      </c>
      <c r="D143" s="155">
        <v>47.58</v>
      </c>
      <c r="E143" s="155">
        <v>91.61</v>
      </c>
      <c r="F143" s="135">
        <v>75.47</v>
      </c>
      <c r="G143" s="155">
        <v>41.65</v>
      </c>
      <c r="H143" s="135">
        <v>70.87</v>
      </c>
      <c r="I143" s="37"/>
      <c r="J143" s="135">
        <v>76.489999999999995</v>
      </c>
      <c r="K143" s="131">
        <v>62.83</v>
      </c>
      <c r="L143" s="135">
        <v>46.53</v>
      </c>
      <c r="M143" s="155">
        <v>74.180000000000007</v>
      </c>
      <c r="N143" s="131">
        <v>80.41</v>
      </c>
      <c r="O143" s="135">
        <v>73.709999999999994</v>
      </c>
      <c r="P143" s="155">
        <v>57.76</v>
      </c>
      <c r="Q143" s="37"/>
      <c r="R143" s="131">
        <v>75.64</v>
      </c>
      <c r="S143" s="131">
        <v>60.41</v>
      </c>
      <c r="T143" s="155">
        <v>84.15</v>
      </c>
      <c r="U143" s="12">
        <v>68.67</v>
      </c>
      <c r="V143" s="131">
        <v>67.88</v>
      </c>
      <c r="W143" s="135">
        <v>94.7</v>
      </c>
      <c r="X143" s="135">
        <v>63.56</v>
      </c>
      <c r="Y143" s="37"/>
      <c r="Z143" s="131">
        <v>70.180000000000007</v>
      </c>
      <c r="AA143" s="12">
        <v>69.63</v>
      </c>
      <c r="AB143" s="12">
        <v>79.09</v>
      </c>
      <c r="AC143" s="12">
        <v>80.97</v>
      </c>
      <c r="AD143" s="12">
        <v>80.2</v>
      </c>
      <c r="AE143" s="131">
        <v>72.430000000000007</v>
      </c>
      <c r="AF143" s="12">
        <v>74.52</v>
      </c>
      <c r="AG143" s="131">
        <v>71.88</v>
      </c>
      <c r="AH143" s="131">
        <v>91.19</v>
      </c>
      <c r="AI143" s="131"/>
      <c r="AJ143" s="37"/>
      <c r="AK143" s="38"/>
      <c r="AL143" s="455"/>
      <c r="AN143" s="30"/>
    </row>
    <row r="144" spans="1:40" x14ac:dyDescent="0.25">
      <c r="A144" s="385">
        <v>198</v>
      </c>
      <c r="B144" s="131">
        <v>88.02</v>
      </c>
      <c r="C144" s="135">
        <v>64.13</v>
      </c>
      <c r="D144" s="135">
        <v>74.98</v>
      </c>
      <c r="E144" s="135">
        <v>106.39</v>
      </c>
      <c r="F144" s="135">
        <v>100.05</v>
      </c>
      <c r="G144" s="135">
        <v>93.55</v>
      </c>
      <c r="H144" s="135">
        <v>96.73</v>
      </c>
      <c r="I144" s="37"/>
      <c r="J144" s="135">
        <v>126.3</v>
      </c>
      <c r="K144" s="135">
        <v>74.3</v>
      </c>
      <c r="L144" s="135">
        <v>65.52</v>
      </c>
      <c r="M144" s="135">
        <v>77.87</v>
      </c>
      <c r="N144" s="532">
        <v>123.43</v>
      </c>
      <c r="O144" s="135">
        <v>90.08</v>
      </c>
      <c r="P144" s="155">
        <v>93.19</v>
      </c>
      <c r="Q144" s="37"/>
      <c r="R144" s="131">
        <v>111.84</v>
      </c>
      <c r="S144" s="131">
        <v>98.12</v>
      </c>
      <c r="T144" s="155">
        <v>93.25</v>
      </c>
      <c r="U144" s="12">
        <v>99.56</v>
      </c>
      <c r="V144" s="131">
        <v>70.540000000000006</v>
      </c>
      <c r="W144" s="135">
        <v>93.54</v>
      </c>
      <c r="X144" s="135">
        <v>89.33</v>
      </c>
      <c r="Y144" s="37"/>
      <c r="Z144" s="12">
        <v>113.2</v>
      </c>
      <c r="AA144" s="537"/>
      <c r="AB144" s="12">
        <v>101.3</v>
      </c>
      <c r="AC144" s="12">
        <v>111.39</v>
      </c>
      <c r="AD144" s="12">
        <v>93.32</v>
      </c>
      <c r="AE144" s="131">
        <v>100.42</v>
      </c>
      <c r="AF144" s="131">
        <v>102.87</v>
      </c>
      <c r="AG144" s="131">
        <v>74.14</v>
      </c>
      <c r="AH144" s="131">
        <v>83.99</v>
      </c>
      <c r="AI144" s="131"/>
      <c r="AJ144" s="37"/>
      <c r="AK144" s="38"/>
      <c r="AL144" s="455"/>
      <c r="AN144" s="30"/>
    </row>
    <row r="145" spans="1:40" x14ac:dyDescent="0.25">
      <c r="A145" s="385">
        <v>199</v>
      </c>
      <c r="B145" s="131">
        <v>58.72</v>
      </c>
      <c r="C145" s="131">
        <v>54.43</v>
      </c>
      <c r="D145" s="135">
        <v>37.909999999999997</v>
      </c>
      <c r="E145" s="135">
        <v>80.92</v>
      </c>
      <c r="F145" s="135">
        <v>63.2</v>
      </c>
      <c r="G145" s="135">
        <v>66.849999999999994</v>
      </c>
      <c r="H145" s="155">
        <v>71.44</v>
      </c>
      <c r="I145" s="37"/>
      <c r="J145" s="155">
        <v>86.65</v>
      </c>
      <c r="K145" s="131">
        <v>65.069999999999993</v>
      </c>
      <c r="L145" s="135">
        <v>62.53</v>
      </c>
      <c r="M145" s="135">
        <v>55.68</v>
      </c>
      <c r="N145" s="135">
        <v>69.88</v>
      </c>
      <c r="O145" s="131">
        <v>70.55</v>
      </c>
      <c r="P145" s="849">
        <v>66.2</v>
      </c>
      <c r="Q145" s="37"/>
      <c r="R145" s="131">
        <v>73.95</v>
      </c>
      <c r="S145" s="131">
        <v>53.51</v>
      </c>
      <c r="T145" s="155">
        <v>73.63</v>
      </c>
      <c r="U145" s="530"/>
      <c r="V145" s="548">
        <v>138.91999999999999</v>
      </c>
      <c r="W145" s="135">
        <v>87.47</v>
      </c>
      <c r="X145" s="135">
        <v>67.83</v>
      </c>
      <c r="Y145" s="37"/>
      <c r="Z145" s="131">
        <v>81.69</v>
      </c>
      <c r="AA145" s="131">
        <v>47.09</v>
      </c>
      <c r="AB145" s="12">
        <v>68.680000000000007</v>
      </c>
      <c r="AC145" s="135">
        <v>82.51</v>
      </c>
      <c r="AD145" s="135">
        <v>18.79</v>
      </c>
      <c r="AE145" s="135">
        <v>68.72</v>
      </c>
      <c r="AF145" s="155">
        <v>77.760000000000005</v>
      </c>
      <c r="AG145" s="131">
        <v>15.34</v>
      </c>
      <c r="AH145" s="131">
        <v>49.73</v>
      </c>
      <c r="AI145" s="131"/>
      <c r="AJ145" s="37"/>
      <c r="AK145" s="38"/>
      <c r="AL145" s="455"/>
      <c r="AN145" s="30"/>
    </row>
    <row r="146" spans="1:40" x14ac:dyDescent="0.25">
      <c r="A146" s="385">
        <v>200</v>
      </c>
      <c r="B146" s="537"/>
      <c r="C146" s="537"/>
      <c r="D146" s="537"/>
      <c r="E146" s="537"/>
      <c r="F146" s="778"/>
      <c r="G146" s="778"/>
      <c r="H146" s="778"/>
      <c r="I146" s="861" t="s">
        <v>290</v>
      </c>
      <c r="J146" s="537"/>
      <c r="K146" s="537"/>
      <c r="L146" s="537"/>
      <c r="M146" s="537"/>
      <c r="N146" s="537"/>
      <c r="O146" s="537"/>
      <c r="P146" s="537"/>
      <c r="Q146" s="861" t="s">
        <v>290</v>
      </c>
      <c r="R146" s="537"/>
      <c r="S146" s="537"/>
      <c r="T146" s="537"/>
      <c r="U146" s="537"/>
      <c r="V146" s="537"/>
      <c r="W146" s="530"/>
      <c r="X146" s="530"/>
      <c r="Y146" s="861" t="s">
        <v>290</v>
      </c>
      <c r="Z146" s="530"/>
      <c r="AA146" s="530"/>
      <c r="AB146" s="530"/>
      <c r="AC146" s="530"/>
      <c r="AD146" s="530"/>
      <c r="AE146" s="530"/>
      <c r="AF146" s="530"/>
      <c r="AG146" s="530"/>
      <c r="AH146" s="530"/>
      <c r="AI146" s="530"/>
      <c r="AJ146" s="861" t="s">
        <v>290</v>
      </c>
      <c r="AK146" s="38"/>
      <c r="AL146" s="455"/>
      <c r="AN146" s="820"/>
    </row>
    <row r="147" spans="1:40" x14ac:dyDescent="0.25">
      <c r="A147" s="385">
        <v>201</v>
      </c>
      <c r="B147" s="12">
        <v>83.56</v>
      </c>
      <c r="C147" s="135">
        <v>61.71</v>
      </c>
      <c r="D147" s="135">
        <v>43.7</v>
      </c>
      <c r="E147" s="135">
        <v>82.98</v>
      </c>
      <c r="F147" s="155">
        <v>51.53</v>
      </c>
      <c r="G147" s="135">
        <v>84.58</v>
      </c>
      <c r="H147" s="135">
        <v>61.3</v>
      </c>
      <c r="I147" s="37"/>
      <c r="J147" s="155">
        <v>99.57</v>
      </c>
      <c r="K147" s="135">
        <v>80.849999999999994</v>
      </c>
      <c r="L147" s="135">
        <v>66.540000000000006</v>
      </c>
      <c r="M147" s="135">
        <v>63.87</v>
      </c>
      <c r="N147" s="131">
        <v>68.930000000000007</v>
      </c>
      <c r="O147" s="848">
        <v>74.569999999999993</v>
      </c>
      <c r="P147" s="848">
        <v>77.33</v>
      </c>
      <c r="Q147" s="37"/>
      <c r="R147" s="131">
        <v>81.83</v>
      </c>
      <c r="S147" s="131">
        <v>62.75</v>
      </c>
      <c r="T147" s="871">
        <v>69.42</v>
      </c>
      <c r="U147" s="12">
        <v>70.87</v>
      </c>
      <c r="V147" s="12">
        <v>81</v>
      </c>
      <c r="W147" s="135">
        <v>68.23</v>
      </c>
      <c r="X147" s="135">
        <v>79.73</v>
      </c>
      <c r="Y147" s="37"/>
      <c r="Z147" s="131">
        <v>78.98</v>
      </c>
      <c r="AA147" s="131">
        <v>78.12</v>
      </c>
      <c r="AB147" s="12">
        <v>81.89</v>
      </c>
      <c r="AC147" s="12">
        <v>70.989999999999995</v>
      </c>
      <c r="AD147" s="12">
        <v>90.24</v>
      </c>
      <c r="AE147" s="131">
        <v>96.69</v>
      </c>
      <c r="AF147" s="131">
        <v>63.85</v>
      </c>
      <c r="AG147" s="131">
        <v>68.39</v>
      </c>
      <c r="AH147" s="131">
        <v>74.37</v>
      </c>
      <c r="AI147" s="131"/>
      <c r="AJ147" s="37"/>
      <c r="AK147" s="38"/>
      <c r="AL147" s="455"/>
      <c r="AN147" s="30"/>
    </row>
    <row r="148" spans="1:40" x14ac:dyDescent="0.25">
      <c r="A148" s="385">
        <v>202</v>
      </c>
      <c r="B148" s="135">
        <v>67.989999999999995</v>
      </c>
      <c r="C148" s="135">
        <v>61.07</v>
      </c>
      <c r="D148" s="537"/>
      <c r="E148" s="135">
        <v>14</v>
      </c>
      <c r="F148" s="530"/>
      <c r="G148" s="530"/>
      <c r="H148" s="155">
        <v>45.43</v>
      </c>
      <c r="I148" s="37"/>
      <c r="J148" s="155">
        <v>67.02</v>
      </c>
      <c r="K148" s="131">
        <v>74.16</v>
      </c>
      <c r="L148" s="131">
        <v>66.66</v>
      </c>
      <c r="M148" s="135">
        <v>69.709999999999994</v>
      </c>
      <c r="N148" s="135">
        <v>72.44</v>
      </c>
      <c r="O148" s="131">
        <v>65.819999999999993</v>
      </c>
      <c r="P148" s="155">
        <v>55.12</v>
      </c>
      <c r="Q148" s="37"/>
      <c r="R148" s="131">
        <v>79.67</v>
      </c>
      <c r="S148" s="131">
        <v>54.58</v>
      </c>
      <c r="T148" s="135">
        <v>87.4</v>
      </c>
      <c r="U148" s="12">
        <v>51.63</v>
      </c>
      <c r="V148" s="131">
        <v>76.94</v>
      </c>
      <c r="W148" s="135">
        <v>66.91</v>
      </c>
      <c r="X148" s="135">
        <v>79.63</v>
      </c>
      <c r="Y148" s="37"/>
      <c r="Z148" s="135">
        <v>58.12</v>
      </c>
      <c r="AA148" s="135">
        <v>62.52</v>
      </c>
      <c r="AB148" s="12">
        <v>69.66</v>
      </c>
      <c r="AC148" s="135">
        <v>78.209999999999994</v>
      </c>
      <c r="AD148" s="12">
        <v>63.17</v>
      </c>
      <c r="AE148" s="445">
        <v>41.1</v>
      </c>
      <c r="AF148" s="135">
        <v>61.86</v>
      </c>
      <c r="AG148" s="131">
        <v>50.64</v>
      </c>
      <c r="AH148" s="131">
        <v>85.44</v>
      </c>
      <c r="AI148" s="131"/>
      <c r="AJ148" s="37"/>
      <c r="AK148" s="38"/>
      <c r="AL148" s="455"/>
      <c r="AN148" s="31"/>
    </row>
    <row r="149" spans="1:40" x14ac:dyDescent="0.25">
      <c r="A149" s="385">
        <v>203</v>
      </c>
      <c r="B149" s="131">
        <v>81.010000000000005</v>
      </c>
      <c r="C149" s="155">
        <v>27.72</v>
      </c>
      <c r="D149" s="135">
        <v>45.6</v>
      </c>
      <c r="E149" s="135">
        <v>75.790000000000006</v>
      </c>
      <c r="F149" s="135">
        <v>68.77</v>
      </c>
      <c r="G149" s="135">
        <v>81.83</v>
      </c>
      <c r="H149" s="135">
        <v>78.48</v>
      </c>
      <c r="I149" s="37"/>
      <c r="J149" s="135">
        <v>85.08</v>
      </c>
      <c r="K149" s="135">
        <v>85.76</v>
      </c>
      <c r="L149" s="135">
        <v>69.72</v>
      </c>
      <c r="M149" s="135">
        <v>86.43</v>
      </c>
      <c r="N149" s="135">
        <v>72.56</v>
      </c>
      <c r="O149" s="135">
        <v>100.97</v>
      </c>
      <c r="P149" s="135">
        <v>75.709999999999994</v>
      </c>
      <c r="Q149" s="37"/>
      <c r="R149" s="131">
        <v>73.75</v>
      </c>
      <c r="S149" s="12">
        <v>84.24</v>
      </c>
      <c r="T149" s="155">
        <v>73.92</v>
      </c>
      <c r="U149" s="12">
        <v>84.37</v>
      </c>
      <c r="V149" s="131">
        <v>78.069999999999993</v>
      </c>
      <c r="W149" s="135">
        <v>86.47</v>
      </c>
      <c r="X149" s="135">
        <v>73.349999999999994</v>
      </c>
      <c r="Y149" s="37"/>
      <c r="Z149" s="131">
        <v>102.59</v>
      </c>
      <c r="AA149" s="12">
        <v>84.32</v>
      </c>
      <c r="AB149" s="12">
        <v>75.900000000000006</v>
      </c>
      <c r="AC149" s="12">
        <v>76.56</v>
      </c>
      <c r="AD149" s="12">
        <v>75.61</v>
      </c>
      <c r="AE149" s="131">
        <v>85.83</v>
      </c>
      <c r="AF149" s="131">
        <v>24.87</v>
      </c>
      <c r="AG149" s="131">
        <v>51.75</v>
      </c>
      <c r="AH149" s="131">
        <v>84.95</v>
      </c>
      <c r="AI149" s="131"/>
      <c r="AJ149" s="37"/>
      <c r="AK149" s="38"/>
      <c r="AL149" s="455"/>
      <c r="AN149" s="30"/>
    </row>
    <row r="150" spans="1:40" x14ac:dyDescent="0.25">
      <c r="A150" s="383">
        <v>204</v>
      </c>
      <c r="B150" s="155">
        <v>85.53</v>
      </c>
      <c r="C150" s="155">
        <v>44.68</v>
      </c>
      <c r="D150" s="135">
        <v>70.37</v>
      </c>
      <c r="E150" s="135">
        <v>83.52</v>
      </c>
      <c r="F150" s="135">
        <v>48.07</v>
      </c>
      <c r="G150" s="135">
        <v>92.17</v>
      </c>
      <c r="H150" s="135">
        <v>69.459999999999994</v>
      </c>
      <c r="I150" s="37"/>
      <c r="J150" s="135">
        <v>57.9</v>
      </c>
      <c r="K150" s="131">
        <v>78.459999999999994</v>
      </c>
      <c r="L150" s="131">
        <v>51.22</v>
      </c>
      <c r="M150" s="155">
        <v>92.62</v>
      </c>
      <c r="N150" s="131">
        <v>75.13</v>
      </c>
      <c r="O150" s="155">
        <v>76.97</v>
      </c>
      <c r="P150" s="135">
        <v>44.6</v>
      </c>
      <c r="Q150" s="37"/>
      <c r="R150" s="155">
        <v>68.23</v>
      </c>
      <c r="S150" s="131">
        <v>99.47</v>
      </c>
      <c r="T150" s="155">
        <v>85.64</v>
      </c>
      <c r="U150" s="12">
        <v>71.25</v>
      </c>
      <c r="V150" s="131">
        <v>38.11</v>
      </c>
      <c r="W150" s="135">
        <v>116.89</v>
      </c>
      <c r="X150" s="135">
        <v>73.180000000000007</v>
      </c>
      <c r="Y150" s="37"/>
      <c r="Z150" s="131">
        <v>78.62</v>
      </c>
      <c r="AA150" s="131">
        <v>57.82</v>
      </c>
      <c r="AB150" s="12">
        <v>84.74</v>
      </c>
      <c r="AC150" s="12">
        <v>106.29</v>
      </c>
      <c r="AD150" s="12">
        <v>62.04</v>
      </c>
      <c r="AE150" s="131">
        <v>62.07</v>
      </c>
      <c r="AF150" s="131">
        <v>73.739999999999995</v>
      </c>
      <c r="AG150" s="131">
        <v>71.16</v>
      </c>
      <c r="AH150" s="12">
        <v>78.400000000000006</v>
      </c>
      <c r="AI150" s="131"/>
      <c r="AJ150" s="37"/>
      <c r="AK150" s="38"/>
      <c r="AL150" s="456" t="s">
        <v>252</v>
      </c>
      <c r="AN150" s="30"/>
    </row>
    <row r="151" spans="1:40" x14ac:dyDescent="0.25">
      <c r="A151" s="383">
        <v>205</v>
      </c>
      <c r="B151" s="155">
        <v>65.09</v>
      </c>
      <c r="C151" s="135">
        <v>79.290000000000006</v>
      </c>
      <c r="D151" s="135">
        <v>70.59</v>
      </c>
      <c r="E151" s="135">
        <v>94.64</v>
      </c>
      <c r="F151" s="135">
        <v>59.62</v>
      </c>
      <c r="G151" s="135">
        <v>91.77</v>
      </c>
      <c r="H151" s="135">
        <v>61.35</v>
      </c>
      <c r="I151" s="37"/>
      <c r="J151" s="135">
        <v>97.88</v>
      </c>
      <c r="K151" s="135">
        <v>88.72</v>
      </c>
      <c r="L151" s="135">
        <v>91.63</v>
      </c>
      <c r="M151" s="135">
        <v>81.8</v>
      </c>
      <c r="N151" s="135">
        <v>75.41</v>
      </c>
      <c r="O151" s="135">
        <v>112.05</v>
      </c>
      <c r="P151" s="155">
        <v>92.35</v>
      </c>
      <c r="Q151" s="37"/>
      <c r="R151" s="131">
        <v>91.29</v>
      </c>
      <c r="S151" s="131">
        <v>84.23</v>
      </c>
      <c r="T151" s="155">
        <v>101.88</v>
      </c>
      <c r="U151" s="12">
        <v>67.34</v>
      </c>
      <c r="V151" s="12">
        <v>59.2</v>
      </c>
      <c r="W151" s="532">
        <v>121.97</v>
      </c>
      <c r="X151" s="135">
        <v>82.91</v>
      </c>
      <c r="Y151" s="37"/>
      <c r="Z151" s="12">
        <v>102.1</v>
      </c>
      <c r="AA151" s="131">
        <v>81.48</v>
      </c>
      <c r="AB151" s="873">
        <v>95.62</v>
      </c>
      <c r="AC151" s="12">
        <v>87.97</v>
      </c>
      <c r="AD151" s="12">
        <v>82.24</v>
      </c>
      <c r="AE151" s="131">
        <v>86.79</v>
      </c>
      <c r="AF151" s="131">
        <v>98.51</v>
      </c>
      <c r="AG151" s="12">
        <v>89.9</v>
      </c>
      <c r="AH151" s="131">
        <v>71.760000000000005</v>
      </c>
      <c r="AI151" s="131"/>
      <c r="AJ151" s="37"/>
      <c r="AK151" s="38"/>
      <c r="AL151" s="372"/>
      <c r="AN151" s="30"/>
    </row>
    <row r="152" spans="1:40" x14ac:dyDescent="0.25">
      <c r="A152" s="383">
        <v>206</v>
      </c>
      <c r="B152" s="131">
        <v>99.54</v>
      </c>
      <c r="C152" s="135">
        <v>87.08</v>
      </c>
      <c r="D152" s="135">
        <v>76.7</v>
      </c>
      <c r="E152" s="155">
        <v>93.28</v>
      </c>
      <c r="F152" s="135">
        <v>57.14</v>
      </c>
      <c r="G152" s="135">
        <v>112.56</v>
      </c>
      <c r="H152" s="155">
        <v>79.040000000000006</v>
      </c>
      <c r="I152" s="37"/>
      <c r="J152" s="135">
        <v>91.47</v>
      </c>
      <c r="K152" s="135">
        <v>93.42</v>
      </c>
      <c r="L152" s="135">
        <v>63.3</v>
      </c>
      <c r="M152" s="135">
        <v>83.22</v>
      </c>
      <c r="N152" s="135">
        <v>67.47</v>
      </c>
      <c r="O152" s="135">
        <v>98.65</v>
      </c>
      <c r="P152" s="537"/>
      <c r="Q152" s="37"/>
      <c r="R152" s="12">
        <v>79.91</v>
      </c>
      <c r="S152" s="131">
        <v>80.08</v>
      </c>
      <c r="T152" s="135">
        <v>105</v>
      </c>
      <c r="U152" s="12">
        <v>87.9</v>
      </c>
      <c r="V152" s="12">
        <v>64.599999999999994</v>
      </c>
      <c r="W152" s="135">
        <v>108.46</v>
      </c>
      <c r="X152" s="135">
        <v>50.16</v>
      </c>
      <c r="Y152" s="37"/>
      <c r="Z152" s="12">
        <v>75.760000000000005</v>
      </c>
      <c r="AA152" s="131">
        <v>70.680000000000007</v>
      </c>
      <c r="AB152" s="12">
        <v>84.65</v>
      </c>
      <c r="AC152" s="12">
        <v>105.1</v>
      </c>
      <c r="AD152" s="12">
        <v>93.91</v>
      </c>
      <c r="AE152" s="12">
        <v>71.7</v>
      </c>
      <c r="AF152" s="12">
        <v>76.63</v>
      </c>
      <c r="AG152" s="131">
        <v>92.14</v>
      </c>
      <c r="AH152" s="131">
        <v>91.93</v>
      </c>
      <c r="AI152" s="131"/>
      <c r="AJ152" s="37"/>
      <c r="AK152" s="38"/>
      <c r="AL152" s="372"/>
      <c r="AN152" s="31"/>
    </row>
    <row r="153" spans="1:40" x14ac:dyDescent="0.25">
      <c r="A153" s="383">
        <v>207</v>
      </c>
      <c r="B153" s="155">
        <v>71.06</v>
      </c>
      <c r="C153" s="131">
        <v>83.53</v>
      </c>
      <c r="D153" s="155">
        <v>57.27</v>
      </c>
      <c r="E153" s="135">
        <v>80.599999999999994</v>
      </c>
      <c r="F153" s="135">
        <v>79.8</v>
      </c>
      <c r="G153" s="135">
        <v>80.400000000000006</v>
      </c>
      <c r="H153" s="155">
        <v>93.76</v>
      </c>
      <c r="I153" s="37"/>
      <c r="J153" s="135">
        <v>83.94</v>
      </c>
      <c r="K153" s="135">
        <v>77.760000000000005</v>
      </c>
      <c r="L153" s="135">
        <v>109.89</v>
      </c>
      <c r="M153" s="135">
        <v>85.03</v>
      </c>
      <c r="N153" s="135">
        <v>75.89</v>
      </c>
      <c r="O153" s="155">
        <v>96.08</v>
      </c>
      <c r="P153" s="155">
        <v>86.88</v>
      </c>
      <c r="Q153" s="37"/>
      <c r="R153" s="131">
        <v>72.31</v>
      </c>
      <c r="S153" s="131">
        <v>73.94</v>
      </c>
      <c r="T153" s="155">
        <v>89.49</v>
      </c>
      <c r="U153" s="12">
        <v>68.37</v>
      </c>
      <c r="V153" s="131">
        <v>63.97</v>
      </c>
      <c r="W153" s="135">
        <v>106.82</v>
      </c>
      <c r="X153" s="135">
        <v>81.349999999999994</v>
      </c>
      <c r="Y153" s="37"/>
      <c r="Z153" s="131">
        <v>90.04</v>
      </c>
      <c r="AA153" s="131">
        <v>74.08</v>
      </c>
      <c r="AB153" s="12">
        <v>89.75</v>
      </c>
      <c r="AC153" s="12">
        <v>76.260000000000005</v>
      </c>
      <c r="AD153" s="12">
        <v>69.3</v>
      </c>
      <c r="AE153" s="131">
        <v>58.26</v>
      </c>
      <c r="AF153" s="131">
        <v>85.91</v>
      </c>
      <c r="AG153" s="12">
        <v>79.400000000000006</v>
      </c>
      <c r="AH153" s="131">
        <v>70.819999999999993</v>
      </c>
      <c r="AI153" s="131"/>
      <c r="AJ153" s="37"/>
      <c r="AK153" s="38"/>
      <c r="AL153" s="372"/>
      <c r="AN153" s="30"/>
    </row>
    <row r="154" spans="1:40" x14ac:dyDescent="0.25">
      <c r="A154" s="383">
        <v>208</v>
      </c>
      <c r="B154" s="131">
        <v>75.08</v>
      </c>
      <c r="C154" s="135">
        <v>59.72</v>
      </c>
      <c r="D154" s="155">
        <v>96.04</v>
      </c>
      <c r="E154" s="135">
        <v>72.56</v>
      </c>
      <c r="F154" s="135">
        <v>50.5</v>
      </c>
      <c r="G154" s="537"/>
      <c r="H154" s="537"/>
      <c r="I154" s="37"/>
      <c r="J154" s="155">
        <v>99.44</v>
      </c>
      <c r="K154" s="131">
        <v>109.93</v>
      </c>
      <c r="L154" s="131">
        <v>52.41</v>
      </c>
      <c r="M154" s="135">
        <v>87.52</v>
      </c>
      <c r="N154" s="131">
        <v>66.260000000000005</v>
      </c>
      <c r="O154" s="131">
        <v>82.68</v>
      </c>
      <c r="P154" s="155">
        <v>64.67</v>
      </c>
      <c r="Q154" s="37"/>
      <c r="R154" s="131">
        <v>77.56</v>
      </c>
      <c r="S154" s="12">
        <v>76.2</v>
      </c>
      <c r="T154" s="155">
        <v>77.86</v>
      </c>
      <c r="U154" s="12">
        <v>68.87</v>
      </c>
      <c r="V154" s="12">
        <v>73.81</v>
      </c>
      <c r="W154" s="135">
        <v>79.239999999999995</v>
      </c>
      <c r="X154" s="135">
        <v>62.93</v>
      </c>
      <c r="Y154" s="37"/>
      <c r="Z154" s="131">
        <v>13.69</v>
      </c>
      <c r="AA154" s="131">
        <v>52.75</v>
      </c>
      <c r="AB154" s="12">
        <v>90.37</v>
      </c>
      <c r="AC154" s="12">
        <v>88.65</v>
      </c>
      <c r="AD154" s="12">
        <v>75.16</v>
      </c>
      <c r="AE154" s="131">
        <v>82.18</v>
      </c>
      <c r="AF154" s="131">
        <v>60.92</v>
      </c>
      <c r="AG154" s="131">
        <v>53.05</v>
      </c>
      <c r="AH154" s="131">
        <v>69.81</v>
      </c>
      <c r="AI154" s="131"/>
      <c r="AJ154" s="37"/>
      <c r="AK154" s="38"/>
      <c r="AL154" s="372"/>
      <c r="AN154" s="30"/>
    </row>
    <row r="155" spans="1:40" x14ac:dyDescent="0.25">
      <c r="A155" s="383">
        <v>209</v>
      </c>
      <c r="B155" s="548">
        <v>131.55000000000001</v>
      </c>
      <c r="C155" s="155">
        <v>76.59</v>
      </c>
      <c r="D155" s="135">
        <v>96.74</v>
      </c>
      <c r="E155" s="135">
        <v>103.54</v>
      </c>
      <c r="F155" s="135">
        <v>75.53</v>
      </c>
      <c r="G155" s="135">
        <v>98.61</v>
      </c>
      <c r="H155" s="135">
        <v>80.5</v>
      </c>
      <c r="I155" s="37"/>
      <c r="J155" s="135">
        <v>76.38</v>
      </c>
      <c r="K155" s="135">
        <v>109.21</v>
      </c>
      <c r="L155" s="135">
        <v>87.77</v>
      </c>
      <c r="M155" s="135">
        <v>69.47</v>
      </c>
      <c r="N155" s="530"/>
      <c r="O155" s="530"/>
      <c r="P155" s="532">
        <v>144.33000000000001</v>
      </c>
      <c r="Q155" s="37"/>
      <c r="R155" s="131">
        <v>85.01</v>
      </c>
      <c r="S155" s="12">
        <v>87.1</v>
      </c>
      <c r="T155" s="155">
        <v>113.02</v>
      </c>
      <c r="U155" s="12">
        <v>93.28</v>
      </c>
      <c r="V155" s="131">
        <v>88.04</v>
      </c>
      <c r="W155" s="135">
        <v>108.55</v>
      </c>
      <c r="X155" s="135">
        <v>103.04</v>
      </c>
      <c r="Y155" s="37"/>
      <c r="Z155" s="537"/>
      <c r="AA155" s="131">
        <v>63.68</v>
      </c>
      <c r="AB155" s="12">
        <v>76.239999999999995</v>
      </c>
      <c r="AC155" s="12">
        <v>68.81</v>
      </c>
      <c r="AD155" s="135">
        <v>97.88</v>
      </c>
      <c r="AE155" s="135">
        <v>105.89</v>
      </c>
      <c r="AF155" s="131">
        <v>89.73</v>
      </c>
      <c r="AG155" s="131">
        <v>90.38</v>
      </c>
      <c r="AH155" s="131">
        <v>102.64</v>
      </c>
      <c r="AI155" s="131"/>
      <c r="AJ155" s="37"/>
      <c r="AK155" s="38"/>
      <c r="AL155" s="372"/>
      <c r="AN155" s="30"/>
    </row>
    <row r="156" spans="1:40" x14ac:dyDescent="0.25">
      <c r="A156" s="383">
        <v>210</v>
      </c>
      <c r="B156" s="131">
        <v>87.94</v>
      </c>
      <c r="C156" s="530"/>
      <c r="D156" s="530"/>
      <c r="E156" s="530"/>
      <c r="F156" s="530"/>
      <c r="G156" s="530"/>
      <c r="H156" s="530"/>
      <c r="I156" s="37"/>
      <c r="J156" s="530"/>
      <c r="K156" s="530"/>
      <c r="L156" s="131">
        <v>78.819999999999993</v>
      </c>
      <c r="M156" s="135">
        <v>88.37</v>
      </c>
      <c r="N156" s="135">
        <v>69.09</v>
      </c>
      <c r="O156" s="155">
        <v>102.88</v>
      </c>
      <c r="P156" s="135">
        <v>75.23</v>
      </c>
      <c r="Q156" s="37"/>
      <c r="R156" s="131">
        <v>95.86</v>
      </c>
      <c r="S156" s="131">
        <v>76.819999999999993</v>
      </c>
      <c r="T156" s="155">
        <v>78.98</v>
      </c>
      <c r="U156" s="12">
        <v>58.51</v>
      </c>
      <c r="V156" s="131">
        <v>65.87</v>
      </c>
      <c r="W156" s="135">
        <v>90.34</v>
      </c>
      <c r="X156" s="135">
        <v>93.48</v>
      </c>
      <c r="Y156" s="37"/>
      <c r="Z156" s="131">
        <v>87.52</v>
      </c>
      <c r="AA156" s="131">
        <v>72.819999999999993</v>
      </c>
      <c r="AB156" s="12">
        <v>91.5</v>
      </c>
      <c r="AC156" s="12">
        <v>72.72</v>
      </c>
      <c r="AD156" s="12">
        <v>59.67</v>
      </c>
      <c r="AE156" s="12">
        <v>79</v>
      </c>
      <c r="AF156" s="12">
        <v>77.900000000000006</v>
      </c>
      <c r="AG156" s="131">
        <v>52.43</v>
      </c>
      <c r="AH156" s="131">
        <v>71.14</v>
      </c>
      <c r="AI156" s="131"/>
      <c r="AJ156" s="37"/>
      <c r="AK156" s="38"/>
      <c r="AL156" s="372"/>
      <c r="AN156" s="30"/>
    </row>
    <row r="157" spans="1:40" x14ac:dyDescent="0.25">
      <c r="A157" s="383">
        <v>211</v>
      </c>
      <c r="B157" s="155">
        <v>87.66</v>
      </c>
      <c r="C157" s="155">
        <v>78.510000000000005</v>
      </c>
      <c r="D157" s="135">
        <v>82.09</v>
      </c>
      <c r="E157" s="135">
        <v>93.42</v>
      </c>
      <c r="F157" s="155">
        <v>73.430000000000007</v>
      </c>
      <c r="G157" s="135">
        <v>102.44</v>
      </c>
      <c r="H157" s="155">
        <v>50.35</v>
      </c>
      <c r="I157" s="37"/>
      <c r="J157" s="135">
        <v>103.77</v>
      </c>
      <c r="K157" s="135">
        <v>80.72</v>
      </c>
      <c r="L157" s="135">
        <v>76.86</v>
      </c>
      <c r="M157" s="135">
        <v>88.61</v>
      </c>
      <c r="N157" s="135">
        <v>82.5</v>
      </c>
      <c r="O157" s="135">
        <v>103.41</v>
      </c>
      <c r="P157" s="155">
        <v>75.05</v>
      </c>
      <c r="Q157" s="37"/>
      <c r="R157" s="131">
        <v>85.53</v>
      </c>
      <c r="S157" s="131">
        <v>109.85</v>
      </c>
      <c r="T157" s="155">
        <v>102.95</v>
      </c>
      <c r="U157" s="12">
        <v>83.79</v>
      </c>
      <c r="V157" s="131">
        <v>107.54</v>
      </c>
      <c r="W157" s="135">
        <v>73.7</v>
      </c>
      <c r="X157" s="135">
        <v>85.77</v>
      </c>
      <c r="Y157" s="37"/>
      <c r="Z157" s="131">
        <v>62.16</v>
      </c>
      <c r="AA157" s="530"/>
      <c r="AB157" s="532">
        <v>180.68</v>
      </c>
      <c r="AC157" s="12">
        <v>44.76</v>
      </c>
      <c r="AD157" s="12">
        <v>92.02</v>
      </c>
      <c r="AE157" s="131">
        <v>96.25</v>
      </c>
      <c r="AF157" s="12">
        <v>95.67</v>
      </c>
      <c r="AG157" s="131">
        <v>67.040000000000006</v>
      </c>
      <c r="AH157" s="131">
        <v>59.88</v>
      </c>
      <c r="AI157" s="131"/>
      <c r="AJ157" s="37"/>
      <c r="AK157" s="38"/>
      <c r="AL157" s="372"/>
      <c r="AN157" s="30"/>
    </row>
    <row r="158" spans="1:40" x14ac:dyDescent="0.25">
      <c r="A158" s="383">
        <v>212</v>
      </c>
      <c r="B158" s="135">
        <v>92.64</v>
      </c>
      <c r="C158" s="155">
        <v>55.35</v>
      </c>
      <c r="D158" s="537"/>
      <c r="E158" s="537"/>
      <c r="F158" s="537"/>
      <c r="G158" s="537"/>
      <c r="H158" s="530"/>
      <c r="I158" s="37"/>
      <c r="J158" s="532">
        <v>144.26</v>
      </c>
      <c r="K158" s="135">
        <v>60.13</v>
      </c>
      <c r="L158" s="135">
        <v>73.010000000000005</v>
      </c>
      <c r="M158" s="135">
        <v>77.41</v>
      </c>
      <c r="N158" s="135">
        <v>99.84</v>
      </c>
      <c r="O158" s="155">
        <v>99.23</v>
      </c>
      <c r="P158" s="155">
        <v>101.49</v>
      </c>
      <c r="Q158" s="37"/>
      <c r="R158" s="131">
        <v>78.040000000000006</v>
      </c>
      <c r="S158" s="131">
        <v>75.87</v>
      </c>
      <c r="T158" s="155">
        <v>111.94</v>
      </c>
      <c r="U158" s="12">
        <v>70.13</v>
      </c>
      <c r="V158" s="131">
        <v>80.41</v>
      </c>
      <c r="W158" s="135">
        <v>119.69</v>
      </c>
      <c r="X158" s="135">
        <v>78.739999999999995</v>
      </c>
      <c r="Y158" s="37"/>
      <c r="Z158" s="131">
        <v>79.790000000000006</v>
      </c>
      <c r="AA158" s="131">
        <v>90.04</v>
      </c>
      <c r="AB158" s="532">
        <v>125.64</v>
      </c>
      <c r="AC158" s="530"/>
      <c r="AD158" s="532">
        <v>197.87</v>
      </c>
      <c r="AE158" s="12">
        <v>90</v>
      </c>
      <c r="AF158" s="131">
        <v>113.48</v>
      </c>
      <c r="AG158" s="131">
        <v>87.17</v>
      </c>
      <c r="AH158" s="131">
        <v>81.45</v>
      </c>
      <c r="AI158" s="131"/>
      <c r="AJ158" s="37"/>
      <c r="AK158" s="38"/>
      <c r="AL158" s="372"/>
      <c r="AN158" s="30"/>
    </row>
    <row r="159" spans="1:40" ht="15" customHeight="1" x14ac:dyDescent="0.3">
      <c r="A159" s="383">
        <v>213</v>
      </c>
      <c r="B159" s="135">
        <v>69.959999999999994</v>
      </c>
      <c r="C159" s="135">
        <v>66.400000000000006</v>
      </c>
      <c r="D159" s="135">
        <v>75.88</v>
      </c>
      <c r="E159" s="135">
        <v>100.01</v>
      </c>
      <c r="F159" s="155">
        <v>87.18</v>
      </c>
      <c r="G159" s="135">
        <v>114.86</v>
      </c>
      <c r="H159" s="135">
        <v>65.87</v>
      </c>
      <c r="I159" s="37"/>
      <c r="J159" s="135">
        <v>87.32</v>
      </c>
      <c r="K159" s="135">
        <v>81.67</v>
      </c>
      <c r="L159" s="135">
        <v>71.790000000000006</v>
      </c>
      <c r="M159" s="135">
        <v>89.68</v>
      </c>
      <c r="N159" s="135">
        <v>93.84</v>
      </c>
      <c r="O159" s="155">
        <v>88.99</v>
      </c>
      <c r="P159" s="155">
        <v>78.42</v>
      </c>
      <c r="Q159" s="37"/>
      <c r="R159" s="12">
        <v>86.8</v>
      </c>
      <c r="S159" s="131">
        <v>71.86</v>
      </c>
      <c r="T159" s="155">
        <v>92.34</v>
      </c>
      <c r="U159" s="12">
        <v>76.400000000000006</v>
      </c>
      <c r="V159" s="548">
        <v>123.87</v>
      </c>
      <c r="W159" s="135">
        <v>63.26</v>
      </c>
      <c r="X159" s="135">
        <v>90.73</v>
      </c>
      <c r="Y159" s="37"/>
      <c r="Z159" s="12">
        <v>88.08</v>
      </c>
      <c r="AA159" s="131">
        <v>76.349999999999994</v>
      </c>
      <c r="AB159" s="12">
        <v>91.3</v>
      </c>
      <c r="AC159" s="12">
        <v>86.86</v>
      </c>
      <c r="AD159" s="12">
        <v>85.3</v>
      </c>
      <c r="AE159" s="131">
        <v>88.18</v>
      </c>
      <c r="AF159" s="131">
        <v>77.12</v>
      </c>
      <c r="AG159" s="131">
        <v>83.09</v>
      </c>
      <c r="AH159" s="131">
        <v>89.56</v>
      </c>
      <c r="AI159" s="131"/>
      <c r="AJ159" s="37"/>
      <c r="AK159" s="339">
        <v>38771.910000000003</v>
      </c>
      <c r="AL159" s="372"/>
      <c r="AN159" s="30"/>
    </row>
    <row r="160" spans="1:40" ht="15" customHeight="1" x14ac:dyDescent="0.3">
      <c r="A160" s="383">
        <v>214</v>
      </c>
      <c r="B160" s="131">
        <v>106.43</v>
      </c>
      <c r="C160" s="135">
        <v>89.61</v>
      </c>
      <c r="D160" s="135">
        <v>61.54</v>
      </c>
      <c r="E160" s="135">
        <v>109.89</v>
      </c>
      <c r="F160" s="135">
        <v>60.09</v>
      </c>
      <c r="G160" s="135">
        <v>119.75</v>
      </c>
      <c r="H160" s="135">
        <v>49.46</v>
      </c>
      <c r="I160" s="37"/>
      <c r="J160" s="135">
        <v>99.99</v>
      </c>
      <c r="K160" s="12">
        <v>38.380000000000003</v>
      </c>
      <c r="L160" s="135">
        <v>85.81</v>
      </c>
      <c r="M160" s="135">
        <v>97.79</v>
      </c>
      <c r="N160" s="135">
        <v>80.959999999999994</v>
      </c>
      <c r="O160" s="12">
        <v>81.8</v>
      </c>
      <c r="P160" s="155">
        <v>86.75</v>
      </c>
      <c r="Q160" s="37"/>
      <c r="R160" s="131">
        <v>80.03</v>
      </c>
      <c r="S160" s="131">
        <v>79.790000000000006</v>
      </c>
      <c r="T160" s="155">
        <v>100.28</v>
      </c>
      <c r="U160" s="12">
        <v>65.61</v>
      </c>
      <c r="V160" s="131">
        <v>61.24</v>
      </c>
      <c r="W160" s="135">
        <v>100.22</v>
      </c>
      <c r="X160" s="135">
        <v>91.63</v>
      </c>
      <c r="Y160" s="37"/>
      <c r="Z160" s="131">
        <v>94.29</v>
      </c>
      <c r="AA160" s="131">
        <v>73.97</v>
      </c>
      <c r="AB160" s="530"/>
      <c r="AC160" s="12">
        <v>115.25</v>
      </c>
      <c r="AD160" s="12">
        <v>103.68</v>
      </c>
      <c r="AE160" s="131">
        <v>89.56</v>
      </c>
      <c r="AF160" s="131">
        <v>73.06</v>
      </c>
      <c r="AG160" s="131">
        <v>79.53</v>
      </c>
      <c r="AH160" s="131">
        <v>79.34</v>
      </c>
      <c r="AI160" s="131"/>
      <c r="AJ160" s="37"/>
      <c r="AK160" s="339">
        <v>43140.81</v>
      </c>
      <c r="AL160" s="372"/>
      <c r="AN160" s="30"/>
    </row>
    <row r="161" spans="1:40" ht="15" customHeight="1" x14ac:dyDescent="0.3">
      <c r="A161" s="383">
        <v>215</v>
      </c>
      <c r="B161" s="12">
        <v>54.6</v>
      </c>
      <c r="C161" s="135">
        <v>71.86</v>
      </c>
      <c r="D161" s="135">
        <v>92.36</v>
      </c>
      <c r="E161" s="135">
        <v>81.81</v>
      </c>
      <c r="F161" s="155">
        <v>82.21</v>
      </c>
      <c r="G161" s="135">
        <v>71.13</v>
      </c>
      <c r="H161" s="135">
        <v>81.97</v>
      </c>
      <c r="I161" s="37"/>
      <c r="J161" s="135">
        <v>79.239999999999995</v>
      </c>
      <c r="K161" s="135">
        <v>88.07</v>
      </c>
      <c r="L161" s="135">
        <v>63.21</v>
      </c>
      <c r="M161" s="135">
        <v>85.38</v>
      </c>
      <c r="N161" s="135">
        <v>71.09</v>
      </c>
      <c r="O161" s="532">
        <v>127.2</v>
      </c>
      <c r="P161" s="155">
        <v>68.959999999999994</v>
      </c>
      <c r="Q161" s="37"/>
      <c r="R161" s="537"/>
      <c r="S161" s="131">
        <v>50.76</v>
      </c>
      <c r="T161" s="155">
        <v>95.28</v>
      </c>
      <c r="U161" s="12">
        <v>70</v>
      </c>
      <c r="V161" s="131">
        <v>96.24</v>
      </c>
      <c r="W161" s="135">
        <v>83.08</v>
      </c>
      <c r="X161" s="135">
        <v>91.46</v>
      </c>
      <c r="Y161" s="37"/>
      <c r="Z161" s="131">
        <v>75.52</v>
      </c>
      <c r="AA161" s="12">
        <v>49.71</v>
      </c>
      <c r="AB161" s="12">
        <v>89.07</v>
      </c>
      <c r="AC161" s="12">
        <v>91.73</v>
      </c>
      <c r="AD161" s="12">
        <v>108.79</v>
      </c>
      <c r="AE161" s="131">
        <v>75.27</v>
      </c>
      <c r="AF161" s="131">
        <v>75.88</v>
      </c>
      <c r="AG161" s="131">
        <v>86.92</v>
      </c>
      <c r="AH161" s="131">
        <v>83.72</v>
      </c>
      <c r="AI161" s="131"/>
      <c r="AJ161" s="37"/>
      <c r="AK161" s="339">
        <v>44340.45</v>
      </c>
      <c r="AL161" s="372"/>
      <c r="AN161" s="30"/>
    </row>
    <row r="162" spans="1:40" ht="19.5" thickBot="1" x14ac:dyDescent="0.35">
      <c r="A162" s="384">
        <v>216</v>
      </c>
      <c r="B162" s="152">
        <v>100.25</v>
      </c>
      <c r="C162" s="171">
        <v>60.99</v>
      </c>
      <c r="D162" s="175">
        <v>57</v>
      </c>
      <c r="E162" s="175">
        <v>117.46</v>
      </c>
      <c r="F162" s="175">
        <v>59.9</v>
      </c>
      <c r="G162" s="155">
        <v>81.03</v>
      </c>
      <c r="H162" s="175">
        <v>54.81</v>
      </c>
      <c r="I162" s="43"/>
      <c r="J162" s="175">
        <v>95.61</v>
      </c>
      <c r="K162" s="131">
        <v>69.64</v>
      </c>
      <c r="L162" s="131">
        <v>72.78</v>
      </c>
      <c r="M162" s="573">
        <v>89.46</v>
      </c>
      <c r="N162" s="175">
        <v>80.12</v>
      </c>
      <c r="O162" s="171">
        <v>92.18</v>
      </c>
      <c r="P162" s="171">
        <v>53.32</v>
      </c>
      <c r="Q162" s="43"/>
      <c r="R162" s="152">
        <v>74.819999999999993</v>
      </c>
      <c r="S162" s="152">
        <v>96.07</v>
      </c>
      <c r="T162" s="175">
        <v>93</v>
      </c>
      <c r="U162" s="153">
        <v>81.599999999999994</v>
      </c>
      <c r="V162" s="152">
        <v>50.02</v>
      </c>
      <c r="W162" s="175">
        <v>108.56</v>
      </c>
      <c r="X162" s="175">
        <v>83.15</v>
      </c>
      <c r="Y162" s="43"/>
      <c r="Z162" s="135">
        <v>82.48</v>
      </c>
      <c r="AA162" s="152">
        <v>62.25</v>
      </c>
      <c r="AB162" s="153">
        <v>85.21</v>
      </c>
      <c r="AC162" s="153">
        <v>82.53</v>
      </c>
      <c r="AD162" s="153">
        <v>97.27</v>
      </c>
      <c r="AE162" s="152">
        <v>44.89</v>
      </c>
      <c r="AF162" s="152">
        <v>70.010000000000005</v>
      </c>
      <c r="AG162" s="152">
        <v>86.37</v>
      </c>
      <c r="AH162" s="152">
        <v>49.68</v>
      </c>
      <c r="AI162" s="152"/>
      <c r="AJ162" s="43"/>
      <c r="AK162" s="379">
        <v>56242.9</v>
      </c>
      <c r="AL162" s="457"/>
      <c r="AN162" s="31"/>
    </row>
    <row r="163" spans="1:40" ht="18.75" x14ac:dyDescent="0.3">
      <c r="A163" s="281" t="s">
        <v>2</v>
      </c>
      <c r="B163" s="163">
        <f t="shared" ref="B163:G163" si="3">SUM(B70:B162)</f>
        <v>6727.1700000000019</v>
      </c>
      <c r="C163" s="163">
        <f t="shared" si="3"/>
        <v>4408.4899999999989</v>
      </c>
      <c r="D163" s="163">
        <f t="shared" si="3"/>
        <v>4289.4299999999994</v>
      </c>
      <c r="E163" s="163">
        <f t="shared" si="3"/>
        <v>6663.4100000000026</v>
      </c>
      <c r="F163" s="163">
        <f>SUM(F70:F162)</f>
        <v>5048.3799999999992</v>
      </c>
      <c r="G163" s="163">
        <f t="shared" si="3"/>
        <v>5726.0199999999977</v>
      </c>
      <c r="H163" s="163">
        <f>SUM(H70:H162)</f>
        <v>5909.01</v>
      </c>
      <c r="I163" s="158">
        <f>SUM(B163:H163)</f>
        <v>38771.910000000003</v>
      </c>
      <c r="J163" s="163">
        <f t="shared" ref="J163:N163" si="4">SUM(J70:J162)</f>
        <v>6550.3899999999994</v>
      </c>
      <c r="K163" s="163">
        <f t="shared" si="4"/>
        <v>5617.46</v>
      </c>
      <c r="L163" s="163">
        <f t="shared" si="4"/>
        <v>5726.39</v>
      </c>
      <c r="M163" s="163">
        <f t="shared" si="4"/>
        <v>6289.3900000000012</v>
      </c>
      <c r="N163" s="163">
        <f t="shared" si="4"/>
        <v>6194.2100000000019</v>
      </c>
      <c r="O163" s="163">
        <f>SUM(O70:O162)</f>
        <v>6757.6200000000008</v>
      </c>
      <c r="P163" s="163">
        <f>SUM(P70:P162)</f>
        <v>6005.3499999999995</v>
      </c>
      <c r="Q163" s="158">
        <f>SUM(J163:P163)</f>
        <v>43140.81</v>
      </c>
      <c r="R163" s="163">
        <f t="shared" ref="R163:W163" si="5">SUM(R70:R162)</f>
        <v>6192.64</v>
      </c>
      <c r="S163" s="163">
        <f t="shared" si="5"/>
        <v>5552.7300000000005</v>
      </c>
      <c r="T163" s="163">
        <f>SUM(T70:T162)</f>
        <v>6703.1499999999969</v>
      </c>
      <c r="U163" s="163">
        <f t="shared" si="5"/>
        <v>6069.5599999999995</v>
      </c>
      <c r="V163" s="163">
        <f t="shared" si="5"/>
        <v>6291.8399999999992</v>
      </c>
      <c r="W163" s="163">
        <f t="shared" si="5"/>
        <v>7384.9500000000007</v>
      </c>
      <c r="X163" s="163">
        <f>SUM(X70:X162)</f>
        <v>6145.5800000000027</v>
      </c>
      <c r="Y163" s="221">
        <f>SUM(R163:X163)</f>
        <v>44340.45</v>
      </c>
      <c r="Z163" s="163">
        <f t="shared" ref="Z163:AE163" si="6">SUM(Z70:Z162)</f>
        <v>6752.0099999999993</v>
      </c>
      <c r="AA163" s="163">
        <f t="shared" si="6"/>
        <v>5925.7500000000009</v>
      </c>
      <c r="AB163" s="163">
        <f t="shared" si="6"/>
        <v>6701.6000000000013</v>
      </c>
      <c r="AC163" s="163">
        <f t="shared" si="6"/>
        <v>6241.2700000000023</v>
      </c>
      <c r="AD163" s="163">
        <f t="shared" si="6"/>
        <v>7081.9800000000014</v>
      </c>
      <c r="AE163" s="163">
        <f t="shared" si="6"/>
        <v>5850.7100000000019</v>
      </c>
      <c r="AF163" s="163">
        <f>SUM(AF70:AF162)</f>
        <v>5739.4</v>
      </c>
      <c r="AG163" s="163">
        <f>SUM(AG70:AG162)</f>
        <v>5855.2000000000016</v>
      </c>
      <c r="AH163" s="163">
        <f>SUM(AH70:AH162)</f>
        <v>6094.98</v>
      </c>
      <c r="AI163" s="163"/>
      <c r="AJ163" s="699">
        <f>SUM(Z163:AI163)</f>
        <v>56242.900000000009</v>
      </c>
      <c r="AK163" s="881">
        <f>SUM(AK159:AK162)</f>
        <v>182496.07</v>
      </c>
      <c r="AL163" s="235"/>
      <c r="AN163" s="32"/>
    </row>
    <row r="164" spans="1:40" ht="15.75" thickBot="1" x14ac:dyDescent="0.3">
      <c r="A164" s="264"/>
      <c r="B164" s="265" t="s">
        <v>361</v>
      </c>
      <c r="C164" s="265" t="s">
        <v>318</v>
      </c>
      <c r="D164" s="265" t="s">
        <v>318</v>
      </c>
      <c r="E164" s="265" t="s">
        <v>320</v>
      </c>
      <c r="F164" s="265" t="s">
        <v>351</v>
      </c>
      <c r="G164" s="265" t="s">
        <v>326</v>
      </c>
      <c r="H164" s="265" t="s">
        <v>318</v>
      </c>
      <c r="I164" s="56"/>
      <c r="J164" s="265" t="s">
        <v>324</v>
      </c>
      <c r="K164" s="265" t="s">
        <v>323</v>
      </c>
      <c r="L164" s="265" t="s">
        <v>317</v>
      </c>
      <c r="M164" s="265" t="s">
        <v>317</v>
      </c>
      <c r="N164" s="265" t="s">
        <v>324</v>
      </c>
      <c r="O164" s="265" t="s">
        <v>324</v>
      </c>
      <c r="P164" s="265" t="s">
        <v>361</v>
      </c>
      <c r="Q164" s="56"/>
      <c r="R164" s="265" t="s">
        <v>317</v>
      </c>
      <c r="S164" s="265" t="s">
        <v>324</v>
      </c>
      <c r="T164" s="265" t="s">
        <v>324</v>
      </c>
      <c r="U164" s="265" t="s">
        <v>324</v>
      </c>
      <c r="V164" s="265" t="s">
        <v>320</v>
      </c>
      <c r="W164" s="265" t="s">
        <v>266</v>
      </c>
      <c r="X164" s="265" t="s">
        <v>318</v>
      </c>
      <c r="Y164" s="56"/>
      <c r="Z164" s="265" t="s">
        <v>321</v>
      </c>
      <c r="AA164" s="265" t="s">
        <v>317</v>
      </c>
      <c r="AB164" s="265" t="s">
        <v>324</v>
      </c>
      <c r="AC164" s="265" t="s">
        <v>351</v>
      </c>
      <c r="AD164" s="265" t="s">
        <v>361</v>
      </c>
      <c r="AE164" s="265" t="s">
        <v>317</v>
      </c>
      <c r="AF164" s="265" t="s">
        <v>318</v>
      </c>
      <c r="AG164" s="265" t="s">
        <v>317</v>
      </c>
      <c r="AH164" s="265" t="s">
        <v>324</v>
      </c>
      <c r="AI164" s="265"/>
      <c r="AJ164" s="56"/>
      <c r="AK164" s="225"/>
      <c r="AL164" s="228"/>
    </row>
    <row r="165" spans="1:40" ht="24" thickBot="1" x14ac:dyDescent="0.4">
      <c r="A165" s="252" t="s">
        <v>137</v>
      </c>
      <c r="B165" s="258"/>
      <c r="C165" s="258"/>
      <c r="D165" s="258"/>
      <c r="E165" s="258"/>
      <c r="F165" s="258"/>
      <c r="G165" s="254"/>
      <c r="H165" s="254"/>
      <c r="I165" s="259"/>
      <c r="J165" s="259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60"/>
      <c r="AK165" s="261"/>
      <c r="AL165" s="255"/>
    </row>
    <row r="166" spans="1:40" ht="15.75" x14ac:dyDescent="0.25">
      <c r="A166" s="320" t="s">
        <v>8</v>
      </c>
      <c r="B166" s="322">
        <v>1</v>
      </c>
      <c r="C166" s="322">
        <v>2</v>
      </c>
      <c r="D166" s="322">
        <v>3</v>
      </c>
      <c r="E166" s="322">
        <v>4</v>
      </c>
      <c r="F166" s="322">
        <v>5</v>
      </c>
      <c r="G166" s="322">
        <v>6</v>
      </c>
      <c r="H166" s="322">
        <v>7</v>
      </c>
      <c r="I166" s="323" t="s">
        <v>6</v>
      </c>
      <c r="J166" s="322">
        <v>8</v>
      </c>
      <c r="K166" s="322">
        <v>9</v>
      </c>
      <c r="L166" s="322">
        <v>10</v>
      </c>
      <c r="M166" s="322">
        <v>11</v>
      </c>
      <c r="N166" s="322">
        <v>12</v>
      </c>
      <c r="O166" s="322">
        <v>13</v>
      </c>
      <c r="P166" s="322">
        <v>14</v>
      </c>
      <c r="Q166" s="323" t="s">
        <v>6</v>
      </c>
      <c r="R166" s="322">
        <v>15</v>
      </c>
      <c r="S166" s="322">
        <v>16</v>
      </c>
      <c r="T166" s="322">
        <v>17</v>
      </c>
      <c r="U166" s="322">
        <v>18</v>
      </c>
      <c r="V166" s="322">
        <v>19</v>
      </c>
      <c r="W166" s="322">
        <v>20</v>
      </c>
      <c r="X166" s="322">
        <v>21</v>
      </c>
      <c r="Y166" s="323" t="s">
        <v>6</v>
      </c>
      <c r="Z166" s="322">
        <v>22</v>
      </c>
      <c r="AA166" s="322">
        <v>23</v>
      </c>
      <c r="AB166" s="322">
        <v>24</v>
      </c>
      <c r="AC166" s="322">
        <v>25</v>
      </c>
      <c r="AD166" s="322">
        <v>26</v>
      </c>
      <c r="AE166" s="322">
        <v>27</v>
      </c>
      <c r="AF166" s="322">
        <v>28</v>
      </c>
      <c r="AG166" s="322">
        <v>29</v>
      </c>
      <c r="AH166" s="322">
        <v>30</v>
      </c>
      <c r="AI166" s="322">
        <v>31</v>
      </c>
      <c r="AJ166" s="324" t="s">
        <v>6</v>
      </c>
      <c r="AK166" s="325" t="s">
        <v>0</v>
      </c>
      <c r="AL166" s="395" t="s">
        <v>42</v>
      </c>
    </row>
    <row r="167" spans="1:40" x14ac:dyDescent="0.25">
      <c r="A167" s="67" t="s">
        <v>9</v>
      </c>
      <c r="B167" s="530"/>
      <c r="C167" s="530"/>
      <c r="D167" s="530"/>
      <c r="E167" s="530"/>
      <c r="F167" s="530"/>
      <c r="G167" s="530"/>
      <c r="H167" s="530"/>
      <c r="I167" s="36"/>
      <c r="J167" s="530"/>
      <c r="K167" s="530"/>
      <c r="L167" s="588"/>
      <c r="M167" s="530"/>
      <c r="N167" s="530"/>
      <c r="O167" s="530"/>
      <c r="P167" s="530"/>
      <c r="Q167" s="36"/>
      <c r="R167" s="530"/>
      <c r="S167" s="530"/>
      <c r="T167" s="530"/>
      <c r="U167" s="530"/>
      <c r="V167" s="588"/>
      <c r="W167" s="588"/>
      <c r="X167" s="588"/>
      <c r="Y167" s="36"/>
      <c r="Z167" s="530"/>
      <c r="AA167" s="530"/>
      <c r="AB167" s="588"/>
      <c r="AC167" s="588"/>
      <c r="AD167" s="588"/>
      <c r="AE167" s="530"/>
      <c r="AF167" s="530"/>
      <c r="AG167" s="530"/>
      <c r="AH167" s="530"/>
      <c r="AI167" s="530"/>
      <c r="AJ167" s="37"/>
      <c r="AK167" s="38"/>
      <c r="AL167" s="197"/>
    </row>
    <row r="168" spans="1:40" x14ac:dyDescent="0.25">
      <c r="A168" s="67" t="s">
        <v>10</v>
      </c>
      <c r="B168" s="537"/>
      <c r="C168" s="537"/>
      <c r="D168" s="537"/>
      <c r="E168" s="537"/>
      <c r="F168" s="537"/>
      <c r="G168" s="537"/>
      <c r="H168" s="537"/>
      <c r="I168" s="37"/>
      <c r="J168" s="537"/>
      <c r="K168" s="537"/>
      <c r="L168" s="582"/>
      <c r="M168" s="537"/>
      <c r="N168" s="537"/>
      <c r="O168" s="537"/>
      <c r="P168" s="530"/>
      <c r="Q168" s="37"/>
      <c r="R168" s="537"/>
      <c r="S168" s="537"/>
      <c r="T168" s="537"/>
      <c r="U168" s="537"/>
      <c r="V168" s="582"/>
      <c r="W168" s="582"/>
      <c r="X168" s="582"/>
      <c r="Y168" s="37"/>
      <c r="Z168" s="537"/>
      <c r="AA168" s="537"/>
      <c r="AB168" s="582"/>
      <c r="AC168" s="582"/>
      <c r="AD168" s="582"/>
      <c r="AE168" s="537"/>
      <c r="AF168" s="537"/>
      <c r="AG168" s="537"/>
      <c r="AH168" s="537"/>
      <c r="AI168" s="537"/>
      <c r="AJ168" s="37"/>
      <c r="AK168" s="38"/>
      <c r="AL168" s="197"/>
    </row>
    <row r="169" spans="1:40" ht="15" customHeight="1" x14ac:dyDescent="0.3">
      <c r="A169" s="67" t="s">
        <v>45</v>
      </c>
      <c r="B169" s="537"/>
      <c r="C169" s="537"/>
      <c r="D169" s="537"/>
      <c r="E169" s="537"/>
      <c r="F169" s="537"/>
      <c r="G169" s="537"/>
      <c r="H169" s="537"/>
      <c r="I169" s="37"/>
      <c r="J169" s="537"/>
      <c r="K169" s="537"/>
      <c r="L169" s="582"/>
      <c r="M169" s="537"/>
      <c r="N169" s="537"/>
      <c r="O169" s="537"/>
      <c r="P169" s="530"/>
      <c r="Q169" s="37"/>
      <c r="R169" s="537"/>
      <c r="S169" s="537"/>
      <c r="T169" s="537"/>
      <c r="U169" s="537"/>
      <c r="V169" s="582"/>
      <c r="W169" s="582"/>
      <c r="X169" s="582"/>
      <c r="Y169" s="37"/>
      <c r="Z169" s="537"/>
      <c r="AA169" s="537"/>
      <c r="AB169" s="582"/>
      <c r="AC169" s="582"/>
      <c r="AD169" s="582"/>
      <c r="AE169" s="537"/>
      <c r="AF169" s="537"/>
      <c r="AG169" s="537"/>
      <c r="AH169" s="537"/>
      <c r="AI169" s="537"/>
      <c r="AJ169" s="37"/>
      <c r="AK169" s="339"/>
      <c r="AL169" s="197"/>
    </row>
    <row r="170" spans="1:40" ht="15" customHeight="1" x14ac:dyDescent="0.3">
      <c r="A170" s="67" t="s">
        <v>11</v>
      </c>
      <c r="B170" s="537"/>
      <c r="C170" s="537"/>
      <c r="D170" s="537"/>
      <c r="E170" s="537"/>
      <c r="F170" s="537"/>
      <c r="G170" s="537"/>
      <c r="H170" s="537"/>
      <c r="I170" s="37"/>
      <c r="J170" s="537"/>
      <c r="K170" s="537"/>
      <c r="L170" s="582"/>
      <c r="M170" s="537"/>
      <c r="N170" s="537"/>
      <c r="O170" s="537"/>
      <c r="P170" s="530"/>
      <c r="Q170" s="37"/>
      <c r="R170" s="537"/>
      <c r="S170" s="537"/>
      <c r="T170" s="537"/>
      <c r="U170" s="537"/>
      <c r="V170" s="582"/>
      <c r="W170" s="582"/>
      <c r="X170" s="582"/>
      <c r="Y170" s="37"/>
      <c r="Z170" s="537"/>
      <c r="AA170" s="537"/>
      <c r="AB170" s="582"/>
      <c r="AC170" s="582"/>
      <c r="AD170" s="582"/>
      <c r="AE170" s="530"/>
      <c r="AF170" s="537"/>
      <c r="AG170" s="537"/>
      <c r="AH170" s="537"/>
      <c r="AI170" s="537"/>
      <c r="AJ170" s="37"/>
      <c r="AK170" s="339"/>
      <c r="AL170" s="197"/>
    </row>
    <row r="171" spans="1:40" ht="18.75" x14ac:dyDescent="0.3">
      <c r="A171" s="67" t="s">
        <v>12</v>
      </c>
      <c r="B171" s="537"/>
      <c r="C171" s="537"/>
      <c r="D171" s="537"/>
      <c r="E171" s="537"/>
      <c r="F171" s="537"/>
      <c r="G171" s="537"/>
      <c r="H171" s="537"/>
      <c r="I171" s="37"/>
      <c r="J171" s="537"/>
      <c r="K171" s="537"/>
      <c r="L171" s="582"/>
      <c r="M171" s="537"/>
      <c r="N171" s="537"/>
      <c r="O171" s="537"/>
      <c r="P171" s="530"/>
      <c r="Q171" s="37"/>
      <c r="R171" s="537"/>
      <c r="S171" s="537"/>
      <c r="T171" s="537"/>
      <c r="U171" s="530"/>
      <c r="V171" s="582"/>
      <c r="W171" s="582"/>
      <c r="X171" s="582"/>
      <c r="Y171" s="37"/>
      <c r="Z171" s="537"/>
      <c r="AA171" s="537"/>
      <c r="AB171" s="582"/>
      <c r="AC171" s="582"/>
      <c r="AD171" s="582"/>
      <c r="AE171" s="537"/>
      <c r="AF171" s="530"/>
      <c r="AG171" s="537"/>
      <c r="AH171" s="537"/>
      <c r="AI171" s="537"/>
      <c r="AJ171" s="37"/>
      <c r="AK171" s="339"/>
      <c r="AL171" s="197"/>
    </row>
    <row r="172" spans="1:40" ht="15.75" thickBot="1" x14ac:dyDescent="0.3">
      <c r="A172" s="63" t="s">
        <v>79</v>
      </c>
      <c r="B172" s="581"/>
      <c r="C172" s="576"/>
      <c r="D172" s="581"/>
      <c r="E172" s="581"/>
      <c r="F172" s="581"/>
      <c r="G172" s="581"/>
      <c r="H172" s="581"/>
      <c r="I172" s="43"/>
      <c r="J172" s="581"/>
      <c r="K172" s="581"/>
      <c r="L172" s="585"/>
      <c r="M172" s="581"/>
      <c r="N172" s="581"/>
      <c r="O172" s="581"/>
      <c r="P172" s="576"/>
      <c r="Q172" s="43"/>
      <c r="R172" s="581"/>
      <c r="S172" s="581"/>
      <c r="T172" s="581"/>
      <c r="U172" s="581"/>
      <c r="V172" s="585"/>
      <c r="W172" s="585"/>
      <c r="X172" s="585"/>
      <c r="Y172" s="43"/>
      <c r="Z172" s="581"/>
      <c r="AA172" s="581"/>
      <c r="AB172" s="585"/>
      <c r="AC172" s="585"/>
      <c r="AD172" s="585"/>
      <c r="AE172" s="581"/>
      <c r="AF172" s="581"/>
      <c r="AG172" s="581"/>
      <c r="AH172" s="581"/>
      <c r="AI172" s="581"/>
      <c r="AJ172" s="43"/>
      <c r="AK172" s="44"/>
      <c r="AL172" s="204"/>
    </row>
    <row r="173" spans="1:40" ht="19.5" thickBot="1" x14ac:dyDescent="0.35">
      <c r="A173" s="281" t="s">
        <v>2</v>
      </c>
      <c r="B173" s="241"/>
      <c r="C173" s="241"/>
      <c r="D173" s="241"/>
      <c r="E173" s="241"/>
      <c r="F173" s="241"/>
      <c r="G173" s="241"/>
      <c r="H173" s="241"/>
      <c r="I173" s="221"/>
      <c r="J173" s="241"/>
      <c r="K173" s="241"/>
      <c r="L173" s="241"/>
      <c r="M173" s="241"/>
      <c r="N173" s="191"/>
      <c r="O173" s="191"/>
      <c r="P173" s="241"/>
      <c r="Q173" s="221"/>
      <c r="R173" s="241"/>
      <c r="S173" s="241"/>
      <c r="T173" s="241"/>
      <c r="U173" s="241"/>
      <c r="V173" s="241"/>
      <c r="W173" s="241"/>
      <c r="X173" s="241"/>
      <c r="Y173" s="221"/>
      <c r="Z173" s="241"/>
      <c r="AA173" s="191"/>
      <c r="AB173" s="241"/>
      <c r="AC173" s="241"/>
      <c r="AD173" s="241"/>
      <c r="AE173" s="241"/>
      <c r="AF173" s="241"/>
      <c r="AG173" s="191"/>
      <c r="AH173" s="191"/>
      <c r="AI173" s="191"/>
      <c r="AJ173" s="262"/>
      <c r="AK173" s="263"/>
      <c r="AL173" s="284"/>
    </row>
    <row r="174" spans="1:40" ht="15.75" thickBot="1" x14ac:dyDescent="0.3">
      <c r="A174" s="264"/>
      <c r="B174" s="348"/>
      <c r="C174" s="348"/>
      <c r="D174" s="348"/>
      <c r="E174" s="348"/>
      <c r="F174" s="348"/>
      <c r="G174" s="348"/>
      <c r="H174" s="348"/>
      <c r="I174" s="56"/>
      <c r="J174" s="348"/>
      <c r="K174" s="348"/>
      <c r="L174" s="348"/>
      <c r="M174" s="348"/>
      <c r="N174" s="348"/>
      <c r="O174" s="348"/>
      <c r="P174" s="348"/>
      <c r="Q174" s="56"/>
      <c r="R174" s="348"/>
      <c r="S174" s="348"/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228"/>
    </row>
    <row r="175" spans="1:40" ht="24" thickBot="1" x14ac:dyDescent="0.4">
      <c r="A175" s="252" t="s">
        <v>138</v>
      </c>
      <c r="B175" s="258"/>
      <c r="C175" s="258"/>
      <c r="D175" s="258"/>
      <c r="E175" s="258"/>
      <c r="F175" s="258"/>
      <c r="G175" s="254"/>
      <c r="H175" s="254"/>
      <c r="I175" s="259"/>
      <c r="J175" s="259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60"/>
      <c r="AK175" s="261"/>
      <c r="AL175" s="260"/>
    </row>
    <row r="176" spans="1:40" ht="15.75" x14ac:dyDescent="0.25">
      <c r="A176" s="320" t="s">
        <v>8</v>
      </c>
      <c r="B176" s="322">
        <v>1</v>
      </c>
      <c r="C176" s="322">
        <v>2</v>
      </c>
      <c r="D176" s="322">
        <v>3</v>
      </c>
      <c r="E176" s="322">
        <v>4</v>
      </c>
      <c r="F176" s="322">
        <v>5</v>
      </c>
      <c r="G176" s="322">
        <v>6</v>
      </c>
      <c r="H176" s="322">
        <v>7</v>
      </c>
      <c r="I176" s="323" t="s">
        <v>6</v>
      </c>
      <c r="J176" s="322">
        <v>8</v>
      </c>
      <c r="K176" s="322">
        <v>9</v>
      </c>
      <c r="L176" s="322">
        <v>10</v>
      </c>
      <c r="M176" s="322">
        <v>11</v>
      </c>
      <c r="N176" s="322">
        <v>12</v>
      </c>
      <c r="O176" s="322">
        <v>13</v>
      </c>
      <c r="P176" s="322">
        <v>14</v>
      </c>
      <c r="Q176" s="323" t="s">
        <v>6</v>
      </c>
      <c r="R176" s="322">
        <v>15</v>
      </c>
      <c r="S176" s="322">
        <v>16</v>
      </c>
      <c r="T176" s="322">
        <v>17</v>
      </c>
      <c r="U176" s="322">
        <v>18</v>
      </c>
      <c r="V176" s="322">
        <v>19</v>
      </c>
      <c r="W176" s="322">
        <v>20</v>
      </c>
      <c r="X176" s="322">
        <v>21</v>
      </c>
      <c r="Y176" s="323" t="s">
        <v>6</v>
      </c>
      <c r="Z176" s="322">
        <v>22</v>
      </c>
      <c r="AA176" s="322">
        <v>23</v>
      </c>
      <c r="AB176" s="322">
        <v>24</v>
      </c>
      <c r="AC176" s="322">
        <v>25</v>
      </c>
      <c r="AD176" s="322">
        <v>26</v>
      </c>
      <c r="AE176" s="322">
        <v>27</v>
      </c>
      <c r="AF176" s="322">
        <v>28</v>
      </c>
      <c r="AG176" s="322">
        <v>29</v>
      </c>
      <c r="AH176" s="322">
        <v>30</v>
      </c>
      <c r="AI176" s="322">
        <v>31</v>
      </c>
      <c r="AJ176" s="324" t="s">
        <v>6</v>
      </c>
      <c r="AK176" s="325" t="s">
        <v>0</v>
      </c>
      <c r="AL176" s="395" t="s">
        <v>42</v>
      </c>
    </row>
    <row r="177" spans="1:38" ht="15" customHeight="1" x14ac:dyDescent="0.3">
      <c r="A177" s="67" t="s">
        <v>29</v>
      </c>
      <c r="B177" s="537"/>
      <c r="C177" s="537"/>
      <c r="D177" s="537"/>
      <c r="E177" s="537"/>
      <c r="F177" s="537"/>
      <c r="G177" s="537"/>
      <c r="H177" s="537"/>
      <c r="I177" s="37"/>
      <c r="J177" s="537"/>
      <c r="K177" s="537"/>
      <c r="L177" s="537"/>
      <c r="M177" s="537"/>
      <c r="N177" s="537"/>
      <c r="O177" s="537"/>
      <c r="P177" s="537"/>
      <c r="Q177" s="37"/>
      <c r="R177" s="537"/>
      <c r="S177" s="537"/>
      <c r="T177" s="537"/>
      <c r="U177" s="537"/>
      <c r="V177" s="537"/>
      <c r="W177" s="530"/>
      <c r="X177" s="530"/>
      <c r="Y177" s="37"/>
      <c r="Z177" s="537"/>
      <c r="AA177" s="537"/>
      <c r="AB177" s="537"/>
      <c r="AC177" s="537"/>
      <c r="AD177" s="537"/>
      <c r="AE177" s="537"/>
      <c r="AF177" s="537"/>
      <c r="AG177" s="537"/>
      <c r="AH177" s="537"/>
      <c r="AI177" s="537"/>
      <c r="AJ177" s="37"/>
      <c r="AK177" s="339"/>
      <c r="AL177" s="197"/>
    </row>
    <row r="178" spans="1:38" ht="15" customHeight="1" x14ac:dyDescent="0.3">
      <c r="A178" s="67" t="s">
        <v>13</v>
      </c>
      <c r="B178" s="537"/>
      <c r="C178" s="530"/>
      <c r="D178" s="537"/>
      <c r="E178" s="537"/>
      <c r="F178" s="537"/>
      <c r="G178" s="537"/>
      <c r="H178" s="537"/>
      <c r="I178" s="37"/>
      <c r="J178" s="537"/>
      <c r="K178" s="537"/>
      <c r="L178" s="537"/>
      <c r="M178" s="537"/>
      <c r="N178" s="537"/>
      <c r="O178" s="537"/>
      <c r="P178" s="537"/>
      <c r="Q178" s="37"/>
      <c r="R178" s="537"/>
      <c r="S178" s="537"/>
      <c r="T178" s="537"/>
      <c r="U178" s="537"/>
      <c r="V178" s="537"/>
      <c r="W178" s="530"/>
      <c r="X178" s="530"/>
      <c r="Y178" s="37"/>
      <c r="Z178" s="537"/>
      <c r="AA178" s="537"/>
      <c r="AB178" s="537"/>
      <c r="AC178" s="537"/>
      <c r="AD178" s="537"/>
      <c r="AE178" s="530"/>
      <c r="AF178" s="537"/>
      <c r="AG178" s="537"/>
      <c r="AH178" s="537"/>
      <c r="AI178" s="537"/>
      <c r="AJ178" s="37"/>
      <c r="AK178" s="339"/>
      <c r="AL178" s="197"/>
    </row>
    <row r="179" spans="1:38" ht="15" customHeight="1" x14ac:dyDescent="0.3">
      <c r="A179" s="63" t="s">
        <v>14</v>
      </c>
      <c r="B179" s="581"/>
      <c r="C179" s="581"/>
      <c r="D179" s="581"/>
      <c r="E179" s="581"/>
      <c r="F179" s="581"/>
      <c r="G179" s="581"/>
      <c r="H179" s="581"/>
      <c r="I179" s="43"/>
      <c r="J179" s="581"/>
      <c r="K179" s="581"/>
      <c r="L179" s="581"/>
      <c r="M179" s="581"/>
      <c r="N179" s="581"/>
      <c r="O179" s="581"/>
      <c r="P179" s="581"/>
      <c r="Q179" s="43"/>
      <c r="R179" s="581"/>
      <c r="S179" s="581"/>
      <c r="T179" s="581"/>
      <c r="U179" s="581"/>
      <c r="V179" s="581"/>
      <c r="W179" s="576"/>
      <c r="X179" s="576"/>
      <c r="Y179" s="43"/>
      <c r="Z179" s="581"/>
      <c r="AA179" s="581"/>
      <c r="AB179" s="581"/>
      <c r="AC179" s="581"/>
      <c r="AD179" s="581"/>
      <c r="AE179" s="581"/>
      <c r="AF179" s="581"/>
      <c r="AG179" s="581"/>
      <c r="AH179" s="581"/>
      <c r="AI179" s="581"/>
      <c r="AJ179" s="43"/>
      <c r="AK179" s="342"/>
      <c r="AL179" s="204"/>
    </row>
    <row r="180" spans="1:38" ht="15" customHeight="1" thickBot="1" x14ac:dyDescent="0.35">
      <c r="A180" s="349"/>
      <c r="B180" s="576"/>
      <c r="C180" s="576"/>
      <c r="D180" s="576"/>
      <c r="E180" s="576"/>
      <c r="F180" s="576"/>
      <c r="G180" s="576"/>
      <c r="H180" s="576"/>
      <c r="I180" s="127"/>
      <c r="J180" s="576"/>
      <c r="K180" s="576"/>
      <c r="L180" s="576"/>
      <c r="M180" s="576"/>
      <c r="N180" s="576"/>
      <c r="O180" s="576"/>
      <c r="P180" s="576"/>
      <c r="Q180" s="45"/>
      <c r="R180" s="576"/>
      <c r="S180" s="576"/>
      <c r="T180" s="576"/>
      <c r="U180" s="576"/>
      <c r="V180" s="576"/>
      <c r="W180" s="576"/>
      <c r="X180" s="576"/>
      <c r="Y180" s="45"/>
      <c r="Z180" s="576"/>
      <c r="AA180" s="576"/>
      <c r="AB180" s="576"/>
      <c r="AC180" s="576"/>
      <c r="AD180" s="576"/>
      <c r="AE180" s="576"/>
      <c r="AF180" s="576"/>
      <c r="AG180" s="576"/>
      <c r="AH180" s="576"/>
      <c r="AI180" s="576"/>
      <c r="AJ180" s="43"/>
      <c r="AK180" s="293"/>
      <c r="AL180" s="204"/>
    </row>
    <row r="181" spans="1:38" ht="18.75" x14ac:dyDescent="0.3">
      <c r="A181" s="281" t="s">
        <v>2</v>
      </c>
      <c r="B181" s="163"/>
      <c r="C181" s="163"/>
      <c r="D181" s="163"/>
      <c r="E181" s="163"/>
      <c r="F181" s="163"/>
      <c r="G181" s="163"/>
      <c r="H181" s="163"/>
      <c r="I181" s="221"/>
      <c r="J181" s="163"/>
      <c r="K181" s="163"/>
      <c r="L181" s="163"/>
      <c r="M181" s="163"/>
      <c r="N181" s="163"/>
      <c r="O181" s="163"/>
      <c r="P181" s="163"/>
      <c r="Q181" s="221"/>
      <c r="R181" s="163"/>
      <c r="S181" s="163"/>
      <c r="T181" s="163"/>
      <c r="U181" s="163"/>
      <c r="V181" s="163"/>
      <c r="W181" s="163"/>
      <c r="X181" s="163"/>
      <c r="Y181" s="221"/>
      <c r="Z181" s="163"/>
      <c r="AA181" s="163"/>
      <c r="AB181" s="163"/>
      <c r="AC181" s="163"/>
      <c r="AD181" s="163"/>
      <c r="AE181" s="163"/>
      <c r="AF181" s="163"/>
      <c r="AG181" s="50"/>
      <c r="AH181" s="50"/>
      <c r="AI181" s="50"/>
      <c r="AJ181" s="262"/>
      <c r="AK181" s="263"/>
      <c r="AL181" s="235"/>
    </row>
    <row r="182" spans="1:38" ht="15.75" thickBot="1" x14ac:dyDescent="0.3">
      <c r="A182" s="264"/>
      <c r="B182" s="265"/>
      <c r="C182" s="265"/>
      <c r="D182" s="265"/>
      <c r="E182" s="265"/>
      <c r="F182" s="265"/>
      <c r="G182" s="265"/>
      <c r="H182" s="265"/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</row>
    <row r="183" spans="1:38" ht="24" thickBot="1" x14ac:dyDescent="0.4">
      <c r="A183" s="252" t="s">
        <v>139</v>
      </c>
      <c r="B183" s="258"/>
      <c r="C183" s="258"/>
      <c r="D183" s="258"/>
      <c r="E183" s="258"/>
      <c r="F183" s="258"/>
      <c r="G183" s="254"/>
      <c r="H183" s="254"/>
      <c r="I183" s="259"/>
      <c r="J183" s="259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60"/>
      <c r="AK183" s="261"/>
      <c r="AL183" s="260"/>
    </row>
    <row r="184" spans="1:38" ht="15.75" x14ac:dyDescent="0.25">
      <c r="A184" s="320" t="s">
        <v>8</v>
      </c>
      <c r="B184" s="322">
        <v>1</v>
      </c>
      <c r="C184" s="322">
        <v>2</v>
      </c>
      <c r="D184" s="322">
        <v>3</v>
      </c>
      <c r="E184" s="322">
        <v>4</v>
      </c>
      <c r="F184" s="322">
        <v>5</v>
      </c>
      <c r="G184" s="322">
        <v>6</v>
      </c>
      <c r="H184" s="322">
        <v>7</v>
      </c>
      <c r="I184" s="323" t="s">
        <v>6</v>
      </c>
      <c r="J184" s="322">
        <v>8</v>
      </c>
      <c r="K184" s="322">
        <v>9</v>
      </c>
      <c r="L184" s="322">
        <v>10</v>
      </c>
      <c r="M184" s="322">
        <v>11</v>
      </c>
      <c r="N184" s="322">
        <v>12</v>
      </c>
      <c r="O184" s="322">
        <v>13</v>
      </c>
      <c r="P184" s="322">
        <v>14</v>
      </c>
      <c r="Q184" s="323" t="s">
        <v>6</v>
      </c>
      <c r="R184" s="322">
        <v>15</v>
      </c>
      <c r="S184" s="322">
        <v>16</v>
      </c>
      <c r="T184" s="322">
        <v>17</v>
      </c>
      <c r="U184" s="322">
        <v>18</v>
      </c>
      <c r="V184" s="322">
        <v>19</v>
      </c>
      <c r="W184" s="322">
        <v>20</v>
      </c>
      <c r="X184" s="322">
        <v>21</v>
      </c>
      <c r="Y184" s="323" t="s">
        <v>6</v>
      </c>
      <c r="Z184" s="322">
        <v>22</v>
      </c>
      <c r="AA184" s="322">
        <v>23</v>
      </c>
      <c r="AB184" s="322">
        <v>24</v>
      </c>
      <c r="AC184" s="322">
        <v>25</v>
      </c>
      <c r="AD184" s="322">
        <v>26</v>
      </c>
      <c r="AE184" s="322">
        <v>27</v>
      </c>
      <c r="AF184" s="322">
        <v>28</v>
      </c>
      <c r="AG184" s="322">
        <v>29</v>
      </c>
      <c r="AH184" s="322">
        <v>30</v>
      </c>
      <c r="AI184" s="322">
        <v>31</v>
      </c>
      <c r="AJ184" s="324" t="s">
        <v>6</v>
      </c>
      <c r="AK184" s="325" t="s">
        <v>0</v>
      </c>
      <c r="AL184" s="395" t="s">
        <v>42</v>
      </c>
    </row>
    <row r="185" spans="1:38" x14ac:dyDescent="0.25">
      <c r="A185" s="67" t="s">
        <v>32</v>
      </c>
      <c r="B185" s="537"/>
      <c r="C185" s="537"/>
      <c r="D185" s="530"/>
      <c r="E185" s="531">
        <v>0</v>
      </c>
      <c r="F185" s="537"/>
      <c r="G185" s="537"/>
      <c r="H185" s="537"/>
      <c r="I185" s="37"/>
      <c r="J185" s="537"/>
      <c r="K185" s="537"/>
      <c r="L185" s="530"/>
      <c r="M185" s="530"/>
      <c r="N185" s="530"/>
      <c r="O185" s="1">
        <v>27.8</v>
      </c>
      <c r="P185" s="537"/>
      <c r="Q185" s="37"/>
      <c r="R185" s="161">
        <v>11.63</v>
      </c>
      <c r="S185" s="531">
        <v>0</v>
      </c>
      <c r="T185" s="537"/>
      <c r="U185" s="531">
        <v>0</v>
      </c>
      <c r="V185" s="530"/>
      <c r="W185" s="531">
        <v>0</v>
      </c>
      <c r="X185" s="530"/>
      <c r="Y185" s="37"/>
      <c r="Z185" s="537"/>
      <c r="AA185" s="530"/>
      <c r="AB185" s="531">
        <v>0</v>
      </c>
      <c r="AC185" s="537"/>
      <c r="AD185" s="537"/>
      <c r="AE185" s="530"/>
      <c r="AF185" s="537"/>
      <c r="AG185" s="531">
        <v>0</v>
      </c>
      <c r="AH185" s="531">
        <v>0</v>
      </c>
      <c r="AI185" s="2"/>
      <c r="AJ185" s="37"/>
      <c r="AK185" s="38"/>
      <c r="AL185" s="197"/>
    </row>
    <row r="186" spans="1:38" x14ac:dyDescent="0.25">
      <c r="A186" s="67" t="s">
        <v>297</v>
      </c>
      <c r="B186" s="537"/>
      <c r="C186" s="537"/>
      <c r="D186" s="537"/>
      <c r="E186" s="537"/>
      <c r="F186" s="537"/>
      <c r="G186" s="537"/>
      <c r="H186" s="537"/>
      <c r="I186" s="37"/>
      <c r="J186" s="537"/>
      <c r="K186" s="537"/>
      <c r="L186" s="537"/>
      <c r="M186" s="530"/>
      <c r="N186" s="537"/>
      <c r="O186" s="537"/>
      <c r="P186" s="118">
        <v>35.46</v>
      </c>
      <c r="Q186" s="37"/>
      <c r="R186" s="537"/>
      <c r="S186" s="537"/>
      <c r="T186" s="537"/>
      <c r="U186" s="537"/>
      <c r="V186" s="537"/>
      <c r="W186" s="530"/>
      <c r="X186" s="530"/>
      <c r="Y186" s="37"/>
      <c r="Z186" s="530"/>
      <c r="AA186" s="537"/>
      <c r="AB186" s="537"/>
      <c r="AC186" s="537"/>
      <c r="AD186" s="537"/>
      <c r="AE186" s="537"/>
      <c r="AF186" s="537"/>
      <c r="AG186" s="537"/>
      <c r="AH186" s="537"/>
      <c r="AI186" s="2"/>
      <c r="AJ186" s="37"/>
      <c r="AK186" s="38"/>
      <c r="AL186" s="197"/>
    </row>
    <row r="187" spans="1:38" x14ac:dyDescent="0.25">
      <c r="A187" s="67" t="s">
        <v>34</v>
      </c>
      <c r="B187" s="537"/>
      <c r="C187" s="537"/>
      <c r="D187" s="537"/>
      <c r="E187" s="537"/>
      <c r="F187" s="537"/>
      <c r="G187" s="537"/>
      <c r="H187" s="118">
        <v>30.37</v>
      </c>
      <c r="I187" s="37"/>
      <c r="J187" s="537"/>
      <c r="K187" s="537"/>
      <c r="L187" s="537"/>
      <c r="M187" s="530"/>
      <c r="N187" s="537"/>
      <c r="O187" s="537"/>
      <c r="P187" s="537"/>
      <c r="Q187" s="37"/>
      <c r="R187" s="161">
        <v>22.75</v>
      </c>
      <c r="S187" s="537"/>
      <c r="T187" s="537"/>
      <c r="U187" s="537"/>
      <c r="V187" s="537"/>
      <c r="W187" s="530"/>
      <c r="X187" s="530"/>
      <c r="Y187" s="37"/>
      <c r="Z187" s="537"/>
      <c r="AA187" s="537"/>
      <c r="AB187" s="537"/>
      <c r="AC187" s="537"/>
      <c r="AD187" s="537"/>
      <c r="AE187" s="161">
        <v>23.31</v>
      </c>
      <c r="AF187" s="537"/>
      <c r="AG187" s="537"/>
      <c r="AH187" s="537"/>
      <c r="AI187" s="2"/>
      <c r="AJ187" s="37"/>
      <c r="AK187" s="38"/>
      <c r="AL187" s="197"/>
    </row>
    <row r="188" spans="1:38" x14ac:dyDescent="0.25">
      <c r="A188" s="67" t="s">
        <v>31</v>
      </c>
      <c r="B188" s="530"/>
      <c r="C188" s="537"/>
      <c r="D188" s="537"/>
      <c r="E188" s="537"/>
      <c r="F188" s="537"/>
      <c r="G188" s="537"/>
      <c r="H188" s="537"/>
      <c r="I188" s="37"/>
      <c r="J188" s="118">
        <v>31.86</v>
      </c>
      <c r="K188" s="537"/>
      <c r="L188" s="537"/>
      <c r="M188" s="530"/>
      <c r="N188" s="537"/>
      <c r="O188" s="537"/>
      <c r="P188" s="537"/>
      <c r="Q188" s="37"/>
      <c r="R188" s="537"/>
      <c r="S188" s="537"/>
      <c r="T188" s="537"/>
      <c r="U188" s="537"/>
      <c r="V188" s="537"/>
      <c r="W188" s="530"/>
      <c r="X188" s="530"/>
      <c r="Y188" s="37"/>
      <c r="Z188" s="537"/>
      <c r="AA188" s="537"/>
      <c r="AB188" s="537"/>
      <c r="AC188" s="537"/>
      <c r="AD188" s="537"/>
      <c r="AE188" s="537"/>
      <c r="AF188" s="537"/>
      <c r="AG188" s="537"/>
      <c r="AH188" s="537"/>
      <c r="AI188" s="2"/>
      <c r="AJ188" s="37"/>
      <c r="AK188" s="38"/>
      <c r="AL188" s="197"/>
    </row>
    <row r="189" spans="1:38" x14ac:dyDescent="0.25">
      <c r="A189" s="67" t="s">
        <v>30</v>
      </c>
      <c r="B189" s="118">
        <v>18.489999999999998</v>
      </c>
      <c r="C189" s="537"/>
      <c r="D189" s="118">
        <v>22.79</v>
      </c>
      <c r="E189" s="537"/>
      <c r="F189" s="1">
        <v>26.2</v>
      </c>
      <c r="G189" s="537"/>
      <c r="H189" s="537"/>
      <c r="I189" s="37"/>
      <c r="J189" s="537"/>
      <c r="K189" s="118">
        <v>20.66</v>
      </c>
      <c r="L189" s="118">
        <v>18.850000000000001</v>
      </c>
      <c r="M189" s="1">
        <v>14.72</v>
      </c>
      <c r="N189" s="118">
        <v>16.350000000000001</v>
      </c>
      <c r="O189" s="118">
        <v>20.92</v>
      </c>
      <c r="P189" s="118">
        <v>37.020000000000003</v>
      </c>
      <c r="Q189" s="37"/>
      <c r="R189" s="57">
        <v>17.8</v>
      </c>
      <c r="S189" s="537"/>
      <c r="T189" s="118">
        <v>42.88</v>
      </c>
      <c r="U189" s="537"/>
      <c r="V189" s="118">
        <v>38.85</v>
      </c>
      <c r="W189" s="530"/>
      <c r="X189" s="57">
        <v>42.08</v>
      </c>
      <c r="Y189" s="37"/>
      <c r="Z189" s="537"/>
      <c r="AA189" s="1">
        <v>35</v>
      </c>
      <c r="AB189" s="537"/>
      <c r="AC189" s="161">
        <v>35.909999999999997</v>
      </c>
      <c r="AD189" s="161">
        <v>14.88</v>
      </c>
      <c r="AE189" s="161">
        <v>13.91</v>
      </c>
      <c r="AF189" s="161">
        <v>17.920000000000002</v>
      </c>
      <c r="AG189" s="537"/>
      <c r="AH189" s="537"/>
      <c r="AI189" s="2"/>
      <c r="AJ189" s="37"/>
      <c r="AK189" s="38"/>
      <c r="AL189" s="197"/>
    </row>
    <row r="190" spans="1:38" x14ac:dyDescent="0.25">
      <c r="A190" s="67" t="s">
        <v>17</v>
      </c>
      <c r="B190" s="537"/>
      <c r="C190" s="537"/>
      <c r="D190" s="537"/>
      <c r="E190" s="537"/>
      <c r="F190" s="537"/>
      <c r="G190" s="1">
        <v>31.1</v>
      </c>
      <c r="H190" s="537"/>
      <c r="I190" s="37"/>
      <c r="J190" s="118">
        <v>26.02</v>
      </c>
      <c r="K190" s="537"/>
      <c r="L190" s="537"/>
      <c r="M190" s="530"/>
      <c r="N190" s="537"/>
      <c r="O190" s="537"/>
      <c r="P190" s="537"/>
      <c r="Q190" s="37"/>
      <c r="R190" s="537"/>
      <c r="S190" s="537"/>
      <c r="T190" s="537"/>
      <c r="U190" s="537"/>
      <c r="V190" s="537"/>
      <c r="W190" s="57">
        <v>33.090000000000003</v>
      </c>
      <c r="X190" s="530"/>
      <c r="Y190" s="37"/>
      <c r="Z190" s="537"/>
      <c r="AA190" s="537"/>
      <c r="AB190" s="537"/>
      <c r="AC190" s="537"/>
      <c r="AD190" s="537"/>
      <c r="AE190" s="161">
        <v>33.950000000000003</v>
      </c>
      <c r="AF190" s="537"/>
      <c r="AG190" s="537"/>
      <c r="AH190" s="537"/>
      <c r="AI190" s="2"/>
      <c r="AJ190" s="37"/>
      <c r="AK190" s="38"/>
      <c r="AL190" s="197"/>
    </row>
    <row r="191" spans="1:38" ht="15" customHeight="1" x14ac:dyDescent="0.3">
      <c r="A191" s="67" t="s">
        <v>16</v>
      </c>
      <c r="B191" s="537"/>
      <c r="C191" s="537"/>
      <c r="D191" s="537"/>
      <c r="E191" s="537"/>
      <c r="F191" s="537"/>
      <c r="G191" s="537"/>
      <c r="H191" s="118">
        <v>31.41</v>
      </c>
      <c r="I191" s="37"/>
      <c r="J191" s="537"/>
      <c r="K191" s="537"/>
      <c r="L191" s="537"/>
      <c r="M191" s="530"/>
      <c r="N191" s="537"/>
      <c r="O191" s="537"/>
      <c r="P191" s="537"/>
      <c r="Q191" s="37"/>
      <c r="R191" s="161">
        <v>33.32</v>
      </c>
      <c r="S191" s="537"/>
      <c r="T191" s="537"/>
      <c r="U191" s="537"/>
      <c r="V191" s="537"/>
      <c r="W191" s="530"/>
      <c r="X191" s="530"/>
      <c r="Y191" s="37"/>
      <c r="Z191" s="118">
        <v>28.65</v>
      </c>
      <c r="AA191" s="537"/>
      <c r="AB191" s="537"/>
      <c r="AC191" s="537"/>
      <c r="AD191" s="537"/>
      <c r="AE191" s="537"/>
      <c r="AF191" s="537"/>
      <c r="AG191" s="537"/>
      <c r="AH191" s="537"/>
      <c r="AI191" s="2"/>
      <c r="AJ191" s="37"/>
      <c r="AK191" s="339"/>
      <c r="AL191" s="197"/>
    </row>
    <row r="192" spans="1:38" ht="15" customHeight="1" x14ac:dyDescent="0.3">
      <c r="A192" s="67" t="s">
        <v>33</v>
      </c>
      <c r="B192" s="581"/>
      <c r="C192" s="119">
        <v>44.55</v>
      </c>
      <c r="D192" s="581"/>
      <c r="E192" s="581"/>
      <c r="F192" s="581"/>
      <c r="G192" s="581"/>
      <c r="H192" s="581"/>
      <c r="I192" s="43"/>
      <c r="J192" s="581"/>
      <c r="K192" s="581"/>
      <c r="L192" s="581"/>
      <c r="M192" s="576"/>
      <c r="N192" s="581"/>
      <c r="O192" s="581"/>
      <c r="P192" s="581"/>
      <c r="Q192" s="43"/>
      <c r="R192" s="581"/>
      <c r="S192" s="581"/>
      <c r="T192" s="581"/>
      <c r="U192" s="581"/>
      <c r="V192" s="581"/>
      <c r="W192" s="576"/>
      <c r="X192" s="576"/>
      <c r="Y192" s="43"/>
      <c r="Z192" s="581"/>
      <c r="AA192" s="581"/>
      <c r="AB192" s="581"/>
      <c r="AC192" s="581"/>
      <c r="AD192" s="576"/>
      <c r="AE192" s="581"/>
      <c r="AF192" s="581"/>
      <c r="AG192" s="581"/>
      <c r="AH192" s="581"/>
      <c r="AI192" s="42"/>
      <c r="AJ192" s="43"/>
      <c r="AK192" s="342">
        <v>204.91</v>
      </c>
      <c r="AL192" s="204"/>
    </row>
    <row r="193" spans="1:38" ht="15" customHeight="1" x14ac:dyDescent="0.3">
      <c r="A193" s="63" t="s">
        <v>18</v>
      </c>
      <c r="B193" s="530"/>
      <c r="C193" s="530"/>
      <c r="D193" s="530"/>
      <c r="E193" s="530"/>
      <c r="F193" s="530"/>
      <c r="G193" s="530"/>
      <c r="H193" s="530"/>
      <c r="I193" s="47"/>
      <c r="J193" s="530"/>
      <c r="K193" s="530"/>
      <c r="L193" s="530"/>
      <c r="M193" s="530"/>
      <c r="N193" s="530"/>
      <c r="O193" s="530"/>
      <c r="P193" s="530"/>
      <c r="Q193" s="47"/>
      <c r="R193" s="530"/>
      <c r="S193" s="530"/>
      <c r="T193" s="530"/>
      <c r="U193" s="530"/>
      <c r="V193" s="530"/>
      <c r="W193" s="530"/>
      <c r="X193" s="530"/>
      <c r="Y193" s="47"/>
      <c r="Z193" s="530"/>
      <c r="AA193" s="530"/>
      <c r="AB193" s="530"/>
      <c r="AC193" s="530"/>
      <c r="AD193" s="530"/>
      <c r="AE193" s="530"/>
      <c r="AF193" s="530"/>
      <c r="AG193" s="530"/>
      <c r="AH193" s="530"/>
      <c r="AI193" s="124"/>
      <c r="AJ193" s="37"/>
      <c r="AK193" s="378">
        <v>249.66</v>
      </c>
      <c r="AL193" s="197"/>
    </row>
    <row r="194" spans="1:38" ht="18.75" x14ac:dyDescent="0.3">
      <c r="A194" s="63" t="s">
        <v>19</v>
      </c>
      <c r="B194" s="584"/>
      <c r="C194" s="584"/>
      <c r="D194" s="584"/>
      <c r="E194" s="584"/>
      <c r="F194" s="584"/>
      <c r="G194" s="584"/>
      <c r="H194" s="584"/>
      <c r="I194" s="43"/>
      <c r="J194" s="584"/>
      <c r="K194" s="584"/>
      <c r="L194" s="584"/>
      <c r="M194" s="589"/>
      <c r="N194" s="584"/>
      <c r="O194" s="584"/>
      <c r="P194" s="584"/>
      <c r="Q194" s="43"/>
      <c r="R194" s="584"/>
      <c r="S194" s="584"/>
      <c r="T194" s="584"/>
      <c r="U194" s="584"/>
      <c r="V194" s="584"/>
      <c r="W194" s="589"/>
      <c r="X194" s="589"/>
      <c r="Y194" s="43"/>
      <c r="Z194" s="584"/>
      <c r="AA194" s="584"/>
      <c r="AB194" s="584"/>
      <c r="AC194" s="584"/>
      <c r="AD194" s="584"/>
      <c r="AE194" s="584"/>
      <c r="AF194" s="584"/>
      <c r="AG194" s="584"/>
      <c r="AH194" s="584"/>
      <c r="AI194" s="132"/>
      <c r="AJ194" s="43"/>
      <c r="AK194" s="862">
        <v>242.4</v>
      </c>
      <c r="AL194" s="204"/>
    </row>
    <row r="195" spans="1:38" ht="18.75" x14ac:dyDescent="0.3">
      <c r="A195" s="67" t="s">
        <v>102</v>
      </c>
      <c r="B195" s="583"/>
      <c r="C195" s="583"/>
      <c r="D195" s="583"/>
      <c r="E195" s="583"/>
      <c r="F195" s="583"/>
      <c r="G195" s="583"/>
      <c r="H195" s="583"/>
      <c r="I195" s="37"/>
      <c r="J195" s="583"/>
      <c r="K195" s="583"/>
      <c r="L195" s="583"/>
      <c r="M195" s="587"/>
      <c r="N195" s="583"/>
      <c r="O195" s="583"/>
      <c r="P195" s="583"/>
      <c r="Q195" s="37"/>
      <c r="R195" s="583"/>
      <c r="S195" s="583"/>
      <c r="T195" s="583"/>
      <c r="U195" s="583"/>
      <c r="V195" s="583"/>
      <c r="W195" s="587"/>
      <c r="X195" s="587"/>
      <c r="Y195" s="37"/>
      <c r="Z195" s="583"/>
      <c r="AA195" s="583"/>
      <c r="AB195" s="583"/>
      <c r="AC195" s="583"/>
      <c r="AD195" s="583"/>
      <c r="AE195" s="583"/>
      <c r="AF195" s="583"/>
      <c r="AG195" s="582"/>
      <c r="AH195" s="587"/>
      <c r="AI195" s="112"/>
      <c r="AJ195" s="37"/>
      <c r="AK195" s="378">
        <v>203.53</v>
      </c>
      <c r="AL195" s="197"/>
    </row>
    <row r="196" spans="1:38" ht="18.75" x14ac:dyDescent="0.3">
      <c r="A196" s="402" t="s">
        <v>2</v>
      </c>
      <c r="B196" s="199">
        <f>SUM(B189:B195)</f>
        <v>18.489999999999998</v>
      </c>
      <c r="C196" s="199">
        <f t="shared" ref="C196:H196" si="7">SUM(C185:C195)</f>
        <v>44.55</v>
      </c>
      <c r="D196" s="199">
        <f t="shared" si="7"/>
        <v>22.79</v>
      </c>
      <c r="E196" s="199">
        <f t="shared" si="7"/>
        <v>0</v>
      </c>
      <c r="F196" s="199">
        <f t="shared" si="7"/>
        <v>26.2</v>
      </c>
      <c r="G196" s="199">
        <f t="shared" si="7"/>
        <v>31.1</v>
      </c>
      <c r="H196" s="199">
        <f t="shared" si="7"/>
        <v>61.78</v>
      </c>
      <c r="I196" s="851">
        <f>SUM(B196:H196)</f>
        <v>204.91</v>
      </c>
      <c r="J196" s="199">
        <f>SUM(J185:J195)</f>
        <v>57.879999999999995</v>
      </c>
      <c r="K196" s="199">
        <f>SUM(K185:K195)</f>
        <v>20.66</v>
      </c>
      <c r="L196" s="199">
        <f>SUM(L185:L195)</f>
        <v>18.850000000000001</v>
      </c>
      <c r="M196" s="199">
        <f>SUM(M185:M194)</f>
        <v>14.72</v>
      </c>
      <c r="N196" s="199">
        <f>SUM(N185:N195)</f>
        <v>16.350000000000001</v>
      </c>
      <c r="O196" s="199">
        <f>SUM(O185:O195)</f>
        <v>48.72</v>
      </c>
      <c r="P196" s="199">
        <f>SUM(P185:P195)</f>
        <v>72.48</v>
      </c>
      <c r="Q196" s="851">
        <f>SUM(J196:P196)</f>
        <v>249.65999999999997</v>
      </c>
      <c r="R196" s="199">
        <f t="shared" ref="R196:W196" si="8">SUM(R185:R195)</f>
        <v>85.5</v>
      </c>
      <c r="S196" s="199">
        <f t="shared" si="8"/>
        <v>0</v>
      </c>
      <c r="T196" s="199">
        <f t="shared" si="8"/>
        <v>42.88</v>
      </c>
      <c r="U196" s="199">
        <f t="shared" si="8"/>
        <v>0</v>
      </c>
      <c r="V196" s="199">
        <f t="shared" si="8"/>
        <v>38.85</v>
      </c>
      <c r="W196" s="199">
        <f t="shared" si="8"/>
        <v>33.090000000000003</v>
      </c>
      <c r="X196" s="199">
        <f>SUM(X185:X195)</f>
        <v>42.08</v>
      </c>
      <c r="Y196" s="440">
        <f>SUM(R196:X196)</f>
        <v>242.39999999999998</v>
      </c>
      <c r="Z196" s="199">
        <f t="shared" ref="Z196:AE196" si="9">SUM(Z185:Z195)</f>
        <v>28.65</v>
      </c>
      <c r="AA196" s="199">
        <f t="shared" si="9"/>
        <v>35</v>
      </c>
      <c r="AB196" s="199">
        <f t="shared" si="9"/>
        <v>0</v>
      </c>
      <c r="AC196" s="199">
        <f t="shared" si="9"/>
        <v>35.909999999999997</v>
      </c>
      <c r="AD196" s="199">
        <f t="shared" si="9"/>
        <v>14.88</v>
      </c>
      <c r="AE196" s="199">
        <f t="shared" si="9"/>
        <v>71.17</v>
      </c>
      <c r="AF196" s="199">
        <f>SUM(AF185:AF195)</f>
        <v>17.920000000000002</v>
      </c>
      <c r="AG196" s="199">
        <f>SUM(AG185:AG195)</f>
        <v>0</v>
      </c>
      <c r="AH196" s="199">
        <f>SUM(AH185:AH195)</f>
        <v>0</v>
      </c>
      <c r="AI196" s="199"/>
      <c r="AJ196" s="762">
        <f>SUM(Z196:AI196)</f>
        <v>203.53000000000003</v>
      </c>
      <c r="AK196" s="880">
        <f>SUM(AK192:AK195)</f>
        <v>900.5</v>
      </c>
      <c r="AL196" s="442"/>
    </row>
    <row r="197" spans="1:38" ht="15.75" thickBot="1" x14ac:dyDescent="0.3">
      <c r="A197" s="264"/>
      <c r="B197" s="265" t="s">
        <v>341</v>
      </c>
      <c r="C197" s="265" t="s">
        <v>341</v>
      </c>
      <c r="D197" s="265" t="s">
        <v>341</v>
      </c>
      <c r="E197" s="265" t="s">
        <v>357</v>
      </c>
      <c r="F197" s="265" t="s">
        <v>341</v>
      </c>
      <c r="G197" s="265" t="s">
        <v>341</v>
      </c>
      <c r="H197" s="265" t="s">
        <v>355</v>
      </c>
      <c r="I197" s="56"/>
      <c r="J197" s="265" t="s">
        <v>355</v>
      </c>
      <c r="K197" s="265" t="s">
        <v>341</v>
      </c>
      <c r="L197" s="265" t="s">
        <v>341</v>
      </c>
      <c r="M197" s="265" t="s">
        <v>341</v>
      </c>
      <c r="N197" s="265">
        <v>11.1</v>
      </c>
      <c r="O197" s="265" t="s">
        <v>355</v>
      </c>
      <c r="P197" s="265" t="s">
        <v>355</v>
      </c>
      <c r="Q197" s="56"/>
      <c r="R197" s="265" t="s">
        <v>363</v>
      </c>
      <c r="S197" s="265" t="s">
        <v>357</v>
      </c>
      <c r="T197" s="265" t="s">
        <v>341</v>
      </c>
      <c r="U197" s="265" t="s">
        <v>357</v>
      </c>
      <c r="V197" s="265" t="s">
        <v>341</v>
      </c>
      <c r="W197" s="265" t="s">
        <v>341</v>
      </c>
      <c r="X197" s="265" t="s">
        <v>341</v>
      </c>
      <c r="Y197" s="56"/>
      <c r="Z197" s="265" t="s">
        <v>341</v>
      </c>
      <c r="AA197" s="265" t="s">
        <v>341</v>
      </c>
      <c r="AB197" s="265" t="s">
        <v>357</v>
      </c>
      <c r="AC197" s="265" t="s">
        <v>341</v>
      </c>
      <c r="AD197" s="265" t="s">
        <v>341</v>
      </c>
      <c r="AE197" s="265" t="s">
        <v>354</v>
      </c>
      <c r="AF197" s="265" t="s">
        <v>341</v>
      </c>
      <c r="AG197" s="265" t="s">
        <v>357</v>
      </c>
      <c r="AH197" s="265"/>
      <c r="AI197" s="265"/>
      <c r="AJ197" s="56"/>
      <c r="AK197" s="225"/>
      <c r="AL197" s="228"/>
    </row>
    <row r="198" spans="1:38" ht="24" thickBot="1" x14ac:dyDescent="0.4">
      <c r="A198" s="294" t="s">
        <v>140</v>
      </c>
      <c r="B198" s="295"/>
      <c r="C198" s="295"/>
      <c r="D198" s="295"/>
      <c r="E198" s="295"/>
      <c r="F198" s="295"/>
      <c r="G198" s="296"/>
      <c r="H198" s="297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8"/>
      <c r="AA198" s="298"/>
      <c r="AB198" s="298"/>
      <c r="AC198" s="298"/>
      <c r="AD198" s="298"/>
      <c r="AE198" s="298"/>
      <c r="AF198" s="298"/>
      <c r="AG198" s="298"/>
      <c r="AH198" s="298"/>
      <c r="AI198" s="298"/>
      <c r="AJ198" s="299"/>
      <c r="AK198" s="300"/>
      <c r="AL198" s="301"/>
    </row>
    <row r="199" spans="1:38" ht="16.5" thickBot="1" x14ac:dyDescent="0.3">
      <c r="A199" s="319" t="s">
        <v>80</v>
      </c>
      <c r="B199" s="322">
        <v>1</v>
      </c>
      <c r="C199" s="322">
        <v>2</v>
      </c>
      <c r="D199" s="322">
        <v>3</v>
      </c>
      <c r="E199" s="322">
        <v>4</v>
      </c>
      <c r="F199" s="322">
        <v>5</v>
      </c>
      <c r="G199" s="322">
        <v>6</v>
      </c>
      <c r="H199" s="322">
        <v>7</v>
      </c>
      <c r="I199" s="323" t="s">
        <v>6</v>
      </c>
      <c r="J199" s="322">
        <v>8</v>
      </c>
      <c r="K199" s="322">
        <v>9</v>
      </c>
      <c r="L199" s="322">
        <v>10</v>
      </c>
      <c r="M199" s="322">
        <v>11</v>
      </c>
      <c r="N199" s="322">
        <v>12</v>
      </c>
      <c r="O199" s="322">
        <v>13</v>
      </c>
      <c r="P199" s="322">
        <v>14</v>
      </c>
      <c r="Q199" s="323" t="s">
        <v>6</v>
      </c>
      <c r="R199" s="322">
        <v>15</v>
      </c>
      <c r="S199" s="322">
        <v>16</v>
      </c>
      <c r="T199" s="322">
        <v>17</v>
      </c>
      <c r="U199" s="322">
        <v>18</v>
      </c>
      <c r="V199" s="322">
        <v>19</v>
      </c>
      <c r="W199" s="322">
        <v>20</v>
      </c>
      <c r="X199" s="322">
        <v>21</v>
      </c>
      <c r="Y199" s="323" t="s">
        <v>6</v>
      </c>
      <c r="Z199" s="322">
        <v>22</v>
      </c>
      <c r="AA199" s="322">
        <v>23</v>
      </c>
      <c r="AB199" s="322">
        <v>24</v>
      </c>
      <c r="AC199" s="322">
        <v>25</v>
      </c>
      <c r="AD199" s="322">
        <v>26</v>
      </c>
      <c r="AE199" s="322">
        <v>27</v>
      </c>
      <c r="AF199" s="322">
        <v>28</v>
      </c>
      <c r="AG199" s="322">
        <v>29</v>
      </c>
      <c r="AH199" s="322">
        <v>30</v>
      </c>
      <c r="AI199" s="322">
        <v>31</v>
      </c>
      <c r="AJ199" s="324" t="s">
        <v>6</v>
      </c>
      <c r="AK199" s="325" t="s">
        <v>0</v>
      </c>
      <c r="AL199" s="395" t="s">
        <v>42</v>
      </c>
    </row>
    <row r="200" spans="1:38" ht="15" customHeight="1" x14ac:dyDescent="0.3">
      <c r="A200" s="347" t="s">
        <v>81</v>
      </c>
      <c r="B200" s="575"/>
      <c r="C200" s="575"/>
      <c r="D200" s="575"/>
      <c r="E200" s="575"/>
      <c r="F200" s="575"/>
      <c r="G200" s="575"/>
      <c r="H200" s="575"/>
      <c r="I200" s="304"/>
      <c r="J200" s="575"/>
      <c r="K200" s="575"/>
      <c r="L200" s="575"/>
      <c r="M200" s="575"/>
      <c r="N200" s="575"/>
      <c r="O200" s="575"/>
      <c r="P200" s="575"/>
      <c r="Q200" s="304"/>
      <c r="R200" s="575"/>
      <c r="S200" s="575"/>
      <c r="T200" s="575"/>
      <c r="U200" s="575"/>
      <c r="V200" s="575"/>
      <c r="W200" s="575"/>
      <c r="X200" s="575"/>
      <c r="Y200" s="304"/>
      <c r="Z200" s="575"/>
      <c r="AA200" s="575"/>
      <c r="AB200" s="575"/>
      <c r="AC200" s="575"/>
      <c r="AD200" s="575"/>
      <c r="AE200" s="575"/>
      <c r="AF200" s="575"/>
      <c r="AG200" s="575"/>
      <c r="AH200" s="575"/>
      <c r="AI200" s="575"/>
      <c r="AJ200" s="305"/>
      <c r="AK200" s="343"/>
      <c r="AL200" s="207"/>
    </row>
    <row r="201" spans="1:38" ht="15" customHeight="1" x14ac:dyDescent="0.3">
      <c r="A201" s="63" t="s">
        <v>82</v>
      </c>
      <c r="B201" s="581"/>
      <c r="C201" s="581"/>
      <c r="D201" s="581"/>
      <c r="E201" s="581"/>
      <c r="F201" s="581"/>
      <c r="G201" s="581"/>
      <c r="H201" s="581"/>
      <c r="I201" s="43"/>
      <c r="J201" s="581"/>
      <c r="K201" s="581"/>
      <c r="L201" s="581"/>
      <c r="M201" s="581"/>
      <c r="N201" s="581"/>
      <c r="O201" s="581"/>
      <c r="P201" s="581"/>
      <c r="Q201" s="43"/>
      <c r="R201" s="581"/>
      <c r="S201" s="581"/>
      <c r="T201" s="581"/>
      <c r="U201" s="581"/>
      <c r="V201" s="581"/>
      <c r="W201" s="581"/>
      <c r="X201" s="581"/>
      <c r="Y201" s="43"/>
      <c r="Z201" s="581"/>
      <c r="AA201" s="581"/>
      <c r="AB201" s="581"/>
      <c r="AC201" s="581"/>
      <c r="AD201" s="581"/>
      <c r="AE201" s="581"/>
      <c r="AF201" s="581"/>
      <c r="AG201" s="581"/>
      <c r="AH201" s="581"/>
      <c r="AI201" s="581"/>
      <c r="AJ201" s="43"/>
      <c r="AK201" s="379"/>
      <c r="AL201" s="204"/>
    </row>
    <row r="202" spans="1:38" ht="15" customHeight="1" x14ac:dyDescent="0.35">
      <c r="A202" s="195"/>
      <c r="B202" s="530"/>
      <c r="C202" s="530"/>
      <c r="D202" s="530"/>
      <c r="E202" s="530"/>
      <c r="F202" s="530"/>
      <c r="G202" s="530"/>
      <c r="H202" s="530"/>
      <c r="I202" s="157"/>
      <c r="J202" s="530"/>
      <c r="K202" s="530"/>
      <c r="L202" s="530"/>
      <c r="M202" s="530"/>
      <c r="N202" s="530"/>
      <c r="O202" s="530"/>
      <c r="P202" s="530"/>
      <c r="Q202" s="47"/>
      <c r="R202" s="530"/>
      <c r="S202" s="530"/>
      <c r="T202" s="530"/>
      <c r="U202" s="530"/>
      <c r="V202" s="530"/>
      <c r="W202" s="530"/>
      <c r="X202" s="530"/>
      <c r="Y202" s="47"/>
      <c r="Z202" s="530"/>
      <c r="AA202" s="530"/>
      <c r="AB202" s="530"/>
      <c r="AC202" s="530"/>
      <c r="AD202" s="530"/>
      <c r="AE202" s="530"/>
      <c r="AF202" s="530"/>
      <c r="AG202" s="530"/>
      <c r="AH202" s="530"/>
      <c r="AI202" s="530"/>
      <c r="AJ202" s="47"/>
      <c r="AK202" s="422"/>
      <c r="AL202" s="292"/>
    </row>
    <row r="203" spans="1:38" ht="16.5" thickBot="1" x14ac:dyDescent="0.3">
      <c r="A203" s="63"/>
      <c r="B203" s="584"/>
      <c r="C203" s="584"/>
      <c r="D203" s="584"/>
      <c r="E203" s="584"/>
      <c r="F203" s="584"/>
      <c r="G203" s="584"/>
      <c r="H203" s="584"/>
      <c r="I203" s="43"/>
      <c r="J203" s="584"/>
      <c r="K203" s="584"/>
      <c r="L203" s="584"/>
      <c r="M203" s="584"/>
      <c r="N203" s="584"/>
      <c r="O203" s="584"/>
      <c r="P203" s="584"/>
      <c r="Q203" s="43"/>
      <c r="R203" s="584"/>
      <c r="S203" s="584"/>
      <c r="T203" s="584"/>
      <c r="U203" s="584"/>
      <c r="V203" s="584"/>
      <c r="W203" s="584"/>
      <c r="X203" s="584"/>
      <c r="Y203" s="43"/>
      <c r="Z203" s="584"/>
      <c r="AA203" s="584"/>
      <c r="AB203" s="584"/>
      <c r="AC203" s="584"/>
      <c r="AD203" s="584"/>
      <c r="AE203" s="584"/>
      <c r="AF203" s="584"/>
      <c r="AG203" s="584"/>
      <c r="AH203" s="584"/>
      <c r="AI203" s="584"/>
      <c r="AJ203" s="43"/>
      <c r="AK203" s="117"/>
      <c r="AL203" s="350"/>
    </row>
    <row r="204" spans="1:38" ht="23.25" x14ac:dyDescent="0.35">
      <c r="A204" s="281" t="s">
        <v>2</v>
      </c>
      <c r="B204" s="163"/>
      <c r="C204" s="163"/>
      <c r="D204" s="163"/>
      <c r="E204" s="163"/>
      <c r="F204" s="163"/>
      <c r="G204" s="163"/>
      <c r="H204" s="163"/>
      <c r="I204" s="221"/>
      <c r="J204" s="163"/>
      <c r="K204" s="163"/>
      <c r="L204" s="163"/>
      <c r="M204" s="163"/>
      <c r="N204" s="163"/>
      <c r="O204" s="163"/>
      <c r="P204" s="163"/>
      <c r="Q204" s="221"/>
      <c r="R204" s="163"/>
      <c r="S204" s="163"/>
      <c r="T204" s="163"/>
      <c r="U204" s="163"/>
      <c r="V204" s="163"/>
      <c r="W204" s="163"/>
      <c r="X204" s="163"/>
      <c r="Y204" s="221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51"/>
      <c r="AK204" s="351"/>
      <c r="AL204" s="352"/>
    </row>
    <row r="205" spans="1:38" ht="16.5" thickBot="1" x14ac:dyDescent="0.3">
      <c r="A205" s="264"/>
      <c r="B205" s="265"/>
      <c r="C205" s="265"/>
      <c r="D205" s="265"/>
      <c r="E205" s="265"/>
      <c r="F205" s="265"/>
      <c r="G205" s="265"/>
      <c r="H205" s="265"/>
      <c r="I205" s="56"/>
      <c r="J205" s="265"/>
      <c r="K205" s="265"/>
      <c r="L205" s="265"/>
      <c r="M205" s="265"/>
      <c r="N205" s="265"/>
      <c r="O205" s="265"/>
      <c r="P205" s="265"/>
      <c r="Q205" s="56"/>
      <c r="R205" s="265"/>
      <c r="S205" s="265"/>
      <c r="T205" s="265"/>
      <c r="U205" s="265"/>
      <c r="V205" s="265"/>
      <c r="W205" s="265"/>
      <c r="X205" s="265"/>
      <c r="Y205" s="56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56"/>
      <c r="AK205" s="353"/>
      <c r="AL205" s="354"/>
    </row>
    <row r="206" spans="1:38" ht="24" thickBot="1" x14ac:dyDescent="0.4">
      <c r="A206" s="294" t="s">
        <v>141</v>
      </c>
      <c r="B206" s="295"/>
      <c r="C206" s="295"/>
      <c r="D206" s="295"/>
      <c r="E206" s="295"/>
      <c r="F206" s="295"/>
      <c r="G206" s="296"/>
      <c r="H206" s="297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9"/>
      <c r="AK206" s="300"/>
      <c r="AL206" s="301"/>
    </row>
    <row r="207" spans="1:38" ht="16.5" thickBot="1" x14ac:dyDescent="0.3">
      <c r="A207" s="319" t="s">
        <v>20</v>
      </c>
      <c r="B207" s="322">
        <v>1</v>
      </c>
      <c r="C207" s="322">
        <v>2</v>
      </c>
      <c r="D207" s="322">
        <v>3</v>
      </c>
      <c r="E207" s="322">
        <v>4</v>
      </c>
      <c r="F207" s="322">
        <v>5</v>
      </c>
      <c r="G207" s="322">
        <v>6</v>
      </c>
      <c r="H207" s="322">
        <v>7</v>
      </c>
      <c r="I207" s="323" t="s">
        <v>6</v>
      </c>
      <c r="J207" s="322">
        <v>8</v>
      </c>
      <c r="K207" s="322">
        <v>9</v>
      </c>
      <c r="L207" s="322">
        <v>10</v>
      </c>
      <c r="M207" s="322">
        <v>11</v>
      </c>
      <c r="N207" s="322">
        <v>12</v>
      </c>
      <c r="O207" s="322">
        <v>13</v>
      </c>
      <c r="P207" s="322">
        <v>14</v>
      </c>
      <c r="Q207" s="323" t="s">
        <v>6</v>
      </c>
      <c r="R207" s="322">
        <v>15</v>
      </c>
      <c r="S207" s="322">
        <v>16</v>
      </c>
      <c r="T207" s="322">
        <v>17</v>
      </c>
      <c r="U207" s="322">
        <v>18</v>
      </c>
      <c r="V207" s="322">
        <v>19</v>
      </c>
      <c r="W207" s="322">
        <v>20</v>
      </c>
      <c r="X207" s="322">
        <v>21</v>
      </c>
      <c r="Y207" s="323" t="s">
        <v>6</v>
      </c>
      <c r="Z207" s="322">
        <v>22</v>
      </c>
      <c r="AA207" s="322">
        <v>23</v>
      </c>
      <c r="AB207" s="322">
        <v>24</v>
      </c>
      <c r="AC207" s="322">
        <v>25</v>
      </c>
      <c r="AD207" s="322">
        <v>26</v>
      </c>
      <c r="AE207" s="322">
        <v>27</v>
      </c>
      <c r="AF207" s="322">
        <v>28</v>
      </c>
      <c r="AG207" s="322">
        <v>29</v>
      </c>
      <c r="AH207" s="322">
        <v>30</v>
      </c>
      <c r="AI207" s="322">
        <v>31</v>
      </c>
      <c r="AJ207" s="324" t="s">
        <v>6</v>
      </c>
      <c r="AK207" s="325" t="s">
        <v>0</v>
      </c>
      <c r="AL207" s="395" t="s">
        <v>42</v>
      </c>
    </row>
    <row r="208" spans="1:38" x14ac:dyDescent="0.25">
      <c r="A208" s="302" t="s">
        <v>63</v>
      </c>
      <c r="B208" s="575"/>
      <c r="C208" s="575"/>
      <c r="D208" s="575"/>
      <c r="E208" s="575"/>
      <c r="F208" s="303">
        <v>29.05</v>
      </c>
      <c r="G208" s="575"/>
      <c r="H208" s="575"/>
      <c r="I208" s="304"/>
      <c r="J208" s="575"/>
      <c r="K208" s="575"/>
      <c r="L208" s="303">
        <v>26.98</v>
      </c>
      <c r="M208" s="575"/>
      <c r="N208" s="575"/>
      <c r="O208" s="575"/>
      <c r="P208" s="575"/>
      <c r="Q208" s="304"/>
      <c r="R208" s="575"/>
      <c r="S208" s="575"/>
      <c r="T208" s="575"/>
      <c r="U208" s="575"/>
      <c r="V208" s="303">
        <v>40</v>
      </c>
      <c r="W208" s="756"/>
      <c r="X208" s="756"/>
      <c r="Y208" s="304"/>
      <c r="Z208" s="575"/>
      <c r="AA208" s="575"/>
      <c r="AB208" s="411">
        <v>36.049999999999997</v>
      </c>
      <c r="AC208" s="575"/>
      <c r="AD208" s="575"/>
      <c r="AE208" s="575"/>
      <c r="AF208" s="575"/>
      <c r="AG208" s="303">
        <v>29.31</v>
      </c>
      <c r="AH208" s="575"/>
      <c r="AI208" s="303"/>
      <c r="AJ208" s="305"/>
      <c r="AK208" s="184"/>
      <c r="AL208" s="207"/>
    </row>
    <row r="209" spans="1:38" x14ac:dyDescent="0.25">
      <c r="A209" s="65" t="s">
        <v>64</v>
      </c>
      <c r="B209" s="537"/>
      <c r="C209" s="537"/>
      <c r="D209" s="537"/>
      <c r="E209" s="118">
        <v>29.03</v>
      </c>
      <c r="F209" s="537"/>
      <c r="G209" s="537"/>
      <c r="H209" s="537"/>
      <c r="I209" s="37"/>
      <c r="J209" s="537"/>
      <c r="K209" s="537"/>
      <c r="L209" s="118">
        <v>34.520000000000003</v>
      </c>
      <c r="M209" s="537"/>
      <c r="N209" s="537"/>
      <c r="O209" s="537"/>
      <c r="P209" s="537"/>
      <c r="Q209" s="37"/>
      <c r="R209" s="537"/>
      <c r="S209" s="537"/>
      <c r="T209" s="537"/>
      <c r="U209" s="1">
        <v>40</v>
      </c>
      <c r="V209" s="537"/>
      <c r="W209" s="414">
        <v>40</v>
      </c>
      <c r="X209" s="414">
        <v>20.170000000000002</v>
      </c>
      <c r="Y209" s="37"/>
      <c r="Z209" s="537"/>
      <c r="AA209" s="537"/>
      <c r="AB209" s="530"/>
      <c r="AC209" s="57">
        <v>25.37</v>
      </c>
      <c r="AD209" s="530"/>
      <c r="AE209" s="537"/>
      <c r="AF209" s="537"/>
      <c r="AG209" s="537"/>
      <c r="AH209" s="537"/>
      <c r="AI209" s="2"/>
      <c r="AJ209" s="37"/>
      <c r="AK209" s="38"/>
      <c r="AL209" s="197"/>
    </row>
    <row r="210" spans="1:38" x14ac:dyDescent="0.25">
      <c r="A210" s="65" t="s">
        <v>77</v>
      </c>
      <c r="B210" s="537"/>
      <c r="C210" s="537"/>
      <c r="D210" s="537"/>
      <c r="E210" s="537"/>
      <c r="F210" s="537"/>
      <c r="G210" s="537"/>
      <c r="H210" s="537"/>
      <c r="I210" s="111"/>
      <c r="J210" s="537"/>
      <c r="K210" s="537"/>
      <c r="L210" s="1">
        <v>29</v>
      </c>
      <c r="M210" s="537"/>
      <c r="N210" s="537"/>
      <c r="O210" s="537"/>
      <c r="P210" s="537"/>
      <c r="Q210" s="37"/>
      <c r="R210" s="537"/>
      <c r="S210" s="537"/>
      <c r="T210" s="537"/>
      <c r="U210" s="537"/>
      <c r="V210" s="118">
        <v>39.58</v>
      </c>
      <c r="W210" s="597"/>
      <c r="X210" s="597"/>
      <c r="Y210" s="37"/>
      <c r="Z210" s="537"/>
      <c r="AA210" s="118">
        <v>26.21</v>
      </c>
      <c r="AB210" s="530"/>
      <c r="AC210" s="530"/>
      <c r="AD210" s="530"/>
      <c r="AE210" s="537"/>
      <c r="AF210" s="118">
        <v>25.35</v>
      </c>
      <c r="AG210" s="537"/>
      <c r="AH210" s="537"/>
      <c r="AI210" s="2"/>
      <c r="AJ210" s="37"/>
      <c r="AK210" s="38"/>
      <c r="AL210" s="197"/>
    </row>
    <row r="211" spans="1:38" x14ac:dyDescent="0.25">
      <c r="A211" s="65" t="s">
        <v>65</v>
      </c>
      <c r="B211" s="537"/>
      <c r="C211" s="537"/>
      <c r="D211" s="118">
        <v>41.66</v>
      </c>
      <c r="E211" s="118">
        <v>37.76</v>
      </c>
      <c r="F211" s="118">
        <v>34.72</v>
      </c>
      <c r="G211" s="537"/>
      <c r="H211" s="530"/>
      <c r="I211" s="37"/>
      <c r="J211" s="118">
        <v>27.58</v>
      </c>
      <c r="K211" s="537"/>
      <c r="L211" s="1">
        <v>40</v>
      </c>
      <c r="M211" s="537"/>
      <c r="N211" s="118">
        <v>38.54</v>
      </c>
      <c r="O211" s="537"/>
      <c r="P211" s="537"/>
      <c r="Q211" s="37"/>
      <c r="R211" s="530"/>
      <c r="S211" s="537"/>
      <c r="T211" s="537"/>
      <c r="U211" s="537"/>
      <c r="V211" s="537"/>
      <c r="W211" s="414">
        <v>24.89</v>
      </c>
      <c r="X211" s="597"/>
      <c r="Y211" s="37"/>
      <c r="Z211" s="118">
        <v>36.619999999999997</v>
      </c>
      <c r="AA211" s="118">
        <v>25.52</v>
      </c>
      <c r="AB211" s="57">
        <v>22.44</v>
      </c>
      <c r="AC211" s="57">
        <v>18.260000000000002</v>
      </c>
      <c r="AD211" s="530"/>
      <c r="AE211" s="118">
        <v>39.26</v>
      </c>
      <c r="AF211" s="118">
        <v>39.53</v>
      </c>
      <c r="AG211" s="1">
        <v>40</v>
      </c>
      <c r="AH211" s="118">
        <v>20.22</v>
      </c>
      <c r="AI211" s="2"/>
      <c r="AJ211" s="47"/>
      <c r="AK211" s="48"/>
      <c r="AL211" s="197"/>
    </row>
    <row r="212" spans="1:38" x14ac:dyDescent="0.25">
      <c r="A212" s="65" t="s">
        <v>66</v>
      </c>
      <c r="B212" s="537"/>
      <c r="C212" s="537"/>
      <c r="D212" s="537"/>
      <c r="E212" s="537"/>
      <c r="F212" s="537"/>
      <c r="G212" s="537"/>
      <c r="H212" s="537"/>
      <c r="I212" s="111"/>
      <c r="J212" s="118">
        <v>24.11</v>
      </c>
      <c r="K212" s="537"/>
      <c r="L212" s="537"/>
      <c r="M212" s="537"/>
      <c r="N212" s="537"/>
      <c r="O212" s="537"/>
      <c r="P212" s="1">
        <v>40</v>
      </c>
      <c r="Q212" s="37"/>
      <c r="R212" s="537"/>
      <c r="S212" s="537"/>
      <c r="T212" s="537"/>
      <c r="U212" s="537"/>
      <c r="V212" s="537"/>
      <c r="W212" s="597"/>
      <c r="X212" s="597"/>
      <c r="Y212" s="111"/>
      <c r="Z212" s="537"/>
      <c r="AA212" s="537"/>
      <c r="AB212" s="530"/>
      <c r="AC212" s="530"/>
      <c r="AD212" s="530"/>
      <c r="AE212" s="537"/>
      <c r="AF212" s="537"/>
      <c r="AG212" s="537"/>
      <c r="AH212" s="537"/>
      <c r="AI212" s="2"/>
      <c r="AJ212" s="37"/>
      <c r="AK212" s="38"/>
      <c r="AL212" s="197"/>
    </row>
    <row r="213" spans="1:38" x14ac:dyDescent="0.25">
      <c r="A213" s="65" t="s">
        <v>67</v>
      </c>
      <c r="B213" s="537"/>
      <c r="C213" s="537"/>
      <c r="D213" s="537"/>
      <c r="E213" s="118">
        <v>47.75</v>
      </c>
      <c r="F213" s="530"/>
      <c r="G213" s="537"/>
      <c r="H213" s="537"/>
      <c r="I213" s="37"/>
      <c r="J213" s="537"/>
      <c r="K213" s="1">
        <v>39.57</v>
      </c>
      <c r="L213" s="537"/>
      <c r="M213" s="537"/>
      <c r="N213" s="537"/>
      <c r="O213" s="1">
        <v>40</v>
      </c>
      <c r="P213" s="537"/>
      <c r="Q213" s="37"/>
      <c r="R213" s="537"/>
      <c r="S213" s="537"/>
      <c r="T213" s="537"/>
      <c r="U213" s="1">
        <v>40</v>
      </c>
      <c r="V213" s="537"/>
      <c r="W213" s="597"/>
      <c r="X213" s="597"/>
      <c r="Y213" s="37"/>
      <c r="Z213" s="537"/>
      <c r="AA213" s="537"/>
      <c r="AB213" s="530"/>
      <c r="AC213" s="57">
        <v>40</v>
      </c>
      <c r="AD213" s="530"/>
      <c r="AE213" s="537"/>
      <c r="AF213" s="537"/>
      <c r="AG213" s="530"/>
      <c r="AH213" s="118">
        <v>39.479999999999997</v>
      </c>
      <c r="AI213" s="2"/>
      <c r="AJ213" s="37"/>
      <c r="AK213" s="38"/>
      <c r="AL213" s="197"/>
    </row>
    <row r="214" spans="1:38" x14ac:dyDescent="0.25">
      <c r="A214" s="65" t="s">
        <v>68</v>
      </c>
      <c r="B214" s="537"/>
      <c r="C214" s="537"/>
      <c r="D214" s="537"/>
      <c r="E214" s="537"/>
      <c r="F214" s="537"/>
      <c r="G214" s="537"/>
      <c r="H214" s="537"/>
      <c r="I214" s="111"/>
      <c r="J214" s="537"/>
      <c r="K214" s="537"/>
      <c r="L214" s="537"/>
      <c r="M214" s="537"/>
      <c r="N214" s="537"/>
      <c r="O214" s="530"/>
      <c r="P214" s="537"/>
      <c r="Q214" s="111"/>
      <c r="R214" s="118">
        <v>39.97</v>
      </c>
      <c r="S214" s="537"/>
      <c r="T214" s="537"/>
      <c r="U214" s="537"/>
      <c r="V214" s="537"/>
      <c r="W214" s="597"/>
      <c r="X214" s="597"/>
      <c r="Y214" s="37"/>
      <c r="Z214" s="537"/>
      <c r="AA214" s="537"/>
      <c r="AB214" s="530"/>
      <c r="AC214" s="530"/>
      <c r="AD214" s="530"/>
      <c r="AE214" s="537"/>
      <c r="AF214" s="537"/>
      <c r="AG214" s="537"/>
      <c r="AH214" s="537"/>
      <c r="AI214" s="2"/>
      <c r="AJ214" s="111"/>
      <c r="AK214" s="38"/>
      <c r="AL214" s="197"/>
    </row>
    <row r="215" spans="1:38" x14ac:dyDescent="0.25">
      <c r="A215" s="426" t="s">
        <v>78</v>
      </c>
      <c r="B215" s="537"/>
      <c r="C215" s="537"/>
      <c r="D215" s="537"/>
      <c r="E215" s="537"/>
      <c r="F215" s="537"/>
      <c r="G215" s="537"/>
      <c r="H215" s="537"/>
      <c r="I215" s="111"/>
      <c r="J215" s="537"/>
      <c r="K215" s="537"/>
      <c r="L215" s="537"/>
      <c r="M215" s="537"/>
      <c r="N215" s="537"/>
      <c r="O215" s="537"/>
      <c r="P215" s="537"/>
      <c r="Q215" s="111"/>
      <c r="R215" s="537"/>
      <c r="S215" s="537"/>
      <c r="T215" s="537"/>
      <c r="U215" s="537"/>
      <c r="V215" s="537"/>
      <c r="W215" s="597"/>
      <c r="X215" s="597"/>
      <c r="Y215" s="111"/>
      <c r="Z215" s="537"/>
      <c r="AA215" s="537"/>
      <c r="AB215" s="530"/>
      <c r="AC215" s="530"/>
      <c r="AD215" s="530"/>
      <c r="AE215" s="537"/>
      <c r="AF215" s="537"/>
      <c r="AG215" s="537"/>
      <c r="AH215" s="537"/>
      <c r="AI215" s="2"/>
      <c r="AJ215" s="111"/>
      <c r="AK215" s="38"/>
      <c r="AL215" s="197"/>
    </row>
    <row r="216" spans="1:38" x14ac:dyDescent="0.25">
      <c r="A216" s="65" t="s">
        <v>69</v>
      </c>
      <c r="B216" s="537"/>
      <c r="C216" s="537"/>
      <c r="D216" s="537"/>
      <c r="E216" s="537"/>
      <c r="F216" s="537"/>
      <c r="G216" s="537"/>
      <c r="H216" s="537"/>
      <c r="I216" s="111"/>
      <c r="J216" s="537"/>
      <c r="K216" s="537"/>
      <c r="L216" s="537"/>
      <c r="M216" s="537"/>
      <c r="N216" s="537"/>
      <c r="O216" s="118">
        <v>35.049999999999997</v>
      </c>
      <c r="P216" s="537"/>
      <c r="Q216" s="37"/>
      <c r="R216" s="537"/>
      <c r="S216" s="537"/>
      <c r="T216" s="537"/>
      <c r="U216" s="537"/>
      <c r="V216" s="537"/>
      <c r="W216" s="597"/>
      <c r="X216" s="597"/>
      <c r="Y216" s="111"/>
      <c r="Z216" s="537"/>
      <c r="AA216" s="537"/>
      <c r="AB216" s="530"/>
      <c r="AC216" s="530"/>
      <c r="AD216" s="530"/>
      <c r="AE216" s="537"/>
      <c r="AF216" s="537"/>
      <c r="AG216" s="118">
        <v>39.450000000000003</v>
      </c>
      <c r="AH216" s="537"/>
      <c r="AI216" s="2"/>
      <c r="AJ216" s="37"/>
      <c r="AK216" s="38"/>
      <c r="AL216" s="197"/>
    </row>
    <row r="217" spans="1:38" x14ac:dyDescent="0.25">
      <c r="A217" s="65" t="s">
        <v>70</v>
      </c>
      <c r="B217" s="537"/>
      <c r="C217" s="537"/>
      <c r="D217" s="537"/>
      <c r="E217" s="1">
        <v>40</v>
      </c>
      <c r="F217" s="537"/>
      <c r="G217" s="537"/>
      <c r="H217" s="118">
        <v>30.31</v>
      </c>
      <c r="I217" s="37"/>
      <c r="J217" s="537"/>
      <c r="K217" s="537"/>
      <c r="L217" s="537"/>
      <c r="M217" s="118">
        <v>34.68</v>
      </c>
      <c r="N217" s="537"/>
      <c r="O217" s="537"/>
      <c r="P217" s="537"/>
      <c r="Q217" s="37"/>
      <c r="R217" s="537"/>
      <c r="S217" s="533">
        <v>40</v>
      </c>
      <c r="T217" s="537"/>
      <c r="U217" s="537"/>
      <c r="V217" s="537"/>
      <c r="W217" s="414">
        <v>40</v>
      </c>
      <c r="X217" s="597"/>
      <c r="Y217" s="37"/>
      <c r="Z217" s="537"/>
      <c r="AA217" s="118">
        <v>38.950000000000003</v>
      </c>
      <c r="AB217" s="530"/>
      <c r="AC217" s="530"/>
      <c r="AD217" s="530"/>
      <c r="AE217" s="118">
        <v>39.83</v>
      </c>
      <c r="AF217" s="537"/>
      <c r="AG217" s="537"/>
      <c r="AH217" s="537"/>
      <c r="AI217" s="2"/>
      <c r="AJ217" s="37"/>
      <c r="AK217" s="38"/>
      <c r="AL217" s="197"/>
    </row>
    <row r="218" spans="1:38" x14ac:dyDescent="0.25">
      <c r="A218" s="65" t="s">
        <v>71</v>
      </c>
      <c r="B218" s="537"/>
      <c r="C218" s="537"/>
      <c r="D218" s="537"/>
      <c r="E218" s="537"/>
      <c r="F218" s="530"/>
      <c r="G218" s="118">
        <v>42.07</v>
      </c>
      <c r="H218" s="537"/>
      <c r="I218" s="37"/>
      <c r="J218" s="537"/>
      <c r="K218" s="118">
        <v>28.23</v>
      </c>
      <c r="L218" s="537"/>
      <c r="M218" s="530"/>
      <c r="N218" s="537"/>
      <c r="O218" s="537"/>
      <c r="P218" s="537"/>
      <c r="Q218" s="37"/>
      <c r="R218" s="537"/>
      <c r="S218" s="533">
        <v>40</v>
      </c>
      <c r="T218" s="537"/>
      <c r="U218" s="537"/>
      <c r="V218" s="537"/>
      <c r="W218" s="597"/>
      <c r="X218" s="597"/>
      <c r="Y218" s="37"/>
      <c r="Z218" s="1">
        <v>40</v>
      </c>
      <c r="AA218" s="537"/>
      <c r="AB218" s="530"/>
      <c r="AC218" s="530"/>
      <c r="AD218" s="530"/>
      <c r="AE218" s="537"/>
      <c r="AF218" s="118">
        <v>38.979999999999997</v>
      </c>
      <c r="AG218" s="537"/>
      <c r="AH218" s="537"/>
      <c r="AI218" s="2"/>
      <c r="AJ218" s="37"/>
      <c r="AK218" s="38"/>
      <c r="AL218" s="197"/>
    </row>
    <row r="219" spans="1:38" x14ac:dyDescent="0.25">
      <c r="A219" s="65" t="s">
        <v>72</v>
      </c>
      <c r="B219" s="537"/>
      <c r="C219" s="537"/>
      <c r="D219" s="537"/>
      <c r="E219" s="118">
        <v>25.51</v>
      </c>
      <c r="F219" s="118">
        <v>44.03</v>
      </c>
      <c r="G219" s="537"/>
      <c r="H219" s="537"/>
      <c r="I219" s="37"/>
      <c r="J219" s="537"/>
      <c r="K219" s="537"/>
      <c r="L219" s="537"/>
      <c r="M219" s="1">
        <v>40</v>
      </c>
      <c r="N219" s="211">
        <v>39.36</v>
      </c>
      <c r="O219" s="537"/>
      <c r="P219" s="537"/>
      <c r="Q219" s="37"/>
      <c r="R219" s="537"/>
      <c r="S219" s="537"/>
      <c r="T219" s="537"/>
      <c r="U219" s="118">
        <v>39.880000000000003</v>
      </c>
      <c r="V219" s="530"/>
      <c r="W219" s="597"/>
      <c r="X219" s="414">
        <v>38.53</v>
      </c>
      <c r="Y219" s="37"/>
      <c r="Z219" s="537"/>
      <c r="AA219" s="118">
        <v>39.86</v>
      </c>
      <c r="AB219" s="530"/>
      <c r="AC219" s="530"/>
      <c r="AD219" s="530"/>
      <c r="AE219" s="537"/>
      <c r="AF219" s="1">
        <v>40</v>
      </c>
      <c r="AG219" s="537"/>
      <c r="AH219" s="537"/>
      <c r="AI219" s="2"/>
      <c r="AJ219" s="37"/>
      <c r="AK219" s="38"/>
      <c r="AL219" s="197"/>
    </row>
    <row r="220" spans="1:38" x14ac:dyDescent="0.25">
      <c r="A220" s="65" t="s">
        <v>73</v>
      </c>
      <c r="B220" s="537"/>
      <c r="C220" s="537"/>
      <c r="D220" s="537"/>
      <c r="E220" s="537"/>
      <c r="F220" s="530"/>
      <c r="G220" s="537"/>
      <c r="H220" s="537"/>
      <c r="I220" s="111"/>
      <c r="J220" s="537"/>
      <c r="K220" s="118">
        <v>39.409999999999997</v>
      </c>
      <c r="L220" s="537"/>
      <c r="M220" s="537"/>
      <c r="N220" s="537"/>
      <c r="O220" s="537"/>
      <c r="P220" s="537"/>
      <c r="Q220" s="37"/>
      <c r="R220" s="537"/>
      <c r="S220" s="570">
        <v>50.72</v>
      </c>
      <c r="T220" s="537"/>
      <c r="U220" s="537"/>
      <c r="V220" s="537"/>
      <c r="W220" s="597"/>
      <c r="X220" s="597"/>
      <c r="Y220" s="37"/>
      <c r="Z220" s="537"/>
      <c r="AA220" s="530"/>
      <c r="AB220" s="530"/>
      <c r="AC220" s="57">
        <v>16.12</v>
      </c>
      <c r="AD220" s="530"/>
      <c r="AE220" s="537"/>
      <c r="AF220" s="537"/>
      <c r="AG220" s="118">
        <v>39.67</v>
      </c>
      <c r="AH220" s="537"/>
      <c r="AI220" s="2"/>
      <c r="AJ220" s="37"/>
      <c r="AK220" s="38"/>
      <c r="AL220" s="197"/>
    </row>
    <row r="221" spans="1:38" x14ac:dyDescent="0.25">
      <c r="A221" s="65" t="s">
        <v>74</v>
      </c>
      <c r="B221" s="537"/>
      <c r="C221" s="1">
        <v>40</v>
      </c>
      <c r="D221" s="537"/>
      <c r="E221" s="537"/>
      <c r="F221" s="118">
        <v>37.619999999999997</v>
      </c>
      <c r="G221" s="530"/>
      <c r="H221" s="537"/>
      <c r="I221" s="37"/>
      <c r="J221" s="118">
        <v>33.65</v>
      </c>
      <c r="K221" s="537"/>
      <c r="L221" s="537"/>
      <c r="M221" s="530"/>
      <c r="N221" s="1">
        <v>40</v>
      </c>
      <c r="O221" s="537"/>
      <c r="P221" s="537"/>
      <c r="Q221" s="37"/>
      <c r="R221" s="537"/>
      <c r="S221" s="570">
        <v>41.45</v>
      </c>
      <c r="T221" s="537"/>
      <c r="U221" s="537"/>
      <c r="V221" s="537"/>
      <c r="W221" s="414">
        <v>40</v>
      </c>
      <c r="X221" s="597"/>
      <c r="Y221" s="37"/>
      <c r="Z221" s="118">
        <v>29.23</v>
      </c>
      <c r="AA221" s="530"/>
      <c r="AB221" s="530"/>
      <c r="AC221" s="530"/>
      <c r="AD221" s="530"/>
      <c r="AE221" s="118">
        <v>39.78</v>
      </c>
      <c r="AF221" s="530"/>
      <c r="AG221" s="118">
        <v>29.66</v>
      </c>
      <c r="AH221" s="537"/>
      <c r="AI221" s="2"/>
      <c r="AJ221" s="37"/>
      <c r="AK221" s="38"/>
      <c r="AL221" s="197"/>
    </row>
    <row r="222" spans="1:38" x14ac:dyDescent="0.25">
      <c r="A222" s="65" t="s">
        <v>76</v>
      </c>
      <c r="B222" s="118">
        <v>24.54</v>
      </c>
      <c r="C222" s="537"/>
      <c r="D222" s="537"/>
      <c r="E222" s="537"/>
      <c r="F222" s="118">
        <v>40.89</v>
      </c>
      <c r="G222" s="537"/>
      <c r="H222" s="537"/>
      <c r="I222" s="37"/>
      <c r="J222" s="1">
        <v>40</v>
      </c>
      <c r="K222" s="537"/>
      <c r="L222" s="537"/>
      <c r="M222" s="537"/>
      <c r="N222" s="1">
        <v>40</v>
      </c>
      <c r="O222" s="537"/>
      <c r="P222" s="118">
        <v>22.93</v>
      </c>
      <c r="Q222" s="37"/>
      <c r="R222" s="537"/>
      <c r="S222" s="537"/>
      <c r="T222" s="537"/>
      <c r="U222" s="57">
        <v>40</v>
      </c>
      <c r="V222" s="537"/>
      <c r="W222" s="597"/>
      <c r="X222" s="414">
        <v>40</v>
      </c>
      <c r="Y222" s="37"/>
      <c r="Z222" s="537"/>
      <c r="AA222" s="118">
        <v>28.04</v>
      </c>
      <c r="AB222" s="530"/>
      <c r="AC222" s="530"/>
      <c r="AD222" s="57">
        <v>40.98</v>
      </c>
      <c r="AE222" s="537"/>
      <c r="AF222" s="537"/>
      <c r="AG222" s="118">
        <v>31.95</v>
      </c>
      <c r="AH222" s="537"/>
      <c r="AI222" s="2"/>
      <c r="AJ222" s="37"/>
      <c r="AK222" s="38"/>
      <c r="AL222" s="197"/>
    </row>
    <row r="223" spans="1:38" x14ac:dyDescent="0.25">
      <c r="A223" s="65" t="s">
        <v>75</v>
      </c>
      <c r="B223" s="537"/>
      <c r="C223" s="530"/>
      <c r="D223" s="537"/>
      <c r="E223" s="537"/>
      <c r="F223" s="537"/>
      <c r="G223" s="537"/>
      <c r="H223" s="118">
        <v>39.869999999999997</v>
      </c>
      <c r="I223" s="37"/>
      <c r="J223" s="537"/>
      <c r="K223" s="537"/>
      <c r="L223" s="530"/>
      <c r="M223" s="537"/>
      <c r="N223" s="537"/>
      <c r="O223" s="537"/>
      <c r="P223" s="537"/>
      <c r="Q223" s="111"/>
      <c r="R223" s="537"/>
      <c r="S223" s="537"/>
      <c r="T223" s="537"/>
      <c r="U223" s="537"/>
      <c r="V223" s="1">
        <v>40</v>
      </c>
      <c r="W223" s="597"/>
      <c r="X223" s="597"/>
      <c r="Y223" s="37"/>
      <c r="Z223" s="537"/>
      <c r="AA223" s="537"/>
      <c r="AB223" s="530"/>
      <c r="AC223" s="530"/>
      <c r="AD223" s="530"/>
      <c r="AE223" s="537"/>
      <c r="AF223" s="537"/>
      <c r="AG223" s="537"/>
      <c r="AH223" s="1">
        <v>39</v>
      </c>
      <c r="AI223" s="2"/>
      <c r="AJ223" s="111"/>
      <c r="AK223" s="38"/>
      <c r="AL223" s="197"/>
    </row>
    <row r="224" spans="1:38" x14ac:dyDescent="0.25">
      <c r="A224" s="65" t="s">
        <v>49</v>
      </c>
      <c r="B224" s="537"/>
      <c r="C224" s="537"/>
      <c r="D224" s="537"/>
      <c r="E224" s="537"/>
      <c r="F224" s="537"/>
      <c r="G224" s="537"/>
      <c r="H224" s="537"/>
      <c r="I224" s="111"/>
      <c r="J224" s="537"/>
      <c r="K224" s="537"/>
      <c r="L224" s="537"/>
      <c r="M224" s="537"/>
      <c r="N224" s="537"/>
      <c r="O224" s="537"/>
      <c r="P224" s="537"/>
      <c r="Q224" s="111"/>
      <c r="R224" s="537"/>
      <c r="S224" s="537"/>
      <c r="T224" s="537"/>
      <c r="U224" s="537"/>
      <c r="V224" s="537"/>
      <c r="W224" s="597"/>
      <c r="X224" s="597"/>
      <c r="Y224" s="111"/>
      <c r="Z224" s="537"/>
      <c r="AA224" s="537"/>
      <c r="AB224" s="530"/>
      <c r="AC224" s="530"/>
      <c r="AD224" s="530"/>
      <c r="AE224" s="537"/>
      <c r="AF224" s="537"/>
      <c r="AG224" s="537"/>
      <c r="AH224" s="537"/>
      <c r="AI224" s="2"/>
      <c r="AJ224" s="111"/>
      <c r="AK224" s="38"/>
      <c r="AL224" s="197"/>
    </row>
    <row r="225" spans="1:38" x14ac:dyDescent="0.25">
      <c r="A225" s="426" t="s">
        <v>23</v>
      </c>
      <c r="B225" s="537"/>
      <c r="C225" s="537"/>
      <c r="D225" s="537"/>
      <c r="E225" s="537"/>
      <c r="F225" s="537"/>
      <c r="G225" s="537"/>
      <c r="H225" s="537"/>
      <c r="I225" s="111"/>
      <c r="J225" s="537"/>
      <c r="K225" s="537"/>
      <c r="L225" s="537"/>
      <c r="M225" s="537"/>
      <c r="N225" s="537"/>
      <c r="O225" s="537"/>
      <c r="P225" s="537"/>
      <c r="Q225" s="111"/>
      <c r="R225" s="537"/>
      <c r="S225" s="537"/>
      <c r="T225" s="537"/>
      <c r="U225" s="537"/>
      <c r="V225" s="537"/>
      <c r="W225" s="597"/>
      <c r="X225" s="597"/>
      <c r="Y225" s="111"/>
      <c r="Z225" s="537"/>
      <c r="AA225" s="537"/>
      <c r="AB225" s="530"/>
      <c r="AC225" s="530"/>
      <c r="AD225" s="530"/>
      <c r="AE225" s="537"/>
      <c r="AF225" s="537"/>
      <c r="AG225" s="537"/>
      <c r="AH225" s="537"/>
      <c r="AI225" s="2"/>
      <c r="AJ225" s="111"/>
      <c r="AK225" s="38"/>
      <c r="AL225" s="197"/>
    </row>
    <row r="226" spans="1:38" x14ac:dyDescent="0.25">
      <c r="A226" s="65" t="s">
        <v>50</v>
      </c>
      <c r="B226" s="537"/>
      <c r="C226" s="537"/>
      <c r="D226" s="537"/>
      <c r="E226" s="537"/>
      <c r="F226" s="530"/>
      <c r="G226" s="537"/>
      <c r="H226" s="537"/>
      <c r="I226" s="111"/>
      <c r="J226" s="537"/>
      <c r="K226" s="537"/>
      <c r="L226" s="537"/>
      <c r="M226" s="537"/>
      <c r="N226" s="537"/>
      <c r="O226" s="537"/>
      <c r="P226" s="537"/>
      <c r="Q226" s="111"/>
      <c r="R226" s="537"/>
      <c r="S226" s="537"/>
      <c r="T226" s="537"/>
      <c r="U226" s="537"/>
      <c r="V226" s="537"/>
      <c r="W226" s="597"/>
      <c r="X226" s="597"/>
      <c r="Y226" s="111"/>
      <c r="Z226" s="537"/>
      <c r="AA226" s="537"/>
      <c r="AB226" s="530"/>
      <c r="AC226" s="530"/>
      <c r="AD226" s="530"/>
      <c r="AE226" s="537"/>
      <c r="AF226" s="537"/>
      <c r="AG226" s="537"/>
      <c r="AH226" s="537"/>
      <c r="AI226" s="2"/>
      <c r="AJ226" s="111"/>
      <c r="AK226" s="38"/>
      <c r="AL226" s="197"/>
    </row>
    <row r="227" spans="1:38" x14ac:dyDescent="0.25">
      <c r="A227" s="65" t="s">
        <v>51</v>
      </c>
      <c r="B227" s="537"/>
      <c r="C227" s="537"/>
      <c r="D227" s="537"/>
      <c r="E227" s="537"/>
      <c r="F227" s="537"/>
      <c r="G227" s="537"/>
      <c r="H227" s="537"/>
      <c r="I227" s="111"/>
      <c r="J227" s="537"/>
      <c r="K227" s="537"/>
      <c r="L227" s="537"/>
      <c r="M227" s="537"/>
      <c r="N227" s="537"/>
      <c r="O227" s="537"/>
      <c r="P227" s="537"/>
      <c r="Q227" s="111"/>
      <c r="R227" s="537"/>
      <c r="S227" s="537"/>
      <c r="T227" s="1">
        <v>40</v>
      </c>
      <c r="U227" s="537"/>
      <c r="V227" s="537"/>
      <c r="W227" s="597"/>
      <c r="X227" s="597"/>
      <c r="Y227" s="37"/>
      <c r="Z227" s="537"/>
      <c r="AA227" s="537"/>
      <c r="AB227" s="530"/>
      <c r="AC227" s="57">
        <v>40</v>
      </c>
      <c r="AD227" s="530"/>
      <c r="AE227" s="537"/>
      <c r="AF227" s="537"/>
      <c r="AG227" s="537"/>
      <c r="AH227" s="537"/>
      <c r="AI227" s="2"/>
      <c r="AJ227" s="37"/>
      <c r="AK227" s="38"/>
      <c r="AL227" s="197"/>
    </row>
    <row r="228" spans="1:38" x14ac:dyDescent="0.25">
      <c r="A228" s="65" t="s">
        <v>52</v>
      </c>
      <c r="B228" s="537"/>
      <c r="C228" s="537"/>
      <c r="D228" s="537"/>
      <c r="E228" s="537"/>
      <c r="F228" s="537"/>
      <c r="G228" s="537"/>
      <c r="H228" s="1">
        <v>26.2</v>
      </c>
      <c r="I228" s="37"/>
      <c r="J228" s="537"/>
      <c r="K228" s="537"/>
      <c r="L228" s="537"/>
      <c r="M228" s="537"/>
      <c r="N228" s="537"/>
      <c r="O228" s="537"/>
      <c r="P228" s="118">
        <v>30.81</v>
      </c>
      <c r="Q228" s="37"/>
      <c r="R228" s="537"/>
      <c r="S228" s="537"/>
      <c r="T228" s="537"/>
      <c r="U228" s="537"/>
      <c r="V228" s="537"/>
      <c r="W228" s="597"/>
      <c r="X228" s="597"/>
      <c r="Y228" s="111"/>
      <c r="Z228" s="118">
        <v>34.72</v>
      </c>
      <c r="AA228" s="537"/>
      <c r="AB228" s="530"/>
      <c r="AC228" s="530"/>
      <c r="AD228" s="530"/>
      <c r="AE228" s="537"/>
      <c r="AF228" s="537"/>
      <c r="AG228" s="537"/>
      <c r="AH228" s="118">
        <v>29.56</v>
      </c>
      <c r="AI228" s="2"/>
      <c r="AJ228" s="37"/>
      <c r="AK228" s="38"/>
      <c r="AL228" s="197"/>
    </row>
    <row r="229" spans="1:38" x14ac:dyDescent="0.25">
      <c r="A229" s="426" t="s">
        <v>53</v>
      </c>
      <c r="B229" s="537"/>
      <c r="C229" s="537"/>
      <c r="D229" s="537"/>
      <c r="E229" s="537"/>
      <c r="F229" s="537"/>
      <c r="G229" s="537"/>
      <c r="H229" s="537"/>
      <c r="I229" s="111"/>
      <c r="J229" s="537"/>
      <c r="K229" s="537"/>
      <c r="L229" s="537"/>
      <c r="M229" s="537"/>
      <c r="N229" s="537"/>
      <c r="O229" s="537"/>
      <c r="P229" s="537"/>
      <c r="Q229" s="111"/>
      <c r="R229" s="537"/>
      <c r="S229" s="537"/>
      <c r="T229" s="537"/>
      <c r="U229" s="537"/>
      <c r="V229" s="537"/>
      <c r="W229" s="597"/>
      <c r="X229" s="597"/>
      <c r="Y229" s="111"/>
      <c r="Z229" s="537"/>
      <c r="AA229" s="537"/>
      <c r="AB229" s="530"/>
      <c r="AC229" s="530"/>
      <c r="AD229" s="530"/>
      <c r="AE229" s="537"/>
      <c r="AF229" s="537"/>
      <c r="AG229" s="118">
        <v>68.11</v>
      </c>
      <c r="AH229" s="537"/>
      <c r="AI229" s="2"/>
      <c r="AJ229" s="111"/>
      <c r="AK229" s="38"/>
      <c r="AL229" s="197"/>
    </row>
    <row r="230" spans="1:38" x14ac:dyDescent="0.25">
      <c r="A230" s="65" t="s">
        <v>98</v>
      </c>
      <c r="B230" s="537"/>
      <c r="C230" s="537"/>
      <c r="D230" s="537"/>
      <c r="E230" s="537"/>
      <c r="F230" s="537"/>
      <c r="G230" s="118">
        <v>81.709999999999994</v>
      </c>
      <c r="H230" s="537"/>
      <c r="I230" s="37"/>
      <c r="J230" s="537"/>
      <c r="K230" s="537"/>
      <c r="L230" s="537"/>
      <c r="M230" s="537"/>
      <c r="N230" s="537"/>
      <c r="O230" s="537"/>
      <c r="P230" s="1">
        <v>50</v>
      </c>
      <c r="Q230" s="37"/>
      <c r="R230" s="537"/>
      <c r="S230" s="537"/>
      <c r="T230" s="537"/>
      <c r="U230" s="537"/>
      <c r="V230" s="537"/>
      <c r="W230" s="597"/>
      <c r="X230" s="597"/>
      <c r="Y230" s="111"/>
      <c r="Z230" s="537"/>
      <c r="AA230" s="118">
        <v>69.849999999999994</v>
      </c>
      <c r="AB230" s="530"/>
      <c r="AC230" s="530"/>
      <c r="AD230" s="530"/>
      <c r="AE230" s="537"/>
      <c r="AF230" s="537"/>
      <c r="AG230" s="537"/>
      <c r="AH230" s="537"/>
      <c r="AI230" s="2"/>
      <c r="AJ230" s="37"/>
      <c r="AK230" s="38"/>
      <c r="AL230" s="197"/>
    </row>
    <row r="231" spans="1:38" ht="15" customHeight="1" x14ac:dyDescent="0.3">
      <c r="A231" s="65" t="s">
        <v>83</v>
      </c>
      <c r="B231" s="153">
        <v>40</v>
      </c>
      <c r="C231" s="581"/>
      <c r="D231" s="581"/>
      <c r="E231" s="581"/>
      <c r="F231" s="152">
        <v>20.329999999999998</v>
      </c>
      <c r="G231" s="576"/>
      <c r="H231" s="581"/>
      <c r="I231" s="269"/>
      <c r="J231" s="581"/>
      <c r="K231" s="153">
        <v>27.3</v>
      </c>
      <c r="L231" s="581"/>
      <c r="M231" s="581"/>
      <c r="N231" s="581"/>
      <c r="O231" s="152">
        <v>33.82</v>
      </c>
      <c r="P231" s="581"/>
      <c r="Q231" s="269"/>
      <c r="R231" s="581"/>
      <c r="S231" s="853">
        <v>28.26</v>
      </c>
      <c r="T231" s="581"/>
      <c r="U231" s="581"/>
      <c r="V231" s="581"/>
      <c r="W231" s="415">
        <v>32.18</v>
      </c>
      <c r="X231" s="598"/>
      <c r="Y231" s="269"/>
      <c r="Z231" s="581"/>
      <c r="AA231" s="581"/>
      <c r="AB231" s="175">
        <v>36.56</v>
      </c>
      <c r="AC231" s="576"/>
      <c r="AD231" s="576"/>
      <c r="AE231" s="581"/>
      <c r="AF231" s="581"/>
      <c r="AG231" s="152">
        <v>35.53</v>
      </c>
      <c r="AH231" s="152">
        <v>10.029999999999999</v>
      </c>
      <c r="AI231" s="270"/>
      <c r="AJ231" s="269"/>
      <c r="AK231" s="271"/>
      <c r="AL231" s="204"/>
    </row>
    <row r="232" spans="1:38" x14ac:dyDescent="0.25">
      <c r="A232" s="65" t="s">
        <v>84</v>
      </c>
      <c r="B232" s="242">
        <v>24.6</v>
      </c>
      <c r="C232" s="588"/>
      <c r="D232" s="587"/>
      <c r="E232" s="583"/>
      <c r="F232" s="588"/>
      <c r="G232" s="583"/>
      <c r="H232" s="240">
        <v>40.99</v>
      </c>
      <c r="I232" s="49"/>
      <c r="J232" s="583"/>
      <c r="K232" s="583"/>
      <c r="L232" s="582"/>
      <c r="M232" s="583"/>
      <c r="N232" s="588"/>
      <c r="O232" s="583"/>
      <c r="P232" s="582"/>
      <c r="Q232" s="605"/>
      <c r="R232" s="242">
        <v>40</v>
      </c>
      <c r="S232" s="711">
        <v>26.65</v>
      </c>
      <c r="T232" s="240">
        <v>21.48</v>
      </c>
      <c r="U232" s="582"/>
      <c r="V232" s="240">
        <v>37.14</v>
      </c>
      <c r="W232" s="597"/>
      <c r="X232" s="597"/>
      <c r="Y232" s="49"/>
      <c r="Z232" s="583"/>
      <c r="AA232" s="583"/>
      <c r="AB232" s="588"/>
      <c r="AC232" s="587"/>
      <c r="AD232" s="588"/>
      <c r="AE232" s="583"/>
      <c r="AF232" s="582"/>
      <c r="AG232" s="240">
        <v>35.47</v>
      </c>
      <c r="AH232" s="583"/>
      <c r="AI232" s="134"/>
      <c r="AJ232" s="605"/>
      <c r="AK232" s="133"/>
      <c r="AL232" s="197"/>
    </row>
    <row r="233" spans="1:38" x14ac:dyDescent="0.25">
      <c r="A233" s="65" t="s">
        <v>85</v>
      </c>
      <c r="B233" s="587"/>
      <c r="C233" s="587"/>
      <c r="D233" s="587"/>
      <c r="E233" s="583"/>
      <c r="F233" s="583"/>
      <c r="G233" s="240">
        <v>41.28</v>
      </c>
      <c r="H233" s="583"/>
      <c r="I233" s="49"/>
      <c r="J233" s="583"/>
      <c r="K233" s="583"/>
      <c r="L233" s="582"/>
      <c r="M233" s="583"/>
      <c r="N233" s="583"/>
      <c r="O233" s="583"/>
      <c r="P233" s="583"/>
      <c r="Q233" s="605"/>
      <c r="R233" s="240">
        <v>38.01</v>
      </c>
      <c r="S233" s="583"/>
      <c r="T233" s="583"/>
      <c r="U233" s="583"/>
      <c r="V233" s="582"/>
      <c r="W233" s="597"/>
      <c r="X233" s="597"/>
      <c r="Y233" s="49"/>
      <c r="Z233" s="583"/>
      <c r="AA233" s="583"/>
      <c r="AB233" s="242">
        <v>49.5</v>
      </c>
      <c r="AC233" s="587"/>
      <c r="AD233" s="588"/>
      <c r="AE233" s="583"/>
      <c r="AF233" s="583"/>
      <c r="AG233" s="582"/>
      <c r="AH233" s="242">
        <v>40</v>
      </c>
      <c r="AI233" s="134"/>
      <c r="AJ233" s="49"/>
      <c r="AK233" s="133"/>
      <c r="AL233" s="197"/>
    </row>
    <row r="234" spans="1:38" ht="18.75" x14ac:dyDescent="0.3">
      <c r="A234" s="65" t="s">
        <v>62</v>
      </c>
      <c r="B234" s="583"/>
      <c r="C234" s="583"/>
      <c r="D234" s="582"/>
      <c r="E234" s="337">
        <v>31.03</v>
      </c>
      <c r="F234" s="583"/>
      <c r="G234" s="583"/>
      <c r="H234" s="583"/>
      <c r="I234" s="244"/>
      <c r="J234" s="583"/>
      <c r="K234" s="583"/>
      <c r="L234" s="583"/>
      <c r="M234" s="583"/>
      <c r="N234" s="583"/>
      <c r="O234" s="583"/>
      <c r="P234" s="583"/>
      <c r="Q234" s="617"/>
      <c r="R234" s="445">
        <v>40</v>
      </c>
      <c r="S234" s="583"/>
      <c r="T234" s="583"/>
      <c r="U234" s="583"/>
      <c r="V234" s="582"/>
      <c r="W234" s="417">
        <v>36.299999999999997</v>
      </c>
      <c r="X234" s="597"/>
      <c r="Y234" s="244"/>
      <c r="Z234" s="583"/>
      <c r="AA234" s="583"/>
      <c r="AB234" s="242">
        <v>18.579999999999998</v>
      </c>
      <c r="AC234" s="588"/>
      <c r="AD234" s="588"/>
      <c r="AE234" s="583"/>
      <c r="AF234" s="583"/>
      <c r="AG234" s="337">
        <v>38.43</v>
      </c>
      <c r="AH234" s="583"/>
      <c r="AI234" s="112"/>
      <c r="AJ234" s="244"/>
      <c r="AK234" s="170"/>
      <c r="AL234" s="197"/>
    </row>
    <row r="235" spans="1:38" ht="15" customHeight="1" x14ac:dyDescent="0.35">
      <c r="A235" s="65" t="s">
        <v>61</v>
      </c>
      <c r="B235" s="537"/>
      <c r="C235" s="537"/>
      <c r="D235" s="12">
        <v>50</v>
      </c>
      <c r="E235" s="537"/>
      <c r="F235" s="12">
        <v>40</v>
      </c>
      <c r="G235" s="537"/>
      <c r="H235" s="530"/>
      <c r="I235" s="289"/>
      <c r="J235" s="537"/>
      <c r="K235" s="131">
        <v>51.02</v>
      </c>
      <c r="L235" s="530"/>
      <c r="M235" s="537"/>
      <c r="N235" s="135">
        <v>50</v>
      </c>
      <c r="O235" s="537"/>
      <c r="P235" s="537"/>
      <c r="Q235" s="289"/>
      <c r="R235" s="131">
        <v>45.78</v>
      </c>
      <c r="S235" s="537"/>
      <c r="T235" s="537"/>
      <c r="U235" s="537"/>
      <c r="V235" s="537"/>
      <c r="W235" s="417">
        <v>37.15</v>
      </c>
      <c r="X235" s="597"/>
      <c r="Y235" s="289"/>
      <c r="Z235" s="131">
        <v>31.36</v>
      </c>
      <c r="AA235" s="537"/>
      <c r="AB235" s="530"/>
      <c r="AC235" s="530"/>
      <c r="AD235" s="588"/>
      <c r="AE235" s="537"/>
      <c r="AF235" s="12">
        <v>40</v>
      </c>
      <c r="AG235" s="582"/>
      <c r="AH235" s="537"/>
      <c r="AI235" s="287"/>
      <c r="AJ235" s="289"/>
      <c r="AK235" s="255"/>
      <c r="AL235" s="292"/>
    </row>
    <row r="236" spans="1:38" x14ac:dyDescent="0.25">
      <c r="A236" s="66" t="s">
        <v>86</v>
      </c>
      <c r="B236" s="584"/>
      <c r="C236" s="367">
        <v>23.26</v>
      </c>
      <c r="D236" s="584"/>
      <c r="E236" s="584"/>
      <c r="F236" s="585"/>
      <c r="G236" s="584"/>
      <c r="H236" s="584"/>
      <c r="I236" s="290"/>
      <c r="J236" s="584"/>
      <c r="K236" s="584"/>
      <c r="L236" s="338">
        <v>26.62</v>
      </c>
      <c r="M236" s="584"/>
      <c r="N236" s="584"/>
      <c r="O236" s="584"/>
      <c r="P236" s="585"/>
      <c r="Q236" s="290"/>
      <c r="R236" s="584"/>
      <c r="S236" s="753">
        <v>26.26</v>
      </c>
      <c r="T236" s="584"/>
      <c r="U236" s="584"/>
      <c r="V236" s="584"/>
      <c r="W236" s="598"/>
      <c r="X236" s="598"/>
      <c r="Y236" s="290"/>
      <c r="Z236" s="584"/>
      <c r="AA236" s="584"/>
      <c r="AB236" s="367">
        <v>33.32</v>
      </c>
      <c r="AC236" s="589"/>
      <c r="AD236" s="586"/>
      <c r="AE236" s="584"/>
      <c r="AF236" s="585"/>
      <c r="AG236" s="585"/>
      <c r="AH236" s="338">
        <v>20.34</v>
      </c>
      <c r="AI236" s="288"/>
      <c r="AJ236" s="290"/>
      <c r="AK236" s="291"/>
      <c r="AL236" s="204"/>
    </row>
    <row r="237" spans="1:38" x14ac:dyDescent="0.25">
      <c r="A237" s="66" t="s">
        <v>100</v>
      </c>
      <c r="B237" s="367">
        <v>50</v>
      </c>
      <c r="C237" s="589"/>
      <c r="D237" s="589"/>
      <c r="E237" s="584"/>
      <c r="F237" s="584"/>
      <c r="G237" s="584"/>
      <c r="H237" s="584"/>
      <c r="I237" s="290"/>
      <c r="J237" s="585"/>
      <c r="K237" s="584"/>
      <c r="L237" s="584"/>
      <c r="M237" s="584"/>
      <c r="N237" s="584"/>
      <c r="O237" s="584"/>
      <c r="P237" s="584"/>
      <c r="Q237" s="604"/>
      <c r="R237" s="584"/>
      <c r="S237" s="584"/>
      <c r="T237" s="584"/>
      <c r="U237" s="584"/>
      <c r="V237" s="584"/>
      <c r="W237" s="598"/>
      <c r="X237" s="598"/>
      <c r="Y237" s="604"/>
      <c r="Z237" s="584"/>
      <c r="AA237" s="584"/>
      <c r="AB237" s="589"/>
      <c r="AC237" s="589"/>
      <c r="AD237" s="586"/>
      <c r="AE237" s="584"/>
      <c r="AF237" s="584"/>
      <c r="AG237" s="585"/>
      <c r="AH237" s="584"/>
      <c r="AI237" s="332"/>
      <c r="AJ237" s="604"/>
      <c r="AK237" s="46"/>
      <c r="AL237" s="204"/>
    </row>
    <row r="238" spans="1:38" x14ac:dyDescent="0.25">
      <c r="A238" s="368" t="s">
        <v>415</v>
      </c>
      <c r="B238" s="589"/>
      <c r="C238" s="589"/>
      <c r="D238" s="589"/>
      <c r="E238" s="584"/>
      <c r="F238" s="584"/>
      <c r="G238" s="584"/>
      <c r="H238" s="584"/>
      <c r="I238" s="604"/>
      <c r="J238" s="585"/>
      <c r="K238" s="584"/>
      <c r="L238" s="584"/>
      <c r="M238" s="584"/>
      <c r="N238" s="584"/>
      <c r="O238" s="584"/>
      <c r="P238" s="584"/>
      <c r="Q238" s="604"/>
      <c r="R238" s="584"/>
      <c r="S238" s="584"/>
      <c r="T238" s="584"/>
      <c r="U238" s="584"/>
      <c r="V238" s="584"/>
      <c r="W238" s="598"/>
      <c r="X238" s="598"/>
      <c r="Y238" s="604"/>
      <c r="Z238" s="584"/>
      <c r="AA238" s="584"/>
      <c r="AB238" s="589"/>
      <c r="AC238" s="589"/>
      <c r="AD238" s="586"/>
      <c r="AE238" s="584"/>
      <c r="AF238" s="584"/>
      <c r="AG238" s="586"/>
      <c r="AH238" s="584"/>
      <c r="AI238" s="332"/>
      <c r="AJ238" s="604"/>
      <c r="AK238" s="46"/>
      <c r="AL238" s="204"/>
    </row>
    <row r="239" spans="1:38" ht="15" customHeight="1" x14ac:dyDescent="0.3">
      <c r="A239" s="514" t="s">
        <v>22</v>
      </c>
      <c r="B239" s="367">
        <v>27.05</v>
      </c>
      <c r="C239" s="589"/>
      <c r="D239" s="589"/>
      <c r="E239" s="584"/>
      <c r="F239" s="584"/>
      <c r="G239" s="338">
        <v>28.27</v>
      </c>
      <c r="H239" s="585"/>
      <c r="I239" s="290"/>
      <c r="J239" s="338">
        <v>20.92</v>
      </c>
      <c r="K239" s="586"/>
      <c r="L239" s="584"/>
      <c r="M239" s="584"/>
      <c r="N239" s="338">
        <v>36.28</v>
      </c>
      <c r="O239" s="584"/>
      <c r="P239" s="584"/>
      <c r="Q239" s="290"/>
      <c r="R239" s="584"/>
      <c r="S239" s="753">
        <v>25.38</v>
      </c>
      <c r="T239" s="584"/>
      <c r="U239" s="584"/>
      <c r="V239" s="584"/>
      <c r="W239" s="598"/>
      <c r="X239" s="415">
        <v>27.76</v>
      </c>
      <c r="Y239" s="290"/>
      <c r="Z239" s="584"/>
      <c r="AA239" s="584"/>
      <c r="AB239" s="586"/>
      <c r="AC239" s="367">
        <v>31.44</v>
      </c>
      <c r="AD239" s="586"/>
      <c r="AE239" s="584"/>
      <c r="AF239" s="584"/>
      <c r="AG239" s="584"/>
      <c r="AH239" s="338">
        <v>28.96</v>
      </c>
      <c r="AI239" s="332"/>
      <c r="AJ239" s="290"/>
      <c r="AK239" s="342"/>
      <c r="AL239" s="204"/>
    </row>
    <row r="240" spans="1:38" ht="15" customHeight="1" x14ac:dyDescent="0.3">
      <c r="A240" s="368" t="s">
        <v>88</v>
      </c>
      <c r="B240" s="587"/>
      <c r="C240" s="587"/>
      <c r="D240" s="587"/>
      <c r="E240" s="583"/>
      <c r="F240" s="588"/>
      <c r="G240" s="583"/>
      <c r="H240" s="583"/>
      <c r="I240" s="605"/>
      <c r="J240" s="582"/>
      <c r="K240" s="583"/>
      <c r="L240" s="583"/>
      <c r="M240" s="583"/>
      <c r="N240" s="583"/>
      <c r="O240" s="583"/>
      <c r="P240" s="583"/>
      <c r="Q240" s="605"/>
      <c r="R240" s="583"/>
      <c r="S240" s="583"/>
      <c r="T240" s="583"/>
      <c r="U240" s="583"/>
      <c r="V240" s="583"/>
      <c r="W240" s="597"/>
      <c r="X240" s="597"/>
      <c r="Y240" s="605"/>
      <c r="Z240" s="583"/>
      <c r="AA240" s="583"/>
      <c r="AB240" s="587"/>
      <c r="AC240" s="587"/>
      <c r="AD240" s="588"/>
      <c r="AE240" s="583"/>
      <c r="AF240" s="583"/>
      <c r="AG240" s="583"/>
      <c r="AH240" s="583"/>
      <c r="AI240" s="134"/>
      <c r="AJ240" s="605"/>
      <c r="AK240" s="378"/>
      <c r="AL240" s="309"/>
    </row>
    <row r="241" spans="1:38" ht="15" customHeight="1" x14ac:dyDescent="0.3">
      <c r="A241" s="368" t="s">
        <v>38</v>
      </c>
      <c r="B241" s="587"/>
      <c r="C241" s="587"/>
      <c r="D241" s="587"/>
      <c r="E241" s="583"/>
      <c r="F241" s="588"/>
      <c r="G241" s="583"/>
      <c r="H241" s="583"/>
      <c r="I241" s="605"/>
      <c r="J241" s="588"/>
      <c r="K241" s="583"/>
      <c r="L241" s="583"/>
      <c r="M241" s="583"/>
      <c r="N241" s="583"/>
      <c r="O241" s="583"/>
      <c r="P241" s="583"/>
      <c r="Q241" s="605"/>
      <c r="R241" s="583"/>
      <c r="S241" s="583"/>
      <c r="T241" s="583"/>
      <c r="U241" s="588"/>
      <c r="V241" s="583"/>
      <c r="W241" s="597"/>
      <c r="X241" s="597"/>
      <c r="Y241" s="605"/>
      <c r="Z241" s="588"/>
      <c r="AA241" s="583"/>
      <c r="AB241" s="587"/>
      <c r="AC241" s="587"/>
      <c r="AD241" s="587"/>
      <c r="AE241" s="588"/>
      <c r="AF241" s="583"/>
      <c r="AG241" s="583"/>
      <c r="AH241" s="583"/>
      <c r="AI241" s="134"/>
      <c r="AJ241" s="605"/>
      <c r="AK241" s="378"/>
      <c r="AL241" s="309"/>
    </row>
    <row r="242" spans="1:38" x14ac:dyDescent="0.25">
      <c r="A242" s="514" t="s">
        <v>87</v>
      </c>
      <c r="B242" s="583"/>
      <c r="C242" s="583"/>
      <c r="D242" s="588"/>
      <c r="E242" s="583"/>
      <c r="F242" s="588"/>
      <c r="G242" s="583"/>
      <c r="H242" s="583"/>
      <c r="I242" s="614"/>
      <c r="J242" s="588"/>
      <c r="K242" s="583"/>
      <c r="L242" s="587"/>
      <c r="M242" s="583"/>
      <c r="N242" s="583"/>
      <c r="O242" s="337">
        <v>38.270000000000003</v>
      </c>
      <c r="P242" s="583"/>
      <c r="Q242" s="516"/>
      <c r="R242" s="583"/>
      <c r="S242" s="583"/>
      <c r="T242" s="583"/>
      <c r="U242" s="445">
        <v>40</v>
      </c>
      <c r="V242" s="583"/>
      <c r="W242" s="597"/>
      <c r="X242" s="597"/>
      <c r="Y242" s="516"/>
      <c r="Z242" s="583"/>
      <c r="AA242" s="583"/>
      <c r="AB242" s="587"/>
      <c r="AC242" s="587"/>
      <c r="AD242" s="587"/>
      <c r="AE242" s="583"/>
      <c r="AF242" s="583"/>
      <c r="AG242" s="583"/>
      <c r="AH242" s="583"/>
      <c r="AI242" s="112"/>
      <c r="AJ242" s="370"/>
      <c r="AK242" s="333"/>
      <c r="AL242" s="309"/>
    </row>
    <row r="243" spans="1:38" x14ac:dyDescent="0.25">
      <c r="A243" s="368" t="s">
        <v>416</v>
      </c>
      <c r="B243" s="581"/>
      <c r="C243" s="581"/>
      <c r="D243" s="581"/>
      <c r="E243" s="581"/>
      <c r="F243" s="581"/>
      <c r="G243" s="581"/>
      <c r="H243" s="581"/>
      <c r="I243" s="606"/>
      <c r="J243" s="581"/>
      <c r="K243" s="581"/>
      <c r="L243" s="581"/>
      <c r="M243" s="581"/>
      <c r="N243" s="581"/>
      <c r="O243" s="581"/>
      <c r="P243" s="581"/>
      <c r="Q243" s="606"/>
      <c r="R243" s="581"/>
      <c r="S243" s="581"/>
      <c r="T243" s="581"/>
      <c r="U243" s="581"/>
      <c r="V243" s="581"/>
      <c r="W243" s="598"/>
      <c r="X243" s="598"/>
      <c r="Y243" s="606"/>
      <c r="Z243" s="581"/>
      <c r="AA243" s="581"/>
      <c r="AB243" s="576"/>
      <c r="AC243" s="576"/>
      <c r="AD243" s="576"/>
      <c r="AE243" s="581"/>
      <c r="AF243" s="581"/>
      <c r="AG243" s="581"/>
      <c r="AH243" s="581"/>
      <c r="AI243" s="356"/>
      <c r="AJ243" s="606"/>
      <c r="AK243" s="358"/>
      <c r="AL243" s="359"/>
    </row>
    <row r="244" spans="1:38" ht="18.75" x14ac:dyDescent="0.3">
      <c r="A244" s="514" t="s">
        <v>99</v>
      </c>
      <c r="B244" s="581"/>
      <c r="C244" s="581"/>
      <c r="D244" s="581"/>
      <c r="E244" s="581"/>
      <c r="F244" s="581"/>
      <c r="G244" s="581"/>
      <c r="H244" s="581"/>
      <c r="I244" s="606"/>
      <c r="J244" s="581"/>
      <c r="K244" s="581"/>
      <c r="L244" s="581"/>
      <c r="M244" s="581"/>
      <c r="N244" s="581"/>
      <c r="O244" s="581"/>
      <c r="P244" s="152">
        <v>36.36</v>
      </c>
      <c r="Q244" s="606"/>
      <c r="R244" s="581"/>
      <c r="S244" s="581"/>
      <c r="T244" s="581"/>
      <c r="U244" s="581"/>
      <c r="V244" s="581"/>
      <c r="W244" s="598"/>
      <c r="X244" s="598"/>
      <c r="Y244" s="606"/>
      <c r="Z244" s="581"/>
      <c r="AA244" s="581"/>
      <c r="AB244" s="576"/>
      <c r="AC244" s="576"/>
      <c r="AD244" s="576"/>
      <c r="AE244" s="581"/>
      <c r="AF244" s="581"/>
      <c r="AG244" s="581"/>
      <c r="AH244" s="581"/>
      <c r="AI244" s="356"/>
      <c r="AJ244" s="606"/>
      <c r="AK244" s="863">
        <v>1148.67</v>
      </c>
      <c r="AL244" s="359"/>
    </row>
    <row r="245" spans="1:38" ht="18.75" x14ac:dyDescent="0.3">
      <c r="A245" s="515" t="s">
        <v>91</v>
      </c>
      <c r="B245" s="586"/>
      <c r="C245" s="586"/>
      <c r="D245" s="586"/>
      <c r="E245" s="586"/>
      <c r="F245" s="586"/>
      <c r="G245" s="586"/>
      <c r="H245" s="367">
        <v>39.14</v>
      </c>
      <c r="I245" s="374"/>
      <c r="J245" s="586"/>
      <c r="K245" s="586"/>
      <c r="L245" s="586"/>
      <c r="M245" s="586"/>
      <c r="N245" s="586"/>
      <c r="O245" s="586"/>
      <c r="P245" s="586"/>
      <c r="Q245" s="604"/>
      <c r="R245" s="586"/>
      <c r="S245" s="584"/>
      <c r="T245" s="585"/>
      <c r="U245" s="584"/>
      <c r="V245" s="584"/>
      <c r="W245" s="598"/>
      <c r="X245" s="598"/>
      <c r="Y245" s="604"/>
      <c r="Z245" s="338">
        <v>35.43</v>
      </c>
      <c r="AA245" s="584"/>
      <c r="AB245" s="589"/>
      <c r="AC245" s="589"/>
      <c r="AD245" s="589"/>
      <c r="AE245" s="584"/>
      <c r="AF245" s="584"/>
      <c r="AG245" s="338">
        <v>37.78</v>
      </c>
      <c r="AH245" s="584"/>
      <c r="AI245" s="288"/>
      <c r="AJ245" s="290"/>
      <c r="AK245" s="863">
        <v>1256.48</v>
      </c>
      <c r="AL245" s="204"/>
    </row>
    <row r="246" spans="1:38" ht="18.75" x14ac:dyDescent="0.3">
      <c r="A246" s="66" t="s">
        <v>101</v>
      </c>
      <c r="B246" s="588"/>
      <c r="C246" s="588"/>
      <c r="D246" s="588"/>
      <c r="E246" s="588"/>
      <c r="F246" s="588"/>
      <c r="G246" s="588"/>
      <c r="H246" s="588"/>
      <c r="I246" s="616"/>
      <c r="J246" s="588"/>
      <c r="K246" s="588"/>
      <c r="L246" s="588"/>
      <c r="M246" s="588"/>
      <c r="N246" s="588"/>
      <c r="O246" s="242">
        <v>81.47</v>
      </c>
      <c r="P246" s="588"/>
      <c r="Q246" s="410"/>
      <c r="R246" s="588"/>
      <c r="S246" s="582"/>
      <c r="T246" s="583"/>
      <c r="U246" s="583"/>
      <c r="V246" s="583"/>
      <c r="W246" s="597"/>
      <c r="X246" s="597"/>
      <c r="Y246" s="605"/>
      <c r="Z246" s="583"/>
      <c r="AA246" s="242">
        <v>80</v>
      </c>
      <c r="AB246" s="587"/>
      <c r="AC246" s="587"/>
      <c r="AD246" s="587"/>
      <c r="AE246" s="583"/>
      <c r="AF246" s="582"/>
      <c r="AG246" s="583"/>
      <c r="AH246" s="240">
        <v>54.19</v>
      </c>
      <c r="AI246" s="134"/>
      <c r="AJ246" s="49"/>
      <c r="AK246" s="378">
        <v>1317.54</v>
      </c>
      <c r="AL246" s="197"/>
    </row>
    <row r="247" spans="1:38" ht="15" customHeight="1" thickBot="1" x14ac:dyDescent="0.35">
      <c r="A247" s="66" t="s">
        <v>411</v>
      </c>
      <c r="B247" s="396"/>
      <c r="C247" s="396"/>
      <c r="D247" s="396"/>
      <c r="E247" s="396"/>
      <c r="F247" s="396"/>
      <c r="G247" s="396"/>
      <c r="H247" s="396"/>
      <c r="I247" s="334"/>
      <c r="J247" s="591"/>
      <c r="K247" s="591"/>
      <c r="L247" s="591"/>
      <c r="M247" s="591"/>
      <c r="N247" s="845">
        <v>40</v>
      </c>
      <c r="O247" s="591"/>
      <c r="P247" s="591"/>
      <c r="Q247" s="334"/>
      <c r="R247" s="591"/>
      <c r="S247" s="591"/>
      <c r="T247" s="591"/>
      <c r="U247" s="591"/>
      <c r="V247" s="813">
        <v>40</v>
      </c>
      <c r="W247" s="599"/>
      <c r="X247" s="599"/>
      <c r="Y247" s="334"/>
      <c r="Z247" s="591"/>
      <c r="AA247" s="591"/>
      <c r="AB247" s="872">
        <v>40</v>
      </c>
      <c r="AC247" s="590"/>
      <c r="AD247" s="590"/>
      <c r="AE247" s="591"/>
      <c r="AF247" s="591"/>
      <c r="AG247" s="845">
        <v>40</v>
      </c>
      <c r="AH247" s="591"/>
      <c r="AI247" s="396"/>
      <c r="AJ247" s="334"/>
      <c r="AK247" s="864">
        <v>2014.28</v>
      </c>
      <c r="AL247" s="228"/>
    </row>
    <row r="248" spans="1:38" ht="18.75" x14ac:dyDescent="0.3">
      <c r="A248" s="281" t="s">
        <v>2</v>
      </c>
      <c r="B248" s="241">
        <f t="shared" ref="B248:G248" si="10">SUM(B208:B247)</f>
        <v>166.19</v>
      </c>
      <c r="C248" s="241">
        <f t="shared" si="10"/>
        <v>63.260000000000005</v>
      </c>
      <c r="D248" s="241">
        <f t="shared" si="10"/>
        <v>91.66</v>
      </c>
      <c r="E248" s="241">
        <f t="shared" si="10"/>
        <v>211.07999999999998</v>
      </c>
      <c r="F248" s="241">
        <f t="shared" si="10"/>
        <v>246.64</v>
      </c>
      <c r="G248" s="241">
        <f t="shared" si="10"/>
        <v>193.33</v>
      </c>
      <c r="H248" s="241">
        <f>SUM(H208:H247)</f>
        <v>176.51</v>
      </c>
      <c r="I248" s="765">
        <f>SUM(B248:H248)</f>
        <v>1148.67</v>
      </c>
      <c r="J248" s="241">
        <f>SUM(J208:J247)</f>
        <v>146.26</v>
      </c>
      <c r="K248" s="241">
        <f>SUM(K208:K247)</f>
        <v>185.53</v>
      </c>
      <c r="L248" s="241">
        <f>SUM(L208:L247)</f>
        <v>157.12</v>
      </c>
      <c r="M248" s="241">
        <f>SUM(M208:M226)</f>
        <v>74.680000000000007</v>
      </c>
      <c r="N248" s="241">
        <f>SUM(N208:N247)</f>
        <v>284.18</v>
      </c>
      <c r="O248" s="241">
        <f>SUM(O208:O247)</f>
        <v>228.61</v>
      </c>
      <c r="P248" s="241">
        <f>SUM(P208:P247)</f>
        <v>180.10000000000002</v>
      </c>
      <c r="Q248" s="852">
        <f>SUM(J248:P248)</f>
        <v>1256.48</v>
      </c>
      <c r="R248" s="241">
        <f t="shared" ref="R248:W248" si="11">SUM(R208:R247)</f>
        <v>203.76</v>
      </c>
      <c r="S248" s="854">
        <f t="shared" si="11"/>
        <v>278.72000000000003</v>
      </c>
      <c r="T248" s="241">
        <f t="shared" si="11"/>
        <v>61.480000000000004</v>
      </c>
      <c r="U248" s="241">
        <f t="shared" si="11"/>
        <v>199.88</v>
      </c>
      <c r="V248" s="241">
        <f t="shared" si="11"/>
        <v>196.72</v>
      </c>
      <c r="W248" s="413">
        <f t="shared" si="11"/>
        <v>250.52</v>
      </c>
      <c r="X248" s="413">
        <f>SUM(X208:X247)</f>
        <v>126.46000000000001</v>
      </c>
      <c r="Y248" s="380">
        <f>SUM(R248:X248)</f>
        <v>1317.5400000000002</v>
      </c>
      <c r="Z248" s="241">
        <f t="shared" ref="Z248:AE248" si="12">SUM(Z208:Z247)</f>
        <v>207.36</v>
      </c>
      <c r="AA248" s="241">
        <f t="shared" si="12"/>
        <v>308.43</v>
      </c>
      <c r="AB248" s="241">
        <f t="shared" si="12"/>
        <v>236.45</v>
      </c>
      <c r="AC248" s="241">
        <f t="shared" si="12"/>
        <v>171.19</v>
      </c>
      <c r="AD248" s="241">
        <f t="shared" si="12"/>
        <v>40.98</v>
      </c>
      <c r="AE248" s="241">
        <f t="shared" si="12"/>
        <v>118.87</v>
      </c>
      <c r="AF248" s="241">
        <f>SUM(AF208:AF247)</f>
        <v>183.85999999999999</v>
      </c>
      <c r="AG248" s="241">
        <f>SUM(AG208:AG247)</f>
        <v>465.36</v>
      </c>
      <c r="AH248" s="241">
        <f>SUM(AH208:AH247)</f>
        <v>281.77999999999997</v>
      </c>
      <c r="AI248" s="425"/>
      <c r="AJ248" s="765">
        <f>SUM(Z248:AI248)</f>
        <v>2014.28</v>
      </c>
      <c r="AK248" s="879">
        <f>SUM(AK244:AK247)</f>
        <v>5736.97</v>
      </c>
      <c r="AL248" s="284"/>
    </row>
    <row r="249" spans="1:38" ht="19.5" thickBot="1" x14ac:dyDescent="0.35">
      <c r="A249" s="272"/>
      <c r="B249" s="265" t="s">
        <v>342</v>
      </c>
      <c r="C249" s="265" t="s">
        <v>356</v>
      </c>
      <c r="D249" s="265" t="s">
        <v>356</v>
      </c>
      <c r="E249" s="265" t="s">
        <v>352</v>
      </c>
      <c r="F249" s="265" t="s">
        <v>358</v>
      </c>
      <c r="G249" s="265" t="s">
        <v>350</v>
      </c>
      <c r="H249" s="265" t="s">
        <v>342</v>
      </c>
      <c r="I249" s="334"/>
      <c r="J249" s="265" t="s">
        <v>342</v>
      </c>
      <c r="K249" s="265" t="s">
        <v>342</v>
      </c>
      <c r="L249" s="265" t="s">
        <v>342</v>
      </c>
      <c r="M249" s="265">
        <v>39.200000000000003</v>
      </c>
      <c r="N249" s="265" t="s">
        <v>358</v>
      </c>
      <c r="O249" s="265" t="s">
        <v>342</v>
      </c>
      <c r="P249" s="265" t="s">
        <v>342</v>
      </c>
      <c r="Q249" s="334"/>
      <c r="R249" s="265" t="s">
        <v>342</v>
      </c>
      <c r="S249" s="265" t="s">
        <v>373</v>
      </c>
      <c r="T249" s="265" t="s">
        <v>356</v>
      </c>
      <c r="U249" s="265" t="s">
        <v>342</v>
      </c>
      <c r="V249" s="265" t="s">
        <v>342</v>
      </c>
      <c r="W249" s="265" t="s">
        <v>358</v>
      </c>
      <c r="X249" s="265" t="s">
        <v>350</v>
      </c>
      <c r="Y249" s="334"/>
      <c r="Z249" s="265" t="s">
        <v>352</v>
      </c>
      <c r="AA249" s="265" t="s">
        <v>358</v>
      </c>
      <c r="AB249" s="265" t="s">
        <v>358</v>
      </c>
      <c r="AC249" s="265" t="s">
        <v>352</v>
      </c>
      <c r="AD249" s="265" t="s">
        <v>371</v>
      </c>
      <c r="AE249" s="265" t="s">
        <v>368</v>
      </c>
      <c r="AF249" s="265" t="s">
        <v>342</v>
      </c>
      <c r="AG249" s="265" t="s">
        <v>370</v>
      </c>
      <c r="AH249" s="265" t="s">
        <v>417</v>
      </c>
      <c r="AI249" s="265"/>
      <c r="AJ249" s="334"/>
      <c r="AK249" s="273"/>
      <c r="AL249" s="228"/>
    </row>
    <row r="250" spans="1:38" ht="24" thickBot="1" x14ac:dyDescent="0.4">
      <c r="A250" s="252" t="s">
        <v>142</v>
      </c>
      <c r="B250" s="258"/>
      <c r="C250" s="258"/>
      <c r="D250" s="258"/>
      <c r="E250" s="258"/>
      <c r="F250" s="258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  <c r="AD250" s="254"/>
      <c r="AE250" s="254"/>
      <c r="AF250" s="254"/>
      <c r="AG250" s="254"/>
      <c r="AH250" s="254"/>
      <c r="AI250" s="254"/>
      <c r="AJ250" s="260"/>
      <c r="AK250" s="261"/>
      <c r="AL250" s="260"/>
    </row>
    <row r="251" spans="1:38" ht="16.5" thickBot="1" x14ac:dyDescent="0.3">
      <c r="A251" s="222" t="s">
        <v>2</v>
      </c>
      <c r="B251" s="322">
        <v>1</v>
      </c>
      <c r="C251" s="322">
        <v>2</v>
      </c>
      <c r="D251" s="322">
        <v>3</v>
      </c>
      <c r="E251" s="322">
        <v>4</v>
      </c>
      <c r="F251" s="322">
        <v>5</v>
      </c>
      <c r="G251" s="322">
        <v>6</v>
      </c>
      <c r="H251" s="322">
        <v>7</v>
      </c>
      <c r="I251" s="323" t="s">
        <v>6</v>
      </c>
      <c r="J251" s="322">
        <v>8</v>
      </c>
      <c r="K251" s="322">
        <v>9</v>
      </c>
      <c r="L251" s="322">
        <v>10</v>
      </c>
      <c r="M251" s="322">
        <v>11</v>
      </c>
      <c r="N251" s="322">
        <v>12</v>
      </c>
      <c r="O251" s="322">
        <v>13</v>
      </c>
      <c r="P251" s="322">
        <v>14</v>
      </c>
      <c r="Q251" s="323" t="s">
        <v>6</v>
      </c>
      <c r="R251" s="322">
        <v>15</v>
      </c>
      <c r="S251" s="322">
        <v>16</v>
      </c>
      <c r="T251" s="322">
        <v>17</v>
      </c>
      <c r="U251" s="322">
        <v>18</v>
      </c>
      <c r="V251" s="322">
        <v>19</v>
      </c>
      <c r="W251" s="322">
        <v>20</v>
      </c>
      <c r="X251" s="322">
        <v>21</v>
      </c>
      <c r="Y251" s="323" t="s">
        <v>6</v>
      </c>
      <c r="Z251" s="322">
        <v>22</v>
      </c>
      <c r="AA251" s="322">
        <v>23</v>
      </c>
      <c r="AB251" s="322">
        <v>24</v>
      </c>
      <c r="AC251" s="322">
        <v>25</v>
      </c>
      <c r="AD251" s="322">
        <v>26</v>
      </c>
      <c r="AE251" s="322">
        <v>27</v>
      </c>
      <c r="AF251" s="322">
        <v>28</v>
      </c>
      <c r="AG251" s="322">
        <v>29</v>
      </c>
      <c r="AH251" s="322">
        <v>30</v>
      </c>
      <c r="AI251" s="322">
        <v>31</v>
      </c>
      <c r="AJ251" s="324" t="s">
        <v>6</v>
      </c>
      <c r="AK251" s="325" t="s">
        <v>0</v>
      </c>
      <c r="AL251" s="395" t="s">
        <v>42</v>
      </c>
    </row>
    <row r="252" spans="1:38" ht="15" customHeight="1" x14ac:dyDescent="0.3">
      <c r="A252" s="64" t="s">
        <v>57</v>
      </c>
      <c r="B252" s="1">
        <v>49.52</v>
      </c>
      <c r="C252" s="1">
        <v>49.62</v>
      </c>
      <c r="D252" s="1">
        <v>50</v>
      </c>
      <c r="E252" s="1">
        <v>45.44</v>
      </c>
      <c r="F252" s="1">
        <v>42.79</v>
      </c>
      <c r="G252" s="1">
        <v>45.86</v>
      </c>
      <c r="H252" s="1">
        <v>50</v>
      </c>
      <c r="I252" s="36"/>
      <c r="J252" s="1">
        <v>47.85</v>
      </c>
      <c r="K252" s="1">
        <v>23.68</v>
      </c>
      <c r="L252" s="1">
        <v>43.8</v>
      </c>
      <c r="M252" s="1">
        <v>40.96</v>
      </c>
      <c r="N252" s="1">
        <v>50</v>
      </c>
      <c r="O252" s="1">
        <v>50</v>
      </c>
      <c r="P252" s="1">
        <v>50</v>
      </c>
      <c r="Q252" s="36"/>
      <c r="R252" s="1">
        <v>50</v>
      </c>
      <c r="S252" s="1">
        <v>50</v>
      </c>
      <c r="T252" s="57">
        <v>50</v>
      </c>
      <c r="U252" s="1">
        <v>49.7</v>
      </c>
      <c r="V252" s="1">
        <v>49.59</v>
      </c>
      <c r="W252" s="1">
        <v>50</v>
      </c>
      <c r="X252" s="1">
        <v>50</v>
      </c>
      <c r="Y252" s="36"/>
      <c r="Z252" s="1">
        <v>50</v>
      </c>
      <c r="AA252" s="1">
        <v>47.34</v>
      </c>
      <c r="AB252" s="1">
        <v>50</v>
      </c>
      <c r="AC252" s="1">
        <v>50</v>
      </c>
      <c r="AD252" s="1">
        <v>43.05</v>
      </c>
      <c r="AE252" s="1">
        <v>49.52</v>
      </c>
      <c r="AF252" s="1">
        <v>50</v>
      </c>
      <c r="AG252" s="1">
        <v>49.8</v>
      </c>
      <c r="AH252" s="1">
        <v>40.22</v>
      </c>
      <c r="AI252" s="55"/>
      <c r="AJ252" s="36"/>
      <c r="AK252" s="339">
        <v>1005.09</v>
      </c>
      <c r="AL252" s="197"/>
    </row>
    <row r="253" spans="1:38" ht="15" customHeight="1" x14ac:dyDescent="0.3">
      <c r="A253" s="11" t="s">
        <v>58</v>
      </c>
      <c r="B253" s="1">
        <v>44.37</v>
      </c>
      <c r="C253" s="1">
        <v>50</v>
      </c>
      <c r="D253" s="1">
        <v>48.76</v>
      </c>
      <c r="E253" s="1">
        <v>50</v>
      </c>
      <c r="F253" s="1">
        <v>39.93</v>
      </c>
      <c r="G253" s="1">
        <v>50</v>
      </c>
      <c r="H253" s="1">
        <v>50</v>
      </c>
      <c r="I253" s="37"/>
      <c r="J253" s="1">
        <v>50</v>
      </c>
      <c r="K253" s="1">
        <v>50</v>
      </c>
      <c r="L253" s="531">
        <v>0</v>
      </c>
      <c r="M253" s="1">
        <v>50</v>
      </c>
      <c r="N253" s="1">
        <v>49.75</v>
      </c>
      <c r="O253" s="1">
        <v>44.12</v>
      </c>
      <c r="P253" s="1">
        <v>48.23</v>
      </c>
      <c r="Q253" s="37"/>
      <c r="R253" s="1">
        <v>50</v>
      </c>
      <c r="S253" s="1">
        <v>50</v>
      </c>
      <c r="T253" s="57">
        <v>50</v>
      </c>
      <c r="U253" s="1">
        <v>46.75</v>
      </c>
      <c r="V253" s="1">
        <v>45.93</v>
      </c>
      <c r="W253" s="1">
        <v>48.98</v>
      </c>
      <c r="X253" s="1">
        <v>37.47</v>
      </c>
      <c r="Y253" s="37"/>
      <c r="Z253" s="1">
        <v>50</v>
      </c>
      <c r="AA253" s="1">
        <v>48.32</v>
      </c>
      <c r="AB253" s="1">
        <v>39.6</v>
      </c>
      <c r="AC253" s="1">
        <v>50</v>
      </c>
      <c r="AD253" s="1">
        <v>50</v>
      </c>
      <c r="AE253" s="1">
        <v>47.82</v>
      </c>
      <c r="AF253" s="1">
        <v>50.96</v>
      </c>
      <c r="AG253" s="1">
        <v>46.71</v>
      </c>
      <c r="AH253" s="118">
        <v>49.39</v>
      </c>
      <c r="AI253" s="52"/>
      <c r="AJ253" s="37"/>
      <c r="AK253" s="340">
        <v>917.98</v>
      </c>
      <c r="AL253" s="197"/>
    </row>
    <row r="254" spans="1:38" ht="15" customHeight="1" x14ac:dyDescent="0.3">
      <c r="A254" s="62" t="s">
        <v>59</v>
      </c>
      <c r="B254" s="550">
        <v>58.97</v>
      </c>
      <c r="C254" s="123">
        <v>50</v>
      </c>
      <c r="D254" s="123">
        <v>48.08</v>
      </c>
      <c r="E254" s="123">
        <v>50</v>
      </c>
      <c r="F254" s="123">
        <v>43.96</v>
      </c>
      <c r="G254" s="123">
        <v>50</v>
      </c>
      <c r="H254" s="123">
        <v>37.79</v>
      </c>
      <c r="I254" s="43"/>
      <c r="J254" s="178">
        <v>50</v>
      </c>
      <c r="K254" s="123">
        <v>50</v>
      </c>
      <c r="L254" s="123">
        <v>37.69</v>
      </c>
      <c r="M254" s="123">
        <v>50</v>
      </c>
      <c r="N254" s="123">
        <v>43.16</v>
      </c>
      <c r="O254" s="123">
        <v>43.22</v>
      </c>
      <c r="P254" s="123">
        <v>45.52</v>
      </c>
      <c r="Q254" s="43"/>
      <c r="R254" s="123">
        <v>41.32</v>
      </c>
      <c r="S254" s="123">
        <v>38.020000000000003</v>
      </c>
      <c r="T254" s="178">
        <v>43.7</v>
      </c>
      <c r="U254" s="123">
        <v>42.38</v>
      </c>
      <c r="V254" s="123">
        <v>40.78</v>
      </c>
      <c r="W254" s="123">
        <v>43.9</v>
      </c>
      <c r="X254" s="123">
        <v>50</v>
      </c>
      <c r="Y254" s="43"/>
      <c r="Z254" s="123">
        <v>49.82</v>
      </c>
      <c r="AA254" s="123">
        <v>50</v>
      </c>
      <c r="AB254" s="123">
        <v>44.55</v>
      </c>
      <c r="AC254" s="123">
        <v>40.78</v>
      </c>
      <c r="AD254" s="123">
        <v>50</v>
      </c>
      <c r="AE254" s="123">
        <v>49.76</v>
      </c>
      <c r="AF254" s="123">
        <v>41.24</v>
      </c>
      <c r="AG254" s="123">
        <v>48.69</v>
      </c>
      <c r="AH254" s="123">
        <v>50</v>
      </c>
      <c r="AI254" s="243"/>
      <c r="AJ254" s="43"/>
      <c r="AK254" s="342">
        <v>978.52</v>
      </c>
      <c r="AL254" s="204"/>
    </row>
    <row r="255" spans="1:38" ht="15" customHeight="1" thickBot="1" x14ac:dyDescent="0.35">
      <c r="A255" s="349"/>
      <c r="B255" s="274"/>
      <c r="C255" s="274"/>
      <c r="D255" s="274"/>
      <c r="E255" s="274"/>
      <c r="F255" s="274"/>
      <c r="G255" s="275"/>
      <c r="H255" s="275"/>
      <c r="I255" s="269"/>
      <c r="J255" s="270"/>
      <c r="K255" s="268"/>
      <c r="L255" s="275"/>
      <c r="M255" s="268"/>
      <c r="N255" s="275"/>
      <c r="O255" s="268"/>
      <c r="P255" s="275"/>
      <c r="Q255" s="269"/>
      <c r="R255" s="153"/>
      <c r="S255" s="275"/>
      <c r="T255" s="239"/>
      <c r="U255" s="268"/>
      <c r="V255" s="275"/>
      <c r="W255" s="275"/>
      <c r="X255" s="268"/>
      <c r="Y255" s="269"/>
      <c r="Z255" s="275"/>
      <c r="AA255" s="153"/>
      <c r="AB255" s="268"/>
      <c r="AC255" s="275"/>
      <c r="AD255" s="268"/>
      <c r="AE255" s="275"/>
      <c r="AF255" s="275"/>
      <c r="AG255" s="429"/>
      <c r="AH255" s="152"/>
      <c r="AI255" s="270"/>
      <c r="AJ255" s="269"/>
      <c r="AK255" s="863">
        <v>1287.57</v>
      </c>
      <c r="AL255" s="204"/>
    </row>
    <row r="256" spans="1:38" ht="18.75" x14ac:dyDescent="0.3">
      <c r="A256" s="281" t="s">
        <v>2</v>
      </c>
      <c r="B256" s="307">
        <f t="shared" ref="B256:G256" si="13">SUM(B252:B255)</f>
        <v>152.86000000000001</v>
      </c>
      <c r="C256" s="307">
        <f t="shared" si="13"/>
        <v>149.62</v>
      </c>
      <c r="D256" s="307">
        <f t="shared" si="13"/>
        <v>146.83999999999997</v>
      </c>
      <c r="E256" s="307">
        <f t="shared" si="13"/>
        <v>145.44</v>
      </c>
      <c r="F256" s="307">
        <f t="shared" si="13"/>
        <v>126.68</v>
      </c>
      <c r="G256" s="307">
        <f t="shared" si="13"/>
        <v>145.86000000000001</v>
      </c>
      <c r="H256" s="307">
        <f>SUM(H252:H255)</f>
        <v>137.79</v>
      </c>
      <c r="I256" s="699">
        <f>SUM(B256:H256)</f>
        <v>1005.09</v>
      </c>
      <c r="J256" s="307">
        <f t="shared" ref="J256:O256" si="14">SUM(J252:J255)</f>
        <v>147.85</v>
      </c>
      <c r="K256" s="307">
        <f t="shared" si="14"/>
        <v>123.68</v>
      </c>
      <c r="L256" s="307">
        <f t="shared" si="14"/>
        <v>81.489999999999995</v>
      </c>
      <c r="M256" s="307">
        <f t="shared" si="14"/>
        <v>140.96</v>
      </c>
      <c r="N256" s="307">
        <f t="shared" si="14"/>
        <v>142.91</v>
      </c>
      <c r="O256" s="307">
        <f t="shared" si="14"/>
        <v>137.34</v>
      </c>
      <c r="P256" s="307">
        <f>SUM(P252:P255)</f>
        <v>143.75</v>
      </c>
      <c r="Q256" s="699">
        <f>SUM(J256:P256)</f>
        <v>917.98</v>
      </c>
      <c r="R256" s="307">
        <f t="shared" ref="R256:W256" si="15">SUM(R252:R255)</f>
        <v>141.32</v>
      </c>
      <c r="S256" s="307">
        <f t="shared" si="15"/>
        <v>138.02000000000001</v>
      </c>
      <c r="T256" s="163">
        <f t="shared" si="15"/>
        <v>143.69999999999999</v>
      </c>
      <c r="U256" s="307">
        <f t="shared" si="15"/>
        <v>138.83000000000001</v>
      </c>
      <c r="V256" s="307">
        <f t="shared" si="15"/>
        <v>136.30000000000001</v>
      </c>
      <c r="W256" s="307">
        <f t="shared" si="15"/>
        <v>142.88</v>
      </c>
      <c r="X256" s="307">
        <f>SUM(X252:X255)</f>
        <v>137.47</v>
      </c>
      <c r="Y256" s="376">
        <f>SUM(R256:X256)</f>
        <v>978.5200000000001</v>
      </c>
      <c r="Z256" s="307">
        <f t="shared" ref="Z256:AE256" si="16">SUM(Z252:Z255)</f>
        <v>149.82</v>
      </c>
      <c r="AA256" s="307">
        <f t="shared" si="16"/>
        <v>145.66</v>
      </c>
      <c r="AB256" s="307">
        <f t="shared" si="16"/>
        <v>134.14999999999998</v>
      </c>
      <c r="AC256" s="307">
        <f t="shared" si="16"/>
        <v>140.78</v>
      </c>
      <c r="AD256" s="307">
        <f t="shared" si="16"/>
        <v>143.05000000000001</v>
      </c>
      <c r="AE256" s="307">
        <f t="shared" si="16"/>
        <v>147.1</v>
      </c>
      <c r="AF256" s="307">
        <f>SUM(AF252:AF255)</f>
        <v>142.20000000000002</v>
      </c>
      <c r="AG256" s="307">
        <f>SUM(AG252:AG255)</f>
        <v>145.19999999999999</v>
      </c>
      <c r="AH256" s="307">
        <f>SUM(AH252:AH255)</f>
        <v>139.61000000000001</v>
      </c>
      <c r="AI256" s="308"/>
      <c r="AJ256" s="877">
        <f>SUM(Z256:AI256)</f>
        <v>1287.5700000000002</v>
      </c>
      <c r="AK256" s="878">
        <f>SUM(AK252:AK255)</f>
        <v>4189.16</v>
      </c>
      <c r="AL256" s="284"/>
    </row>
    <row r="257" spans="1:38" ht="15.75" thickBot="1" x14ac:dyDescent="0.3">
      <c r="A257" s="264"/>
      <c r="B257" s="265" t="s">
        <v>285</v>
      </c>
      <c r="C257" s="265" t="s">
        <v>285</v>
      </c>
      <c r="D257" s="265" t="s">
        <v>285</v>
      </c>
      <c r="E257" s="265" t="s">
        <v>285</v>
      </c>
      <c r="F257" s="265" t="s">
        <v>285</v>
      </c>
      <c r="G257" s="265" t="s">
        <v>285</v>
      </c>
      <c r="H257" s="265" t="s">
        <v>285</v>
      </c>
      <c r="I257" s="361"/>
      <c r="J257" s="265" t="s">
        <v>285</v>
      </c>
      <c r="K257" s="265" t="s">
        <v>285</v>
      </c>
      <c r="L257" s="265" t="s">
        <v>331</v>
      </c>
      <c r="M257" s="265">
        <v>3.3</v>
      </c>
      <c r="N257" s="265" t="s">
        <v>285</v>
      </c>
      <c r="O257" s="265" t="s">
        <v>285</v>
      </c>
      <c r="P257" s="265" t="s">
        <v>285</v>
      </c>
      <c r="Q257" s="361"/>
      <c r="R257" s="265" t="s">
        <v>285</v>
      </c>
      <c r="S257" s="265" t="s">
        <v>285</v>
      </c>
      <c r="T257" s="265" t="s">
        <v>285</v>
      </c>
      <c r="U257" s="265" t="s">
        <v>285</v>
      </c>
      <c r="V257" s="265" t="s">
        <v>285</v>
      </c>
      <c r="W257" s="265" t="s">
        <v>285</v>
      </c>
      <c r="X257" s="265" t="s">
        <v>285</v>
      </c>
      <c r="Y257" s="361"/>
      <c r="Z257" s="265" t="s">
        <v>285</v>
      </c>
      <c r="AA257" s="265" t="s">
        <v>285</v>
      </c>
      <c r="AB257" s="265" t="s">
        <v>285</v>
      </c>
      <c r="AC257" s="265" t="s">
        <v>285</v>
      </c>
      <c r="AD257" s="265" t="s">
        <v>285</v>
      </c>
      <c r="AE257" s="265" t="s">
        <v>285</v>
      </c>
      <c r="AF257" s="265" t="s">
        <v>285</v>
      </c>
      <c r="AG257" s="265" t="s">
        <v>285</v>
      </c>
      <c r="AH257" s="265" t="s">
        <v>285</v>
      </c>
      <c r="AI257" s="265"/>
      <c r="AJ257" s="361"/>
      <c r="AK257" s="362"/>
      <c r="AL257" s="363"/>
    </row>
    <row r="258" spans="1:38" ht="24" thickBot="1" x14ac:dyDescent="0.4">
      <c r="A258" s="252" t="s">
        <v>143</v>
      </c>
      <c r="B258" s="258"/>
      <c r="C258" s="258"/>
      <c r="D258" s="258"/>
      <c r="E258" s="258"/>
      <c r="F258" s="258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  <c r="AD258" s="254"/>
      <c r="AE258" s="254"/>
      <c r="AF258" s="254"/>
      <c r="AG258" s="254"/>
      <c r="AH258" s="254"/>
      <c r="AI258" s="254"/>
      <c r="AJ258" s="260"/>
      <c r="AK258" s="261"/>
      <c r="AL258" s="260"/>
    </row>
    <row r="259" spans="1:38" ht="15" customHeight="1" x14ac:dyDescent="0.3">
      <c r="A259" s="11" t="s">
        <v>54</v>
      </c>
      <c r="B259" s="1">
        <v>36.35</v>
      </c>
      <c r="C259" s="1">
        <v>39.86</v>
      </c>
      <c r="D259" s="1">
        <v>37.72</v>
      </c>
      <c r="E259" s="1">
        <v>36.619999999999997</v>
      </c>
      <c r="F259" s="1">
        <v>31.85</v>
      </c>
      <c r="G259" s="1">
        <v>42.99</v>
      </c>
      <c r="H259" s="1">
        <v>32.83</v>
      </c>
      <c r="I259" s="37"/>
      <c r="J259" s="118">
        <v>45.95</v>
      </c>
      <c r="K259" s="118">
        <v>33.33</v>
      </c>
      <c r="L259" s="1">
        <v>39.46</v>
      </c>
      <c r="M259" s="1">
        <v>40</v>
      </c>
      <c r="N259" s="1">
        <v>39.06</v>
      </c>
      <c r="O259" s="118">
        <v>37.58</v>
      </c>
      <c r="P259" s="1">
        <v>41.53</v>
      </c>
      <c r="Q259" s="37"/>
      <c r="R259" s="1">
        <v>40</v>
      </c>
      <c r="S259" s="1">
        <v>40</v>
      </c>
      <c r="T259" s="1">
        <v>40</v>
      </c>
      <c r="U259" s="118">
        <v>44.49</v>
      </c>
      <c r="V259" s="118">
        <v>39.369999999999997</v>
      </c>
      <c r="W259" s="118">
        <v>35.880000000000003</v>
      </c>
      <c r="X259" s="118">
        <v>39.72</v>
      </c>
      <c r="Y259" s="37"/>
      <c r="Z259" s="118">
        <v>33.14</v>
      </c>
      <c r="AA259" s="1">
        <v>26.39</v>
      </c>
      <c r="AB259" s="1">
        <v>40</v>
      </c>
      <c r="AC259" s="1">
        <v>39.340000000000003</v>
      </c>
      <c r="AD259" s="1">
        <v>54.3</v>
      </c>
      <c r="AE259" s="118">
        <v>36.119999999999997</v>
      </c>
      <c r="AF259" s="118">
        <v>29.37</v>
      </c>
      <c r="AG259" s="1">
        <v>39.5</v>
      </c>
      <c r="AH259" s="118">
        <v>33.24</v>
      </c>
      <c r="AI259" s="52"/>
      <c r="AJ259" s="37"/>
      <c r="AK259" s="339">
        <v>751.03</v>
      </c>
      <c r="AL259" s="197"/>
    </row>
    <row r="260" spans="1:38" ht="15" customHeight="1" x14ac:dyDescent="0.3">
      <c r="A260" s="11" t="s">
        <v>55</v>
      </c>
      <c r="B260" s="1">
        <v>40</v>
      </c>
      <c r="C260" s="1">
        <v>41.68</v>
      </c>
      <c r="D260" s="1">
        <v>35.93</v>
      </c>
      <c r="E260" s="1">
        <v>34.51</v>
      </c>
      <c r="F260" s="1">
        <v>28.33</v>
      </c>
      <c r="G260" s="1">
        <v>35.96</v>
      </c>
      <c r="H260" s="1">
        <v>33.479999999999997</v>
      </c>
      <c r="I260" s="37"/>
      <c r="J260" s="118">
        <v>36.74</v>
      </c>
      <c r="K260" s="118">
        <v>36.619999999999997</v>
      </c>
      <c r="L260" s="1">
        <v>36</v>
      </c>
      <c r="M260" s="118">
        <v>39.43</v>
      </c>
      <c r="N260" s="118">
        <v>37.92</v>
      </c>
      <c r="O260" s="1">
        <v>37.28</v>
      </c>
      <c r="P260" s="1">
        <v>36.67</v>
      </c>
      <c r="Q260" s="37"/>
      <c r="R260" s="1">
        <v>34.159999999999997</v>
      </c>
      <c r="S260" s="1">
        <v>40</v>
      </c>
      <c r="T260" s="1">
        <v>40</v>
      </c>
      <c r="U260" s="1">
        <v>39.200000000000003</v>
      </c>
      <c r="V260" s="1">
        <v>40</v>
      </c>
      <c r="W260" s="118">
        <v>38.19</v>
      </c>
      <c r="X260" s="118">
        <v>39.32</v>
      </c>
      <c r="Y260" s="37"/>
      <c r="Z260" s="1">
        <v>40</v>
      </c>
      <c r="AA260" s="1">
        <v>31.29</v>
      </c>
      <c r="AB260" s="1">
        <v>34.880000000000003</v>
      </c>
      <c r="AC260" s="1">
        <v>40</v>
      </c>
      <c r="AD260" s="1">
        <v>38.729999999999997</v>
      </c>
      <c r="AE260" s="118">
        <v>35.89</v>
      </c>
      <c r="AF260" s="118">
        <v>39.049999999999997</v>
      </c>
      <c r="AG260" s="118">
        <v>32.729999999999997</v>
      </c>
      <c r="AH260" s="118">
        <v>36.21</v>
      </c>
      <c r="AI260" s="52"/>
      <c r="AJ260" s="37"/>
      <c r="AK260" s="339">
        <v>792.76</v>
      </c>
      <c r="AL260" s="197"/>
    </row>
    <row r="261" spans="1:38" ht="15" customHeight="1" x14ac:dyDescent="0.3">
      <c r="A261" s="62" t="s">
        <v>56</v>
      </c>
      <c r="B261" s="123">
        <v>36.9</v>
      </c>
      <c r="C261" s="123">
        <v>41.86</v>
      </c>
      <c r="D261" s="123">
        <v>34.04</v>
      </c>
      <c r="E261" s="123">
        <v>33.94</v>
      </c>
      <c r="F261" s="123">
        <v>32.67</v>
      </c>
      <c r="G261" s="123">
        <v>30.75</v>
      </c>
      <c r="H261" s="123">
        <v>32.76</v>
      </c>
      <c r="I261" s="43"/>
      <c r="J261" s="119">
        <v>37.75</v>
      </c>
      <c r="K261" s="119">
        <v>30.35</v>
      </c>
      <c r="L261" s="123">
        <v>40</v>
      </c>
      <c r="M261" s="123">
        <v>40</v>
      </c>
      <c r="N261" s="123">
        <v>45.43</v>
      </c>
      <c r="O261" s="119">
        <v>28.39</v>
      </c>
      <c r="P261" s="123">
        <v>33.270000000000003</v>
      </c>
      <c r="Q261" s="43"/>
      <c r="R261" s="123">
        <v>37.33</v>
      </c>
      <c r="S261" s="123">
        <v>34.78</v>
      </c>
      <c r="T261" s="119">
        <v>40.590000000000003</v>
      </c>
      <c r="U261" s="119">
        <v>33.380000000000003</v>
      </c>
      <c r="V261" s="119">
        <v>39.33</v>
      </c>
      <c r="W261" s="123">
        <v>40</v>
      </c>
      <c r="X261" s="123">
        <v>40</v>
      </c>
      <c r="Y261" s="43"/>
      <c r="Z261" s="119">
        <v>33.39</v>
      </c>
      <c r="AA261" s="123">
        <v>39.729999999999997</v>
      </c>
      <c r="AB261" s="123">
        <v>40</v>
      </c>
      <c r="AC261" s="123">
        <v>38.67</v>
      </c>
      <c r="AD261" s="123">
        <v>40</v>
      </c>
      <c r="AE261" s="119">
        <v>39.79</v>
      </c>
      <c r="AF261" s="119">
        <v>35.11</v>
      </c>
      <c r="AG261" s="119">
        <v>32.89</v>
      </c>
      <c r="AH261" s="119">
        <v>60.06</v>
      </c>
      <c r="AI261" s="243"/>
      <c r="AJ261" s="43"/>
      <c r="AK261" s="342">
        <v>815.74</v>
      </c>
      <c r="AL261" s="204"/>
    </row>
    <row r="262" spans="1:38" ht="18.75" x14ac:dyDescent="0.3">
      <c r="A262" s="67"/>
      <c r="B262" s="124"/>
      <c r="C262" s="124"/>
      <c r="D262" s="124"/>
      <c r="E262" s="124"/>
      <c r="F262" s="124"/>
      <c r="G262" s="124"/>
      <c r="H262" s="124"/>
      <c r="I262" s="47"/>
      <c r="J262" s="124"/>
      <c r="K262" s="124"/>
      <c r="L262" s="124"/>
      <c r="M262" s="124"/>
      <c r="N262" s="124"/>
      <c r="O262" s="124"/>
      <c r="P262" s="124"/>
      <c r="Q262" s="47"/>
      <c r="R262" s="124"/>
      <c r="S262" s="124"/>
      <c r="T262" s="124"/>
      <c r="U262" s="124"/>
      <c r="V262" s="124"/>
      <c r="W262" s="124"/>
      <c r="X262" s="124"/>
      <c r="Y262" s="47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37"/>
      <c r="AK262" s="378">
        <v>1019.82</v>
      </c>
      <c r="AL262" s="197"/>
    </row>
    <row r="263" spans="1:38" ht="18.75" x14ac:dyDescent="0.3">
      <c r="A263" s="402" t="s">
        <v>2</v>
      </c>
      <c r="B263" s="403">
        <f t="shared" ref="B263:G263" si="17">SUM(B259:B262)</f>
        <v>113.25</v>
      </c>
      <c r="C263" s="403">
        <f t="shared" si="17"/>
        <v>123.39999999999999</v>
      </c>
      <c r="D263" s="403">
        <f t="shared" si="17"/>
        <v>107.69</v>
      </c>
      <c r="E263" s="403">
        <f t="shared" si="17"/>
        <v>105.07</v>
      </c>
      <c r="F263" s="403">
        <f t="shared" si="17"/>
        <v>92.85</v>
      </c>
      <c r="G263" s="403">
        <f t="shared" si="17"/>
        <v>109.7</v>
      </c>
      <c r="H263" s="403">
        <f>SUM(H259:H262)</f>
        <v>99.07</v>
      </c>
      <c r="I263" s="762">
        <f>SUM(B263:H263)</f>
        <v>751.03</v>
      </c>
      <c r="J263" s="403">
        <f t="shared" ref="J263:O263" si="18">SUM(J259:J262)</f>
        <v>120.44</v>
      </c>
      <c r="K263" s="403">
        <f t="shared" si="18"/>
        <v>100.29999999999998</v>
      </c>
      <c r="L263" s="403">
        <f t="shared" si="18"/>
        <v>115.46000000000001</v>
      </c>
      <c r="M263" s="403">
        <f t="shared" si="18"/>
        <v>119.43</v>
      </c>
      <c r="N263" s="403">
        <f t="shared" si="18"/>
        <v>122.41</v>
      </c>
      <c r="O263" s="405">
        <f t="shared" si="18"/>
        <v>103.25</v>
      </c>
      <c r="P263" s="403">
        <f>SUM(P259:P262)</f>
        <v>111.47</v>
      </c>
      <c r="Q263" s="762">
        <f>SUM(J263:P263)</f>
        <v>792.76</v>
      </c>
      <c r="R263" s="403">
        <f t="shared" ref="R263:W263" si="19">SUM(R259:R262)</f>
        <v>111.49</v>
      </c>
      <c r="S263" s="403">
        <f t="shared" si="19"/>
        <v>114.78</v>
      </c>
      <c r="T263" s="403">
        <f t="shared" si="19"/>
        <v>120.59</v>
      </c>
      <c r="U263" s="405">
        <f t="shared" si="19"/>
        <v>117.07</v>
      </c>
      <c r="V263" s="403">
        <f t="shared" si="19"/>
        <v>118.7</v>
      </c>
      <c r="W263" s="405">
        <f t="shared" si="19"/>
        <v>114.07</v>
      </c>
      <c r="X263" s="405">
        <f>SUM(X259:X262)</f>
        <v>119.03999999999999</v>
      </c>
      <c r="Y263" s="404">
        <f>SUM(R263:X263)</f>
        <v>815.74</v>
      </c>
      <c r="Z263" s="405">
        <f t="shared" ref="Z263:AE263" si="20">SUM(Z259:Z262)</f>
        <v>106.53</v>
      </c>
      <c r="AA263" s="403">
        <f t="shared" si="20"/>
        <v>97.41</v>
      </c>
      <c r="AB263" s="403">
        <f t="shared" si="20"/>
        <v>114.88</v>
      </c>
      <c r="AC263" s="403">
        <f t="shared" si="20"/>
        <v>118.01</v>
      </c>
      <c r="AD263" s="403">
        <f t="shared" si="20"/>
        <v>133.03</v>
      </c>
      <c r="AE263" s="403">
        <f t="shared" si="20"/>
        <v>111.79999999999998</v>
      </c>
      <c r="AF263" s="403">
        <f>SUM(AF259:AF262)</f>
        <v>103.53</v>
      </c>
      <c r="AG263" s="403">
        <f>SUM(AG259:AG262)</f>
        <v>105.11999999999999</v>
      </c>
      <c r="AH263" s="405">
        <f>SUM(AH259:AH262)</f>
        <v>129.51</v>
      </c>
      <c r="AI263" s="406"/>
      <c r="AJ263" s="875">
        <f>SUM(Z263:AI263)</f>
        <v>1019.8199999999999</v>
      </c>
      <c r="AK263" s="876">
        <f>SUM(AK259:AK262)</f>
        <v>3379.35</v>
      </c>
      <c r="AL263" s="408"/>
    </row>
    <row r="264" spans="1:38" ht="15.75" thickBot="1" x14ac:dyDescent="0.3">
      <c r="A264" s="364"/>
      <c r="B264" s="265" t="s">
        <v>285</v>
      </c>
      <c r="C264" s="265" t="s">
        <v>285</v>
      </c>
      <c r="D264" s="265" t="s">
        <v>285</v>
      </c>
      <c r="E264" s="265" t="s">
        <v>285</v>
      </c>
      <c r="F264" s="265" t="s">
        <v>285</v>
      </c>
      <c r="G264" s="265" t="s">
        <v>285</v>
      </c>
      <c r="H264" s="265" t="s">
        <v>285</v>
      </c>
      <c r="I264" s="361"/>
      <c r="J264" s="265" t="s">
        <v>285</v>
      </c>
      <c r="K264" s="265" t="s">
        <v>285</v>
      </c>
      <c r="L264" s="265" t="s">
        <v>285</v>
      </c>
      <c r="M264" s="265">
        <v>3.3</v>
      </c>
      <c r="N264" s="265" t="s">
        <v>285</v>
      </c>
      <c r="O264" s="265" t="s">
        <v>285</v>
      </c>
      <c r="P264" s="265" t="s">
        <v>285</v>
      </c>
      <c r="Q264" s="361"/>
      <c r="R264" s="265" t="s">
        <v>285</v>
      </c>
      <c r="S264" s="265" t="s">
        <v>285</v>
      </c>
      <c r="T264" s="265" t="s">
        <v>285</v>
      </c>
      <c r="U264" s="265" t="s">
        <v>285</v>
      </c>
      <c r="V264" s="265" t="s">
        <v>285</v>
      </c>
      <c r="W264" s="265" t="s">
        <v>285</v>
      </c>
      <c r="X264" s="265" t="s">
        <v>285</v>
      </c>
      <c r="Y264" s="361"/>
      <c r="Z264" s="265" t="s">
        <v>285</v>
      </c>
      <c r="AA264" s="265" t="s">
        <v>285</v>
      </c>
      <c r="AB264" s="265" t="s">
        <v>285</v>
      </c>
      <c r="AC264" s="265" t="s">
        <v>285</v>
      </c>
      <c r="AD264" s="265" t="s">
        <v>285</v>
      </c>
      <c r="AE264" s="265" t="s">
        <v>285</v>
      </c>
      <c r="AF264" s="265" t="s">
        <v>285</v>
      </c>
      <c r="AG264" s="265" t="s">
        <v>285</v>
      </c>
      <c r="AH264" s="265" t="s">
        <v>285</v>
      </c>
      <c r="AI264" s="265"/>
      <c r="AJ264" s="361"/>
      <c r="AK264" s="362"/>
      <c r="AL264" s="363"/>
    </row>
    <row r="265" spans="1:38" ht="24" thickBot="1" x14ac:dyDescent="0.4">
      <c r="A265" s="276" t="s">
        <v>144</v>
      </c>
      <c r="B265" s="258"/>
      <c r="C265" s="258"/>
      <c r="D265" s="258"/>
      <c r="E265" s="258"/>
      <c r="F265" s="258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260"/>
      <c r="AK265" s="261"/>
      <c r="AL265" s="260"/>
    </row>
    <row r="266" spans="1:38" ht="16.5" thickBot="1" x14ac:dyDescent="0.3">
      <c r="A266" s="320" t="s">
        <v>24</v>
      </c>
      <c r="B266" s="322">
        <v>1</v>
      </c>
      <c r="C266" s="322">
        <v>2</v>
      </c>
      <c r="D266" s="322">
        <v>3</v>
      </c>
      <c r="E266" s="322">
        <v>4</v>
      </c>
      <c r="F266" s="322">
        <v>5</v>
      </c>
      <c r="G266" s="322">
        <v>6</v>
      </c>
      <c r="H266" s="322">
        <v>7</v>
      </c>
      <c r="I266" s="323" t="s">
        <v>6</v>
      </c>
      <c r="J266" s="322">
        <v>8</v>
      </c>
      <c r="K266" s="322">
        <v>9</v>
      </c>
      <c r="L266" s="322">
        <v>10</v>
      </c>
      <c r="M266" s="322">
        <v>11</v>
      </c>
      <c r="N266" s="322">
        <v>12</v>
      </c>
      <c r="O266" s="322">
        <v>13</v>
      </c>
      <c r="P266" s="322">
        <v>14</v>
      </c>
      <c r="Q266" s="323" t="s">
        <v>6</v>
      </c>
      <c r="R266" s="322">
        <v>15</v>
      </c>
      <c r="S266" s="322">
        <v>16</v>
      </c>
      <c r="T266" s="322">
        <v>17</v>
      </c>
      <c r="U266" s="322">
        <v>18</v>
      </c>
      <c r="V266" s="322">
        <v>19</v>
      </c>
      <c r="W266" s="322">
        <v>20</v>
      </c>
      <c r="X266" s="322">
        <v>21</v>
      </c>
      <c r="Y266" s="323" t="s">
        <v>6</v>
      </c>
      <c r="Z266" s="322">
        <v>22</v>
      </c>
      <c r="AA266" s="322">
        <v>23</v>
      </c>
      <c r="AB266" s="322">
        <v>24</v>
      </c>
      <c r="AC266" s="322">
        <v>25</v>
      </c>
      <c r="AD266" s="322">
        <v>26</v>
      </c>
      <c r="AE266" s="322">
        <v>27</v>
      </c>
      <c r="AF266" s="322">
        <v>28</v>
      </c>
      <c r="AG266" s="322">
        <v>29</v>
      </c>
      <c r="AH266" s="322">
        <v>30</v>
      </c>
      <c r="AI266" s="322">
        <v>31</v>
      </c>
      <c r="AJ266" s="324" t="s">
        <v>6</v>
      </c>
      <c r="AK266" s="325" t="s">
        <v>0</v>
      </c>
      <c r="AL266" s="395" t="s">
        <v>42</v>
      </c>
    </row>
    <row r="267" spans="1:38" x14ac:dyDescent="0.25">
      <c r="A267" s="64" t="s">
        <v>92</v>
      </c>
      <c r="B267" s="530"/>
      <c r="C267" s="530"/>
      <c r="D267" s="530"/>
      <c r="E267" s="530"/>
      <c r="F267" s="530"/>
      <c r="G267" s="530"/>
      <c r="H267" s="530"/>
      <c r="I267" s="36"/>
      <c r="J267" s="530"/>
      <c r="K267" s="530"/>
      <c r="L267" s="530"/>
      <c r="M267" s="530"/>
      <c r="N267" s="530"/>
      <c r="O267" s="530"/>
      <c r="P267" s="530"/>
      <c r="Q267" s="36"/>
      <c r="R267" s="530"/>
      <c r="S267" s="530"/>
      <c r="T267" s="530"/>
      <c r="U267" s="530"/>
      <c r="V267" s="530"/>
      <c r="W267" s="530"/>
      <c r="X267" s="530"/>
      <c r="Y267" s="36"/>
      <c r="Z267" s="530"/>
      <c r="AA267" s="530"/>
      <c r="AB267" s="530"/>
      <c r="AC267" s="530"/>
      <c r="AD267" s="530"/>
      <c r="AE267" s="530"/>
      <c r="AF267" s="530"/>
      <c r="AG267" s="530"/>
      <c r="AH267" s="530"/>
      <c r="AI267" s="857"/>
      <c r="AJ267" s="36"/>
      <c r="AK267" s="38"/>
      <c r="AL267" s="197"/>
    </row>
    <row r="268" spans="1:38" ht="15" customHeight="1" x14ac:dyDescent="0.3">
      <c r="A268" s="11" t="s">
        <v>94</v>
      </c>
      <c r="B268" s="537"/>
      <c r="C268" s="537"/>
      <c r="D268" s="537"/>
      <c r="E268" s="537"/>
      <c r="F268" s="537"/>
      <c r="G268" s="537"/>
      <c r="H268" s="537"/>
      <c r="I268" s="37"/>
      <c r="J268" s="537"/>
      <c r="K268" s="537"/>
      <c r="L268" s="537"/>
      <c r="M268" s="537"/>
      <c r="N268" s="537"/>
      <c r="O268" s="537"/>
      <c r="P268" s="537"/>
      <c r="Q268" s="37"/>
      <c r="R268" s="537"/>
      <c r="S268" s="530"/>
      <c r="T268" s="530"/>
      <c r="U268" s="537"/>
      <c r="V268" s="537"/>
      <c r="W268" s="537"/>
      <c r="X268" s="537"/>
      <c r="Y268" s="37"/>
      <c r="Z268" s="537"/>
      <c r="AA268" s="537"/>
      <c r="AB268" s="537"/>
      <c r="AC268" s="537"/>
      <c r="AD268" s="537"/>
      <c r="AE268" s="537"/>
      <c r="AF268" s="537"/>
      <c r="AG268" s="537"/>
      <c r="AH268" s="537"/>
      <c r="AI268" s="858"/>
      <c r="AJ268" s="37"/>
      <c r="AK268" s="340"/>
      <c r="AL268" s="197"/>
    </row>
    <row r="269" spans="1:38" ht="15" customHeight="1" x14ac:dyDescent="0.3">
      <c r="A269" s="11" t="s">
        <v>95</v>
      </c>
      <c r="B269" s="537"/>
      <c r="C269" s="537"/>
      <c r="D269" s="537"/>
      <c r="E269" s="537"/>
      <c r="F269" s="537"/>
      <c r="G269" s="537"/>
      <c r="H269" s="537"/>
      <c r="I269" s="37"/>
      <c r="J269" s="537"/>
      <c r="K269" s="537"/>
      <c r="L269" s="537"/>
      <c r="M269" s="537"/>
      <c r="N269" s="537"/>
      <c r="O269" s="537"/>
      <c r="P269" s="537"/>
      <c r="Q269" s="37"/>
      <c r="R269" s="537"/>
      <c r="S269" s="537"/>
      <c r="T269" s="537"/>
      <c r="U269" s="537"/>
      <c r="V269" s="530"/>
      <c r="W269" s="537"/>
      <c r="X269" s="537"/>
      <c r="Y269" s="37"/>
      <c r="Z269" s="537"/>
      <c r="AA269" s="537"/>
      <c r="AB269" s="537"/>
      <c r="AC269" s="537"/>
      <c r="AD269" s="537"/>
      <c r="AE269" s="537"/>
      <c r="AF269" s="537"/>
      <c r="AG269" s="537"/>
      <c r="AH269" s="537"/>
      <c r="AI269" s="858"/>
      <c r="AJ269" s="37"/>
      <c r="AK269" s="340"/>
      <c r="AL269" s="197"/>
    </row>
    <row r="270" spans="1:38" ht="15" customHeight="1" x14ac:dyDescent="0.3">
      <c r="A270" s="11" t="s">
        <v>96</v>
      </c>
      <c r="B270" s="537"/>
      <c r="C270" s="537"/>
      <c r="D270" s="537"/>
      <c r="E270" s="537"/>
      <c r="F270" s="537"/>
      <c r="G270" s="537"/>
      <c r="H270" s="537"/>
      <c r="I270" s="37"/>
      <c r="J270" s="537"/>
      <c r="K270" s="537"/>
      <c r="L270" s="537"/>
      <c r="M270" s="537"/>
      <c r="N270" s="537"/>
      <c r="O270" s="537"/>
      <c r="P270" s="537"/>
      <c r="Q270" s="37"/>
      <c r="R270" s="537"/>
      <c r="S270" s="537"/>
      <c r="T270" s="537"/>
      <c r="U270" s="537"/>
      <c r="V270" s="537"/>
      <c r="W270" s="537"/>
      <c r="X270" s="537"/>
      <c r="Y270" s="37"/>
      <c r="Z270" s="537"/>
      <c r="AA270" s="537"/>
      <c r="AB270" s="537"/>
      <c r="AC270" s="537"/>
      <c r="AD270" s="537"/>
      <c r="AE270" s="537"/>
      <c r="AF270" s="537"/>
      <c r="AG270" s="537"/>
      <c r="AH270" s="537"/>
      <c r="AI270" s="858"/>
      <c r="AJ270" s="37"/>
      <c r="AK270" s="340"/>
      <c r="AL270" s="197"/>
    </row>
    <row r="271" spans="1:38" x14ac:dyDescent="0.25">
      <c r="A271" s="11" t="s">
        <v>97</v>
      </c>
      <c r="B271" s="530"/>
      <c r="C271" s="530"/>
      <c r="D271" s="530"/>
      <c r="E271" s="530"/>
      <c r="F271" s="530"/>
      <c r="G271" s="530"/>
      <c r="H271" s="530"/>
      <c r="I271" s="37"/>
      <c r="J271" s="530"/>
      <c r="K271" s="530"/>
      <c r="L271" s="530"/>
      <c r="M271" s="530"/>
      <c r="N271" s="530"/>
      <c r="O271" s="530"/>
      <c r="P271" s="530"/>
      <c r="Q271" s="37"/>
      <c r="R271" s="530"/>
      <c r="S271" s="530"/>
      <c r="T271" s="530"/>
      <c r="U271" s="530"/>
      <c r="V271" s="530"/>
      <c r="W271" s="530"/>
      <c r="X271" s="530"/>
      <c r="Y271" s="37"/>
      <c r="Z271" s="530"/>
      <c r="AA271" s="530"/>
      <c r="AB271" s="530"/>
      <c r="AC271" s="530"/>
      <c r="AD271" s="530"/>
      <c r="AE271" s="530"/>
      <c r="AF271" s="530"/>
      <c r="AG271" s="530"/>
      <c r="AH271" s="530"/>
      <c r="AI271" s="857"/>
      <c r="AJ271" s="37"/>
      <c r="AK271" s="38"/>
      <c r="AL271" s="197"/>
    </row>
    <row r="272" spans="1:38" ht="15.75" thickBot="1" x14ac:dyDescent="0.3">
      <c r="A272" s="11" t="s">
        <v>93</v>
      </c>
      <c r="B272" s="576"/>
      <c r="C272" s="576"/>
      <c r="D272" s="576"/>
      <c r="E272" s="576"/>
      <c r="F272" s="576"/>
      <c r="G272" s="576"/>
      <c r="H272" s="576"/>
      <c r="I272" s="43"/>
      <c r="J272" s="576"/>
      <c r="K272" s="576"/>
      <c r="L272" s="576"/>
      <c r="M272" s="576"/>
      <c r="N272" s="576"/>
      <c r="O272" s="576"/>
      <c r="P272" s="576"/>
      <c r="Q272" s="43"/>
      <c r="R272" s="576"/>
      <c r="S272" s="576"/>
      <c r="T272" s="576"/>
      <c r="U272" s="576"/>
      <c r="V272" s="576"/>
      <c r="W272" s="576"/>
      <c r="X272" s="576"/>
      <c r="Y272" s="43"/>
      <c r="Z272" s="576"/>
      <c r="AA272" s="576"/>
      <c r="AB272" s="576"/>
      <c r="AC272" s="576"/>
      <c r="AD272" s="576"/>
      <c r="AE272" s="576"/>
      <c r="AF272" s="576"/>
      <c r="AG272" s="576"/>
      <c r="AH272" s="576"/>
      <c r="AI272" s="859"/>
      <c r="AJ272" s="43"/>
      <c r="AK272" s="44"/>
      <c r="AL272" s="204"/>
    </row>
    <row r="273" spans="1:40" ht="16.5" thickBot="1" x14ac:dyDescent="0.3">
      <c r="A273" s="11" t="s">
        <v>60</v>
      </c>
      <c r="B273" s="687"/>
      <c r="C273" s="687"/>
      <c r="D273" s="687"/>
      <c r="E273" s="687"/>
      <c r="F273" s="687"/>
      <c r="G273" s="687"/>
      <c r="H273" s="687"/>
      <c r="I273" s="375"/>
      <c r="J273" s="687"/>
      <c r="K273" s="687"/>
      <c r="L273" s="687"/>
      <c r="M273" s="687"/>
      <c r="N273" s="687"/>
      <c r="O273" s="687"/>
      <c r="P273" s="687"/>
      <c r="Q273" s="375"/>
      <c r="R273" s="687"/>
      <c r="S273" s="687"/>
      <c r="T273" s="687"/>
      <c r="U273" s="687"/>
      <c r="V273" s="687"/>
      <c r="W273" s="687"/>
      <c r="X273" s="687"/>
      <c r="Y273" s="278"/>
      <c r="Z273" s="687"/>
      <c r="AA273" s="687"/>
      <c r="AB273" s="687"/>
      <c r="AC273" s="687"/>
      <c r="AD273" s="687"/>
      <c r="AE273" s="687"/>
      <c r="AF273" s="687"/>
      <c r="AG273" s="687"/>
      <c r="AH273" s="687"/>
      <c r="AI273" s="860"/>
      <c r="AJ273" s="278"/>
      <c r="AK273" s="168"/>
      <c r="AL273" s="401"/>
    </row>
    <row r="274" spans="1:40" ht="19.5" thickBot="1" x14ac:dyDescent="0.35">
      <c r="A274" s="280" t="s">
        <v>2</v>
      </c>
      <c r="B274" s="277"/>
      <c r="C274" s="277"/>
      <c r="D274" s="277"/>
      <c r="E274" s="277"/>
      <c r="F274" s="277"/>
      <c r="G274" s="277"/>
      <c r="H274" s="277"/>
      <c r="I274" s="375"/>
      <c r="J274" s="277"/>
      <c r="K274" s="277"/>
      <c r="L274" s="277"/>
      <c r="M274" s="277"/>
      <c r="N274" s="277"/>
      <c r="O274" s="277"/>
      <c r="P274" s="277"/>
      <c r="Q274" s="375"/>
      <c r="R274" s="277"/>
      <c r="S274" s="277"/>
      <c r="T274" s="277"/>
      <c r="U274" s="277"/>
      <c r="V274" s="277"/>
      <c r="W274" s="277"/>
      <c r="X274" s="277"/>
      <c r="Y274" s="375"/>
      <c r="Z274" s="277"/>
      <c r="AA274" s="277"/>
      <c r="AB274" s="277"/>
      <c r="AC274" s="277"/>
      <c r="AD274" s="277"/>
      <c r="AE274" s="277"/>
      <c r="AF274" s="277"/>
      <c r="AG274" s="277"/>
      <c r="AH274" s="277"/>
      <c r="AI274" s="423"/>
      <c r="AJ274" s="278"/>
      <c r="AK274" s="279"/>
      <c r="AL274" s="283"/>
    </row>
    <row r="275" spans="1:40" ht="27" thickBot="1" x14ac:dyDescent="0.45">
      <c r="A275" s="311" t="s">
        <v>145</v>
      </c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312"/>
    </row>
    <row r="276" spans="1:40" ht="16.5" thickBot="1" x14ac:dyDescent="0.3">
      <c r="A276" s="706" t="s">
        <v>8</v>
      </c>
      <c r="B276" s="707">
        <v>1</v>
      </c>
      <c r="C276" s="328">
        <v>2</v>
      </c>
      <c r="D276" s="328">
        <v>3</v>
      </c>
      <c r="E276" s="328">
        <v>4</v>
      </c>
      <c r="F276" s="328">
        <v>5</v>
      </c>
      <c r="G276" s="328">
        <v>6</v>
      </c>
      <c r="H276" s="705">
        <v>7</v>
      </c>
      <c r="I276" s="779" t="s">
        <v>6</v>
      </c>
      <c r="J276" s="322">
        <v>8</v>
      </c>
      <c r="K276" s="322">
        <v>9</v>
      </c>
      <c r="L276" s="322">
        <v>10</v>
      </c>
      <c r="M276" s="322">
        <v>11</v>
      </c>
      <c r="N276" s="322">
        <v>12</v>
      </c>
      <c r="O276" s="322">
        <v>13</v>
      </c>
      <c r="P276" s="322">
        <v>14</v>
      </c>
      <c r="Q276" s="323" t="s">
        <v>6</v>
      </c>
      <c r="R276" s="322">
        <v>15</v>
      </c>
      <c r="S276" s="322">
        <v>16</v>
      </c>
      <c r="T276" s="322">
        <v>17</v>
      </c>
      <c r="U276" s="322">
        <v>18</v>
      </c>
      <c r="V276" s="322">
        <v>19</v>
      </c>
      <c r="W276" s="322">
        <v>20</v>
      </c>
      <c r="X276" s="322">
        <v>21</v>
      </c>
      <c r="Y276" s="323" t="s">
        <v>6</v>
      </c>
      <c r="Z276" s="322">
        <v>22</v>
      </c>
      <c r="AA276" s="322">
        <v>23</v>
      </c>
      <c r="AB276" s="322">
        <v>24</v>
      </c>
      <c r="AC276" s="322">
        <v>25</v>
      </c>
      <c r="AD276" s="322">
        <v>26</v>
      </c>
      <c r="AE276" s="322">
        <v>27</v>
      </c>
      <c r="AF276" s="322">
        <v>28</v>
      </c>
      <c r="AG276" s="322">
        <v>29</v>
      </c>
      <c r="AH276" s="322">
        <v>30</v>
      </c>
      <c r="AI276" s="322">
        <v>31</v>
      </c>
      <c r="AJ276" s="324" t="s">
        <v>6</v>
      </c>
      <c r="AK276" s="325" t="s">
        <v>0</v>
      </c>
      <c r="AL276" s="395" t="s">
        <v>42</v>
      </c>
      <c r="AN276" s="19"/>
    </row>
    <row r="277" spans="1:40" x14ac:dyDescent="0.25">
      <c r="A277" s="61" t="s">
        <v>25</v>
      </c>
      <c r="B277" s="303">
        <v>2908</v>
      </c>
      <c r="C277" s="303">
        <v>19023</v>
      </c>
      <c r="D277" s="303">
        <v>9404</v>
      </c>
      <c r="E277" s="303">
        <v>10538</v>
      </c>
      <c r="F277" s="303">
        <v>9826</v>
      </c>
      <c r="G277" s="303">
        <v>9740</v>
      </c>
      <c r="H277" s="313">
        <v>11585</v>
      </c>
      <c r="I277" s="304"/>
      <c r="J277" s="303">
        <v>12627</v>
      </c>
      <c r="K277" s="303">
        <v>13591</v>
      </c>
      <c r="L277" s="303">
        <v>11721</v>
      </c>
      <c r="M277" s="303">
        <v>12145</v>
      </c>
      <c r="N277" s="303">
        <v>11200</v>
      </c>
      <c r="O277" s="303">
        <v>9628</v>
      </c>
      <c r="P277" s="303">
        <v>11886</v>
      </c>
      <c r="Q277" s="305"/>
      <c r="R277" s="303">
        <v>10598.2</v>
      </c>
      <c r="S277" s="303">
        <v>12318</v>
      </c>
      <c r="T277" s="303">
        <v>12044.85</v>
      </c>
      <c r="U277" s="303">
        <v>14364</v>
      </c>
      <c r="V277" s="303">
        <v>13596.04</v>
      </c>
      <c r="W277" s="303">
        <v>11120.61</v>
      </c>
      <c r="X277" s="303">
        <v>11240.72</v>
      </c>
      <c r="Y277" s="305"/>
      <c r="Z277" s="303">
        <v>13903.93</v>
      </c>
      <c r="AA277" s="303">
        <v>11250.68</v>
      </c>
      <c r="AB277" s="303">
        <v>11815.68</v>
      </c>
      <c r="AC277" s="303">
        <v>12550.57</v>
      </c>
      <c r="AD277" s="303">
        <v>13586.76</v>
      </c>
      <c r="AE277" s="303">
        <v>11050.88</v>
      </c>
      <c r="AF277" s="303">
        <v>12609.62</v>
      </c>
      <c r="AG277" s="303">
        <v>10168.36</v>
      </c>
      <c r="AH277" s="303">
        <v>13635.8</v>
      </c>
      <c r="AI277" s="303"/>
      <c r="AJ277" s="305"/>
      <c r="AK277" s="314"/>
      <c r="AL277" s="315"/>
      <c r="AN277" s="25"/>
    </row>
    <row r="278" spans="1:40" ht="15" customHeight="1" x14ac:dyDescent="0.25">
      <c r="A278" s="11" t="s">
        <v>36</v>
      </c>
      <c r="B278" s="1">
        <v>6727.17</v>
      </c>
      <c r="C278" s="1">
        <v>4408.49</v>
      </c>
      <c r="D278" s="1">
        <v>4289.43</v>
      </c>
      <c r="E278" s="1">
        <v>6663.41</v>
      </c>
      <c r="F278" s="1">
        <v>5048.38</v>
      </c>
      <c r="G278" s="118">
        <v>5726.02</v>
      </c>
      <c r="H278" s="173">
        <v>5909.01</v>
      </c>
      <c r="I278" s="36"/>
      <c r="J278" s="173">
        <v>6550.39</v>
      </c>
      <c r="K278" s="1">
        <v>5617.46</v>
      </c>
      <c r="L278" s="1">
        <v>5726.39</v>
      </c>
      <c r="M278" s="1">
        <v>6289.39</v>
      </c>
      <c r="N278" s="1">
        <v>6194.21</v>
      </c>
      <c r="O278" s="1">
        <v>6757.62</v>
      </c>
      <c r="P278" s="1">
        <v>6005.35</v>
      </c>
      <c r="Q278" s="37"/>
      <c r="R278" s="1">
        <v>6192.64</v>
      </c>
      <c r="S278" s="1">
        <v>5552.73</v>
      </c>
      <c r="T278" s="1">
        <v>6703.15</v>
      </c>
      <c r="U278" s="1">
        <v>6069.56</v>
      </c>
      <c r="V278" s="118">
        <v>6291.84</v>
      </c>
      <c r="W278" s="1">
        <v>7384.95</v>
      </c>
      <c r="X278" s="1">
        <v>6145.58</v>
      </c>
      <c r="Y278" s="856"/>
      <c r="Z278" s="1">
        <v>6752.01</v>
      </c>
      <c r="AA278" s="1">
        <v>5925.75</v>
      </c>
      <c r="AB278" s="1">
        <v>6701.6</v>
      </c>
      <c r="AC278" s="1">
        <v>6241.27</v>
      </c>
      <c r="AD278" s="1">
        <v>7081.98</v>
      </c>
      <c r="AE278" s="1">
        <v>5850.71</v>
      </c>
      <c r="AF278" s="1">
        <v>5739.4</v>
      </c>
      <c r="AG278" s="1">
        <v>5855.2</v>
      </c>
      <c r="AH278" s="1">
        <v>6094.98</v>
      </c>
      <c r="AI278" s="1"/>
      <c r="AJ278" s="37"/>
      <c r="AK278" s="236"/>
      <c r="AL278" s="850"/>
      <c r="AN278" s="822"/>
    </row>
    <row r="279" spans="1:40" ht="15" customHeight="1" x14ac:dyDescent="0.25">
      <c r="A279" s="11" t="s">
        <v>46</v>
      </c>
      <c r="B279" s="530">
        <v>0</v>
      </c>
      <c r="C279" s="530">
        <v>0</v>
      </c>
      <c r="D279" s="530">
        <v>0</v>
      </c>
      <c r="E279" s="530">
        <v>0</v>
      </c>
      <c r="F279" s="530">
        <v>0</v>
      </c>
      <c r="G279" s="530">
        <v>0</v>
      </c>
      <c r="H279" s="588">
        <v>0</v>
      </c>
      <c r="I279" s="36"/>
      <c r="J279" s="841">
        <v>0</v>
      </c>
      <c r="K279" s="841">
        <v>0</v>
      </c>
      <c r="L279" s="841">
        <v>0</v>
      </c>
      <c r="M279" s="841">
        <v>0</v>
      </c>
      <c r="N279" s="841">
        <v>0</v>
      </c>
      <c r="O279" s="841">
        <v>0</v>
      </c>
      <c r="P279" s="841">
        <v>0</v>
      </c>
      <c r="Q279" s="37"/>
      <c r="R279" s="841">
        <v>0</v>
      </c>
      <c r="S279" s="841">
        <v>0</v>
      </c>
      <c r="T279" s="841">
        <v>0</v>
      </c>
      <c r="U279" s="841">
        <v>0</v>
      </c>
      <c r="V279" s="841">
        <v>0</v>
      </c>
      <c r="W279" s="841">
        <v>0</v>
      </c>
      <c r="X279" s="841">
        <v>0</v>
      </c>
      <c r="Y279" s="37"/>
      <c r="Z279" s="841">
        <v>0</v>
      </c>
      <c r="AA279" s="841">
        <v>0</v>
      </c>
      <c r="AB279" s="841">
        <v>0</v>
      </c>
      <c r="AC279" s="841">
        <v>0</v>
      </c>
      <c r="AD279" s="841">
        <v>0</v>
      </c>
      <c r="AE279" s="841">
        <v>0</v>
      </c>
      <c r="AF279" s="841">
        <v>0</v>
      </c>
      <c r="AG279" s="841">
        <v>0</v>
      </c>
      <c r="AH279" s="841">
        <v>0</v>
      </c>
      <c r="AI279" s="841">
        <v>0</v>
      </c>
      <c r="AJ279" s="37"/>
      <c r="AK279" s="237"/>
      <c r="AL279" s="223"/>
      <c r="AN279" s="822"/>
    </row>
    <row r="280" spans="1:40" ht="15" customHeight="1" x14ac:dyDescent="0.3">
      <c r="A280" s="11" t="s">
        <v>47</v>
      </c>
      <c r="B280" s="530">
        <v>0</v>
      </c>
      <c r="C280" s="530">
        <v>0</v>
      </c>
      <c r="D280" s="530">
        <v>0</v>
      </c>
      <c r="E280" s="530">
        <v>0</v>
      </c>
      <c r="F280" s="530">
        <v>0</v>
      </c>
      <c r="G280" s="530">
        <v>0</v>
      </c>
      <c r="H280" s="588">
        <v>0</v>
      </c>
      <c r="I280" s="36"/>
      <c r="J280" s="841">
        <v>0</v>
      </c>
      <c r="K280" s="841">
        <v>0</v>
      </c>
      <c r="L280" s="841">
        <v>0</v>
      </c>
      <c r="M280" s="841">
        <v>0</v>
      </c>
      <c r="N280" s="841">
        <v>0</v>
      </c>
      <c r="O280" s="841">
        <v>0</v>
      </c>
      <c r="P280" s="841">
        <v>0</v>
      </c>
      <c r="Q280" s="37"/>
      <c r="R280" s="841">
        <v>0</v>
      </c>
      <c r="S280" s="841">
        <v>0</v>
      </c>
      <c r="T280" s="841">
        <v>0</v>
      </c>
      <c r="U280" s="841">
        <v>0</v>
      </c>
      <c r="V280" s="841">
        <v>0</v>
      </c>
      <c r="W280" s="841">
        <v>0</v>
      </c>
      <c r="X280" s="841">
        <v>0</v>
      </c>
      <c r="Y280" s="37"/>
      <c r="Z280" s="841">
        <v>0</v>
      </c>
      <c r="AA280" s="841">
        <v>0</v>
      </c>
      <c r="AB280" s="841">
        <v>0</v>
      </c>
      <c r="AC280" s="841">
        <v>0</v>
      </c>
      <c r="AD280" s="841">
        <v>0</v>
      </c>
      <c r="AE280" s="841">
        <v>0</v>
      </c>
      <c r="AF280" s="841">
        <v>0</v>
      </c>
      <c r="AG280" s="841">
        <v>0</v>
      </c>
      <c r="AH280" s="841">
        <v>0</v>
      </c>
      <c r="AI280" s="841">
        <v>0</v>
      </c>
      <c r="AJ280" s="37"/>
      <c r="AK280" s="238"/>
      <c r="AL280" s="223"/>
      <c r="AN280" s="25"/>
    </row>
    <row r="281" spans="1:40" ht="15" customHeight="1" x14ac:dyDescent="0.3">
      <c r="A281" s="11" t="s">
        <v>48</v>
      </c>
      <c r="B281" s="1">
        <v>18.489999999999998</v>
      </c>
      <c r="C281" s="1">
        <v>44.55</v>
      </c>
      <c r="D281" s="1">
        <v>22.79</v>
      </c>
      <c r="E281" s="1">
        <v>0</v>
      </c>
      <c r="F281" s="1">
        <v>26.2</v>
      </c>
      <c r="G281" s="1">
        <v>31.1</v>
      </c>
      <c r="H281" s="173">
        <v>61.78</v>
      </c>
      <c r="I281" s="36"/>
      <c r="J281" s="1">
        <v>57.88</v>
      </c>
      <c r="K281" s="1">
        <v>20.66</v>
      </c>
      <c r="L281" s="1">
        <v>18.850000000000001</v>
      </c>
      <c r="M281" s="1">
        <v>14.72</v>
      </c>
      <c r="N281" s="1">
        <v>16.350000000000001</v>
      </c>
      <c r="O281" s="1">
        <v>48.72</v>
      </c>
      <c r="P281" s="118">
        <v>72.48</v>
      </c>
      <c r="Q281" s="37"/>
      <c r="R281" s="1">
        <v>85.5</v>
      </c>
      <c r="S281" s="1">
        <v>0</v>
      </c>
      <c r="T281" s="1">
        <v>42.88</v>
      </c>
      <c r="U281" s="1">
        <v>0</v>
      </c>
      <c r="V281" s="1">
        <v>38.85</v>
      </c>
      <c r="W281" s="1">
        <v>33.090000000000003</v>
      </c>
      <c r="X281" s="1">
        <v>42.08</v>
      </c>
      <c r="Y281" s="37"/>
      <c r="Z281" s="1">
        <v>28.65</v>
      </c>
      <c r="AA281" s="1">
        <v>35</v>
      </c>
      <c r="AB281" s="1">
        <v>0</v>
      </c>
      <c r="AC281" s="1">
        <v>35.909999999999997</v>
      </c>
      <c r="AD281" s="1">
        <v>14.88</v>
      </c>
      <c r="AE281" s="1">
        <v>71.17</v>
      </c>
      <c r="AF281" s="1">
        <v>17.920000000000002</v>
      </c>
      <c r="AG281" s="1">
        <v>0</v>
      </c>
      <c r="AH281" s="1">
        <v>0</v>
      </c>
      <c r="AI281" s="1"/>
      <c r="AJ281" s="37"/>
      <c r="AK281" s="238"/>
      <c r="AL281" s="223"/>
      <c r="AN281" s="25"/>
    </row>
    <row r="282" spans="1:40" ht="15" customHeight="1" x14ac:dyDescent="0.3">
      <c r="A282" s="11" t="s">
        <v>37</v>
      </c>
      <c r="B282" s="1">
        <v>166.19</v>
      </c>
      <c r="C282" s="1">
        <v>63.26</v>
      </c>
      <c r="D282" s="1">
        <v>91.66</v>
      </c>
      <c r="E282" s="1">
        <v>211.08</v>
      </c>
      <c r="F282" s="118">
        <v>246.64</v>
      </c>
      <c r="G282" s="1">
        <v>193.33</v>
      </c>
      <c r="H282" s="173">
        <v>176.51</v>
      </c>
      <c r="I282" s="36"/>
      <c r="J282" s="1">
        <v>146.26</v>
      </c>
      <c r="K282" s="1">
        <v>185.53</v>
      </c>
      <c r="L282" s="1">
        <v>157.12</v>
      </c>
      <c r="M282" s="1">
        <v>74.680000000000007</v>
      </c>
      <c r="N282" s="1">
        <v>284.18</v>
      </c>
      <c r="O282" s="1">
        <v>228.61</v>
      </c>
      <c r="P282" s="1">
        <v>180.1</v>
      </c>
      <c r="Q282" s="37"/>
      <c r="R282" s="1">
        <v>203.76</v>
      </c>
      <c r="S282" s="1">
        <v>278.72000000000003</v>
      </c>
      <c r="T282" s="1">
        <v>61.48</v>
      </c>
      <c r="U282" s="1">
        <v>199.88</v>
      </c>
      <c r="V282" s="1">
        <v>196.72</v>
      </c>
      <c r="W282" s="1">
        <v>250.52</v>
      </c>
      <c r="X282" s="1">
        <v>126.46</v>
      </c>
      <c r="Y282" s="37"/>
      <c r="Z282" s="1">
        <v>207.36</v>
      </c>
      <c r="AA282" s="1">
        <v>308.43</v>
      </c>
      <c r="AB282" s="1">
        <v>236.45</v>
      </c>
      <c r="AC282" s="1">
        <v>171.19</v>
      </c>
      <c r="AD282" s="1">
        <v>40.98</v>
      </c>
      <c r="AE282" s="1">
        <v>118.87</v>
      </c>
      <c r="AF282" s="1">
        <v>183.86</v>
      </c>
      <c r="AG282" s="1">
        <v>465.36</v>
      </c>
      <c r="AH282" s="1">
        <v>281.77999999999997</v>
      </c>
      <c r="AI282" s="1"/>
      <c r="AJ282" s="37"/>
      <c r="AK282" s="238"/>
      <c r="AL282" s="223"/>
      <c r="AN282" s="25"/>
    </row>
    <row r="283" spans="1:40" ht="15" customHeight="1" x14ac:dyDescent="0.3">
      <c r="A283" s="11" t="s">
        <v>26</v>
      </c>
      <c r="B283" s="1">
        <v>152.86000000000001</v>
      </c>
      <c r="C283" s="1">
        <v>149.62</v>
      </c>
      <c r="D283" s="1">
        <v>146.84</v>
      </c>
      <c r="E283" s="1">
        <v>145.44</v>
      </c>
      <c r="F283" s="1">
        <v>126.68</v>
      </c>
      <c r="G283" s="118">
        <v>145.86000000000001</v>
      </c>
      <c r="H283" s="173">
        <v>137.79</v>
      </c>
      <c r="I283" s="36"/>
      <c r="J283" s="1">
        <v>147.85</v>
      </c>
      <c r="K283" s="1">
        <v>123.68</v>
      </c>
      <c r="L283" s="1">
        <v>81.489999999999995</v>
      </c>
      <c r="M283" s="1">
        <v>140.96</v>
      </c>
      <c r="N283" s="1">
        <v>142.91</v>
      </c>
      <c r="O283" s="1">
        <v>137.34</v>
      </c>
      <c r="P283" s="1">
        <v>143.75</v>
      </c>
      <c r="Q283" s="37"/>
      <c r="R283" s="1">
        <v>141.32</v>
      </c>
      <c r="S283" s="1">
        <v>138.02000000000001</v>
      </c>
      <c r="T283" s="1">
        <v>143.69999999999999</v>
      </c>
      <c r="U283" s="1">
        <v>138.83000000000001</v>
      </c>
      <c r="V283" s="1">
        <v>136.30000000000001</v>
      </c>
      <c r="W283" s="1">
        <v>142.88</v>
      </c>
      <c r="X283" s="1">
        <v>137.47</v>
      </c>
      <c r="Y283" s="37"/>
      <c r="Z283" s="1">
        <v>149.82</v>
      </c>
      <c r="AA283" s="1">
        <v>145.66</v>
      </c>
      <c r="AB283" s="1">
        <v>134.15</v>
      </c>
      <c r="AC283" s="1">
        <v>140.78</v>
      </c>
      <c r="AD283" s="1">
        <v>143.05000000000001</v>
      </c>
      <c r="AE283" s="1">
        <v>147.1</v>
      </c>
      <c r="AF283" s="1">
        <v>142.19999999999999</v>
      </c>
      <c r="AG283" s="1">
        <v>145.19999999999999</v>
      </c>
      <c r="AH283" s="1">
        <v>139.61000000000001</v>
      </c>
      <c r="AI283" s="1"/>
      <c r="AJ283" s="37"/>
      <c r="AK283" s="555">
        <v>114905.61</v>
      </c>
      <c r="AL283" s="223"/>
      <c r="AN283" s="25"/>
    </row>
    <row r="284" spans="1:40" ht="15" customHeight="1" x14ac:dyDescent="0.3">
      <c r="A284" s="11" t="s">
        <v>27</v>
      </c>
      <c r="B284" s="1">
        <v>113.25</v>
      </c>
      <c r="C284" s="1">
        <v>123.4</v>
      </c>
      <c r="D284" s="1">
        <v>107.69</v>
      </c>
      <c r="E284" s="1">
        <v>105.07</v>
      </c>
      <c r="F284" s="1">
        <v>92.85</v>
      </c>
      <c r="G284" s="1">
        <v>109.7</v>
      </c>
      <c r="H284" s="211">
        <v>99.07</v>
      </c>
      <c r="I284" s="36"/>
      <c r="J284" s="1">
        <v>120.44</v>
      </c>
      <c r="K284" s="1">
        <v>100.3</v>
      </c>
      <c r="L284" s="1">
        <v>115.46</v>
      </c>
      <c r="M284" s="1">
        <v>119.43</v>
      </c>
      <c r="N284" s="1">
        <v>122.41</v>
      </c>
      <c r="O284" s="1">
        <v>103.25</v>
      </c>
      <c r="P284" s="1">
        <v>111.47</v>
      </c>
      <c r="Q284" s="37"/>
      <c r="R284" s="118">
        <v>111.49</v>
      </c>
      <c r="S284" s="1">
        <v>114.78</v>
      </c>
      <c r="T284" s="1">
        <v>120.59</v>
      </c>
      <c r="U284" s="1">
        <v>117.07</v>
      </c>
      <c r="V284" s="1">
        <v>118.7</v>
      </c>
      <c r="W284" s="1">
        <v>114.07</v>
      </c>
      <c r="X284" s="1">
        <v>119.04</v>
      </c>
      <c r="Y284" s="37"/>
      <c r="Z284" s="1">
        <v>106.53</v>
      </c>
      <c r="AA284" s="1">
        <v>97.41</v>
      </c>
      <c r="AB284" s="1">
        <v>114.88</v>
      </c>
      <c r="AC284" s="1">
        <v>118.01</v>
      </c>
      <c r="AD284" s="1">
        <v>133.03</v>
      </c>
      <c r="AE284" s="1">
        <v>111.8</v>
      </c>
      <c r="AF284" s="1">
        <v>103.53</v>
      </c>
      <c r="AG284" s="1">
        <v>105.12</v>
      </c>
      <c r="AH284" s="118">
        <v>129.51</v>
      </c>
      <c r="AI284" s="1"/>
      <c r="AJ284" s="37"/>
      <c r="AK284" s="555">
        <v>129155.69</v>
      </c>
      <c r="AL284" s="223"/>
      <c r="AN284" s="25"/>
    </row>
    <row r="285" spans="1:40" ht="15" customHeight="1" x14ac:dyDescent="0.3">
      <c r="A285" s="62" t="s">
        <v>89</v>
      </c>
      <c r="B285" s="576">
        <v>0</v>
      </c>
      <c r="C285" s="576">
        <v>0</v>
      </c>
      <c r="D285" s="576">
        <v>0</v>
      </c>
      <c r="E285" s="576">
        <v>0</v>
      </c>
      <c r="F285" s="576">
        <v>0</v>
      </c>
      <c r="G285" s="576">
        <v>0</v>
      </c>
      <c r="H285" s="586">
        <v>0</v>
      </c>
      <c r="I285" s="126"/>
      <c r="J285" s="800">
        <v>0</v>
      </c>
      <c r="K285" s="800">
        <v>0</v>
      </c>
      <c r="L285" s="800">
        <v>0</v>
      </c>
      <c r="M285" s="800">
        <v>0</v>
      </c>
      <c r="N285" s="800">
        <v>0</v>
      </c>
      <c r="O285" s="800">
        <v>0</v>
      </c>
      <c r="P285" s="800">
        <v>0</v>
      </c>
      <c r="Q285" s="43"/>
      <c r="R285" s="841">
        <v>0</v>
      </c>
      <c r="S285" s="841">
        <v>0</v>
      </c>
      <c r="T285" s="841">
        <v>0</v>
      </c>
      <c r="U285" s="841">
        <v>0</v>
      </c>
      <c r="V285" s="841">
        <v>0</v>
      </c>
      <c r="W285" s="841">
        <v>0</v>
      </c>
      <c r="X285" s="841">
        <v>0</v>
      </c>
      <c r="Y285" s="43"/>
      <c r="Z285" s="841">
        <v>0</v>
      </c>
      <c r="AA285" s="841">
        <v>0</v>
      </c>
      <c r="AB285" s="841">
        <v>0</v>
      </c>
      <c r="AC285" s="841">
        <v>0</v>
      </c>
      <c r="AD285" s="841">
        <v>0</v>
      </c>
      <c r="AE285" s="841">
        <v>0</v>
      </c>
      <c r="AF285" s="841">
        <v>0</v>
      </c>
      <c r="AG285" s="841">
        <v>0</v>
      </c>
      <c r="AH285" s="841">
        <v>0</v>
      </c>
      <c r="AI285" s="841">
        <v>0</v>
      </c>
      <c r="AJ285" s="43"/>
      <c r="AK285" s="239">
        <v>132977.07</v>
      </c>
      <c r="AL285" s="229"/>
      <c r="AN285" s="822"/>
    </row>
    <row r="286" spans="1:40" ht="15" customHeight="1" thickBot="1" x14ac:dyDescent="0.35">
      <c r="A286" s="62" t="s">
        <v>28</v>
      </c>
      <c r="B286" s="576">
        <v>0</v>
      </c>
      <c r="C286" s="576">
        <v>0</v>
      </c>
      <c r="D286" s="576">
        <v>0</v>
      </c>
      <c r="E286" s="576">
        <v>0</v>
      </c>
      <c r="F286" s="576">
        <v>0</v>
      </c>
      <c r="G286" s="576">
        <v>0</v>
      </c>
      <c r="H286" s="586">
        <v>0</v>
      </c>
      <c r="I286" s="126"/>
      <c r="J286" s="800">
        <v>0</v>
      </c>
      <c r="K286" s="800">
        <v>0</v>
      </c>
      <c r="L286" s="800">
        <v>0</v>
      </c>
      <c r="M286" s="800">
        <v>0</v>
      </c>
      <c r="N286" s="800">
        <v>0</v>
      </c>
      <c r="O286" s="800">
        <v>0</v>
      </c>
      <c r="P286" s="800">
        <v>0</v>
      </c>
      <c r="Q286" s="43"/>
      <c r="R286" s="841">
        <v>0</v>
      </c>
      <c r="S286" s="841">
        <v>0</v>
      </c>
      <c r="T286" s="841">
        <v>0</v>
      </c>
      <c r="U286" s="841">
        <v>0</v>
      </c>
      <c r="V286" s="841">
        <v>0</v>
      </c>
      <c r="W286" s="841">
        <v>0</v>
      </c>
      <c r="X286" s="841">
        <v>0</v>
      </c>
      <c r="Y286" s="43"/>
      <c r="Z286" s="841">
        <v>0</v>
      </c>
      <c r="AA286" s="841">
        <v>0</v>
      </c>
      <c r="AB286" s="841">
        <v>0</v>
      </c>
      <c r="AC286" s="841">
        <v>0</v>
      </c>
      <c r="AD286" s="841">
        <v>0</v>
      </c>
      <c r="AE286" s="841">
        <v>0</v>
      </c>
      <c r="AF286" s="841">
        <v>0</v>
      </c>
      <c r="AG286" s="841">
        <v>0</v>
      </c>
      <c r="AH286" s="841">
        <v>0</v>
      </c>
      <c r="AI286" s="841">
        <v>0</v>
      </c>
      <c r="AJ286" s="43"/>
      <c r="AK286" s="239">
        <v>171340.38</v>
      </c>
      <c r="AL286" s="229"/>
      <c r="AN286" s="32"/>
    </row>
    <row r="287" spans="1:40" ht="18.75" x14ac:dyDescent="0.3">
      <c r="A287" s="230" t="s">
        <v>2</v>
      </c>
      <c r="B287" s="232">
        <f t="shared" ref="B287:G287" si="21">SUM(B277:B286)</f>
        <v>10085.960000000001</v>
      </c>
      <c r="C287" s="232">
        <f t="shared" si="21"/>
        <v>23812.319999999996</v>
      </c>
      <c r="D287" s="232">
        <f t="shared" si="21"/>
        <v>14062.410000000002</v>
      </c>
      <c r="E287" s="232">
        <f t="shared" si="21"/>
        <v>17663</v>
      </c>
      <c r="F287" s="232">
        <f t="shared" si="21"/>
        <v>15366.750000000002</v>
      </c>
      <c r="G287" s="232">
        <f t="shared" si="21"/>
        <v>15946.010000000002</v>
      </c>
      <c r="H287" s="248">
        <f>SUM(H277:H286)</f>
        <v>17969.16</v>
      </c>
      <c r="I287" s="249">
        <f>SUM(B287:H287)</f>
        <v>114905.61000000002</v>
      </c>
      <c r="J287" s="231">
        <f t="shared" ref="J287:N287" si="22">SUM(J277:J286)</f>
        <v>19649.819999999996</v>
      </c>
      <c r="K287" s="231">
        <f t="shared" si="22"/>
        <v>19638.629999999997</v>
      </c>
      <c r="L287" s="231">
        <f t="shared" si="22"/>
        <v>17820.309999999998</v>
      </c>
      <c r="M287" s="231">
        <f>SUM(M277:M286)</f>
        <v>18784.18</v>
      </c>
      <c r="N287" s="231">
        <f t="shared" si="22"/>
        <v>17960.059999999998</v>
      </c>
      <c r="O287" s="231">
        <f>SUM(O277:O286)</f>
        <v>16903.54</v>
      </c>
      <c r="P287" s="231">
        <f>SUM(P277:P286)</f>
        <v>18399.149999999998</v>
      </c>
      <c r="Q287" s="249">
        <f>SUM(J287:P287)</f>
        <v>129155.69</v>
      </c>
      <c r="R287" s="233">
        <f t="shared" ref="R287:W287" si="23">SUM(R277:R286)</f>
        <v>17332.91</v>
      </c>
      <c r="S287" s="233">
        <f t="shared" si="23"/>
        <v>18402.25</v>
      </c>
      <c r="T287" s="233">
        <f>SUM(T277:T286)</f>
        <v>19116.650000000001</v>
      </c>
      <c r="U287" s="233">
        <f t="shared" si="23"/>
        <v>20889.340000000004</v>
      </c>
      <c r="V287" s="233">
        <f t="shared" si="23"/>
        <v>20378.45</v>
      </c>
      <c r="W287" s="233">
        <f t="shared" si="23"/>
        <v>19046.120000000003</v>
      </c>
      <c r="X287" s="233">
        <f>SUM(X277:X286)</f>
        <v>17811.350000000002</v>
      </c>
      <c r="Y287" s="249">
        <f>SUM(R287:X287)</f>
        <v>132977.07</v>
      </c>
      <c r="Z287" s="233">
        <f t="shared" ref="Z287:AE287" si="24">SUM(Z277:Z286)</f>
        <v>21148.300000000003</v>
      </c>
      <c r="AA287" s="233">
        <f t="shared" si="24"/>
        <v>17762.93</v>
      </c>
      <c r="AB287" s="233">
        <f t="shared" si="24"/>
        <v>19002.760000000002</v>
      </c>
      <c r="AC287" s="233">
        <f t="shared" si="24"/>
        <v>19257.729999999996</v>
      </c>
      <c r="AD287" s="233">
        <f t="shared" si="24"/>
        <v>21000.679999999997</v>
      </c>
      <c r="AE287" s="233">
        <f t="shared" si="24"/>
        <v>17350.529999999995</v>
      </c>
      <c r="AF287" s="233">
        <f>SUM(AF277:AF286)</f>
        <v>18796.53</v>
      </c>
      <c r="AG287" s="233">
        <f>SUM(AG277:AG286)</f>
        <v>16739.240000000002</v>
      </c>
      <c r="AH287" s="233">
        <f>SUM(AH277:AH286)</f>
        <v>20281.679999999997</v>
      </c>
      <c r="AI287" s="233"/>
      <c r="AJ287" s="249">
        <f>SUM(Z287:AI287)</f>
        <v>171340.37999999998</v>
      </c>
      <c r="AK287" s="234">
        <f>SUM(AK277:AK286)</f>
        <v>548378.75</v>
      </c>
      <c r="AL287" s="235"/>
      <c r="AN287" s="19"/>
    </row>
    <row r="288" spans="1:40" ht="16.5" thickBot="1" x14ac:dyDescent="0.3">
      <c r="A288" s="224"/>
      <c r="B288" s="335"/>
      <c r="C288" s="777"/>
      <c r="D288" s="225"/>
      <c r="E288" s="225"/>
      <c r="F288" s="225"/>
      <c r="G288" s="225"/>
      <c r="H288" s="225"/>
      <c r="I288" s="56"/>
      <c r="J288" s="225"/>
      <c r="K288" s="225"/>
      <c r="L288" s="225"/>
      <c r="M288" s="225"/>
      <c r="N288" s="225"/>
      <c r="O288" s="335"/>
      <c r="P288" s="225"/>
      <c r="Q288" s="56"/>
      <c r="R288" s="225"/>
      <c r="S288" s="225"/>
      <c r="T288" s="225"/>
      <c r="U288" s="225"/>
      <c r="V288" s="225"/>
      <c r="W288" s="225"/>
      <c r="X288" s="225"/>
      <c r="Y288" s="56"/>
      <c r="Z288" s="226"/>
      <c r="AA288" s="225"/>
      <c r="AB288" s="227"/>
      <c r="AC288" s="225"/>
      <c r="AD288" s="225"/>
      <c r="AE288" s="225"/>
      <c r="AF288" s="225"/>
      <c r="AG288" s="225"/>
      <c r="AH288" s="225"/>
      <c r="AI288" s="225"/>
      <c r="AJ288" s="56"/>
      <c r="AK288" s="225"/>
      <c r="AL288" s="228"/>
      <c r="AN288" s="25"/>
    </row>
    <row r="289" spans="1:40" ht="27" thickBot="1" x14ac:dyDescent="0.45">
      <c r="A289" s="311" t="s">
        <v>396</v>
      </c>
      <c r="B289" s="219"/>
      <c r="C289" s="219"/>
      <c r="D289" s="219"/>
      <c r="E289" s="219"/>
      <c r="F289" s="219"/>
      <c r="G289" s="219"/>
      <c r="H289" s="782"/>
      <c r="I289" s="784"/>
      <c r="J289" s="785"/>
      <c r="K289" s="785"/>
      <c r="L289" s="785"/>
      <c r="M289" s="785"/>
      <c r="N289" s="785"/>
      <c r="O289" s="785"/>
      <c r="P289" s="785"/>
      <c r="Q289" s="785"/>
      <c r="R289" s="785"/>
      <c r="S289" s="785"/>
      <c r="T289" s="785"/>
      <c r="U289" s="785"/>
      <c r="V289" s="785"/>
      <c r="W289" s="785"/>
      <c r="X289" s="785"/>
      <c r="Y289" s="785"/>
      <c r="Z289" s="785"/>
      <c r="AA289" s="785"/>
      <c r="AB289" s="785"/>
      <c r="AC289" s="785"/>
      <c r="AD289" s="785"/>
      <c r="AE289" s="785"/>
      <c r="AF289" s="785"/>
      <c r="AG289" s="785"/>
      <c r="AH289" s="785"/>
      <c r="AI289" s="785"/>
      <c r="AJ289" s="785"/>
      <c r="AK289" s="785"/>
      <c r="AL289" s="786"/>
      <c r="AN289" s="822"/>
    </row>
    <row r="290" spans="1:40" ht="16.5" thickBot="1" x14ac:dyDescent="0.3">
      <c r="A290" s="706" t="s">
        <v>397</v>
      </c>
      <c r="B290" s="707">
        <v>1</v>
      </c>
      <c r="C290" s="328">
        <v>2</v>
      </c>
      <c r="D290" s="328">
        <v>3</v>
      </c>
      <c r="E290" s="328">
        <v>4</v>
      </c>
      <c r="F290" s="328">
        <v>5</v>
      </c>
      <c r="G290" s="328">
        <v>6</v>
      </c>
      <c r="H290" s="705">
        <v>7</v>
      </c>
      <c r="I290" s="779" t="s">
        <v>6</v>
      </c>
      <c r="J290" s="322">
        <v>8</v>
      </c>
      <c r="K290" s="322">
        <v>9</v>
      </c>
      <c r="L290" s="322">
        <v>10</v>
      </c>
      <c r="M290" s="322">
        <v>11</v>
      </c>
      <c r="N290" s="322">
        <v>12</v>
      </c>
      <c r="O290" s="322">
        <v>13</v>
      </c>
      <c r="P290" s="322">
        <v>14</v>
      </c>
      <c r="Q290" s="323" t="s">
        <v>6</v>
      </c>
      <c r="R290" s="322">
        <v>15</v>
      </c>
      <c r="S290" s="322">
        <v>16</v>
      </c>
      <c r="T290" s="322">
        <v>17</v>
      </c>
      <c r="U290" s="322">
        <v>18</v>
      </c>
      <c r="V290" s="322">
        <v>19</v>
      </c>
      <c r="W290" s="322">
        <v>20</v>
      </c>
      <c r="X290" s="322">
        <v>21</v>
      </c>
      <c r="Y290" s="323" t="s">
        <v>6</v>
      </c>
      <c r="Z290" s="322">
        <v>22</v>
      </c>
      <c r="AA290" s="322">
        <v>23</v>
      </c>
      <c r="AB290" s="322">
        <v>24</v>
      </c>
      <c r="AC290" s="322">
        <v>25</v>
      </c>
      <c r="AD290" s="322">
        <v>26</v>
      </c>
      <c r="AE290" s="322">
        <v>27</v>
      </c>
      <c r="AF290" s="322">
        <v>28</v>
      </c>
      <c r="AG290" s="322">
        <v>29</v>
      </c>
      <c r="AH290" s="322">
        <v>30</v>
      </c>
      <c r="AI290" s="322">
        <v>31</v>
      </c>
      <c r="AJ290" s="324" t="s">
        <v>6</v>
      </c>
      <c r="AK290" s="325" t="s">
        <v>0</v>
      </c>
      <c r="AL290" s="783" t="s">
        <v>42</v>
      </c>
      <c r="AN290" s="822"/>
    </row>
    <row r="291" spans="1:40" ht="15.75" thickBot="1" x14ac:dyDescent="0.3">
      <c r="A291" s="797" t="s">
        <v>399</v>
      </c>
      <c r="B291" s="815">
        <v>15915</v>
      </c>
      <c r="C291" s="793"/>
      <c r="D291" s="831">
        <v>16000</v>
      </c>
      <c r="E291" s="303"/>
      <c r="F291" s="831">
        <v>16000</v>
      </c>
      <c r="G291" s="831">
        <v>16000</v>
      </c>
      <c r="H291" s="790">
        <v>2195</v>
      </c>
      <c r="I291" s="304"/>
      <c r="J291" s="314">
        <v>8035</v>
      </c>
      <c r="K291" s="790">
        <v>8016</v>
      </c>
      <c r="L291" s="790">
        <v>3803</v>
      </c>
      <c r="M291" s="790">
        <v>3803</v>
      </c>
      <c r="N291" s="790">
        <v>526</v>
      </c>
      <c r="O291" s="790">
        <v>8010</v>
      </c>
      <c r="P291" s="790">
        <v>16014</v>
      </c>
      <c r="Q291" s="305"/>
      <c r="R291" s="790">
        <v>2922</v>
      </c>
      <c r="S291" s="790">
        <v>12793</v>
      </c>
      <c r="T291" s="790">
        <v>4693</v>
      </c>
      <c r="U291" s="790">
        <v>1294</v>
      </c>
      <c r="V291" s="790">
        <v>0</v>
      </c>
      <c r="W291" s="790">
        <v>11074</v>
      </c>
      <c r="X291" s="790">
        <v>1691</v>
      </c>
      <c r="Y291" s="305"/>
      <c r="Z291" s="790">
        <v>1688</v>
      </c>
      <c r="AA291" s="790">
        <v>0</v>
      </c>
      <c r="AB291" s="790">
        <v>16052</v>
      </c>
      <c r="AC291" s="790">
        <v>15446</v>
      </c>
      <c r="AD291" s="790">
        <v>3974</v>
      </c>
      <c r="AE291" s="790">
        <v>3974</v>
      </c>
      <c r="AF291" s="790">
        <v>8516</v>
      </c>
      <c r="AG291" s="790">
        <v>7982</v>
      </c>
      <c r="AH291" s="790">
        <v>681</v>
      </c>
      <c r="AI291" s="790"/>
      <c r="AJ291" s="305"/>
      <c r="AK291" s="314"/>
      <c r="AL291" s="315"/>
      <c r="AN291" s="24"/>
    </row>
    <row r="292" spans="1:40" ht="16.5" thickBot="1" x14ac:dyDescent="0.3">
      <c r="A292" s="797" t="s">
        <v>400</v>
      </c>
      <c r="B292" s="815">
        <v>15995</v>
      </c>
      <c r="C292" s="793"/>
      <c r="D292" s="1"/>
      <c r="E292" s="1"/>
      <c r="F292" s="832">
        <v>16000</v>
      </c>
      <c r="G292" s="832"/>
      <c r="H292" s="445">
        <v>8974</v>
      </c>
      <c r="I292" s="36"/>
      <c r="J292" s="445">
        <v>8935</v>
      </c>
      <c r="K292" s="12">
        <v>8970</v>
      </c>
      <c r="L292" s="12">
        <v>8970</v>
      </c>
      <c r="M292" s="12">
        <v>8978</v>
      </c>
      <c r="N292" s="12">
        <v>3111</v>
      </c>
      <c r="O292" s="12">
        <v>3111</v>
      </c>
      <c r="P292" s="12">
        <v>0</v>
      </c>
      <c r="Q292" s="37"/>
      <c r="R292" s="12">
        <v>15972</v>
      </c>
      <c r="S292" s="12">
        <v>15991</v>
      </c>
      <c r="T292" s="12">
        <v>15968</v>
      </c>
      <c r="U292" s="12">
        <v>11540</v>
      </c>
      <c r="V292" s="12">
        <v>2036</v>
      </c>
      <c r="W292" s="12">
        <v>0</v>
      </c>
      <c r="X292" s="12">
        <v>15946</v>
      </c>
      <c r="Y292" s="37"/>
      <c r="Z292" s="12">
        <v>15946</v>
      </c>
      <c r="AA292" s="12">
        <v>10878</v>
      </c>
      <c r="AB292" s="12">
        <v>2157</v>
      </c>
      <c r="AC292" s="12">
        <v>0</v>
      </c>
      <c r="AD292" s="12">
        <v>0</v>
      </c>
      <c r="AE292" s="12">
        <v>0</v>
      </c>
      <c r="AF292" s="12">
        <v>13372</v>
      </c>
      <c r="AG292" s="12">
        <v>13372</v>
      </c>
      <c r="AH292" s="12">
        <v>13391</v>
      </c>
      <c r="AI292" s="12"/>
      <c r="AJ292" s="37"/>
      <c r="AK292" s="236"/>
      <c r="AL292" s="223"/>
      <c r="AN292" s="25"/>
    </row>
    <row r="293" spans="1:40" ht="16.5" thickBot="1" x14ac:dyDescent="0.3">
      <c r="A293" s="797" t="s">
        <v>401</v>
      </c>
      <c r="B293" s="815">
        <v>15946</v>
      </c>
      <c r="C293" s="793"/>
      <c r="D293" s="1"/>
      <c r="E293" s="1"/>
      <c r="F293" s="832"/>
      <c r="G293" s="832">
        <v>8000</v>
      </c>
      <c r="H293" s="12">
        <v>9538</v>
      </c>
      <c r="I293" s="36"/>
      <c r="J293" s="12">
        <v>4735</v>
      </c>
      <c r="K293" s="12">
        <v>4727</v>
      </c>
      <c r="L293" s="135">
        <v>0</v>
      </c>
      <c r="M293" s="12">
        <v>15927</v>
      </c>
      <c r="N293" s="12">
        <v>6318</v>
      </c>
      <c r="O293" s="12">
        <v>80</v>
      </c>
      <c r="P293" s="12">
        <v>3943</v>
      </c>
      <c r="Q293" s="37"/>
      <c r="R293" s="12">
        <v>0</v>
      </c>
      <c r="S293" s="12">
        <v>16002</v>
      </c>
      <c r="T293" s="12">
        <v>15980</v>
      </c>
      <c r="U293" s="12">
        <v>9409</v>
      </c>
      <c r="V293" s="12">
        <v>4235</v>
      </c>
      <c r="W293" s="12">
        <v>0</v>
      </c>
      <c r="X293" s="12">
        <v>0</v>
      </c>
      <c r="Y293" s="37"/>
      <c r="Z293" s="12">
        <v>0</v>
      </c>
      <c r="AA293" s="12">
        <v>11426</v>
      </c>
      <c r="AB293" s="12">
        <v>4886</v>
      </c>
      <c r="AC293" s="12">
        <v>7827</v>
      </c>
      <c r="AD293" s="12">
        <v>0</v>
      </c>
      <c r="AE293" s="12">
        <v>0</v>
      </c>
      <c r="AF293" s="12">
        <v>15931</v>
      </c>
      <c r="AG293" s="12">
        <v>15011</v>
      </c>
      <c r="AH293" s="12">
        <v>8436</v>
      </c>
      <c r="AI293" s="12"/>
      <c r="AJ293" s="37"/>
      <c r="AK293" s="237"/>
      <c r="AL293" s="223"/>
      <c r="AN293" s="25"/>
    </row>
    <row r="294" spans="1:40" ht="15" customHeight="1" thickBot="1" x14ac:dyDescent="0.35">
      <c r="A294" s="797" t="s">
        <v>402</v>
      </c>
      <c r="B294" s="815">
        <v>7971</v>
      </c>
      <c r="C294" s="793"/>
      <c r="D294" s="787"/>
      <c r="E294" s="787"/>
      <c r="F294" s="833">
        <v>8000</v>
      </c>
      <c r="G294" s="787"/>
      <c r="H294" s="791">
        <v>12289</v>
      </c>
      <c r="I294" s="249"/>
      <c r="J294" s="791">
        <v>12305</v>
      </c>
      <c r="K294" s="791">
        <v>12286</v>
      </c>
      <c r="L294" s="791">
        <v>11105</v>
      </c>
      <c r="M294" s="791">
        <v>5015</v>
      </c>
      <c r="N294" s="791">
        <v>7931</v>
      </c>
      <c r="O294" s="791">
        <v>15923</v>
      </c>
      <c r="P294" s="791">
        <v>15931</v>
      </c>
      <c r="Q294" s="249"/>
      <c r="R294" s="12">
        <v>13364</v>
      </c>
      <c r="S294" s="792">
        <v>6650</v>
      </c>
      <c r="T294" s="792">
        <v>598</v>
      </c>
      <c r="U294" s="792">
        <v>0</v>
      </c>
      <c r="V294" s="792">
        <v>0</v>
      </c>
      <c r="W294" s="792">
        <v>15492</v>
      </c>
      <c r="X294" s="792">
        <v>7581</v>
      </c>
      <c r="Y294" s="249"/>
      <c r="Z294" s="792">
        <v>1018</v>
      </c>
      <c r="AA294" s="792">
        <v>0</v>
      </c>
      <c r="AB294" s="792">
        <v>0</v>
      </c>
      <c r="AC294" s="792">
        <v>15889</v>
      </c>
      <c r="AD294" s="792">
        <v>15889</v>
      </c>
      <c r="AE294" s="792">
        <v>9606</v>
      </c>
      <c r="AF294" s="792">
        <v>11214</v>
      </c>
      <c r="AG294" s="792">
        <v>13834</v>
      </c>
      <c r="AH294" s="792">
        <v>13853</v>
      </c>
      <c r="AI294" s="792"/>
      <c r="AJ294" s="249"/>
      <c r="AK294" s="795"/>
      <c r="AL294" s="796"/>
      <c r="AN294" s="25"/>
    </row>
    <row r="295" spans="1:40" ht="15" customHeight="1" thickBot="1" x14ac:dyDescent="0.3">
      <c r="A295" s="797" t="s">
        <v>398</v>
      </c>
      <c r="B295" s="806">
        <v>0</v>
      </c>
      <c r="C295" s="806">
        <v>0</v>
      </c>
      <c r="D295" s="806">
        <v>0</v>
      </c>
      <c r="E295" s="806">
        <v>0</v>
      </c>
      <c r="F295" s="806">
        <v>0</v>
      </c>
      <c r="G295" s="806">
        <v>0</v>
      </c>
      <c r="H295" s="806">
        <v>0</v>
      </c>
      <c r="I295" s="56"/>
      <c r="J295" s="806">
        <v>0</v>
      </c>
      <c r="K295" s="806">
        <v>0</v>
      </c>
      <c r="L295" s="806">
        <v>0</v>
      </c>
      <c r="M295" s="806">
        <v>0</v>
      </c>
      <c r="N295" s="806">
        <v>0</v>
      </c>
      <c r="O295" s="806">
        <v>0</v>
      </c>
      <c r="P295" s="806">
        <v>0</v>
      </c>
      <c r="Q295" s="56"/>
      <c r="R295" s="806">
        <v>0</v>
      </c>
      <c r="S295" s="806">
        <v>0</v>
      </c>
      <c r="T295" s="806">
        <v>0</v>
      </c>
      <c r="U295" s="806">
        <v>0</v>
      </c>
      <c r="V295" s="806">
        <v>0</v>
      </c>
      <c r="W295" s="806">
        <v>0</v>
      </c>
      <c r="X295" s="806">
        <v>0</v>
      </c>
      <c r="Y295" s="56"/>
      <c r="Z295" s="806">
        <v>0</v>
      </c>
      <c r="AA295" s="806">
        <v>0</v>
      </c>
      <c r="AB295" s="806">
        <v>0</v>
      </c>
      <c r="AC295" s="806">
        <v>0</v>
      </c>
      <c r="AD295" s="806">
        <v>0</v>
      </c>
      <c r="AE295" s="806">
        <v>0</v>
      </c>
      <c r="AF295" s="806">
        <v>0</v>
      </c>
      <c r="AG295" s="806">
        <v>0</v>
      </c>
      <c r="AH295" s="806">
        <v>0</v>
      </c>
      <c r="AI295" s="806">
        <v>0</v>
      </c>
      <c r="AJ295" s="780"/>
      <c r="AK295" s="789"/>
      <c r="AL295" s="781"/>
      <c r="AN295" s="822"/>
    </row>
    <row r="296" spans="1:40" ht="15.75" thickBot="1" x14ac:dyDescent="0.3">
      <c r="A296" s="797" t="s">
        <v>403</v>
      </c>
      <c r="B296" s="793">
        <v>0</v>
      </c>
      <c r="C296" s="815">
        <v>16000</v>
      </c>
      <c r="D296" s="815"/>
      <c r="E296" s="809">
        <v>839.61</v>
      </c>
      <c r="F296" s="788"/>
      <c r="G296" s="788"/>
      <c r="H296" s="12">
        <v>9833</v>
      </c>
      <c r="I296" s="56"/>
      <c r="J296" s="135">
        <v>13012</v>
      </c>
      <c r="K296" s="837">
        <v>12990</v>
      </c>
      <c r="L296" s="793">
        <v>3890</v>
      </c>
      <c r="M296" s="793">
        <v>7388</v>
      </c>
      <c r="N296" s="793">
        <v>3882</v>
      </c>
      <c r="O296" s="793">
        <v>10049</v>
      </c>
      <c r="P296" s="793">
        <v>1233</v>
      </c>
      <c r="Q296" s="56"/>
      <c r="R296" s="837">
        <v>17221</v>
      </c>
      <c r="S296" s="793">
        <v>5105</v>
      </c>
      <c r="T296" s="837">
        <v>0</v>
      </c>
      <c r="U296" s="793">
        <v>16169</v>
      </c>
      <c r="V296" s="793">
        <v>6305</v>
      </c>
      <c r="W296" s="793">
        <v>1430</v>
      </c>
      <c r="X296" s="793">
        <v>15147</v>
      </c>
      <c r="Y296" s="56"/>
      <c r="Z296" s="793">
        <v>4526</v>
      </c>
      <c r="AA296" s="793">
        <v>5386</v>
      </c>
      <c r="AB296" s="793">
        <v>9568</v>
      </c>
      <c r="AC296" s="793">
        <v>16090</v>
      </c>
      <c r="AD296" s="793">
        <v>16086</v>
      </c>
      <c r="AE296" s="793">
        <v>2918</v>
      </c>
      <c r="AF296" s="793">
        <v>16108</v>
      </c>
      <c r="AG296" s="793">
        <v>19863</v>
      </c>
      <c r="AH296" s="793">
        <v>18414</v>
      </c>
      <c r="AI296" s="789"/>
      <c r="AJ296" s="780"/>
      <c r="AK296" s="789"/>
      <c r="AL296" s="781"/>
      <c r="AN296" s="822"/>
    </row>
    <row r="297" spans="1:40" ht="15.75" thickBot="1" x14ac:dyDescent="0.3">
      <c r="A297" s="797" t="s">
        <v>404</v>
      </c>
      <c r="B297" s="805">
        <v>0</v>
      </c>
      <c r="C297" s="805">
        <v>0</v>
      </c>
      <c r="D297" s="805">
        <v>0</v>
      </c>
      <c r="E297" s="805">
        <v>0</v>
      </c>
      <c r="F297" s="805">
        <v>0</v>
      </c>
      <c r="G297" s="805">
        <v>0</v>
      </c>
      <c r="H297" s="805">
        <v>0</v>
      </c>
      <c r="I297" s="56"/>
      <c r="J297" s="806">
        <v>0</v>
      </c>
      <c r="K297" s="806">
        <v>0</v>
      </c>
      <c r="L297" s="806">
        <v>0</v>
      </c>
      <c r="M297" s="806">
        <v>0</v>
      </c>
      <c r="N297" s="806">
        <v>0</v>
      </c>
      <c r="O297" s="806">
        <v>0</v>
      </c>
      <c r="P297" s="806">
        <v>0</v>
      </c>
      <c r="Q297" s="56"/>
      <c r="R297" s="806">
        <v>0</v>
      </c>
      <c r="S297" s="806">
        <v>0</v>
      </c>
      <c r="T297" s="806">
        <v>0</v>
      </c>
      <c r="U297" s="806">
        <v>0</v>
      </c>
      <c r="V297" s="806">
        <v>0</v>
      </c>
      <c r="W297" s="806">
        <v>0</v>
      </c>
      <c r="X297" s="806">
        <v>0</v>
      </c>
      <c r="Y297" s="56"/>
      <c r="Z297" s="806">
        <v>0</v>
      </c>
      <c r="AA297" s="806">
        <v>0</v>
      </c>
      <c r="AB297" s="806">
        <v>0</v>
      </c>
      <c r="AC297" s="806">
        <v>0</v>
      </c>
      <c r="AD297" s="806">
        <v>0</v>
      </c>
      <c r="AE297" s="806">
        <v>0</v>
      </c>
      <c r="AF297" s="806">
        <v>0</v>
      </c>
      <c r="AG297" s="806">
        <v>0</v>
      </c>
      <c r="AH297" s="806">
        <v>0</v>
      </c>
      <c r="AI297" s="806">
        <v>0</v>
      </c>
      <c r="AJ297" s="780"/>
      <c r="AK297" s="789"/>
      <c r="AL297" s="781"/>
      <c r="AN297" s="822"/>
    </row>
    <row r="298" spans="1:40" ht="15.75" thickBot="1" x14ac:dyDescent="0.3">
      <c r="A298" s="62" t="s">
        <v>405</v>
      </c>
      <c r="B298" s="800">
        <v>0</v>
      </c>
      <c r="C298" s="800">
        <v>0</v>
      </c>
      <c r="D298" s="800">
        <v>0</v>
      </c>
      <c r="E298" s="800">
        <v>0</v>
      </c>
      <c r="F298" s="800">
        <v>0</v>
      </c>
      <c r="G298" s="800">
        <v>0</v>
      </c>
      <c r="H298" s="800">
        <v>0</v>
      </c>
      <c r="I298" s="56"/>
      <c r="J298" s="806">
        <v>0</v>
      </c>
      <c r="K298" s="806">
        <v>0</v>
      </c>
      <c r="L298" s="806">
        <v>0</v>
      </c>
      <c r="M298" s="806">
        <v>0</v>
      </c>
      <c r="N298" s="806">
        <v>0</v>
      </c>
      <c r="O298" s="806">
        <v>0</v>
      </c>
      <c r="P298" s="806">
        <v>0</v>
      </c>
      <c r="Q298" s="56"/>
      <c r="R298" s="806">
        <v>0</v>
      </c>
      <c r="S298" s="806">
        <v>0</v>
      </c>
      <c r="T298" s="806">
        <v>0</v>
      </c>
      <c r="U298" s="806">
        <v>0</v>
      </c>
      <c r="V298" s="806">
        <v>0</v>
      </c>
      <c r="W298" s="806">
        <v>0</v>
      </c>
      <c r="X298" s="806">
        <v>0</v>
      </c>
      <c r="Y298" s="56"/>
      <c r="Z298" s="806">
        <v>0</v>
      </c>
      <c r="AA298" s="806">
        <v>0</v>
      </c>
      <c r="AB298" s="806">
        <v>0</v>
      </c>
      <c r="AC298" s="806">
        <v>0</v>
      </c>
      <c r="AD298" s="806">
        <v>0</v>
      </c>
      <c r="AE298" s="806">
        <v>0</v>
      </c>
      <c r="AF298" s="806">
        <v>0</v>
      </c>
      <c r="AG298" s="806">
        <v>0</v>
      </c>
      <c r="AH298" s="806">
        <v>0</v>
      </c>
      <c r="AI298" s="806">
        <v>0</v>
      </c>
      <c r="AJ298" s="780"/>
      <c r="AK298" s="789"/>
      <c r="AL298" s="781"/>
      <c r="AN298" s="822"/>
    </row>
    <row r="299" spans="1:40" ht="15.75" thickBot="1" x14ac:dyDescent="0.3">
      <c r="A299" s="67" t="s">
        <v>413</v>
      </c>
      <c r="B299" s="830">
        <v>5000</v>
      </c>
      <c r="C299" s="573"/>
      <c r="D299" s="788"/>
      <c r="E299" s="793"/>
      <c r="F299" s="788"/>
      <c r="G299" s="788"/>
      <c r="H299" s="793">
        <f>SUM(H291:H298)</f>
        <v>42829</v>
      </c>
      <c r="I299" s="56"/>
      <c r="J299" s="837"/>
      <c r="K299" s="815"/>
      <c r="L299" s="815">
        <v>32000</v>
      </c>
      <c r="M299" s="789"/>
      <c r="N299" s="815">
        <v>32000</v>
      </c>
      <c r="O299" s="815">
        <v>16000</v>
      </c>
      <c r="P299" s="815">
        <v>32000</v>
      </c>
      <c r="Q299" s="56"/>
      <c r="R299" s="815">
        <v>26000</v>
      </c>
      <c r="S299" s="793"/>
      <c r="T299" s="815">
        <v>16000</v>
      </c>
      <c r="U299" s="789"/>
      <c r="V299" s="815">
        <v>32000</v>
      </c>
      <c r="W299" s="815">
        <v>32000</v>
      </c>
      <c r="X299" s="789"/>
      <c r="Y299" s="56"/>
      <c r="Z299" s="815">
        <v>26000</v>
      </c>
      <c r="AA299" s="815">
        <v>24000</v>
      </c>
      <c r="AB299" s="815">
        <v>40000</v>
      </c>
      <c r="AC299" s="815"/>
      <c r="AD299" s="789"/>
      <c r="AE299" s="815">
        <v>64000</v>
      </c>
      <c r="AF299" s="815">
        <v>24000</v>
      </c>
      <c r="AG299" s="789"/>
      <c r="AH299" s="789"/>
      <c r="AI299" s="789"/>
      <c r="AJ299" s="780"/>
      <c r="AK299" s="789"/>
      <c r="AL299" s="781"/>
      <c r="AN299" s="19"/>
    </row>
    <row r="300" spans="1:40" ht="15.75" thickBot="1" x14ac:dyDescent="0.3">
      <c r="A300" s="67" t="s">
        <v>407</v>
      </c>
      <c r="B300" s="793">
        <f>SUM(B291:B299)</f>
        <v>60827</v>
      </c>
      <c r="C300" s="793">
        <v>50741.04</v>
      </c>
      <c r="D300" s="788">
        <v>42928.72</v>
      </c>
      <c r="E300" s="793">
        <v>44866.31</v>
      </c>
      <c r="F300" s="788">
        <v>28042.92</v>
      </c>
      <c r="G300" s="793">
        <v>52676.17</v>
      </c>
      <c r="H300" s="793">
        <v>60730.16</v>
      </c>
      <c r="I300" s="56"/>
      <c r="J300" s="793">
        <f t="shared" ref="J300:M300" si="25">SUM(J291:J299)</f>
        <v>47022</v>
      </c>
      <c r="K300" s="793">
        <f t="shared" si="25"/>
        <v>46989</v>
      </c>
      <c r="L300" s="793">
        <f>SUM(L291:L299)</f>
        <v>59768</v>
      </c>
      <c r="M300" s="793">
        <f t="shared" si="25"/>
        <v>41111</v>
      </c>
      <c r="N300" s="793">
        <f>SUM(N291:N299)</f>
        <v>53768</v>
      </c>
      <c r="O300" s="793">
        <f>SUM(O291:O299)</f>
        <v>53173</v>
      </c>
      <c r="P300" s="793">
        <f>SUM(P291:P299)</f>
        <v>69121</v>
      </c>
      <c r="Q300" s="56"/>
      <c r="R300" s="793">
        <f t="shared" ref="R300:X300" si="26">SUM(R291:R299)</f>
        <v>75479</v>
      </c>
      <c r="S300" s="793">
        <f t="shared" si="26"/>
        <v>56541</v>
      </c>
      <c r="T300" s="793">
        <f t="shared" si="26"/>
        <v>53239</v>
      </c>
      <c r="U300" s="793">
        <f t="shared" si="26"/>
        <v>38412</v>
      </c>
      <c r="V300" s="793">
        <f t="shared" si="26"/>
        <v>44576</v>
      </c>
      <c r="W300" s="793">
        <f t="shared" si="26"/>
        <v>59996</v>
      </c>
      <c r="X300" s="793">
        <f t="shared" si="26"/>
        <v>40365</v>
      </c>
      <c r="Y300" s="56"/>
      <c r="Z300" s="793">
        <f t="shared" ref="Z300:AE300" si="27">SUM(Z291:Z299)</f>
        <v>49178</v>
      </c>
      <c r="AA300" s="793">
        <f t="shared" si="27"/>
        <v>51690</v>
      </c>
      <c r="AB300" s="793">
        <f t="shared" si="27"/>
        <v>72663</v>
      </c>
      <c r="AC300" s="793">
        <f t="shared" si="27"/>
        <v>55252</v>
      </c>
      <c r="AD300" s="793">
        <f t="shared" si="27"/>
        <v>35949</v>
      </c>
      <c r="AE300" s="793">
        <f t="shared" si="27"/>
        <v>80498</v>
      </c>
      <c r="AF300" s="793">
        <f>SUM(AF291:AF299)</f>
        <v>89141</v>
      </c>
      <c r="AG300" s="793">
        <f>SUM(AG291:AG299)</f>
        <v>70062</v>
      </c>
      <c r="AH300" s="793">
        <f>SUM(AH291:AH299)</f>
        <v>54775</v>
      </c>
      <c r="AI300" s="789"/>
      <c r="AJ300" s="780"/>
      <c r="AK300" s="789"/>
      <c r="AL300" s="781"/>
      <c r="AN300" s="25"/>
    </row>
    <row r="301" spans="1:40" ht="15.75" thickBot="1" x14ac:dyDescent="0.3">
      <c r="A301" s="797" t="s">
        <v>408</v>
      </c>
      <c r="B301" s="810">
        <v>60827</v>
      </c>
      <c r="C301" s="810">
        <f>SUM(C291:C300)</f>
        <v>66741.040000000008</v>
      </c>
      <c r="D301" s="812">
        <f>SUM(D291:D300)</f>
        <v>58928.72</v>
      </c>
      <c r="E301" s="812">
        <f>SUM(E291:E300)</f>
        <v>45705.919999999998</v>
      </c>
      <c r="F301" s="812">
        <f>SUM(F291:F300)</f>
        <v>68042.92</v>
      </c>
      <c r="G301" s="812">
        <f>SUM(G300)</f>
        <v>52676.17</v>
      </c>
      <c r="H301" s="812">
        <f>SUM(H300)</f>
        <v>60730.16</v>
      </c>
      <c r="I301" s="839"/>
      <c r="J301" s="810">
        <f t="shared" ref="J301:O301" si="28">SUM(J300)</f>
        <v>47022</v>
      </c>
      <c r="K301" s="810">
        <f t="shared" si="28"/>
        <v>46989</v>
      </c>
      <c r="L301" s="810">
        <f>SUM(L300)</f>
        <v>59768</v>
      </c>
      <c r="M301" s="810">
        <f t="shared" si="28"/>
        <v>41111</v>
      </c>
      <c r="N301" s="810">
        <f t="shared" si="28"/>
        <v>53768</v>
      </c>
      <c r="O301" s="810">
        <f t="shared" si="28"/>
        <v>53173</v>
      </c>
      <c r="P301" s="810">
        <f>SUM(P300)</f>
        <v>69121</v>
      </c>
      <c r="Q301" s="56"/>
      <c r="R301" s="855">
        <f t="shared" ref="R301:W301" si="29">SUM(R300)</f>
        <v>75479</v>
      </c>
      <c r="S301" s="855">
        <f t="shared" si="29"/>
        <v>56541</v>
      </c>
      <c r="T301" s="855">
        <f t="shared" si="29"/>
        <v>53239</v>
      </c>
      <c r="U301" s="855">
        <f t="shared" si="29"/>
        <v>38412</v>
      </c>
      <c r="V301" s="855">
        <f t="shared" si="29"/>
        <v>44576</v>
      </c>
      <c r="W301" s="855">
        <f t="shared" si="29"/>
        <v>59996</v>
      </c>
      <c r="X301" s="855">
        <f>SUM(X300)</f>
        <v>40365</v>
      </c>
      <c r="Y301" s="56"/>
      <c r="Z301" s="855">
        <f t="shared" ref="Z301:AE301" si="30">SUM(Z300)</f>
        <v>49178</v>
      </c>
      <c r="AA301" s="855">
        <f t="shared" si="30"/>
        <v>51690</v>
      </c>
      <c r="AB301" s="855">
        <f t="shared" si="30"/>
        <v>72663</v>
      </c>
      <c r="AC301" s="855">
        <f t="shared" si="30"/>
        <v>55252</v>
      </c>
      <c r="AD301" s="855">
        <f t="shared" si="30"/>
        <v>35949</v>
      </c>
      <c r="AE301" s="855">
        <f t="shared" si="30"/>
        <v>80498</v>
      </c>
      <c r="AF301" s="855">
        <f>SUM(AF300)</f>
        <v>89141</v>
      </c>
      <c r="AG301" s="855">
        <f>SUM(AG300)</f>
        <v>70062</v>
      </c>
      <c r="AH301" s="855">
        <f>SUM(AH300)</f>
        <v>54775</v>
      </c>
      <c r="AI301" s="789"/>
      <c r="AJ301" s="780"/>
      <c r="AK301" s="789"/>
      <c r="AL301" s="781"/>
      <c r="AN301" s="842"/>
    </row>
    <row r="302" spans="1:40" ht="15.75" thickBot="1" x14ac:dyDescent="0.3">
      <c r="A302" s="797" t="s">
        <v>409</v>
      </c>
      <c r="B302" s="798">
        <v>10085.959999999999</v>
      </c>
      <c r="C302" s="798">
        <v>23812.32</v>
      </c>
      <c r="D302" s="814">
        <v>14062.41</v>
      </c>
      <c r="E302" s="814">
        <v>17663</v>
      </c>
      <c r="F302" s="814">
        <v>15366.75</v>
      </c>
      <c r="G302" s="814">
        <v>15946.01</v>
      </c>
      <c r="H302" s="814">
        <v>17969.16</v>
      </c>
      <c r="I302" s="840">
        <f>SUM(B302:H302)</f>
        <v>114905.61</v>
      </c>
      <c r="J302" s="799">
        <v>19649.82</v>
      </c>
      <c r="K302" s="799">
        <v>19638.63</v>
      </c>
      <c r="L302" s="799">
        <v>17820.310000000001</v>
      </c>
      <c r="M302" s="799">
        <v>18784.18</v>
      </c>
      <c r="N302" s="799">
        <v>17960.060000000001</v>
      </c>
      <c r="O302" s="799">
        <v>16903.54</v>
      </c>
      <c r="P302" s="799">
        <v>18399.150000000001</v>
      </c>
      <c r="Q302" s="865">
        <f>SUM(J302:P302)</f>
        <v>129155.69</v>
      </c>
      <c r="R302" s="798">
        <v>17332.91</v>
      </c>
      <c r="S302" s="799">
        <v>18402.25</v>
      </c>
      <c r="T302" s="799">
        <v>19116.650000000001</v>
      </c>
      <c r="U302" s="799">
        <v>20889.34</v>
      </c>
      <c r="V302" s="799">
        <v>20378.45</v>
      </c>
      <c r="W302" s="799">
        <v>19046.12</v>
      </c>
      <c r="X302" s="799">
        <v>17811.349999999999</v>
      </c>
      <c r="Y302" s="839">
        <f>SUM(R302:X302)</f>
        <v>132977.07</v>
      </c>
      <c r="Z302" s="798">
        <v>21148.3</v>
      </c>
      <c r="AA302" s="799">
        <v>17762.93</v>
      </c>
      <c r="AB302" s="798">
        <v>19002.759999999998</v>
      </c>
      <c r="AC302" s="799">
        <v>19257.73</v>
      </c>
      <c r="AD302" s="799">
        <v>21000.68</v>
      </c>
      <c r="AE302" s="799">
        <v>17350.53</v>
      </c>
      <c r="AF302" s="799">
        <v>18796.53</v>
      </c>
      <c r="AG302" s="799">
        <v>16739.240000000002</v>
      </c>
      <c r="AH302" s="798">
        <v>20281.68</v>
      </c>
      <c r="AI302" s="789"/>
      <c r="AJ302" s="874">
        <f>SUM(Z302:AI302)</f>
        <v>171340.37999999998</v>
      </c>
      <c r="AK302" s="789"/>
      <c r="AL302" s="781"/>
      <c r="AN302" s="19"/>
    </row>
    <row r="303" spans="1:40" ht="15.75" thickBot="1" x14ac:dyDescent="0.3">
      <c r="A303" s="797" t="s">
        <v>410</v>
      </c>
      <c r="B303" s="813">
        <v>50741.04</v>
      </c>
      <c r="C303" s="807">
        <v>42928.72</v>
      </c>
      <c r="D303" s="712">
        <v>44866.31</v>
      </c>
      <c r="E303" s="712">
        <v>28042.92</v>
      </c>
      <c r="F303" s="712">
        <v>52676.17</v>
      </c>
      <c r="G303" s="712">
        <v>36730.160000000003</v>
      </c>
      <c r="H303" s="712">
        <v>42761</v>
      </c>
      <c r="I303" s="840">
        <v>47022</v>
      </c>
      <c r="J303" s="793">
        <v>27372.18</v>
      </c>
      <c r="K303" s="788">
        <v>27350.37</v>
      </c>
      <c r="L303" s="788">
        <v>41947.69</v>
      </c>
      <c r="M303" s="788">
        <v>22326.82</v>
      </c>
      <c r="N303" s="793">
        <v>35800</v>
      </c>
      <c r="O303" s="788">
        <v>37269.46</v>
      </c>
      <c r="P303" s="809">
        <v>50721.85</v>
      </c>
      <c r="Q303" s="56"/>
      <c r="R303" s="788">
        <v>58146.09</v>
      </c>
      <c r="S303" s="788">
        <v>38139.75</v>
      </c>
      <c r="T303" s="788">
        <v>34122.35</v>
      </c>
      <c r="U303" s="788">
        <v>17522.66</v>
      </c>
      <c r="V303" s="788">
        <v>24197.55</v>
      </c>
      <c r="W303" s="788">
        <v>40949.879999999997</v>
      </c>
      <c r="X303" s="788">
        <v>22553.65</v>
      </c>
      <c r="Y303" s="56"/>
      <c r="Z303" s="793">
        <v>28029.7</v>
      </c>
      <c r="AA303" s="788">
        <v>33927.07</v>
      </c>
      <c r="AB303" s="793">
        <v>53660.24</v>
      </c>
      <c r="AC303" s="788">
        <v>35994.269999999997</v>
      </c>
      <c r="AD303" s="788">
        <v>14948.32</v>
      </c>
      <c r="AE303" s="788">
        <v>63147.47</v>
      </c>
      <c r="AF303" s="788">
        <v>70344.47</v>
      </c>
      <c r="AG303" s="788">
        <v>53322.76</v>
      </c>
      <c r="AH303" s="837">
        <v>34493.32</v>
      </c>
      <c r="AI303" s="789"/>
      <c r="AJ303" s="780"/>
      <c r="AK303" s="789"/>
      <c r="AL303" s="781"/>
      <c r="AN303" s="19"/>
    </row>
    <row r="304" spans="1:40" ht="15.75" thickBot="1" x14ac:dyDescent="0.3">
      <c r="A304" s="797"/>
      <c r="B304" s="815">
        <v>16000</v>
      </c>
      <c r="C304" s="793"/>
      <c r="D304" s="815">
        <v>16000</v>
      </c>
      <c r="E304" s="793"/>
      <c r="F304" s="815">
        <v>8000</v>
      </c>
      <c r="G304" s="815">
        <v>16000</v>
      </c>
      <c r="H304" s="815">
        <v>16000</v>
      </c>
      <c r="I304" s="839">
        <f>SUM(I302:I303)</f>
        <v>161927.60999999999</v>
      </c>
      <c r="J304" s="815"/>
      <c r="K304" s="815">
        <v>16000</v>
      </c>
      <c r="L304" s="789"/>
      <c r="M304" s="815">
        <v>16000</v>
      </c>
      <c r="N304" s="815">
        <v>16000</v>
      </c>
      <c r="O304" s="846"/>
      <c r="P304" s="815">
        <v>16000</v>
      </c>
      <c r="Q304" s="56"/>
      <c r="R304" s="815">
        <v>16000</v>
      </c>
      <c r="S304" s="789"/>
      <c r="T304" s="815">
        <v>16000</v>
      </c>
      <c r="U304" s="789"/>
      <c r="V304" s="815">
        <v>16000</v>
      </c>
      <c r="W304" s="815">
        <v>16000</v>
      </c>
      <c r="X304" s="789"/>
      <c r="Y304" s="56"/>
      <c r="Z304" s="815">
        <v>16000</v>
      </c>
      <c r="AA304" s="815">
        <v>16000</v>
      </c>
      <c r="AB304" s="815">
        <v>40000</v>
      </c>
      <c r="AC304" s="789"/>
      <c r="AD304" s="789"/>
      <c r="AE304" s="815">
        <v>40000</v>
      </c>
      <c r="AF304" s="815">
        <v>24000</v>
      </c>
      <c r="AG304" s="789"/>
      <c r="AH304" s="789"/>
      <c r="AI304" s="789"/>
      <c r="AJ304" s="780"/>
      <c r="AK304" s="789"/>
      <c r="AL304" s="781"/>
      <c r="AN304" s="19"/>
    </row>
    <row r="305" spans="1:40" ht="15.75" thickBot="1" x14ac:dyDescent="0.3">
      <c r="A305" s="797"/>
      <c r="B305" s="815">
        <v>16000</v>
      </c>
      <c r="C305" s="810"/>
      <c r="D305" s="811"/>
      <c r="E305" s="810"/>
      <c r="F305" s="815"/>
      <c r="G305" s="815">
        <v>8000</v>
      </c>
      <c r="H305" s="815">
        <v>8000</v>
      </c>
      <c r="I305" s="56"/>
      <c r="J305" s="815"/>
      <c r="K305" s="815">
        <v>16000</v>
      </c>
      <c r="L305" s="789"/>
      <c r="M305" s="815">
        <v>16000</v>
      </c>
      <c r="N305" s="793"/>
      <c r="O305" s="789"/>
      <c r="P305" s="815">
        <v>16000</v>
      </c>
      <c r="Q305" s="56"/>
      <c r="R305" s="815">
        <v>10000</v>
      </c>
      <c r="S305" s="789"/>
      <c r="T305" s="789"/>
      <c r="U305" s="789"/>
      <c r="V305" s="815">
        <v>16000</v>
      </c>
      <c r="W305" s="815">
        <v>16000</v>
      </c>
      <c r="X305" s="789"/>
      <c r="Y305" s="56"/>
      <c r="Z305" s="815">
        <v>10000</v>
      </c>
      <c r="AA305" s="815">
        <v>8000</v>
      </c>
      <c r="AB305" s="794"/>
      <c r="AC305" s="789"/>
      <c r="AD305" s="789"/>
      <c r="AE305" s="815">
        <v>24000</v>
      </c>
      <c r="AF305" s="789"/>
      <c r="AG305" s="789"/>
      <c r="AH305" s="789"/>
      <c r="AI305" s="789"/>
      <c r="AJ305" s="780"/>
      <c r="AK305" s="789"/>
      <c r="AL305" s="781"/>
      <c r="AN305" s="19"/>
    </row>
    <row r="306" spans="1:40" ht="15.75" thickBot="1" x14ac:dyDescent="0.3">
      <c r="A306" s="797"/>
      <c r="B306" s="815">
        <v>16000</v>
      </c>
      <c r="C306" s="798"/>
      <c r="D306" s="799"/>
      <c r="E306" s="798"/>
      <c r="F306" s="815"/>
      <c r="G306" s="815">
        <v>16000</v>
      </c>
      <c r="H306" s="798"/>
      <c r="I306" s="56"/>
      <c r="J306" s="789"/>
      <c r="K306" s="793">
        <f>SUM(K304:K305)</f>
        <v>32000</v>
      </c>
      <c r="L306" s="789"/>
      <c r="M306" s="793">
        <f>SUM(M304:M305)</f>
        <v>32000</v>
      </c>
      <c r="N306" s="793">
        <f>SUM(N304:N305)</f>
        <v>16000</v>
      </c>
      <c r="O306" s="789"/>
      <c r="P306" s="793">
        <f>SUM(K306:O306)</f>
        <v>80000</v>
      </c>
      <c r="Q306" s="56"/>
      <c r="R306" s="793">
        <f>SUM(R304:R305)</f>
        <v>26000</v>
      </c>
      <c r="S306" s="789"/>
      <c r="T306" s="793">
        <f>SUM(T304:T305)</f>
        <v>16000</v>
      </c>
      <c r="U306" s="789"/>
      <c r="V306" s="793">
        <f>SUM(V304:V305)</f>
        <v>32000</v>
      </c>
      <c r="W306" s="793">
        <f>SUM(W304:W305)</f>
        <v>32000</v>
      </c>
      <c r="X306" s="789"/>
      <c r="Y306" s="56"/>
      <c r="Z306" s="793">
        <f>SUM(Z304:Z305)</f>
        <v>26000</v>
      </c>
      <c r="AA306" s="793">
        <f>SUM(AA304:AA305)</f>
        <v>24000</v>
      </c>
      <c r="AB306" s="793">
        <f>SUM(AB304:AB305)</f>
        <v>40000</v>
      </c>
      <c r="AC306" s="789"/>
      <c r="AD306" s="789"/>
      <c r="AE306" s="789"/>
      <c r="AF306" s="789"/>
      <c r="AG306" s="789"/>
      <c r="AH306" s="789"/>
      <c r="AI306" s="789"/>
      <c r="AJ306" s="780"/>
      <c r="AK306" s="789"/>
      <c r="AL306" s="781"/>
      <c r="AN306" s="19"/>
    </row>
    <row r="307" spans="1:40" ht="15.75" thickBot="1" x14ac:dyDescent="0.3">
      <c r="A307" s="797"/>
      <c r="B307" s="834">
        <v>8000</v>
      </c>
      <c r="C307" s="815"/>
      <c r="D307" s="808"/>
      <c r="E307" s="815"/>
      <c r="F307" s="808"/>
      <c r="G307" s="838">
        <v>16000</v>
      </c>
      <c r="H307" s="807"/>
      <c r="I307" s="43"/>
      <c r="J307" s="801"/>
      <c r="K307" s="771"/>
      <c r="L307" s="801"/>
      <c r="M307" s="802"/>
      <c r="N307" s="802"/>
      <c r="O307" s="801"/>
      <c r="P307" s="802"/>
      <c r="Q307" s="43"/>
      <c r="R307" s="801"/>
      <c r="S307" s="801"/>
      <c r="T307" s="801"/>
      <c r="U307" s="801"/>
      <c r="V307" s="801"/>
      <c r="W307" s="801"/>
      <c r="X307" s="801"/>
      <c r="Y307" s="43"/>
      <c r="Z307" s="153"/>
      <c r="AA307" s="801"/>
      <c r="AB307" s="802"/>
      <c r="AC307" s="801"/>
      <c r="AD307" s="801"/>
      <c r="AE307" s="801"/>
      <c r="AF307" s="801"/>
      <c r="AG307" s="801"/>
      <c r="AH307" s="801"/>
      <c r="AI307" s="801"/>
      <c r="AJ307" s="104"/>
      <c r="AK307" s="801"/>
      <c r="AL307" s="803"/>
      <c r="AN307" s="19"/>
    </row>
    <row r="308" spans="1:40" x14ac:dyDescent="0.25">
      <c r="A308" s="67" t="s">
        <v>412</v>
      </c>
      <c r="B308" s="830">
        <v>5000</v>
      </c>
      <c r="C308" s="573"/>
      <c r="D308" s="573"/>
      <c r="E308" s="573"/>
      <c r="F308" s="573"/>
      <c r="G308" s="12"/>
      <c r="H308" s="12"/>
      <c r="I308" s="37"/>
      <c r="J308" s="105"/>
      <c r="K308" s="844"/>
      <c r="L308" s="844"/>
      <c r="M308" s="847">
        <v>836.69</v>
      </c>
      <c r="N308" s="105"/>
      <c r="O308" s="105"/>
      <c r="P308" s="844">
        <v>1253.8499999999999</v>
      </c>
      <c r="Q308" s="37"/>
      <c r="R308" s="844"/>
      <c r="S308" s="844">
        <v>900.75</v>
      </c>
      <c r="T308" s="105"/>
      <c r="U308" s="105"/>
      <c r="V308" s="844">
        <v>3844.45</v>
      </c>
      <c r="W308" s="844">
        <v>584.88</v>
      </c>
      <c r="X308" s="844">
        <v>624.35</v>
      </c>
      <c r="Y308" s="37"/>
      <c r="Z308" s="867">
        <v>339.7</v>
      </c>
      <c r="AA308" s="844">
        <v>1226.07</v>
      </c>
      <c r="AB308" s="844">
        <v>1640.76</v>
      </c>
      <c r="AC308" s="105"/>
      <c r="AD308" s="844">
        <v>1550.68</v>
      </c>
      <c r="AE308" s="844"/>
      <c r="AF308" s="867">
        <v>282.47000000000003</v>
      </c>
      <c r="AG308" s="844">
        <v>1452.24</v>
      </c>
      <c r="AH308" s="105"/>
      <c r="AI308" s="105"/>
      <c r="AJ308" s="105"/>
      <c r="AK308" s="105"/>
      <c r="AL308" s="105"/>
    </row>
    <row r="309" spans="1:40" ht="15.75" thickBot="1" x14ac:dyDescent="0.3">
      <c r="A309" s="63"/>
      <c r="B309" s="835">
        <f t="shared" ref="B309:D309" si="31">SUM(B304:B308)</f>
        <v>61000</v>
      </c>
      <c r="C309" s="835"/>
      <c r="D309" s="835">
        <f t="shared" si="31"/>
        <v>16000</v>
      </c>
      <c r="E309" s="835"/>
      <c r="F309" s="835">
        <f>SUM(F304:F308)</f>
        <v>8000</v>
      </c>
      <c r="G309" s="836">
        <f>SUM(G304:G308)</f>
        <v>56000</v>
      </c>
      <c r="H309" s="835">
        <f>SUM(H304:H308)</f>
        <v>24000</v>
      </c>
      <c r="I309" s="127">
        <f>SUM(B309:H309)</f>
        <v>165000</v>
      </c>
      <c r="J309" s="836"/>
      <c r="K309" s="836"/>
      <c r="L309" s="104"/>
      <c r="M309" s="835"/>
      <c r="N309" s="835"/>
      <c r="O309" s="104"/>
      <c r="P309" s="835">
        <v>1685</v>
      </c>
      <c r="Q309" s="866"/>
      <c r="R309" s="104"/>
      <c r="S309" s="104"/>
      <c r="T309" s="104"/>
      <c r="U309" s="104"/>
      <c r="V309" s="104"/>
      <c r="W309" s="104"/>
      <c r="X309" s="104"/>
      <c r="Y309" s="43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</row>
    <row r="310" spans="1:40" ht="15.75" thickBot="1" x14ac:dyDescent="0.3">
      <c r="A310" s="80"/>
      <c r="B310" s="25"/>
      <c r="C310" s="25"/>
      <c r="D310" s="24"/>
      <c r="E310" s="24"/>
      <c r="F310" s="24"/>
      <c r="G310" s="24"/>
      <c r="H310" s="25"/>
      <c r="I310" s="843"/>
      <c r="J310" s="25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</row>
    <row r="311" spans="1:40" x14ac:dyDescent="0.25">
      <c r="A311" s="80"/>
      <c r="B311" s="816"/>
      <c r="C311" s="816"/>
      <c r="D311" s="816"/>
      <c r="E311" s="816"/>
      <c r="F311" s="816"/>
      <c r="G311" s="816"/>
      <c r="H311" s="816"/>
      <c r="I311" s="19"/>
      <c r="J311" s="81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</row>
    <row r="312" spans="1:40" x14ac:dyDescent="0.25">
      <c r="A312" s="80"/>
      <c r="B312" s="31"/>
      <c r="C312" s="31"/>
      <c r="D312" s="30"/>
      <c r="E312" s="31"/>
      <c r="F312" s="30"/>
      <c r="G312" s="30"/>
      <c r="H312" s="30"/>
      <c r="I312" s="19"/>
      <c r="J312" s="19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</row>
    <row r="313" spans="1:40" x14ac:dyDescent="0.25">
      <c r="A313" s="80"/>
      <c r="B313" s="25"/>
      <c r="C313" s="25"/>
      <c r="D313" s="24"/>
      <c r="E313" s="25"/>
      <c r="F313" s="24"/>
      <c r="G313" s="24"/>
      <c r="H313" s="24"/>
      <c r="I313" s="19"/>
      <c r="J313" s="19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</row>
    <row r="314" spans="1:40" x14ac:dyDescent="0.25">
      <c r="A314" s="80"/>
      <c r="B314" s="25"/>
      <c r="C314" s="25"/>
      <c r="D314" s="24"/>
      <c r="E314" s="25"/>
      <c r="F314" s="24"/>
      <c r="G314" s="25"/>
      <c r="H314" s="25"/>
      <c r="I314" s="19"/>
      <c r="J314" s="19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</row>
    <row r="315" spans="1:40" x14ac:dyDescent="0.25">
      <c r="A315" s="80"/>
      <c r="B315" s="25"/>
      <c r="C315" s="25"/>
      <c r="D315" s="24"/>
      <c r="E315" s="25"/>
      <c r="F315" s="24"/>
      <c r="G315" s="25"/>
      <c r="H315" s="25"/>
      <c r="I315" s="19"/>
      <c r="J315" s="19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</row>
    <row r="316" spans="1:40" x14ac:dyDescent="0.25">
      <c r="A316" s="80"/>
      <c r="B316" s="25"/>
      <c r="C316" s="25"/>
      <c r="D316" s="24"/>
      <c r="E316" s="25"/>
      <c r="F316" s="24"/>
      <c r="G316" s="25"/>
      <c r="H316" s="25"/>
      <c r="I316" s="19"/>
      <c r="J316" s="19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</row>
    <row r="317" spans="1:40" x14ac:dyDescent="0.25">
      <c r="A317" s="80"/>
      <c r="B317" s="25"/>
      <c r="C317" s="25"/>
      <c r="D317" s="24"/>
      <c r="E317" s="25"/>
      <c r="F317" s="24"/>
      <c r="G317" s="25"/>
      <c r="H317" s="25"/>
      <c r="I317" s="19"/>
      <c r="J317" s="19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</row>
    <row r="318" spans="1:40" x14ac:dyDescent="0.25">
      <c r="A318" s="80"/>
      <c r="B318" s="25"/>
      <c r="C318" s="25"/>
      <c r="D318" s="24"/>
      <c r="E318" s="25"/>
      <c r="F318" s="24"/>
      <c r="G318" s="25"/>
      <c r="H318" s="25"/>
      <c r="I318" s="19"/>
      <c r="J318" s="19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</row>
    <row r="319" spans="1:40" x14ac:dyDescent="0.25">
      <c r="A319" s="80"/>
      <c r="B319" s="25"/>
      <c r="C319" s="25"/>
      <c r="D319" s="24"/>
      <c r="E319" s="25"/>
      <c r="F319" s="24"/>
      <c r="G319" s="25"/>
      <c r="H319" s="25"/>
      <c r="I319" s="19"/>
      <c r="J319" s="19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</row>
    <row r="320" spans="1:40" x14ac:dyDescent="0.25">
      <c r="A320" s="80"/>
      <c r="B320" s="818"/>
      <c r="C320" s="819"/>
      <c r="D320" s="820"/>
      <c r="E320" s="819"/>
      <c r="F320" s="820"/>
      <c r="G320" s="821"/>
      <c r="H320" s="821"/>
      <c r="I320" s="19"/>
      <c r="J320" s="19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</row>
    <row r="321" spans="1:38" x14ac:dyDescent="0.25">
      <c r="A321" s="80"/>
      <c r="B321" s="822"/>
      <c r="C321" s="822"/>
      <c r="D321" s="823"/>
      <c r="E321" s="822"/>
      <c r="F321" s="823"/>
      <c r="G321" s="821"/>
      <c r="H321" s="821"/>
      <c r="I321" s="19"/>
      <c r="J321" s="19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</row>
    <row r="322" spans="1:38" x14ac:dyDescent="0.25">
      <c r="A322" s="80"/>
      <c r="B322" s="19"/>
      <c r="C322" s="19"/>
      <c r="D322" s="19"/>
      <c r="E322" s="19"/>
      <c r="F322" s="19"/>
      <c r="G322" s="25"/>
      <c r="H322" s="25"/>
      <c r="I322" s="19"/>
      <c r="J322" s="19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</row>
    <row r="323" spans="1:38" x14ac:dyDescent="0.25">
      <c r="A323" s="80"/>
      <c r="B323" s="19"/>
      <c r="C323" s="19"/>
      <c r="D323" s="19"/>
      <c r="E323" s="19"/>
      <c r="F323" s="19"/>
      <c r="G323" s="824"/>
      <c r="H323" s="19"/>
      <c r="I323" s="19"/>
      <c r="J323" s="825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</row>
    <row r="324" spans="1:38" x14ac:dyDescent="0.25">
      <c r="A324" s="25"/>
      <c r="B324" s="25"/>
      <c r="C324" s="25"/>
      <c r="D324" s="25"/>
      <c r="E324" s="25"/>
      <c r="F324" s="25"/>
      <c r="G324" s="826"/>
      <c r="H324" s="25"/>
      <c r="I324" s="25"/>
      <c r="J324" s="19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</row>
    <row r="325" spans="1:38" x14ac:dyDescent="0.25">
      <c r="A325" s="25"/>
      <c r="B325" s="25"/>
      <c r="C325" s="25"/>
      <c r="D325" s="25"/>
      <c r="E325" s="25"/>
      <c r="F325" s="25"/>
      <c r="G325" s="826"/>
      <c r="H325" s="25"/>
      <c r="I325" s="826"/>
      <c r="J325" s="19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</row>
    <row r="326" spans="1:38" x14ac:dyDescent="0.25">
      <c r="A326" s="25"/>
      <c r="B326" s="25"/>
      <c r="C326" s="25"/>
      <c r="D326" s="25"/>
      <c r="E326" s="25"/>
      <c r="F326" s="25"/>
      <c r="G326" s="827"/>
      <c r="H326" s="25"/>
      <c r="I326" s="25"/>
      <c r="J326" s="19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</row>
    <row r="327" spans="1:38" ht="15.75" x14ac:dyDescent="0.25">
      <c r="A327" s="76"/>
      <c r="B327" s="828"/>
      <c r="C327" s="828"/>
      <c r="D327" s="828"/>
      <c r="E327" s="828"/>
      <c r="F327" s="828"/>
      <c r="G327" s="829"/>
      <c r="H327" s="828"/>
      <c r="I327" s="76"/>
      <c r="J327" s="19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</row>
    <row r="328" spans="1:38" ht="15.75" x14ac:dyDescent="0.25">
      <c r="A328" s="25"/>
      <c r="B328" s="141"/>
      <c r="C328" s="19"/>
      <c r="D328" s="19"/>
      <c r="E328" s="19"/>
      <c r="F328" s="19"/>
      <c r="G328" s="19"/>
      <c r="H328" s="19"/>
      <c r="I328" s="19"/>
      <c r="J328" s="19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09"/>
  <sheetViews>
    <sheetView topLeftCell="A290" workbookViewId="0">
      <selection activeCell="AI291" sqref="AI291"/>
    </sheetView>
  </sheetViews>
  <sheetFormatPr defaultRowHeight="15" x14ac:dyDescent="0.25"/>
  <cols>
    <col min="1" max="1" width="17.7109375" customWidth="1"/>
    <col min="2" max="2" width="1.140625" customWidth="1"/>
    <col min="3" max="3" width="1.5703125" customWidth="1"/>
    <col min="4" max="5" width="1.28515625" customWidth="1"/>
    <col min="6" max="6" width="1.140625" customWidth="1"/>
    <col min="7" max="7" width="1.28515625" customWidth="1"/>
    <col min="8" max="8" width="1" customWidth="1"/>
    <col min="9" max="9" width="10.7109375" customWidth="1"/>
    <col min="10" max="12" width="1.140625" customWidth="1"/>
    <col min="13" max="13" width="1.42578125" customWidth="1"/>
    <col min="14" max="14" width="1.28515625" customWidth="1"/>
    <col min="15" max="15" width="1.140625" customWidth="1"/>
    <col min="16" max="16" width="1.42578125" customWidth="1"/>
    <col min="17" max="17" width="10.5703125" customWidth="1"/>
    <col min="18" max="18" width="9.28515625" customWidth="1"/>
    <col min="19" max="19" width="1.140625" customWidth="1"/>
    <col min="20" max="20" width="1.28515625" customWidth="1"/>
    <col min="21" max="21" width="1" customWidth="1"/>
    <col min="22" max="23" width="1.28515625" customWidth="1"/>
    <col min="24" max="24" width="9.28515625" customWidth="1"/>
    <col min="25" max="25" width="10.42578125" customWidth="1"/>
    <col min="26" max="35" width="9.28515625" customWidth="1"/>
    <col min="36" max="36" width="10.7109375" customWidth="1"/>
    <col min="37" max="37" width="14.7109375" customWidth="1"/>
    <col min="38" max="38" width="23" customWidth="1"/>
    <col min="40" max="40" width="14.7109375" customWidth="1"/>
  </cols>
  <sheetData>
    <row r="1" spans="1:38" ht="24" thickBot="1" x14ac:dyDescent="0.4">
      <c r="A1" s="256" t="s">
        <v>146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</row>
    <row r="2" spans="1:38" ht="15.75" x14ac:dyDescent="0.25">
      <c r="A2" s="321" t="s">
        <v>3</v>
      </c>
      <c r="B2" s="322">
        <v>1</v>
      </c>
      <c r="C2" s="322">
        <v>2</v>
      </c>
      <c r="D2" s="322">
        <v>3</v>
      </c>
      <c r="E2" s="322">
        <v>4</v>
      </c>
      <c r="F2" s="322">
        <v>5</v>
      </c>
      <c r="G2" s="322">
        <v>6</v>
      </c>
      <c r="H2" s="322">
        <v>7</v>
      </c>
      <c r="I2" s="323" t="s">
        <v>6</v>
      </c>
      <c r="J2" s="322">
        <v>8</v>
      </c>
      <c r="K2" s="322">
        <v>9</v>
      </c>
      <c r="L2" s="322">
        <v>10</v>
      </c>
      <c r="M2" s="322">
        <v>11</v>
      </c>
      <c r="N2" s="322">
        <v>12</v>
      </c>
      <c r="O2" s="322">
        <v>13</v>
      </c>
      <c r="P2" s="322">
        <v>14</v>
      </c>
      <c r="Q2" s="323" t="s">
        <v>6</v>
      </c>
      <c r="R2" s="322">
        <v>15</v>
      </c>
      <c r="S2" s="322">
        <v>16</v>
      </c>
      <c r="T2" s="322">
        <v>17</v>
      </c>
      <c r="U2" s="322">
        <v>18</v>
      </c>
      <c r="V2" s="322">
        <v>19</v>
      </c>
      <c r="W2" s="322">
        <v>20</v>
      </c>
      <c r="X2" s="322">
        <v>21</v>
      </c>
      <c r="Y2" s="323" t="s">
        <v>6</v>
      </c>
      <c r="Z2" s="322">
        <v>22</v>
      </c>
      <c r="AA2" s="322">
        <v>23</v>
      </c>
      <c r="AB2" s="322">
        <v>24</v>
      </c>
      <c r="AC2" s="322">
        <v>25</v>
      </c>
      <c r="AD2" s="322">
        <v>26</v>
      </c>
      <c r="AE2" s="322">
        <v>27</v>
      </c>
      <c r="AF2" s="322">
        <v>28</v>
      </c>
      <c r="AG2" s="322">
        <v>29</v>
      </c>
      <c r="AH2" s="322">
        <v>30</v>
      </c>
      <c r="AI2" s="322">
        <v>31</v>
      </c>
      <c r="AJ2" s="324" t="s">
        <v>6</v>
      </c>
      <c r="AK2" s="325" t="s">
        <v>0</v>
      </c>
      <c r="AL2" s="395" t="s">
        <v>42</v>
      </c>
    </row>
    <row r="3" spans="1:38" x14ac:dyDescent="0.25">
      <c r="A3" s="11">
        <v>1</v>
      </c>
      <c r="B3" s="106">
        <v>350</v>
      </c>
      <c r="C3" s="106">
        <v>350</v>
      </c>
      <c r="D3" s="106">
        <v>350</v>
      </c>
      <c r="E3" s="106">
        <v>249.98</v>
      </c>
      <c r="F3" s="106">
        <v>300</v>
      </c>
      <c r="G3" s="106">
        <v>400</v>
      </c>
      <c r="H3" s="106">
        <v>300</v>
      </c>
      <c r="I3" s="157"/>
      <c r="J3" s="106">
        <v>250.33</v>
      </c>
      <c r="K3" s="106">
        <v>300</v>
      </c>
      <c r="L3" s="106">
        <v>351.46</v>
      </c>
      <c r="M3" s="106">
        <v>300</v>
      </c>
      <c r="N3" s="106">
        <v>361.92</v>
      </c>
      <c r="O3" s="106">
        <v>250</v>
      </c>
      <c r="P3" s="106">
        <v>400</v>
      </c>
      <c r="Q3" s="157"/>
      <c r="R3" s="106">
        <v>251.19</v>
      </c>
      <c r="S3" s="106">
        <v>300.33</v>
      </c>
      <c r="T3" s="106">
        <v>400</v>
      </c>
      <c r="U3" s="106">
        <v>350</v>
      </c>
      <c r="V3" s="106">
        <v>300</v>
      </c>
      <c r="W3" s="106">
        <v>400</v>
      </c>
      <c r="X3" s="106">
        <v>383.64</v>
      </c>
      <c r="Y3" s="157"/>
      <c r="Z3" s="106">
        <v>201.45</v>
      </c>
      <c r="AA3" s="106">
        <v>456.7</v>
      </c>
      <c r="AB3" s="106">
        <v>400</v>
      </c>
      <c r="AC3" s="106">
        <v>300.31</v>
      </c>
      <c r="AD3" s="106">
        <v>300</v>
      </c>
      <c r="AE3" s="106">
        <v>210.97</v>
      </c>
      <c r="AF3" s="106">
        <v>200.62</v>
      </c>
      <c r="AG3" s="106">
        <v>350.23</v>
      </c>
      <c r="AH3" s="106">
        <v>350.17</v>
      </c>
      <c r="AI3" s="106">
        <v>431.13</v>
      </c>
      <c r="AJ3" s="157"/>
      <c r="AK3" s="14"/>
      <c r="AL3" s="729"/>
    </row>
    <row r="4" spans="1:38" x14ac:dyDescent="0.25">
      <c r="A4" s="11">
        <v>2</v>
      </c>
      <c r="B4" s="106">
        <v>400</v>
      </c>
      <c r="C4" s="106">
        <v>349.97</v>
      </c>
      <c r="D4" s="106">
        <v>350</v>
      </c>
      <c r="E4" s="106">
        <v>350.49</v>
      </c>
      <c r="F4" s="106">
        <v>400</v>
      </c>
      <c r="G4" s="106">
        <v>400</v>
      </c>
      <c r="H4" s="106">
        <v>146.05000000000001</v>
      </c>
      <c r="I4" s="37"/>
      <c r="J4" s="106">
        <v>500</v>
      </c>
      <c r="K4" s="106">
        <v>450.2</v>
      </c>
      <c r="L4" s="106">
        <v>400</v>
      </c>
      <c r="M4" s="106">
        <v>150</v>
      </c>
      <c r="N4" s="106">
        <v>350.84</v>
      </c>
      <c r="O4" s="106">
        <v>400</v>
      </c>
      <c r="P4" s="106">
        <v>500</v>
      </c>
      <c r="Q4" s="774"/>
      <c r="R4" s="106">
        <v>400</v>
      </c>
      <c r="S4" s="106">
        <v>350.57</v>
      </c>
      <c r="T4" s="106">
        <v>400</v>
      </c>
      <c r="U4" s="106">
        <v>350</v>
      </c>
      <c r="V4" s="106">
        <v>300</v>
      </c>
      <c r="W4" s="106">
        <v>500</v>
      </c>
      <c r="X4" s="106">
        <v>300</v>
      </c>
      <c r="Y4" s="774"/>
      <c r="Z4" s="106">
        <v>300</v>
      </c>
      <c r="AA4" s="106">
        <v>500</v>
      </c>
      <c r="AB4" s="106">
        <v>149.19</v>
      </c>
      <c r="AC4" s="106">
        <v>350.41</v>
      </c>
      <c r="AD4" s="106">
        <v>400</v>
      </c>
      <c r="AE4" s="106">
        <v>300.89999999999998</v>
      </c>
      <c r="AF4" s="106">
        <v>200.28</v>
      </c>
      <c r="AG4" s="106">
        <v>400.59</v>
      </c>
      <c r="AH4" s="106">
        <v>300.17</v>
      </c>
      <c r="AI4" s="106">
        <v>301.04000000000002</v>
      </c>
      <c r="AJ4" s="774"/>
      <c r="AK4" s="38"/>
      <c r="AL4" s="154" t="s">
        <v>379</v>
      </c>
    </row>
    <row r="5" spans="1:38" x14ac:dyDescent="0.25">
      <c r="A5" s="11">
        <v>3</v>
      </c>
      <c r="B5" s="106" t="s">
        <v>289</v>
      </c>
      <c r="C5" s="106" t="s">
        <v>289</v>
      </c>
      <c r="D5" s="106" t="s">
        <v>289</v>
      </c>
      <c r="E5" s="106" t="s">
        <v>289</v>
      </c>
      <c r="F5" s="106" t="s">
        <v>289</v>
      </c>
      <c r="G5" s="106" t="s">
        <v>289</v>
      </c>
      <c r="H5" s="106" t="s">
        <v>289</v>
      </c>
      <c r="I5" s="37"/>
      <c r="J5" s="106" t="s">
        <v>289</v>
      </c>
      <c r="K5" s="106" t="s">
        <v>289</v>
      </c>
      <c r="L5" s="106" t="s">
        <v>289</v>
      </c>
      <c r="M5" s="106" t="s">
        <v>289</v>
      </c>
      <c r="N5" s="106" t="s">
        <v>289</v>
      </c>
      <c r="O5" s="106" t="s">
        <v>289</v>
      </c>
      <c r="P5" s="106" t="s">
        <v>289</v>
      </c>
      <c r="Q5" s="774"/>
      <c r="R5" s="106" t="s">
        <v>289</v>
      </c>
      <c r="S5" s="106" t="s">
        <v>289</v>
      </c>
      <c r="T5" s="106" t="s">
        <v>289</v>
      </c>
      <c r="U5" s="106" t="s">
        <v>289</v>
      </c>
      <c r="V5" s="106" t="s">
        <v>289</v>
      </c>
      <c r="W5" s="106" t="s">
        <v>289</v>
      </c>
      <c r="X5" s="106" t="s">
        <v>289</v>
      </c>
      <c r="Y5" s="774"/>
      <c r="Z5" s="106" t="s">
        <v>289</v>
      </c>
      <c r="AA5" s="106" t="s">
        <v>289</v>
      </c>
      <c r="AB5" s="106" t="s">
        <v>289</v>
      </c>
      <c r="AC5" s="106" t="s">
        <v>289</v>
      </c>
      <c r="AD5" s="106" t="s">
        <v>289</v>
      </c>
      <c r="AE5" s="106" t="s">
        <v>289</v>
      </c>
      <c r="AF5" s="106" t="s">
        <v>289</v>
      </c>
      <c r="AG5" s="106" t="s">
        <v>289</v>
      </c>
      <c r="AH5" s="106" t="s">
        <v>289</v>
      </c>
      <c r="AI5" s="106" t="s">
        <v>289</v>
      </c>
      <c r="AJ5" s="774"/>
      <c r="AK5" s="38"/>
      <c r="AL5" s="176" t="s">
        <v>395</v>
      </c>
    </row>
    <row r="6" spans="1:38" x14ac:dyDescent="0.25">
      <c r="A6" s="11">
        <v>4</v>
      </c>
      <c r="B6" s="106">
        <v>400</v>
      </c>
      <c r="C6" s="106">
        <v>500</v>
      </c>
      <c r="D6" s="106">
        <v>499.9</v>
      </c>
      <c r="E6" s="106">
        <v>349.17</v>
      </c>
      <c r="F6" s="106">
        <v>400.29</v>
      </c>
      <c r="G6" s="106">
        <v>500</v>
      </c>
      <c r="H6" s="106">
        <v>400</v>
      </c>
      <c r="I6" s="37"/>
      <c r="J6" s="106">
        <v>500</v>
      </c>
      <c r="K6" s="106">
        <v>470.48</v>
      </c>
      <c r="L6" s="106">
        <v>450.43</v>
      </c>
      <c r="M6" s="106">
        <v>150</v>
      </c>
      <c r="N6" s="106">
        <v>399.94</v>
      </c>
      <c r="O6" s="106">
        <v>400</v>
      </c>
      <c r="P6" s="106">
        <v>450.61</v>
      </c>
      <c r="Q6" s="774"/>
      <c r="R6" s="106">
        <v>500</v>
      </c>
      <c r="S6" s="106">
        <v>450.78</v>
      </c>
      <c r="T6" s="106">
        <v>469.42</v>
      </c>
      <c r="U6" s="106">
        <v>400</v>
      </c>
      <c r="V6" s="106">
        <v>350</v>
      </c>
      <c r="W6" s="106">
        <v>400</v>
      </c>
      <c r="X6" s="106">
        <v>400</v>
      </c>
      <c r="Y6" s="774"/>
      <c r="Z6" s="106">
        <v>500</v>
      </c>
      <c r="AA6" s="106">
        <v>703.3</v>
      </c>
      <c r="AB6" s="106">
        <v>353.09</v>
      </c>
      <c r="AC6" s="106">
        <v>343.46</v>
      </c>
      <c r="AD6" s="106">
        <v>400</v>
      </c>
      <c r="AE6" s="106">
        <v>402.58</v>
      </c>
      <c r="AF6" s="106">
        <v>250.66</v>
      </c>
      <c r="AG6" s="106">
        <v>500.05</v>
      </c>
      <c r="AH6" s="106">
        <v>400.1</v>
      </c>
      <c r="AI6" s="106">
        <v>400.33</v>
      </c>
      <c r="AJ6" s="774"/>
      <c r="AK6" s="38"/>
      <c r="AL6" s="176"/>
    </row>
    <row r="7" spans="1:38" x14ac:dyDescent="0.25">
      <c r="A7" s="11">
        <v>5</v>
      </c>
      <c r="B7" s="106" t="s">
        <v>289</v>
      </c>
      <c r="C7" s="106" t="s">
        <v>289</v>
      </c>
      <c r="D7" s="106" t="s">
        <v>289</v>
      </c>
      <c r="E7" s="106" t="s">
        <v>289</v>
      </c>
      <c r="F7" s="106" t="s">
        <v>289</v>
      </c>
      <c r="G7" s="106" t="s">
        <v>289</v>
      </c>
      <c r="H7" s="106" t="s">
        <v>289</v>
      </c>
      <c r="I7" s="37"/>
      <c r="J7" s="106" t="s">
        <v>289</v>
      </c>
      <c r="K7" s="106" t="s">
        <v>289</v>
      </c>
      <c r="L7" s="106" t="s">
        <v>289</v>
      </c>
      <c r="M7" s="106" t="s">
        <v>289</v>
      </c>
      <c r="N7" s="106" t="s">
        <v>289</v>
      </c>
      <c r="O7" s="106" t="s">
        <v>289</v>
      </c>
      <c r="P7" s="106" t="s">
        <v>289</v>
      </c>
      <c r="Q7" s="774"/>
      <c r="R7" s="106" t="s">
        <v>289</v>
      </c>
      <c r="S7" s="106" t="s">
        <v>289</v>
      </c>
      <c r="T7" s="106" t="s">
        <v>289</v>
      </c>
      <c r="U7" s="106" t="s">
        <v>289</v>
      </c>
      <c r="V7" s="106" t="s">
        <v>289</v>
      </c>
      <c r="W7" s="106" t="s">
        <v>289</v>
      </c>
      <c r="X7" s="106" t="s">
        <v>289</v>
      </c>
      <c r="Y7" s="774"/>
      <c r="Z7" s="106" t="s">
        <v>289</v>
      </c>
      <c r="AA7" s="106" t="s">
        <v>289</v>
      </c>
      <c r="AB7" s="106" t="s">
        <v>289</v>
      </c>
      <c r="AC7" s="106" t="s">
        <v>289</v>
      </c>
      <c r="AD7" s="106" t="s">
        <v>289</v>
      </c>
      <c r="AE7" s="106" t="s">
        <v>289</v>
      </c>
      <c r="AF7" s="106" t="s">
        <v>289</v>
      </c>
      <c r="AG7" s="106" t="s">
        <v>289</v>
      </c>
      <c r="AH7" s="106" t="s">
        <v>289</v>
      </c>
      <c r="AI7" s="106" t="s">
        <v>289</v>
      </c>
      <c r="AJ7" s="774"/>
      <c r="AK7" s="38"/>
      <c r="AL7" s="176" t="s">
        <v>381</v>
      </c>
    </row>
    <row r="8" spans="1:38" x14ac:dyDescent="0.25">
      <c r="A8" s="11">
        <v>6</v>
      </c>
      <c r="B8" s="106">
        <v>300</v>
      </c>
      <c r="C8" s="106">
        <v>350</v>
      </c>
      <c r="D8" s="106">
        <v>280.31</v>
      </c>
      <c r="E8" s="106">
        <v>312.64</v>
      </c>
      <c r="F8" s="106">
        <v>400</v>
      </c>
      <c r="G8" s="106">
        <v>300</v>
      </c>
      <c r="H8" s="106">
        <v>250</v>
      </c>
      <c r="I8" s="37"/>
      <c r="J8" s="106">
        <v>399.55</v>
      </c>
      <c r="K8" s="106">
        <v>300.37</v>
      </c>
      <c r="L8" s="106">
        <v>350.27</v>
      </c>
      <c r="M8" s="106">
        <v>300</v>
      </c>
      <c r="N8" s="106">
        <v>400</v>
      </c>
      <c r="O8" s="106">
        <v>250</v>
      </c>
      <c r="P8" s="106">
        <v>300</v>
      </c>
      <c r="Q8" s="774"/>
      <c r="R8" s="106">
        <v>200</v>
      </c>
      <c r="S8" s="106">
        <v>252.16</v>
      </c>
      <c r="T8" s="106">
        <v>350</v>
      </c>
      <c r="U8" s="106">
        <v>350</v>
      </c>
      <c r="V8" s="106">
        <v>299.93</v>
      </c>
      <c r="W8" s="106">
        <v>395.61</v>
      </c>
      <c r="X8" s="106">
        <v>380.92</v>
      </c>
      <c r="Y8" s="774"/>
      <c r="Z8" s="106">
        <v>350.06</v>
      </c>
      <c r="AA8" s="106">
        <v>458.4</v>
      </c>
      <c r="AB8" s="106">
        <v>211.1</v>
      </c>
      <c r="AC8" s="106">
        <v>132.16</v>
      </c>
      <c r="AD8" s="106">
        <v>400</v>
      </c>
      <c r="AE8" s="106">
        <v>249.98</v>
      </c>
      <c r="AF8" s="106">
        <v>250.26</v>
      </c>
      <c r="AG8" s="106">
        <v>300.25</v>
      </c>
      <c r="AH8" s="106">
        <v>300.29000000000002</v>
      </c>
      <c r="AI8" s="106">
        <v>500.62</v>
      </c>
      <c r="AJ8" s="774"/>
      <c r="AK8" s="38"/>
      <c r="AL8" s="176" t="s">
        <v>382</v>
      </c>
    </row>
    <row r="9" spans="1:38" x14ac:dyDescent="0.25">
      <c r="A9" s="11">
        <v>7</v>
      </c>
      <c r="B9" s="587" t="s">
        <v>290</v>
      </c>
      <c r="C9" s="587" t="s">
        <v>290</v>
      </c>
      <c r="D9" s="587" t="s">
        <v>290</v>
      </c>
      <c r="E9" s="587" t="s">
        <v>290</v>
      </c>
      <c r="F9" s="587" t="s">
        <v>290</v>
      </c>
      <c r="G9" s="587" t="s">
        <v>290</v>
      </c>
      <c r="H9" s="587" t="s">
        <v>290</v>
      </c>
      <c r="I9" s="182" t="s">
        <v>290</v>
      </c>
      <c r="J9" s="587" t="s">
        <v>290</v>
      </c>
      <c r="K9" s="587" t="s">
        <v>290</v>
      </c>
      <c r="L9" s="587" t="s">
        <v>290</v>
      </c>
      <c r="M9" s="587" t="s">
        <v>290</v>
      </c>
      <c r="N9" s="587" t="s">
        <v>290</v>
      </c>
      <c r="O9" s="587" t="s">
        <v>290</v>
      </c>
      <c r="P9" s="587" t="s">
        <v>290</v>
      </c>
      <c r="Q9" s="182" t="s">
        <v>290</v>
      </c>
      <c r="R9" s="587" t="s">
        <v>290</v>
      </c>
      <c r="S9" s="587" t="s">
        <v>290</v>
      </c>
      <c r="T9" s="587" t="s">
        <v>290</v>
      </c>
      <c r="U9" s="587" t="s">
        <v>290</v>
      </c>
      <c r="V9" s="587" t="s">
        <v>290</v>
      </c>
      <c r="W9" s="587" t="s">
        <v>290</v>
      </c>
      <c r="X9" s="587" t="s">
        <v>290</v>
      </c>
      <c r="Y9" s="182" t="s">
        <v>290</v>
      </c>
      <c r="Z9" s="587" t="s">
        <v>290</v>
      </c>
      <c r="AA9" s="587" t="s">
        <v>290</v>
      </c>
      <c r="AB9" s="587" t="s">
        <v>290</v>
      </c>
      <c r="AC9" s="587" t="s">
        <v>290</v>
      </c>
      <c r="AD9" s="587" t="s">
        <v>290</v>
      </c>
      <c r="AE9" s="587" t="s">
        <v>290</v>
      </c>
      <c r="AF9" s="587" t="s">
        <v>290</v>
      </c>
      <c r="AG9" s="587" t="s">
        <v>290</v>
      </c>
      <c r="AH9" s="587" t="s">
        <v>290</v>
      </c>
      <c r="AI9" s="587" t="s">
        <v>290</v>
      </c>
      <c r="AJ9" s="182" t="s">
        <v>290</v>
      </c>
      <c r="AK9" s="38"/>
      <c r="AL9" s="197"/>
    </row>
    <row r="10" spans="1:38" x14ac:dyDescent="0.25">
      <c r="A10" s="11">
        <v>8</v>
      </c>
      <c r="B10" s="106">
        <v>400</v>
      </c>
      <c r="C10" s="106">
        <v>400</v>
      </c>
      <c r="D10" s="106">
        <v>135.88</v>
      </c>
      <c r="E10" s="106">
        <v>10.96</v>
      </c>
      <c r="F10" s="106">
        <v>296.56</v>
      </c>
      <c r="G10" s="106">
        <v>400</v>
      </c>
      <c r="H10" s="106">
        <v>338.46</v>
      </c>
      <c r="I10" s="37"/>
      <c r="J10" s="106">
        <v>359.22</v>
      </c>
      <c r="K10" s="106">
        <v>400</v>
      </c>
      <c r="L10" s="106">
        <v>350.33</v>
      </c>
      <c r="M10" s="106">
        <v>366.47</v>
      </c>
      <c r="N10" s="106">
        <v>294.52</v>
      </c>
      <c r="O10" s="106">
        <v>362.79</v>
      </c>
      <c r="P10" s="106">
        <v>400</v>
      </c>
      <c r="Q10" s="774"/>
      <c r="R10" s="106">
        <v>400</v>
      </c>
      <c r="S10" s="106">
        <v>400.14</v>
      </c>
      <c r="T10" s="106">
        <v>387.42</v>
      </c>
      <c r="U10" s="106">
        <v>400</v>
      </c>
      <c r="V10" s="106">
        <v>350</v>
      </c>
      <c r="W10" s="106">
        <v>500</v>
      </c>
      <c r="X10" s="106">
        <v>331.24</v>
      </c>
      <c r="Y10" s="774"/>
      <c r="Z10" s="106">
        <v>430.43</v>
      </c>
      <c r="AA10" s="106">
        <v>616.20000000000005</v>
      </c>
      <c r="AB10" s="106">
        <v>221.7</v>
      </c>
      <c r="AC10" s="106">
        <v>500</v>
      </c>
      <c r="AD10" s="106">
        <v>402.93</v>
      </c>
      <c r="AE10" s="106">
        <v>287.60000000000002</v>
      </c>
      <c r="AF10" s="106">
        <v>251.8</v>
      </c>
      <c r="AG10" s="106">
        <v>336</v>
      </c>
      <c r="AH10" s="106">
        <v>379.16</v>
      </c>
      <c r="AI10" s="106">
        <v>420.75</v>
      </c>
      <c r="AJ10" s="774"/>
      <c r="AK10" s="38"/>
      <c r="AL10" s="176" t="s">
        <v>383</v>
      </c>
    </row>
    <row r="11" spans="1:38" x14ac:dyDescent="0.25">
      <c r="A11" s="11">
        <v>9</v>
      </c>
      <c r="B11" s="106" t="s">
        <v>289</v>
      </c>
      <c r="C11" s="106" t="s">
        <v>289</v>
      </c>
      <c r="D11" s="106" t="s">
        <v>289</v>
      </c>
      <c r="E11" s="106" t="s">
        <v>289</v>
      </c>
      <c r="F11" s="106" t="s">
        <v>289</v>
      </c>
      <c r="G11" s="106" t="s">
        <v>289</v>
      </c>
      <c r="H11" s="106" t="s">
        <v>289</v>
      </c>
      <c r="I11" s="37"/>
      <c r="J11" s="106" t="s">
        <v>289</v>
      </c>
      <c r="K11" s="106" t="s">
        <v>289</v>
      </c>
      <c r="L11" s="106" t="s">
        <v>289</v>
      </c>
      <c r="M11" s="106" t="s">
        <v>289</v>
      </c>
      <c r="N11" s="106" t="s">
        <v>289</v>
      </c>
      <c r="O11" s="106" t="s">
        <v>289</v>
      </c>
      <c r="P11" s="106" t="s">
        <v>289</v>
      </c>
      <c r="Q11" s="774"/>
      <c r="R11" s="106" t="s">
        <v>289</v>
      </c>
      <c r="S11" s="106" t="s">
        <v>289</v>
      </c>
      <c r="T11" s="106" t="s">
        <v>289</v>
      </c>
      <c r="U11" s="106" t="s">
        <v>289</v>
      </c>
      <c r="V11" s="106" t="s">
        <v>289</v>
      </c>
      <c r="W11" s="106" t="s">
        <v>289</v>
      </c>
      <c r="X11" s="106" t="s">
        <v>289</v>
      </c>
      <c r="Y11" s="774"/>
      <c r="Z11" s="106" t="s">
        <v>289</v>
      </c>
      <c r="AA11" s="106" t="s">
        <v>289</v>
      </c>
      <c r="AB11" s="106" t="s">
        <v>289</v>
      </c>
      <c r="AC11" s="106" t="s">
        <v>289</v>
      </c>
      <c r="AD11" s="106" t="s">
        <v>289</v>
      </c>
      <c r="AE11" s="106" t="s">
        <v>289</v>
      </c>
      <c r="AF11" s="106" t="s">
        <v>289</v>
      </c>
      <c r="AG11" s="106" t="s">
        <v>289</v>
      </c>
      <c r="AH11" s="106" t="s">
        <v>289</v>
      </c>
      <c r="AI11" s="106" t="s">
        <v>289</v>
      </c>
      <c r="AJ11" s="774"/>
      <c r="AK11" s="38"/>
      <c r="AL11" s="176" t="s">
        <v>387</v>
      </c>
    </row>
    <row r="12" spans="1:38" x14ac:dyDescent="0.25">
      <c r="A12" s="11">
        <v>10</v>
      </c>
      <c r="B12" s="106">
        <v>500</v>
      </c>
      <c r="C12" s="106">
        <v>450</v>
      </c>
      <c r="D12" s="106">
        <v>459.32</v>
      </c>
      <c r="E12" s="106">
        <v>447.85</v>
      </c>
      <c r="F12" s="106">
        <v>400</v>
      </c>
      <c r="G12" s="106">
        <v>449.93</v>
      </c>
      <c r="H12" s="106">
        <v>500</v>
      </c>
      <c r="I12" s="37"/>
      <c r="J12" s="106">
        <v>253.51</v>
      </c>
      <c r="K12" s="106">
        <v>371.37</v>
      </c>
      <c r="L12" s="106">
        <v>408.7</v>
      </c>
      <c r="M12" s="106">
        <v>265.52</v>
      </c>
      <c r="N12" s="106">
        <v>305.24</v>
      </c>
      <c r="O12" s="106">
        <v>388.92</v>
      </c>
      <c r="P12" s="106">
        <v>356.19</v>
      </c>
      <c r="Q12" s="774"/>
      <c r="R12" s="106">
        <v>81.63</v>
      </c>
      <c r="S12" s="106" t="s">
        <v>289</v>
      </c>
      <c r="T12" s="106" t="s">
        <v>289</v>
      </c>
      <c r="U12" s="106" t="s">
        <v>289</v>
      </c>
      <c r="V12" s="106" t="s">
        <v>289</v>
      </c>
      <c r="W12" s="106" t="s">
        <v>289</v>
      </c>
      <c r="X12" s="106" t="s">
        <v>289</v>
      </c>
      <c r="Y12" s="774"/>
      <c r="Z12" s="106">
        <v>250.85</v>
      </c>
      <c r="AA12" s="106">
        <v>500.1</v>
      </c>
      <c r="AB12" s="106">
        <v>500</v>
      </c>
      <c r="AC12" s="106">
        <v>350.03</v>
      </c>
      <c r="AD12" s="106">
        <v>500</v>
      </c>
      <c r="AE12" s="106">
        <v>271.66000000000003</v>
      </c>
      <c r="AF12" s="106">
        <v>338.76</v>
      </c>
      <c r="AG12" s="106">
        <v>350.02</v>
      </c>
      <c r="AH12" s="106">
        <v>400.32</v>
      </c>
      <c r="AI12" s="106">
        <v>400.4</v>
      </c>
      <c r="AJ12" s="774"/>
      <c r="AK12" s="38"/>
      <c r="AL12" s="176"/>
    </row>
    <row r="13" spans="1:38" x14ac:dyDescent="0.25">
      <c r="A13" s="11">
        <v>11</v>
      </c>
      <c r="B13" s="106">
        <v>500</v>
      </c>
      <c r="C13" s="106">
        <v>480.4</v>
      </c>
      <c r="D13" s="106">
        <v>500</v>
      </c>
      <c r="E13" s="106">
        <v>418.72</v>
      </c>
      <c r="F13" s="106">
        <v>500</v>
      </c>
      <c r="G13" s="106">
        <v>500</v>
      </c>
      <c r="H13" s="106">
        <v>500</v>
      </c>
      <c r="I13" s="37"/>
      <c r="J13" s="106">
        <v>500</v>
      </c>
      <c r="K13" s="106">
        <v>500</v>
      </c>
      <c r="L13" s="106">
        <v>500</v>
      </c>
      <c r="M13" s="106">
        <v>500</v>
      </c>
      <c r="N13" s="106">
        <v>500</v>
      </c>
      <c r="O13" s="106">
        <v>500</v>
      </c>
      <c r="P13" s="106">
        <v>500</v>
      </c>
      <c r="Q13" s="774"/>
      <c r="R13" s="106">
        <v>500</v>
      </c>
      <c r="S13" s="106">
        <v>400</v>
      </c>
      <c r="T13" s="106" t="s">
        <v>289</v>
      </c>
      <c r="U13" s="106" t="s">
        <v>289</v>
      </c>
      <c r="V13" s="106">
        <v>347.88</v>
      </c>
      <c r="W13" s="106">
        <v>473.19</v>
      </c>
      <c r="X13" s="106">
        <v>500</v>
      </c>
      <c r="Y13" s="774"/>
      <c r="Z13" s="106">
        <v>500</v>
      </c>
      <c r="AA13" s="106">
        <v>700.1</v>
      </c>
      <c r="AB13" s="106">
        <v>487.72</v>
      </c>
      <c r="AC13" s="106">
        <v>500</v>
      </c>
      <c r="AD13" s="106">
        <v>500</v>
      </c>
      <c r="AE13" s="106">
        <v>400</v>
      </c>
      <c r="AF13" s="106">
        <v>401.45</v>
      </c>
      <c r="AG13" s="106">
        <v>500.14</v>
      </c>
      <c r="AH13" s="106">
        <v>400.24</v>
      </c>
      <c r="AI13" s="106">
        <v>499.83</v>
      </c>
      <c r="AJ13" s="774"/>
      <c r="AK13" s="38"/>
      <c r="AL13" s="176" t="s">
        <v>384</v>
      </c>
    </row>
    <row r="14" spans="1:38" x14ac:dyDescent="0.25">
      <c r="A14" s="11">
        <v>12</v>
      </c>
      <c r="B14" s="106" t="s">
        <v>289</v>
      </c>
      <c r="C14" s="106" t="s">
        <v>289</v>
      </c>
      <c r="D14" s="106" t="s">
        <v>289</v>
      </c>
      <c r="E14" s="106" t="s">
        <v>289</v>
      </c>
      <c r="F14" s="106" t="s">
        <v>289</v>
      </c>
      <c r="G14" s="106" t="s">
        <v>289</v>
      </c>
      <c r="H14" s="106" t="s">
        <v>289</v>
      </c>
      <c r="I14" s="37"/>
      <c r="J14" s="106" t="s">
        <v>289</v>
      </c>
      <c r="K14" s="106" t="s">
        <v>289</v>
      </c>
      <c r="L14" s="106" t="s">
        <v>289</v>
      </c>
      <c r="M14" s="106" t="s">
        <v>289</v>
      </c>
      <c r="N14" s="106" t="s">
        <v>289</v>
      </c>
      <c r="O14" s="106" t="s">
        <v>289</v>
      </c>
      <c r="P14" s="106" t="s">
        <v>289</v>
      </c>
      <c r="Q14" s="774"/>
      <c r="R14" s="106" t="s">
        <v>289</v>
      </c>
      <c r="S14" s="106" t="s">
        <v>289</v>
      </c>
      <c r="T14" s="106" t="s">
        <v>289</v>
      </c>
      <c r="U14" s="106" t="s">
        <v>289</v>
      </c>
      <c r="V14" s="106" t="s">
        <v>289</v>
      </c>
      <c r="W14" s="106" t="s">
        <v>289</v>
      </c>
      <c r="X14" s="106" t="s">
        <v>289</v>
      </c>
      <c r="Y14" s="774"/>
      <c r="Z14" s="106" t="s">
        <v>289</v>
      </c>
      <c r="AA14" s="106" t="s">
        <v>289</v>
      </c>
      <c r="AB14" s="106" t="s">
        <v>289</v>
      </c>
      <c r="AC14" s="106" t="s">
        <v>289</v>
      </c>
      <c r="AD14" s="106" t="s">
        <v>289</v>
      </c>
      <c r="AE14" s="106" t="s">
        <v>289</v>
      </c>
      <c r="AF14" s="106" t="s">
        <v>289</v>
      </c>
      <c r="AG14" s="106" t="s">
        <v>289</v>
      </c>
      <c r="AH14" s="106" t="s">
        <v>289</v>
      </c>
      <c r="AI14" s="106" t="s">
        <v>289</v>
      </c>
      <c r="AJ14" s="774"/>
      <c r="AK14" s="38"/>
      <c r="AL14" s="176" t="s">
        <v>385</v>
      </c>
    </row>
    <row r="15" spans="1:38" x14ac:dyDescent="0.25">
      <c r="A15" s="11">
        <v>13</v>
      </c>
      <c r="B15" s="106">
        <v>500</v>
      </c>
      <c r="C15" s="106">
        <v>500</v>
      </c>
      <c r="D15" s="106">
        <v>500</v>
      </c>
      <c r="E15" s="106">
        <v>500</v>
      </c>
      <c r="F15" s="106">
        <v>500</v>
      </c>
      <c r="G15" s="106">
        <v>500</v>
      </c>
      <c r="H15" s="106">
        <v>400</v>
      </c>
      <c r="I15" s="37"/>
      <c r="J15" s="106">
        <v>500</v>
      </c>
      <c r="K15" s="106">
        <v>500</v>
      </c>
      <c r="L15" s="106">
        <v>500</v>
      </c>
      <c r="M15" s="106">
        <v>453.06</v>
      </c>
      <c r="N15" s="106">
        <v>500</v>
      </c>
      <c r="O15" s="106">
        <v>487.25</v>
      </c>
      <c r="P15" s="106">
        <v>244.48</v>
      </c>
      <c r="Q15" s="774"/>
      <c r="R15" s="106">
        <v>209.47</v>
      </c>
      <c r="S15" s="106">
        <v>500</v>
      </c>
      <c r="T15" s="106">
        <v>419.35</v>
      </c>
      <c r="U15" s="106">
        <v>400</v>
      </c>
      <c r="V15" s="106">
        <v>400</v>
      </c>
      <c r="W15" s="106">
        <v>500</v>
      </c>
      <c r="X15" s="106">
        <v>472.08</v>
      </c>
      <c r="Y15" s="774"/>
      <c r="Z15" s="106">
        <v>415.56</v>
      </c>
      <c r="AA15" s="106">
        <v>191.8</v>
      </c>
      <c r="AB15" s="106">
        <v>362.28</v>
      </c>
      <c r="AC15" s="106">
        <v>500</v>
      </c>
      <c r="AD15" s="106">
        <v>460.19</v>
      </c>
      <c r="AE15" s="106">
        <v>221.06</v>
      </c>
      <c r="AF15" s="106">
        <v>342.38</v>
      </c>
      <c r="AG15" s="106">
        <v>399.85</v>
      </c>
      <c r="AH15" s="106">
        <v>399.96</v>
      </c>
      <c r="AI15" s="106">
        <v>466.06</v>
      </c>
      <c r="AJ15" s="774"/>
      <c r="AK15" s="38"/>
      <c r="AL15" s="176" t="s">
        <v>386</v>
      </c>
    </row>
    <row r="16" spans="1:38" x14ac:dyDescent="0.25">
      <c r="A16" s="11">
        <v>14</v>
      </c>
      <c r="B16" s="106">
        <v>400</v>
      </c>
      <c r="C16" s="106">
        <v>500</v>
      </c>
      <c r="D16" s="106">
        <v>500</v>
      </c>
      <c r="E16" s="106" t="s">
        <v>289</v>
      </c>
      <c r="F16" s="106">
        <v>500</v>
      </c>
      <c r="G16" s="106">
        <v>500</v>
      </c>
      <c r="H16" s="106">
        <v>500</v>
      </c>
      <c r="I16" s="37"/>
      <c r="J16" s="106">
        <v>217.77</v>
      </c>
      <c r="K16" s="106">
        <v>470.12</v>
      </c>
      <c r="L16" s="106">
        <v>500</v>
      </c>
      <c r="M16" s="106">
        <v>400</v>
      </c>
      <c r="N16" s="106">
        <v>500</v>
      </c>
      <c r="O16" s="106">
        <v>500</v>
      </c>
      <c r="P16" s="106">
        <v>501.39</v>
      </c>
      <c r="Q16" s="774"/>
      <c r="R16" s="106">
        <v>500</v>
      </c>
      <c r="S16" s="106">
        <v>500</v>
      </c>
      <c r="T16" s="106">
        <v>500</v>
      </c>
      <c r="U16" s="106">
        <v>500</v>
      </c>
      <c r="V16" s="106">
        <v>400</v>
      </c>
      <c r="W16" s="106">
        <v>500</v>
      </c>
      <c r="X16" s="106">
        <v>500</v>
      </c>
      <c r="Y16" s="774"/>
      <c r="Z16" s="106">
        <v>500</v>
      </c>
      <c r="AA16" s="106">
        <v>500.1</v>
      </c>
      <c r="AB16" s="106">
        <v>500</v>
      </c>
      <c r="AC16" s="106">
        <v>500</v>
      </c>
      <c r="AD16" s="106">
        <v>424.36</v>
      </c>
      <c r="AE16" s="106">
        <v>250.65</v>
      </c>
      <c r="AF16" s="106">
        <v>299.32</v>
      </c>
      <c r="AG16" s="106">
        <v>300.56</v>
      </c>
      <c r="AH16" s="106">
        <v>249.92</v>
      </c>
      <c r="AI16" s="106">
        <v>450.62</v>
      </c>
      <c r="AJ16" s="774"/>
      <c r="AK16" s="38"/>
      <c r="AL16" s="197"/>
    </row>
    <row r="17" spans="1:38" x14ac:dyDescent="0.25">
      <c r="A17" s="11">
        <v>15</v>
      </c>
      <c r="B17" s="106">
        <v>400</v>
      </c>
      <c r="C17" s="106">
        <v>500</v>
      </c>
      <c r="D17" s="106">
        <v>422.73</v>
      </c>
      <c r="E17" s="106">
        <v>349.78</v>
      </c>
      <c r="F17" s="106">
        <v>467.09</v>
      </c>
      <c r="G17" s="106">
        <v>143.71</v>
      </c>
      <c r="H17" s="106">
        <v>316.33999999999997</v>
      </c>
      <c r="I17" s="37"/>
      <c r="J17" s="106">
        <v>500</v>
      </c>
      <c r="K17" s="106">
        <v>414.17</v>
      </c>
      <c r="L17" s="106">
        <v>392.62</v>
      </c>
      <c r="M17" s="106">
        <v>342.24</v>
      </c>
      <c r="N17" s="106">
        <v>500</v>
      </c>
      <c r="O17" s="106">
        <v>500</v>
      </c>
      <c r="P17" s="106">
        <v>400</v>
      </c>
      <c r="Q17" s="774"/>
      <c r="R17" s="106">
        <v>400</v>
      </c>
      <c r="S17" s="106">
        <v>442.79</v>
      </c>
      <c r="T17" s="106">
        <v>358.81</v>
      </c>
      <c r="U17" s="106">
        <v>400</v>
      </c>
      <c r="V17" s="106">
        <v>400</v>
      </c>
      <c r="W17" s="106">
        <v>393.9</v>
      </c>
      <c r="X17" s="106">
        <v>500</v>
      </c>
      <c r="Y17" s="774"/>
      <c r="Z17" s="106">
        <v>126.61</v>
      </c>
      <c r="AA17" s="106">
        <v>141.69999999999999</v>
      </c>
      <c r="AB17" s="106" t="s">
        <v>289</v>
      </c>
      <c r="AC17" s="106">
        <v>96.92</v>
      </c>
      <c r="AD17" s="106">
        <v>13.47</v>
      </c>
      <c r="AE17" s="106">
        <v>250</v>
      </c>
      <c r="AF17" s="106">
        <v>16.25</v>
      </c>
      <c r="AG17" s="106">
        <v>165.63</v>
      </c>
      <c r="AH17" s="106">
        <v>390.91</v>
      </c>
      <c r="AI17" s="106">
        <v>400.56</v>
      </c>
      <c r="AJ17" s="774"/>
      <c r="AK17" s="38"/>
      <c r="AL17" s="197"/>
    </row>
    <row r="18" spans="1:38" x14ac:dyDescent="0.25">
      <c r="A18" s="11">
        <v>16</v>
      </c>
      <c r="B18" s="109" t="s">
        <v>291</v>
      </c>
      <c r="C18" s="109" t="s">
        <v>291</v>
      </c>
      <c r="D18" s="109" t="s">
        <v>291</v>
      </c>
      <c r="E18" s="109" t="s">
        <v>291</v>
      </c>
      <c r="F18" s="109" t="s">
        <v>291</v>
      </c>
      <c r="G18" s="109" t="s">
        <v>291</v>
      </c>
      <c r="H18" s="109" t="s">
        <v>291</v>
      </c>
      <c r="I18" s="39" t="s">
        <v>291</v>
      </c>
      <c r="J18" s="109" t="s">
        <v>291</v>
      </c>
      <c r="K18" s="109" t="s">
        <v>291</v>
      </c>
      <c r="L18" s="109" t="s">
        <v>291</v>
      </c>
      <c r="M18" s="109" t="s">
        <v>291</v>
      </c>
      <c r="N18" s="109" t="s">
        <v>291</v>
      </c>
      <c r="O18" s="109" t="s">
        <v>291</v>
      </c>
      <c r="P18" s="109" t="s">
        <v>291</v>
      </c>
      <c r="Q18" s="39" t="s">
        <v>291</v>
      </c>
      <c r="R18" s="109" t="s">
        <v>291</v>
      </c>
      <c r="S18" s="109" t="s">
        <v>291</v>
      </c>
      <c r="T18" s="109" t="s">
        <v>291</v>
      </c>
      <c r="U18" s="109" t="s">
        <v>291</v>
      </c>
      <c r="V18" s="109" t="s">
        <v>291</v>
      </c>
      <c r="W18" s="109" t="s">
        <v>291</v>
      </c>
      <c r="X18" s="109" t="s">
        <v>291</v>
      </c>
      <c r="Y18" s="39" t="s">
        <v>291</v>
      </c>
      <c r="Z18" s="109" t="s">
        <v>291</v>
      </c>
      <c r="AA18" s="109" t="s">
        <v>291</v>
      </c>
      <c r="AB18" s="109" t="s">
        <v>291</v>
      </c>
      <c r="AC18" s="109" t="s">
        <v>291</v>
      </c>
      <c r="AD18" s="109" t="s">
        <v>291</v>
      </c>
      <c r="AE18" s="109" t="s">
        <v>291</v>
      </c>
      <c r="AF18" s="109" t="s">
        <v>291</v>
      </c>
      <c r="AG18" s="109" t="s">
        <v>291</v>
      </c>
      <c r="AH18" s="109" t="s">
        <v>291</v>
      </c>
      <c r="AI18" s="109" t="s">
        <v>291</v>
      </c>
      <c r="AJ18" s="39" t="s">
        <v>291</v>
      </c>
      <c r="AK18" s="41"/>
      <c r="AL18" s="202"/>
    </row>
    <row r="19" spans="1:38" x14ac:dyDescent="0.25">
      <c r="A19" s="11">
        <v>17</v>
      </c>
      <c r="B19" s="106">
        <v>400</v>
      </c>
      <c r="C19" s="106">
        <v>500</v>
      </c>
      <c r="D19" s="106">
        <v>400</v>
      </c>
      <c r="E19" s="106">
        <v>500</v>
      </c>
      <c r="F19" s="106">
        <v>186.07</v>
      </c>
      <c r="G19" s="106">
        <v>422.23</v>
      </c>
      <c r="H19" s="106">
        <v>374.37</v>
      </c>
      <c r="I19" s="37"/>
      <c r="J19" s="106">
        <v>466.85</v>
      </c>
      <c r="K19" s="106">
        <v>345.31</v>
      </c>
      <c r="L19" s="106">
        <v>406.14</v>
      </c>
      <c r="M19" s="106">
        <v>380.11</v>
      </c>
      <c r="N19" s="106">
        <v>411.16</v>
      </c>
      <c r="O19" s="106">
        <v>400</v>
      </c>
      <c r="P19" s="106">
        <v>459.15</v>
      </c>
      <c r="Q19" s="774"/>
      <c r="R19" s="106">
        <v>400</v>
      </c>
      <c r="S19" s="106">
        <v>434.85</v>
      </c>
      <c r="T19" s="106">
        <v>354.81</v>
      </c>
      <c r="U19" s="106">
        <v>400</v>
      </c>
      <c r="V19" s="106">
        <v>400</v>
      </c>
      <c r="W19" s="106">
        <v>500</v>
      </c>
      <c r="X19" s="106">
        <v>310.56</v>
      </c>
      <c r="Y19" s="774"/>
      <c r="Z19" s="106">
        <v>400</v>
      </c>
      <c r="AA19" s="106">
        <v>500.1</v>
      </c>
      <c r="AB19" s="106" t="s">
        <v>289</v>
      </c>
      <c r="AC19" s="106" t="s">
        <v>289</v>
      </c>
      <c r="AD19" s="106" t="s">
        <v>289</v>
      </c>
      <c r="AE19" s="106">
        <v>400</v>
      </c>
      <c r="AF19" s="106" t="s">
        <v>289</v>
      </c>
      <c r="AG19" s="106">
        <v>200.24</v>
      </c>
      <c r="AH19" s="106">
        <v>275.45</v>
      </c>
      <c r="AI19" s="106" t="s">
        <v>289</v>
      </c>
      <c r="AJ19" s="774"/>
      <c r="AK19" s="38"/>
      <c r="AL19" s="197"/>
    </row>
    <row r="20" spans="1:38" x14ac:dyDescent="0.25">
      <c r="A20" s="11">
        <v>18</v>
      </c>
      <c r="B20" s="106" t="s">
        <v>289</v>
      </c>
      <c r="C20" s="106" t="s">
        <v>289</v>
      </c>
      <c r="D20" s="106" t="s">
        <v>289</v>
      </c>
      <c r="E20" s="106" t="s">
        <v>289</v>
      </c>
      <c r="F20" s="106" t="s">
        <v>289</v>
      </c>
      <c r="G20" s="106" t="s">
        <v>289</v>
      </c>
      <c r="H20" s="106" t="s">
        <v>289</v>
      </c>
      <c r="I20" s="37"/>
      <c r="J20" s="106" t="s">
        <v>289</v>
      </c>
      <c r="K20" s="106" t="s">
        <v>289</v>
      </c>
      <c r="L20" s="106" t="s">
        <v>289</v>
      </c>
      <c r="M20" s="106" t="s">
        <v>289</v>
      </c>
      <c r="N20" s="106" t="s">
        <v>289</v>
      </c>
      <c r="O20" s="106" t="s">
        <v>289</v>
      </c>
      <c r="P20" s="106" t="s">
        <v>289</v>
      </c>
      <c r="Q20" s="774"/>
      <c r="R20" s="106" t="s">
        <v>289</v>
      </c>
      <c r="S20" s="106" t="s">
        <v>289</v>
      </c>
      <c r="T20" s="106" t="s">
        <v>289</v>
      </c>
      <c r="U20" s="106" t="s">
        <v>289</v>
      </c>
      <c r="V20" s="106" t="s">
        <v>289</v>
      </c>
      <c r="W20" s="106" t="s">
        <v>289</v>
      </c>
      <c r="X20" s="106" t="s">
        <v>289</v>
      </c>
      <c r="Y20" s="774"/>
      <c r="Z20" s="106" t="s">
        <v>289</v>
      </c>
      <c r="AA20" s="106" t="s">
        <v>289</v>
      </c>
      <c r="AB20" s="106" t="s">
        <v>289</v>
      </c>
      <c r="AC20" s="106" t="s">
        <v>289</v>
      </c>
      <c r="AD20" s="106" t="s">
        <v>289</v>
      </c>
      <c r="AE20" s="106" t="s">
        <v>289</v>
      </c>
      <c r="AF20" s="106" t="s">
        <v>289</v>
      </c>
      <c r="AG20" s="106" t="s">
        <v>289</v>
      </c>
      <c r="AH20" s="106" t="s">
        <v>289</v>
      </c>
      <c r="AI20" s="106" t="s">
        <v>289</v>
      </c>
      <c r="AJ20" s="774"/>
      <c r="AK20" s="38"/>
      <c r="AL20" s="197"/>
    </row>
    <row r="21" spans="1:38" x14ac:dyDescent="0.25">
      <c r="A21" s="11">
        <v>19</v>
      </c>
      <c r="B21" s="106" t="s">
        <v>289</v>
      </c>
      <c r="C21" s="106" t="s">
        <v>289</v>
      </c>
      <c r="D21" s="106" t="s">
        <v>289</v>
      </c>
      <c r="E21" s="106" t="s">
        <v>289</v>
      </c>
      <c r="F21" s="106" t="s">
        <v>289</v>
      </c>
      <c r="G21" s="106" t="s">
        <v>289</v>
      </c>
      <c r="H21" s="106" t="s">
        <v>289</v>
      </c>
      <c r="I21" s="37"/>
      <c r="J21" s="106" t="s">
        <v>289</v>
      </c>
      <c r="K21" s="106" t="s">
        <v>289</v>
      </c>
      <c r="L21" s="106" t="s">
        <v>289</v>
      </c>
      <c r="M21" s="106" t="s">
        <v>289</v>
      </c>
      <c r="N21" s="106" t="s">
        <v>289</v>
      </c>
      <c r="O21" s="106" t="s">
        <v>289</v>
      </c>
      <c r="P21" s="106" t="s">
        <v>289</v>
      </c>
      <c r="Q21" s="774"/>
      <c r="R21" s="106" t="s">
        <v>289</v>
      </c>
      <c r="S21" s="106" t="s">
        <v>289</v>
      </c>
      <c r="T21" s="106" t="s">
        <v>289</v>
      </c>
      <c r="U21" s="106" t="s">
        <v>289</v>
      </c>
      <c r="V21" s="106" t="s">
        <v>289</v>
      </c>
      <c r="W21" s="106" t="s">
        <v>289</v>
      </c>
      <c r="X21" s="106" t="s">
        <v>289</v>
      </c>
      <c r="Y21" s="774"/>
      <c r="Z21" s="106" t="s">
        <v>289</v>
      </c>
      <c r="AA21" s="106" t="s">
        <v>289</v>
      </c>
      <c r="AB21" s="106" t="s">
        <v>289</v>
      </c>
      <c r="AC21" s="106" t="s">
        <v>289</v>
      </c>
      <c r="AD21" s="106" t="s">
        <v>289</v>
      </c>
      <c r="AE21" s="106" t="s">
        <v>289</v>
      </c>
      <c r="AF21" s="106" t="s">
        <v>289</v>
      </c>
      <c r="AG21" s="106" t="s">
        <v>289</v>
      </c>
      <c r="AH21" s="106" t="s">
        <v>289</v>
      </c>
      <c r="AI21" s="106" t="s">
        <v>289</v>
      </c>
      <c r="AJ21" s="774"/>
      <c r="AK21" s="38"/>
      <c r="AL21" s="197"/>
    </row>
    <row r="22" spans="1:38" x14ac:dyDescent="0.25">
      <c r="A22" s="11">
        <v>20</v>
      </c>
      <c r="B22" s="106" t="s">
        <v>289</v>
      </c>
      <c r="C22" s="106" t="s">
        <v>289</v>
      </c>
      <c r="D22" s="106" t="s">
        <v>289</v>
      </c>
      <c r="E22" s="106" t="s">
        <v>289</v>
      </c>
      <c r="F22" s="106" t="s">
        <v>289</v>
      </c>
      <c r="G22" s="106" t="s">
        <v>289</v>
      </c>
      <c r="H22" s="106" t="s">
        <v>289</v>
      </c>
      <c r="I22" s="37"/>
      <c r="J22" s="106" t="s">
        <v>289</v>
      </c>
      <c r="K22" s="106" t="s">
        <v>289</v>
      </c>
      <c r="L22" s="106" t="s">
        <v>289</v>
      </c>
      <c r="M22" s="106" t="s">
        <v>289</v>
      </c>
      <c r="N22" s="106" t="s">
        <v>289</v>
      </c>
      <c r="O22" s="106" t="s">
        <v>289</v>
      </c>
      <c r="P22" s="106">
        <v>300</v>
      </c>
      <c r="Q22" s="774"/>
      <c r="R22" s="106" t="s">
        <v>289</v>
      </c>
      <c r="S22" s="106" t="s">
        <v>289</v>
      </c>
      <c r="T22" s="106">
        <v>500</v>
      </c>
      <c r="U22" s="106">
        <v>400</v>
      </c>
      <c r="V22" s="106">
        <v>300</v>
      </c>
      <c r="W22" s="106">
        <v>500</v>
      </c>
      <c r="X22" s="106">
        <v>400</v>
      </c>
      <c r="Y22" s="774"/>
      <c r="Z22" s="106">
        <v>500</v>
      </c>
      <c r="AA22" s="106">
        <v>700.2</v>
      </c>
      <c r="AB22" s="106">
        <v>400.14</v>
      </c>
      <c r="AC22" s="106">
        <v>450.44</v>
      </c>
      <c r="AD22" s="106">
        <v>500</v>
      </c>
      <c r="AE22" s="106">
        <v>362.76</v>
      </c>
      <c r="AF22" s="106">
        <v>398.65</v>
      </c>
      <c r="AG22" s="106">
        <v>450.04</v>
      </c>
      <c r="AH22" s="106">
        <v>249.94</v>
      </c>
      <c r="AI22" s="106" t="s">
        <v>289</v>
      </c>
      <c r="AJ22" s="774"/>
      <c r="AK22" s="38"/>
      <c r="AL22" s="197"/>
    </row>
    <row r="23" spans="1:38" x14ac:dyDescent="0.25">
      <c r="A23" s="11">
        <v>21</v>
      </c>
      <c r="B23" s="900" t="s">
        <v>369</v>
      </c>
      <c r="C23" s="900" t="s">
        <v>369</v>
      </c>
      <c r="D23" s="900" t="s">
        <v>369</v>
      </c>
      <c r="E23" s="900" t="s">
        <v>369</v>
      </c>
      <c r="F23" s="900" t="s">
        <v>369</v>
      </c>
      <c r="G23" s="900" t="s">
        <v>369</v>
      </c>
      <c r="H23" s="900" t="s">
        <v>369</v>
      </c>
      <c r="I23" s="182" t="s">
        <v>422</v>
      </c>
      <c r="J23" s="900" t="s">
        <v>369</v>
      </c>
      <c r="K23" s="900" t="s">
        <v>369</v>
      </c>
      <c r="L23" s="900" t="s">
        <v>369</v>
      </c>
      <c r="M23" s="900" t="s">
        <v>369</v>
      </c>
      <c r="N23" s="900" t="s">
        <v>369</v>
      </c>
      <c r="O23" s="900" t="s">
        <v>369</v>
      </c>
      <c r="P23" s="900" t="s">
        <v>369</v>
      </c>
      <c r="Q23" s="182" t="s">
        <v>422</v>
      </c>
      <c r="R23" s="900" t="s">
        <v>369</v>
      </c>
      <c r="S23" s="900" t="s">
        <v>369</v>
      </c>
      <c r="T23" s="900" t="s">
        <v>369</v>
      </c>
      <c r="U23" s="900" t="s">
        <v>369</v>
      </c>
      <c r="V23" s="900" t="s">
        <v>369</v>
      </c>
      <c r="W23" s="900" t="s">
        <v>369</v>
      </c>
      <c r="X23" s="900" t="s">
        <v>369</v>
      </c>
      <c r="Y23" s="182" t="s">
        <v>422</v>
      </c>
      <c r="Z23" s="900" t="s">
        <v>369</v>
      </c>
      <c r="AA23" s="900" t="s">
        <v>369</v>
      </c>
      <c r="AB23" s="900" t="s">
        <v>369</v>
      </c>
      <c r="AC23" s="900" t="s">
        <v>369</v>
      </c>
      <c r="AD23" s="900" t="s">
        <v>369</v>
      </c>
      <c r="AE23" s="900" t="s">
        <v>369</v>
      </c>
      <c r="AF23" s="900" t="s">
        <v>369</v>
      </c>
      <c r="AG23" s="900" t="s">
        <v>369</v>
      </c>
      <c r="AH23" s="900" t="s">
        <v>369</v>
      </c>
      <c r="AI23" s="900" t="s">
        <v>369</v>
      </c>
      <c r="AJ23" s="182" t="s">
        <v>422</v>
      </c>
      <c r="AK23" s="38"/>
      <c r="AL23" s="197"/>
    </row>
    <row r="24" spans="1:38" x14ac:dyDescent="0.25">
      <c r="A24" s="11">
        <v>22</v>
      </c>
      <c r="B24" s="106" t="s">
        <v>289</v>
      </c>
      <c r="C24" s="106" t="s">
        <v>289</v>
      </c>
      <c r="D24" s="106" t="s">
        <v>289</v>
      </c>
      <c r="E24" s="106" t="s">
        <v>289</v>
      </c>
      <c r="F24" s="106" t="s">
        <v>289</v>
      </c>
      <c r="G24" s="106" t="s">
        <v>289</v>
      </c>
      <c r="H24" s="106" t="s">
        <v>289</v>
      </c>
      <c r="I24" s="37"/>
      <c r="J24" s="106" t="s">
        <v>289</v>
      </c>
      <c r="K24" s="106" t="s">
        <v>289</v>
      </c>
      <c r="L24" s="106" t="s">
        <v>289</v>
      </c>
      <c r="M24" s="106" t="s">
        <v>289</v>
      </c>
      <c r="N24" s="106" t="s">
        <v>289</v>
      </c>
      <c r="O24" s="106" t="s">
        <v>289</v>
      </c>
      <c r="P24" s="106" t="s">
        <v>289</v>
      </c>
      <c r="Q24" s="774"/>
      <c r="R24" s="106" t="s">
        <v>289</v>
      </c>
      <c r="S24" s="106" t="s">
        <v>289</v>
      </c>
      <c r="T24" s="106" t="s">
        <v>289</v>
      </c>
      <c r="U24" s="106" t="s">
        <v>289</v>
      </c>
      <c r="V24" s="106" t="s">
        <v>289</v>
      </c>
      <c r="W24" s="106" t="s">
        <v>289</v>
      </c>
      <c r="X24" s="106" t="s">
        <v>289</v>
      </c>
      <c r="Y24" s="774"/>
      <c r="Z24" s="106" t="s">
        <v>289</v>
      </c>
      <c r="AA24" s="106" t="s">
        <v>289</v>
      </c>
      <c r="AB24" s="106" t="s">
        <v>289</v>
      </c>
      <c r="AC24" s="106" t="s">
        <v>289</v>
      </c>
      <c r="AD24" s="106" t="s">
        <v>289</v>
      </c>
      <c r="AE24" s="106" t="s">
        <v>289</v>
      </c>
      <c r="AF24" s="106" t="s">
        <v>289</v>
      </c>
      <c r="AG24" s="106" t="s">
        <v>289</v>
      </c>
      <c r="AH24" s="106" t="s">
        <v>289</v>
      </c>
      <c r="AI24" s="106" t="s">
        <v>289</v>
      </c>
      <c r="AJ24" s="774"/>
      <c r="AK24" s="38"/>
      <c r="AL24" s="197"/>
    </row>
    <row r="25" spans="1:38" x14ac:dyDescent="0.25">
      <c r="A25" s="11">
        <v>23</v>
      </c>
      <c r="B25" s="900" t="s">
        <v>369</v>
      </c>
      <c r="C25" s="900" t="s">
        <v>369</v>
      </c>
      <c r="D25" s="900" t="s">
        <v>369</v>
      </c>
      <c r="E25" s="900" t="s">
        <v>369</v>
      </c>
      <c r="F25" s="900" t="s">
        <v>369</v>
      </c>
      <c r="G25" s="900" t="s">
        <v>369</v>
      </c>
      <c r="H25" s="900" t="s">
        <v>369</v>
      </c>
      <c r="I25" s="182" t="s">
        <v>422</v>
      </c>
      <c r="J25" s="900" t="s">
        <v>369</v>
      </c>
      <c r="K25" s="900" t="s">
        <v>369</v>
      </c>
      <c r="L25" s="900" t="s">
        <v>369</v>
      </c>
      <c r="M25" s="900" t="s">
        <v>369</v>
      </c>
      <c r="N25" s="900" t="s">
        <v>369</v>
      </c>
      <c r="O25" s="900" t="s">
        <v>369</v>
      </c>
      <c r="P25" s="900" t="s">
        <v>369</v>
      </c>
      <c r="Q25" s="182" t="s">
        <v>422</v>
      </c>
      <c r="R25" s="900" t="s">
        <v>369</v>
      </c>
      <c r="S25" s="900" t="s">
        <v>369</v>
      </c>
      <c r="T25" s="900" t="s">
        <v>369</v>
      </c>
      <c r="U25" s="900" t="s">
        <v>369</v>
      </c>
      <c r="V25" s="900" t="s">
        <v>369</v>
      </c>
      <c r="W25" s="900" t="s">
        <v>369</v>
      </c>
      <c r="X25" s="900" t="s">
        <v>369</v>
      </c>
      <c r="Y25" s="182" t="s">
        <v>422</v>
      </c>
      <c r="Z25" s="900" t="s">
        <v>369</v>
      </c>
      <c r="AA25" s="900" t="s">
        <v>369</v>
      </c>
      <c r="AB25" s="900" t="s">
        <v>369</v>
      </c>
      <c r="AC25" s="900" t="s">
        <v>369</v>
      </c>
      <c r="AD25" s="900" t="s">
        <v>369</v>
      </c>
      <c r="AE25" s="900" t="s">
        <v>369</v>
      </c>
      <c r="AF25" s="900" t="s">
        <v>369</v>
      </c>
      <c r="AG25" s="900" t="s">
        <v>369</v>
      </c>
      <c r="AH25" s="900" t="s">
        <v>369</v>
      </c>
      <c r="AI25" s="900" t="s">
        <v>369</v>
      </c>
      <c r="AJ25" s="182" t="s">
        <v>422</v>
      </c>
      <c r="AK25" s="38"/>
      <c r="AL25" s="197"/>
    </row>
    <row r="26" spans="1:38" x14ac:dyDescent="0.25">
      <c r="A26" s="11">
        <v>24</v>
      </c>
      <c r="B26" s="900" t="s">
        <v>369</v>
      </c>
      <c r="C26" s="900" t="s">
        <v>369</v>
      </c>
      <c r="D26" s="900" t="s">
        <v>369</v>
      </c>
      <c r="E26" s="900" t="s">
        <v>369</v>
      </c>
      <c r="F26" s="900" t="s">
        <v>369</v>
      </c>
      <c r="G26" s="900" t="s">
        <v>369</v>
      </c>
      <c r="H26" s="900" t="s">
        <v>369</v>
      </c>
      <c r="I26" s="182" t="s">
        <v>422</v>
      </c>
      <c r="J26" s="900" t="s">
        <v>369</v>
      </c>
      <c r="K26" s="900" t="s">
        <v>369</v>
      </c>
      <c r="L26" s="900" t="s">
        <v>369</v>
      </c>
      <c r="M26" s="900" t="s">
        <v>369</v>
      </c>
      <c r="N26" s="900" t="s">
        <v>369</v>
      </c>
      <c r="O26" s="900" t="s">
        <v>369</v>
      </c>
      <c r="P26" s="900" t="s">
        <v>369</v>
      </c>
      <c r="Q26" s="182" t="s">
        <v>422</v>
      </c>
      <c r="R26" s="900" t="s">
        <v>369</v>
      </c>
      <c r="S26" s="900" t="s">
        <v>369</v>
      </c>
      <c r="T26" s="900" t="s">
        <v>369</v>
      </c>
      <c r="U26" s="900" t="s">
        <v>369</v>
      </c>
      <c r="V26" s="900" t="s">
        <v>369</v>
      </c>
      <c r="W26" s="900" t="s">
        <v>369</v>
      </c>
      <c r="X26" s="900" t="s">
        <v>369</v>
      </c>
      <c r="Y26" s="182" t="s">
        <v>422</v>
      </c>
      <c r="Z26" s="900" t="s">
        <v>369</v>
      </c>
      <c r="AA26" s="900" t="s">
        <v>369</v>
      </c>
      <c r="AB26" s="900" t="s">
        <v>369</v>
      </c>
      <c r="AC26" s="900" t="s">
        <v>369</v>
      </c>
      <c r="AD26" s="900" t="s">
        <v>369</v>
      </c>
      <c r="AE26" s="900" t="s">
        <v>369</v>
      </c>
      <c r="AF26" s="900" t="s">
        <v>369</v>
      </c>
      <c r="AG26" s="900" t="s">
        <v>369</v>
      </c>
      <c r="AH26" s="900" t="s">
        <v>369</v>
      </c>
      <c r="AI26" s="900" t="s">
        <v>369</v>
      </c>
      <c r="AJ26" s="182" t="s">
        <v>422</v>
      </c>
      <c r="AK26" s="38"/>
      <c r="AL26" s="197"/>
    </row>
    <row r="27" spans="1:38" x14ac:dyDescent="0.25">
      <c r="A27" s="11">
        <v>25</v>
      </c>
      <c r="B27" s="900" t="s">
        <v>369</v>
      </c>
      <c r="C27" s="900" t="s">
        <v>369</v>
      </c>
      <c r="D27" s="900" t="s">
        <v>369</v>
      </c>
      <c r="E27" s="900" t="s">
        <v>369</v>
      </c>
      <c r="F27" s="900" t="s">
        <v>369</v>
      </c>
      <c r="G27" s="900" t="s">
        <v>369</v>
      </c>
      <c r="H27" s="900" t="s">
        <v>369</v>
      </c>
      <c r="I27" s="182" t="s">
        <v>422</v>
      </c>
      <c r="J27" s="900" t="s">
        <v>369</v>
      </c>
      <c r="K27" s="900" t="s">
        <v>369</v>
      </c>
      <c r="L27" s="900" t="s">
        <v>369</v>
      </c>
      <c r="M27" s="900" t="s">
        <v>369</v>
      </c>
      <c r="N27" s="900" t="s">
        <v>369</v>
      </c>
      <c r="O27" s="900" t="s">
        <v>369</v>
      </c>
      <c r="P27" s="900" t="s">
        <v>369</v>
      </c>
      <c r="Q27" s="182" t="s">
        <v>422</v>
      </c>
      <c r="R27" s="900" t="s">
        <v>369</v>
      </c>
      <c r="S27" s="900" t="s">
        <v>369</v>
      </c>
      <c r="T27" s="900" t="s">
        <v>369</v>
      </c>
      <c r="U27" s="900" t="s">
        <v>369</v>
      </c>
      <c r="V27" s="900" t="s">
        <v>369</v>
      </c>
      <c r="W27" s="900" t="s">
        <v>369</v>
      </c>
      <c r="X27" s="900" t="s">
        <v>369</v>
      </c>
      <c r="Y27" s="182" t="s">
        <v>422</v>
      </c>
      <c r="Z27" s="900" t="s">
        <v>369</v>
      </c>
      <c r="AA27" s="900" t="s">
        <v>369</v>
      </c>
      <c r="AB27" s="900" t="s">
        <v>369</v>
      </c>
      <c r="AC27" s="900" t="s">
        <v>369</v>
      </c>
      <c r="AD27" s="900" t="s">
        <v>369</v>
      </c>
      <c r="AE27" s="900" t="s">
        <v>369</v>
      </c>
      <c r="AF27" s="900" t="s">
        <v>369</v>
      </c>
      <c r="AG27" s="900" t="s">
        <v>369</v>
      </c>
      <c r="AH27" s="900" t="s">
        <v>369</v>
      </c>
      <c r="AI27" s="900" t="s">
        <v>369</v>
      </c>
      <c r="AJ27" s="182" t="s">
        <v>422</v>
      </c>
      <c r="AK27" s="38"/>
      <c r="AL27" s="197"/>
    </row>
    <row r="28" spans="1:38" x14ac:dyDescent="0.25">
      <c r="A28" s="11">
        <v>26</v>
      </c>
      <c r="B28" s="587" t="s">
        <v>290</v>
      </c>
      <c r="C28" s="587" t="s">
        <v>290</v>
      </c>
      <c r="D28" s="587" t="s">
        <v>290</v>
      </c>
      <c r="E28" s="587" t="s">
        <v>290</v>
      </c>
      <c r="F28" s="587" t="s">
        <v>290</v>
      </c>
      <c r="G28" s="587" t="s">
        <v>290</v>
      </c>
      <c r="H28" s="587" t="s">
        <v>290</v>
      </c>
      <c r="I28" s="182" t="s">
        <v>290</v>
      </c>
      <c r="J28" s="587" t="s">
        <v>290</v>
      </c>
      <c r="K28" s="587" t="s">
        <v>290</v>
      </c>
      <c r="L28" s="587" t="s">
        <v>290</v>
      </c>
      <c r="M28" s="587" t="s">
        <v>290</v>
      </c>
      <c r="N28" s="587" t="s">
        <v>290</v>
      </c>
      <c r="O28" s="587" t="s">
        <v>290</v>
      </c>
      <c r="P28" s="587" t="s">
        <v>290</v>
      </c>
      <c r="Q28" s="182" t="s">
        <v>290</v>
      </c>
      <c r="R28" s="587" t="s">
        <v>290</v>
      </c>
      <c r="S28" s="587" t="s">
        <v>290</v>
      </c>
      <c r="T28" s="587" t="s">
        <v>290</v>
      </c>
      <c r="U28" s="587" t="s">
        <v>290</v>
      </c>
      <c r="V28" s="587" t="s">
        <v>290</v>
      </c>
      <c r="W28" s="587" t="s">
        <v>290</v>
      </c>
      <c r="X28" s="587" t="s">
        <v>290</v>
      </c>
      <c r="Y28" s="182" t="s">
        <v>290</v>
      </c>
      <c r="Z28" s="587" t="s">
        <v>290</v>
      </c>
      <c r="AA28" s="587" t="s">
        <v>290</v>
      </c>
      <c r="AB28" s="587" t="s">
        <v>290</v>
      </c>
      <c r="AC28" s="587" t="s">
        <v>290</v>
      </c>
      <c r="AD28" s="587" t="s">
        <v>290</v>
      </c>
      <c r="AE28" s="587" t="s">
        <v>290</v>
      </c>
      <c r="AF28" s="587" t="s">
        <v>290</v>
      </c>
      <c r="AG28" s="587" t="s">
        <v>290</v>
      </c>
      <c r="AH28" s="587" t="s">
        <v>290</v>
      </c>
      <c r="AI28" s="587" t="s">
        <v>290</v>
      </c>
      <c r="AJ28" s="182" t="s">
        <v>290</v>
      </c>
      <c r="AK28" s="38"/>
      <c r="AL28" s="197"/>
    </row>
    <row r="29" spans="1:38" x14ac:dyDescent="0.25">
      <c r="A29" s="11">
        <v>27</v>
      </c>
      <c r="B29" s="106">
        <v>400</v>
      </c>
      <c r="C29" s="106">
        <v>300</v>
      </c>
      <c r="D29" s="106">
        <v>200.07</v>
      </c>
      <c r="E29" s="106">
        <v>300</v>
      </c>
      <c r="F29" s="106">
        <v>200.38</v>
      </c>
      <c r="G29" s="106">
        <v>300</v>
      </c>
      <c r="H29" s="106">
        <v>100</v>
      </c>
      <c r="I29" s="37"/>
      <c r="J29" s="106">
        <v>300</v>
      </c>
      <c r="K29" s="106">
        <v>300</v>
      </c>
      <c r="L29" s="106">
        <v>210.35</v>
      </c>
      <c r="M29" s="106">
        <v>200</v>
      </c>
      <c r="N29" s="106">
        <v>249.93</v>
      </c>
      <c r="O29" s="106">
        <v>233.35</v>
      </c>
      <c r="P29" s="106">
        <v>300</v>
      </c>
      <c r="Q29" s="774"/>
      <c r="R29" s="106">
        <v>300.27</v>
      </c>
      <c r="S29" s="106">
        <v>252.79</v>
      </c>
      <c r="T29" s="106">
        <v>250</v>
      </c>
      <c r="U29" s="106">
        <v>400</v>
      </c>
      <c r="V29" s="106">
        <v>300</v>
      </c>
      <c r="W29" s="106">
        <v>297.85000000000002</v>
      </c>
      <c r="X29" s="106">
        <v>450</v>
      </c>
      <c r="Y29" s="774"/>
      <c r="Z29" s="106">
        <v>250.05</v>
      </c>
      <c r="AA29" s="106">
        <v>353.8</v>
      </c>
      <c r="AB29" s="106">
        <v>200</v>
      </c>
      <c r="AC29" s="106">
        <v>350.24</v>
      </c>
      <c r="AD29" s="106">
        <v>200</v>
      </c>
      <c r="AE29" s="106">
        <v>221.38</v>
      </c>
      <c r="AF29" s="106">
        <v>199.65</v>
      </c>
      <c r="AG29" s="106">
        <v>200.15</v>
      </c>
      <c r="AH29" s="106">
        <v>200.47</v>
      </c>
      <c r="AI29" s="106">
        <v>250.06</v>
      </c>
      <c r="AJ29" s="774"/>
      <c r="AK29" s="38"/>
      <c r="AL29" s="197"/>
    </row>
    <row r="30" spans="1:38" x14ac:dyDescent="0.25">
      <c r="A30" s="11">
        <v>28</v>
      </c>
      <c r="B30" s="106">
        <v>250</v>
      </c>
      <c r="C30" s="106">
        <v>300</v>
      </c>
      <c r="D30" s="106">
        <v>250</v>
      </c>
      <c r="E30" s="106" t="s">
        <v>289</v>
      </c>
      <c r="F30" s="106">
        <v>400</v>
      </c>
      <c r="G30" s="106">
        <v>299.68</v>
      </c>
      <c r="H30" s="106">
        <v>150</v>
      </c>
      <c r="I30" s="37"/>
      <c r="J30" s="106">
        <v>350.47</v>
      </c>
      <c r="K30" s="106">
        <v>300</v>
      </c>
      <c r="L30" s="106">
        <v>300</v>
      </c>
      <c r="M30" s="106">
        <v>200</v>
      </c>
      <c r="N30" s="106">
        <v>300.54000000000002</v>
      </c>
      <c r="O30" s="106">
        <v>200</v>
      </c>
      <c r="P30" s="106">
        <v>300</v>
      </c>
      <c r="Q30" s="774"/>
      <c r="R30" s="106">
        <v>300</v>
      </c>
      <c r="S30" s="106">
        <v>250.79</v>
      </c>
      <c r="T30" s="106">
        <v>300</v>
      </c>
      <c r="U30" s="106">
        <v>400</v>
      </c>
      <c r="V30" s="106">
        <v>250</v>
      </c>
      <c r="W30" s="106">
        <v>257.77999999999997</v>
      </c>
      <c r="X30" s="106">
        <v>200</v>
      </c>
      <c r="Y30" s="774"/>
      <c r="Z30" s="106">
        <v>299.88</v>
      </c>
      <c r="AA30" s="106">
        <v>352.8</v>
      </c>
      <c r="AB30" s="106">
        <v>201.24</v>
      </c>
      <c r="AC30" s="106">
        <v>200.12</v>
      </c>
      <c r="AD30" s="106">
        <v>200.06</v>
      </c>
      <c r="AE30" s="106">
        <v>400.11</v>
      </c>
      <c r="AF30" s="106">
        <v>149.76</v>
      </c>
      <c r="AG30" s="106">
        <v>200.24</v>
      </c>
      <c r="AH30" s="106">
        <v>200.24</v>
      </c>
      <c r="AI30" s="106" t="s">
        <v>289</v>
      </c>
      <c r="AJ30" s="774"/>
      <c r="AK30" s="38"/>
      <c r="AL30" s="197"/>
    </row>
    <row r="31" spans="1:38" x14ac:dyDescent="0.25">
      <c r="A31" s="11">
        <v>29</v>
      </c>
      <c r="B31" s="587" t="s">
        <v>290</v>
      </c>
      <c r="C31" s="587" t="s">
        <v>290</v>
      </c>
      <c r="D31" s="587" t="s">
        <v>290</v>
      </c>
      <c r="E31" s="587" t="s">
        <v>290</v>
      </c>
      <c r="F31" s="587" t="s">
        <v>290</v>
      </c>
      <c r="G31" s="587" t="s">
        <v>290</v>
      </c>
      <c r="H31" s="587" t="s">
        <v>290</v>
      </c>
      <c r="I31" s="182" t="s">
        <v>290</v>
      </c>
      <c r="J31" s="587" t="s">
        <v>290</v>
      </c>
      <c r="K31" s="587" t="s">
        <v>290</v>
      </c>
      <c r="L31" s="587" t="s">
        <v>290</v>
      </c>
      <c r="M31" s="587" t="s">
        <v>290</v>
      </c>
      <c r="N31" s="587" t="s">
        <v>290</v>
      </c>
      <c r="O31" s="587" t="s">
        <v>290</v>
      </c>
      <c r="P31" s="587" t="s">
        <v>290</v>
      </c>
      <c r="Q31" s="901" t="s">
        <v>290</v>
      </c>
      <c r="R31" s="587" t="s">
        <v>290</v>
      </c>
      <c r="S31" s="587" t="s">
        <v>290</v>
      </c>
      <c r="T31" s="587" t="s">
        <v>290</v>
      </c>
      <c r="U31" s="587" t="s">
        <v>290</v>
      </c>
      <c r="V31" s="587" t="s">
        <v>290</v>
      </c>
      <c r="W31" s="587" t="s">
        <v>290</v>
      </c>
      <c r="X31" s="587" t="s">
        <v>290</v>
      </c>
      <c r="Y31" s="182" t="s">
        <v>290</v>
      </c>
      <c r="Z31" s="108" t="s">
        <v>290</v>
      </c>
      <c r="AA31" s="108" t="s">
        <v>290</v>
      </c>
      <c r="AB31" s="108" t="s">
        <v>290</v>
      </c>
      <c r="AC31" s="108" t="s">
        <v>290</v>
      </c>
      <c r="AD31" s="108" t="s">
        <v>290</v>
      </c>
      <c r="AE31" s="108" t="s">
        <v>290</v>
      </c>
      <c r="AF31" s="108" t="s">
        <v>290</v>
      </c>
      <c r="AG31" s="107" t="s">
        <v>290</v>
      </c>
      <c r="AH31" s="107" t="s">
        <v>290</v>
      </c>
      <c r="AI31" s="107" t="s">
        <v>290</v>
      </c>
      <c r="AJ31" s="182" t="s">
        <v>290</v>
      </c>
      <c r="AK31" s="38"/>
      <c r="AL31" s="197"/>
    </row>
    <row r="32" spans="1:38" x14ac:dyDescent="0.25">
      <c r="A32" s="11">
        <v>30</v>
      </c>
      <c r="B32" s="106">
        <v>250</v>
      </c>
      <c r="C32" s="106">
        <v>250</v>
      </c>
      <c r="D32" s="106">
        <v>300</v>
      </c>
      <c r="E32" s="106">
        <v>200.5</v>
      </c>
      <c r="F32" s="106">
        <v>350</v>
      </c>
      <c r="G32" s="106">
        <v>250.43</v>
      </c>
      <c r="H32" s="106">
        <v>200</v>
      </c>
      <c r="I32" s="37"/>
      <c r="J32" s="106">
        <v>300</v>
      </c>
      <c r="K32" s="106">
        <v>300.14999999999998</v>
      </c>
      <c r="L32" s="106">
        <v>300</v>
      </c>
      <c r="M32" s="106">
        <v>200</v>
      </c>
      <c r="N32" s="106">
        <v>163.80000000000001</v>
      </c>
      <c r="O32" s="106">
        <v>200</v>
      </c>
      <c r="P32" s="106">
        <v>300</v>
      </c>
      <c r="Q32" s="774"/>
      <c r="R32" s="106">
        <v>300</v>
      </c>
      <c r="S32" s="106">
        <v>300</v>
      </c>
      <c r="T32" s="106">
        <v>261.83999999999997</v>
      </c>
      <c r="U32" s="106">
        <v>360.84</v>
      </c>
      <c r="V32" s="106">
        <v>300</v>
      </c>
      <c r="W32" s="106">
        <v>500</v>
      </c>
      <c r="X32" s="106">
        <v>300</v>
      </c>
      <c r="Y32" s="774"/>
      <c r="Z32" s="106">
        <v>200.21</v>
      </c>
      <c r="AA32" s="106">
        <v>402.9</v>
      </c>
      <c r="AB32" s="106">
        <v>300.33</v>
      </c>
      <c r="AC32" s="106">
        <v>250.33</v>
      </c>
      <c r="AD32" s="106">
        <v>350.57</v>
      </c>
      <c r="AE32" s="106">
        <v>240.45</v>
      </c>
      <c r="AF32" s="106">
        <v>200.44</v>
      </c>
      <c r="AG32" s="106">
        <v>250.39</v>
      </c>
      <c r="AH32" s="106">
        <v>300.04000000000002</v>
      </c>
      <c r="AI32" s="106">
        <v>300.32</v>
      </c>
      <c r="AJ32" s="774"/>
      <c r="AK32" s="38"/>
      <c r="AL32" s="197"/>
    </row>
    <row r="33" spans="1:38" x14ac:dyDescent="0.25">
      <c r="A33" s="11">
        <v>31</v>
      </c>
      <c r="B33" s="106">
        <v>300</v>
      </c>
      <c r="C33" s="106">
        <v>400</v>
      </c>
      <c r="D33" s="106">
        <v>300</v>
      </c>
      <c r="E33" s="106">
        <v>300</v>
      </c>
      <c r="F33" s="106">
        <v>150.44999999999999</v>
      </c>
      <c r="G33" s="106">
        <v>299.95</v>
      </c>
      <c r="H33" s="106">
        <v>350.26</v>
      </c>
      <c r="I33" s="37"/>
      <c r="J33" s="106">
        <v>400</v>
      </c>
      <c r="K33" s="106">
        <v>300.35000000000002</v>
      </c>
      <c r="L33" s="106">
        <v>300</v>
      </c>
      <c r="M33" s="106">
        <v>250.03</v>
      </c>
      <c r="N33" s="106">
        <v>300</v>
      </c>
      <c r="O33" s="106">
        <v>300</v>
      </c>
      <c r="P33" s="106">
        <v>300</v>
      </c>
      <c r="Q33" s="774"/>
      <c r="R33" s="106">
        <v>350</v>
      </c>
      <c r="S33" s="106">
        <v>200.75</v>
      </c>
      <c r="T33" s="106">
        <v>300</v>
      </c>
      <c r="U33" s="106">
        <v>300</v>
      </c>
      <c r="V33" s="106">
        <v>300</v>
      </c>
      <c r="W33" s="106">
        <v>299.64999999999998</v>
      </c>
      <c r="X33" s="106">
        <v>250</v>
      </c>
      <c r="Y33" s="774"/>
      <c r="Z33" s="106">
        <v>300</v>
      </c>
      <c r="AA33" s="106">
        <v>500.2</v>
      </c>
      <c r="AB33" s="106">
        <v>267.60000000000002</v>
      </c>
      <c r="AC33" s="106">
        <v>301.18</v>
      </c>
      <c r="AD33" s="106">
        <v>400</v>
      </c>
      <c r="AE33" s="106">
        <v>499.97</v>
      </c>
      <c r="AF33" s="106">
        <v>300.08999999999997</v>
      </c>
      <c r="AG33" s="106">
        <v>200.01</v>
      </c>
      <c r="AH33" s="106">
        <v>250.13</v>
      </c>
      <c r="AI33" s="106">
        <v>300.23</v>
      </c>
      <c r="AJ33" s="774"/>
      <c r="AK33" s="38"/>
      <c r="AL33" s="197"/>
    </row>
    <row r="34" spans="1:38" x14ac:dyDescent="0.25">
      <c r="A34" s="11">
        <v>32</v>
      </c>
      <c r="B34" s="106">
        <v>250</v>
      </c>
      <c r="C34" s="106">
        <v>350</v>
      </c>
      <c r="D34" s="106">
        <v>300</v>
      </c>
      <c r="E34" s="106">
        <v>300.22000000000003</v>
      </c>
      <c r="F34" s="106">
        <v>350</v>
      </c>
      <c r="G34" s="106">
        <v>400</v>
      </c>
      <c r="H34" s="106">
        <v>249.98</v>
      </c>
      <c r="I34" s="37"/>
      <c r="J34" s="106">
        <v>400</v>
      </c>
      <c r="K34" s="106">
        <v>400</v>
      </c>
      <c r="L34" s="106">
        <v>330.45</v>
      </c>
      <c r="M34" s="106">
        <v>200</v>
      </c>
      <c r="N34" s="106" t="s">
        <v>289</v>
      </c>
      <c r="O34" s="106" t="s">
        <v>289</v>
      </c>
      <c r="P34" s="106" t="s">
        <v>289</v>
      </c>
      <c r="Q34" s="774"/>
      <c r="R34" s="106" t="s">
        <v>289</v>
      </c>
      <c r="S34" s="106" t="s">
        <v>289</v>
      </c>
      <c r="T34" s="106" t="s">
        <v>289</v>
      </c>
      <c r="U34" s="106" t="s">
        <v>289</v>
      </c>
      <c r="V34" s="106" t="s">
        <v>289</v>
      </c>
      <c r="W34" s="106">
        <v>472.62</v>
      </c>
      <c r="X34" s="106">
        <v>400</v>
      </c>
      <c r="Y34" s="774"/>
      <c r="Z34" s="106">
        <v>400.21</v>
      </c>
      <c r="AA34" s="106">
        <v>220.1</v>
      </c>
      <c r="AB34" s="106">
        <v>254.1</v>
      </c>
      <c r="AC34" s="106">
        <v>157.59</v>
      </c>
      <c r="AD34" s="106">
        <v>300.12</v>
      </c>
      <c r="AE34" s="106">
        <v>200.05</v>
      </c>
      <c r="AF34" s="106">
        <v>199.69</v>
      </c>
      <c r="AG34" s="106">
        <v>200.04</v>
      </c>
      <c r="AH34" s="106">
        <v>200.4</v>
      </c>
      <c r="AI34" s="106">
        <v>250.34</v>
      </c>
      <c r="AJ34" s="774"/>
      <c r="AK34" s="38"/>
      <c r="AL34" s="197"/>
    </row>
    <row r="35" spans="1:38" x14ac:dyDescent="0.25">
      <c r="A35" s="11">
        <v>33</v>
      </c>
      <c r="B35" s="106">
        <v>400</v>
      </c>
      <c r="C35" s="106">
        <v>350</v>
      </c>
      <c r="D35" s="106">
        <v>250.21</v>
      </c>
      <c r="E35" s="106">
        <v>200</v>
      </c>
      <c r="F35" s="106">
        <v>400</v>
      </c>
      <c r="G35" s="106">
        <v>400</v>
      </c>
      <c r="H35" s="106">
        <v>250</v>
      </c>
      <c r="I35" s="37"/>
      <c r="J35" s="106">
        <v>200</v>
      </c>
      <c r="K35" s="106">
        <v>350</v>
      </c>
      <c r="L35" s="106">
        <v>400</v>
      </c>
      <c r="M35" s="106">
        <v>200</v>
      </c>
      <c r="N35" s="106">
        <v>300</v>
      </c>
      <c r="O35" s="106">
        <v>300</v>
      </c>
      <c r="P35" s="106">
        <v>300</v>
      </c>
      <c r="Q35" s="774"/>
      <c r="R35" s="106">
        <v>400</v>
      </c>
      <c r="S35" s="106">
        <v>280.95</v>
      </c>
      <c r="T35" s="106">
        <v>300</v>
      </c>
      <c r="U35" s="106">
        <v>378.78</v>
      </c>
      <c r="V35" s="106">
        <v>200</v>
      </c>
      <c r="W35" s="106">
        <v>250</v>
      </c>
      <c r="X35" s="106">
        <v>300</v>
      </c>
      <c r="Y35" s="774"/>
      <c r="Z35" s="106" t="s">
        <v>289</v>
      </c>
      <c r="AA35" s="106" t="s">
        <v>289</v>
      </c>
      <c r="AB35" s="106" t="s">
        <v>289</v>
      </c>
      <c r="AC35" s="106" t="s">
        <v>289</v>
      </c>
      <c r="AD35" s="106" t="s">
        <v>289</v>
      </c>
      <c r="AE35" s="106" t="s">
        <v>289</v>
      </c>
      <c r="AF35" s="106" t="s">
        <v>289</v>
      </c>
      <c r="AG35" s="106" t="s">
        <v>289</v>
      </c>
      <c r="AH35" s="106" t="s">
        <v>289</v>
      </c>
      <c r="AI35" s="106" t="s">
        <v>289</v>
      </c>
      <c r="AJ35" s="774"/>
      <c r="AK35" s="38"/>
      <c r="AL35" s="197"/>
    </row>
    <row r="36" spans="1:38" x14ac:dyDescent="0.25">
      <c r="A36" s="11">
        <v>34</v>
      </c>
      <c r="B36" s="106">
        <v>250</v>
      </c>
      <c r="C36" s="106">
        <v>200</v>
      </c>
      <c r="D36" s="106">
        <v>300</v>
      </c>
      <c r="E36" s="106">
        <v>121.62</v>
      </c>
      <c r="F36" s="106">
        <v>200</v>
      </c>
      <c r="G36" s="106">
        <v>300</v>
      </c>
      <c r="H36" s="106">
        <v>150</v>
      </c>
      <c r="I36" s="37"/>
      <c r="J36" s="106">
        <v>200</v>
      </c>
      <c r="K36" s="106">
        <v>300</v>
      </c>
      <c r="L36" s="106">
        <v>250.39</v>
      </c>
      <c r="M36" s="106">
        <v>150</v>
      </c>
      <c r="N36" s="106">
        <v>300.45</v>
      </c>
      <c r="O36" s="106">
        <v>200</v>
      </c>
      <c r="P36" s="106">
        <v>300</v>
      </c>
      <c r="Q36" s="774"/>
      <c r="R36" s="106">
        <v>200</v>
      </c>
      <c r="S36" s="106">
        <v>200.33</v>
      </c>
      <c r="T36" s="106">
        <v>400</v>
      </c>
      <c r="U36" s="106">
        <v>350</v>
      </c>
      <c r="V36" s="106">
        <v>350</v>
      </c>
      <c r="W36" s="106">
        <v>458.74</v>
      </c>
      <c r="X36" s="106">
        <v>300</v>
      </c>
      <c r="Y36" s="774"/>
      <c r="Z36" s="106">
        <v>200.91</v>
      </c>
      <c r="AA36" s="106" t="s">
        <v>289</v>
      </c>
      <c r="AB36" s="106">
        <v>164.72</v>
      </c>
      <c r="AC36" s="106">
        <v>249.84</v>
      </c>
      <c r="AD36" s="106">
        <v>300</v>
      </c>
      <c r="AE36" s="106">
        <v>150.02000000000001</v>
      </c>
      <c r="AF36" s="106">
        <v>150.59</v>
      </c>
      <c r="AG36" s="106">
        <v>219.97</v>
      </c>
      <c r="AH36" s="106">
        <v>249.76</v>
      </c>
      <c r="AI36" s="106">
        <v>200.1</v>
      </c>
      <c r="AJ36" s="774"/>
      <c r="AK36" s="38"/>
      <c r="AL36" s="197"/>
    </row>
    <row r="37" spans="1:38" x14ac:dyDescent="0.25">
      <c r="A37" s="11">
        <v>35</v>
      </c>
      <c r="B37" s="106" t="s">
        <v>289</v>
      </c>
      <c r="C37" s="106" t="s">
        <v>289</v>
      </c>
      <c r="D37" s="106" t="s">
        <v>289</v>
      </c>
      <c r="E37" s="106" t="s">
        <v>289</v>
      </c>
      <c r="F37" s="106" t="s">
        <v>289</v>
      </c>
      <c r="G37" s="106" t="s">
        <v>289</v>
      </c>
      <c r="H37" s="106" t="s">
        <v>289</v>
      </c>
      <c r="I37" s="37"/>
      <c r="J37" s="106" t="s">
        <v>289</v>
      </c>
      <c r="K37" s="106" t="s">
        <v>289</v>
      </c>
      <c r="L37" s="106" t="s">
        <v>289</v>
      </c>
      <c r="M37" s="106" t="s">
        <v>289</v>
      </c>
      <c r="N37" s="106" t="s">
        <v>289</v>
      </c>
      <c r="O37" s="106" t="s">
        <v>289</v>
      </c>
      <c r="P37" s="106" t="s">
        <v>289</v>
      </c>
      <c r="Q37" s="774"/>
      <c r="R37" s="106" t="s">
        <v>289</v>
      </c>
      <c r="S37" s="106" t="s">
        <v>289</v>
      </c>
      <c r="T37" s="106" t="s">
        <v>289</v>
      </c>
      <c r="U37" s="106" t="s">
        <v>289</v>
      </c>
      <c r="V37" s="106" t="s">
        <v>289</v>
      </c>
      <c r="W37" s="106" t="s">
        <v>289</v>
      </c>
      <c r="X37" s="106" t="s">
        <v>289</v>
      </c>
      <c r="Y37" s="774"/>
      <c r="Z37" s="106" t="s">
        <v>289</v>
      </c>
      <c r="AA37" s="106" t="s">
        <v>289</v>
      </c>
      <c r="AB37" s="106" t="s">
        <v>289</v>
      </c>
      <c r="AC37" s="106" t="s">
        <v>289</v>
      </c>
      <c r="AD37" s="106" t="s">
        <v>289</v>
      </c>
      <c r="AE37" s="106" t="s">
        <v>289</v>
      </c>
      <c r="AF37" s="106" t="s">
        <v>289</v>
      </c>
      <c r="AG37" s="106" t="s">
        <v>289</v>
      </c>
      <c r="AH37" s="106" t="s">
        <v>289</v>
      </c>
      <c r="AI37" s="106" t="s">
        <v>289</v>
      </c>
      <c r="AJ37" s="774"/>
      <c r="AK37" s="38"/>
      <c r="AL37" s="197"/>
    </row>
    <row r="38" spans="1:38" x14ac:dyDescent="0.25">
      <c r="A38" s="11">
        <v>36</v>
      </c>
      <c r="B38" s="587" t="s">
        <v>290</v>
      </c>
      <c r="C38" s="587" t="s">
        <v>290</v>
      </c>
      <c r="D38" s="587" t="s">
        <v>290</v>
      </c>
      <c r="E38" s="587" t="s">
        <v>290</v>
      </c>
      <c r="F38" s="587" t="s">
        <v>290</v>
      </c>
      <c r="G38" s="587" t="s">
        <v>290</v>
      </c>
      <c r="H38" s="587" t="s">
        <v>290</v>
      </c>
      <c r="I38" s="182" t="s">
        <v>290</v>
      </c>
      <c r="J38" s="587" t="s">
        <v>290</v>
      </c>
      <c r="K38" s="587" t="s">
        <v>290</v>
      </c>
      <c r="L38" s="587" t="s">
        <v>290</v>
      </c>
      <c r="M38" s="587" t="s">
        <v>290</v>
      </c>
      <c r="N38" s="587" t="s">
        <v>290</v>
      </c>
      <c r="O38" s="587" t="s">
        <v>290</v>
      </c>
      <c r="P38" s="587" t="s">
        <v>290</v>
      </c>
      <c r="Q38" s="182" t="s">
        <v>290</v>
      </c>
      <c r="R38" s="587" t="s">
        <v>290</v>
      </c>
      <c r="S38" s="587" t="s">
        <v>290</v>
      </c>
      <c r="T38" s="587" t="s">
        <v>290</v>
      </c>
      <c r="U38" s="587" t="s">
        <v>290</v>
      </c>
      <c r="V38" s="587" t="s">
        <v>290</v>
      </c>
      <c r="W38" s="587" t="s">
        <v>290</v>
      </c>
      <c r="X38" s="587" t="s">
        <v>290</v>
      </c>
      <c r="Y38" s="182" t="s">
        <v>290</v>
      </c>
      <c r="Z38" s="587" t="s">
        <v>290</v>
      </c>
      <c r="AA38" s="587" t="s">
        <v>290</v>
      </c>
      <c r="AB38" s="587" t="s">
        <v>290</v>
      </c>
      <c r="AC38" s="587" t="s">
        <v>290</v>
      </c>
      <c r="AD38" s="587" t="s">
        <v>290</v>
      </c>
      <c r="AE38" s="587" t="s">
        <v>290</v>
      </c>
      <c r="AF38" s="587" t="s">
        <v>290</v>
      </c>
      <c r="AG38" s="589" t="s">
        <v>290</v>
      </c>
      <c r="AH38" s="589" t="s">
        <v>290</v>
      </c>
      <c r="AI38" s="589" t="s">
        <v>290</v>
      </c>
      <c r="AJ38" s="182" t="s">
        <v>290</v>
      </c>
      <c r="AK38" s="38"/>
      <c r="AL38" s="197"/>
    </row>
    <row r="39" spans="1:38" x14ac:dyDescent="0.25">
      <c r="A39" s="11">
        <v>37</v>
      </c>
      <c r="B39" s="106">
        <v>400</v>
      </c>
      <c r="C39" s="106" t="s">
        <v>289</v>
      </c>
      <c r="D39" s="106" t="s">
        <v>289</v>
      </c>
      <c r="E39" s="106" t="s">
        <v>289</v>
      </c>
      <c r="F39" s="106">
        <v>246.64</v>
      </c>
      <c r="G39" s="106">
        <v>300</v>
      </c>
      <c r="H39" s="106">
        <v>350</v>
      </c>
      <c r="I39" s="37"/>
      <c r="J39" s="106">
        <v>172.68</v>
      </c>
      <c r="K39" s="106">
        <v>52.48</v>
      </c>
      <c r="L39" s="106">
        <v>123.66</v>
      </c>
      <c r="M39" s="106" t="s">
        <v>289</v>
      </c>
      <c r="N39" s="106">
        <v>86.56</v>
      </c>
      <c r="O39" s="106">
        <v>221.95</v>
      </c>
      <c r="P39" s="106">
        <v>300</v>
      </c>
      <c r="Q39" s="774"/>
      <c r="R39" s="106">
        <v>274.56</v>
      </c>
      <c r="S39" s="106">
        <v>36.729999999999997</v>
      </c>
      <c r="T39" s="106">
        <v>400</v>
      </c>
      <c r="U39" s="106">
        <v>100</v>
      </c>
      <c r="V39" s="106" t="s">
        <v>289</v>
      </c>
      <c r="W39" s="106">
        <v>30.75</v>
      </c>
      <c r="X39" s="106">
        <v>300</v>
      </c>
      <c r="Y39" s="774"/>
      <c r="Z39" s="106" t="s">
        <v>289</v>
      </c>
      <c r="AA39" s="106" t="s">
        <v>289</v>
      </c>
      <c r="AB39" s="106" t="s">
        <v>289</v>
      </c>
      <c r="AC39" s="106" t="s">
        <v>289</v>
      </c>
      <c r="AD39" s="106" t="s">
        <v>289</v>
      </c>
      <c r="AE39" s="106">
        <v>171.88</v>
      </c>
      <c r="AF39" s="106" t="s">
        <v>289</v>
      </c>
      <c r="AG39" s="106">
        <v>276.67</v>
      </c>
      <c r="AH39" s="106">
        <v>303.99</v>
      </c>
      <c r="AI39" s="106">
        <v>168.5</v>
      </c>
      <c r="AJ39" s="774"/>
      <c r="AK39" s="38"/>
      <c r="AL39" s="197"/>
    </row>
    <row r="40" spans="1:38" x14ac:dyDescent="0.25">
      <c r="A40" s="11">
        <v>38</v>
      </c>
      <c r="B40" s="106" t="s">
        <v>289</v>
      </c>
      <c r="C40" s="106" t="s">
        <v>289</v>
      </c>
      <c r="D40" s="106" t="s">
        <v>289</v>
      </c>
      <c r="E40" s="106" t="s">
        <v>289</v>
      </c>
      <c r="F40" s="106" t="s">
        <v>289</v>
      </c>
      <c r="G40" s="106" t="s">
        <v>289</v>
      </c>
      <c r="H40" s="106" t="s">
        <v>289</v>
      </c>
      <c r="I40" s="37"/>
      <c r="J40" s="106" t="s">
        <v>289</v>
      </c>
      <c r="K40" s="106" t="s">
        <v>289</v>
      </c>
      <c r="L40" s="106" t="s">
        <v>289</v>
      </c>
      <c r="M40" s="106" t="s">
        <v>289</v>
      </c>
      <c r="N40" s="106" t="s">
        <v>289</v>
      </c>
      <c r="O40" s="106" t="s">
        <v>289</v>
      </c>
      <c r="P40" s="106" t="s">
        <v>289</v>
      </c>
      <c r="Q40" s="774"/>
      <c r="R40" s="106" t="s">
        <v>289</v>
      </c>
      <c r="S40" s="106" t="s">
        <v>289</v>
      </c>
      <c r="T40" s="106" t="s">
        <v>289</v>
      </c>
      <c r="U40" s="106" t="s">
        <v>289</v>
      </c>
      <c r="V40" s="106" t="s">
        <v>289</v>
      </c>
      <c r="W40" s="106" t="s">
        <v>289</v>
      </c>
      <c r="X40" s="106" t="s">
        <v>289</v>
      </c>
      <c r="Y40" s="774"/>
      <c r="Z40" s="106" t="s">
        <v>289</v>
      </c>
      <c r="AA40" s="106" t="s">
        <v>289</v>
      </c>
      <c r="AB40" s="106" t="s">
        <v>289</v>
      </c>
      <c r="AC40" s="106" t="s">
        <v>289</v>
      </c>
      <c r="AD40" s="106" t="s">
        <v>289</v>
      </c>
      <c r="AE40" s="106" t="s">
        <v>289</v>
      </c>
      <c r="AF40" s="106" t="s">
        <v>289</v>
      </c>
      <c r="AG40" s="106" t="s">
        <v>289</v>
      </c>
      <c r="AH40" s="106" t="s">
        <v>289</v>
      </c>
      <c r="AI40" s="106" t="s">
        <v>289</v>
      </c>
      <c r="AJ40" s="774"/>
      <c r="AK40" s="38"/>
      <c r="AL40" s="197"/>
    </row>
    <row r="41" spans="1:38" x14ac:dyDescent="0.25">
      <c r="A41" s="11">
        <v>39</v>
      </c>
      <c r="B41" s="106">
        <v>400</v>
      </c>
      <c r="C41" s="106">
        <v>277.95</v>
      </c>
      <c r="D41" s="106">
        <v>300</v>
      </c>
      <c r="E41" s="106">
        <v>301.26</v>
      </c>
      <c r="F41" s="106">
        <v>249.78</v>
      </c>
      <c r="G41" s="106">
        <v>250.27</v>
      </c>
      <c r="H41" s="106">
        <v>150</v>
      </c>
      <c r="I41" s="37"/>
      <c r="J41" s="116">
        <v>133.66999999999999</v>
      </c>
      <c r="K41" s="116">
        <v>200.22</v>
      </c>
      <c r="L41" s="106">
        <v>350</v>
      </c>
      <c r="M41" s="106">
        <v>300</v>
      </c>
      <c r="N41" s="106">
        <v>300</v>
      </c>
      <c r="O41" s="106">
        <v>253.33</v>
      </c>
      <c r="P41" s="106">
        <v>300</v>
      </c>
      <c r="Q41" s="774"/>
      <c r="R41" s="106">
        <v>378.62</v>
      </c>
      <c r="S41" s="106">
        <v>296.45999999999998</v>
      </c>
      <c r="T41" s="106">
        <v>300</v>
      </c>
      <c r="U41" s="106">
        <v>300</v>
      </c>
      <c r="V41" s="106">
        <v>300</v>
      </c>
      <c r="W41" s="106">
        <v>400</v>
      </c>
      <c r="X41" s="106">
        <v>250</v>
      </c>
      <c r="Y41" s="774"/>
      <c r="Z41" s="106">
        <v>350</v>
      </c>
      <c r="AA41" s="106">
        <v>400.2</v>
      </c>
      <c r="AB41" s="106">
        <v>200</v>
      </c>
      <c r="AC41" s="106">
        <v>100.27</v>
      </c>
      <c r="AD41" s="106">
        <v>300</v>
      </c>
      <c r="AE41" s="106">
        <v>273.64</v>
      </c>
      <c r="AF41" s="106" t="s">
        <v>289</v>
      </c>
      <c r="AG41" s="106" t="s">
        <v>289</v>
      </c>
      <c r="AH41" s="106" t="s">
        <v>289</v>
      </c>
      <c r="AI41" s="106" t="s">
        <v>289</v>
      </c>
      <c r="AJ41" s="774"/>
      <c r="AK41" s="38"/>
      <c r="AL41" s="197"/>
    </row>
    <row r="42" spans="1:38" x14ac:dyDescent="0.25">
      <c r="A42" s="11">
        <v>40</v>
      </c>
      <c r="B42" s="106">
        <v>300</v>
      </c>
      <c r="C42" s="106">
        <v>400</v>
      </c>
      <c r="D42" s="106" t="s">
        <v>289</v>
      </c>
      <c r="E42" s="106">
        <v>149.81</v>
      </c>
      <c r="F42" s="106">
        <v>200</v>
      </c>
      <c r="G42" s="106">
        <v>150</v>
      </c>
      <c r="H42" s="106">
        <v>300</v>
      </c>
      <c r="I42" s="37"/>
      <c r="J42" s="106">
        <v>421.99</v>
      </c>
      <c r="K42" s="106">
        <v>300</v>
      </c>
      <c r="L42" s="106">
        <v>380.04</v>
      </c>
      <c r="M42" s="106">
        <v>250.1</v>
      </c>
      <c r="N42" s="106">
        <v>308.10000000000002</v>
      </c>
      <c r="O42" s="106">
        <v>400</v>
      </c>
      <c r="P42" s="106">
        <v>350</v>
      </c>
      <c r="Q42" s="774"/>
      <c r="R42" s="106">
        <v>300</v>
      </c>
      <c r="S42" s="106">
        <v>300</v>
      </c>
      <c r="T42" s="106">
        <v>450</v>
      </c>
      <c r="U42" s="106">
        <v>262.23</v>
      </c>
      <c r="V42" s="106">
        <v>300</v>
      </c>
      <c r="W42" s="106">
        <v>250.4</v>
      </c>
      <c r="X42" s="106">
        <v>367.33</v>
      </c>
      <c r="Y42" s="774"/>
      <c r="Z42" s="106" t="s">
        <v>289</v>
      </c>
      <c r="AA42" s="106" t="s">
        <v>289</v>
      </c>
      <c r="AB42" s="106">
        <v>349.7</v>
      </c>
      <c r="AC42" s="106">
        <v>100.85</v>
      </c>
      <c r="AD42" s="106" t="s">
        <v>289</v>
      </c>
      <c r="AE42" s="106">
        <v>100.16</v>
      </c>
      <c r="AF42" s="106">
        <v>153.37</v>
      </c>
      <c r="AG42" s="106">
        <v>200</v>
      </c>
      <c r="AH42" s="106" t="s">
        <v>289</v>
      </c>
      <c r="AI42" s="106" t="s">
        <v>289</v>
      </c>
      <c r="AJ42" s="774"/>
      <c r="AK42" s="38"/>
      <c r="AL42" s="197"/>
    </row>
    <row r="43" spans="1:38" x14ac:dyDescent="0.25">
      <c r="A43" s="11">
        <v>41</v>
      </c>
      <c r="B43" s="106">
        <v>400</v>
      </c>
      <c r="C43" s="106">
        <v>350</v>
      </c>
      <c r="D43" s="106">
        <v>300</v>
      </c>
      <c r="E43" s="106">
        <v>400</v>
      </c>
      <c r="F43" s="106">
        <v>300</v>
      </c>
      <c r="G43" s="106">
        <v>350</v>
      </c>
      <c r="H43" s="106">
        <v>250</v>
      </c>
      <c r="I43" s="37"/>
      <c r="J43" s="106">
        <v>400</v>
      </c>
      <c r="K43" s="106">
        <v>350</v>
      </c>
      <c r="L43" s="106">
        <v>400</v>
      </c>
      <c r="M43" s="106">
        <v>300</v>
      </c>
      <c r="N43" s="106">
        <v>400</v>
      </c>
      <c r="O43" s="106">
        <v>350</v>
      </c>
      <c r="P43" s="106">
        <v>400</v>
      </c>
      <c r="Q43" s="774"/>
      <c r="R43" s="106">
        <v>400</v>
      </c>
      <c r="S43" s="106">
        <v>300</v>
      </c>
      <c r="T43" s="106">
        <v>401.02</v>
      </c>
      <c r="U43" s="106">
        <v>400</v>
      </c>
      <c r="V43" s="106">
        <v>300</v>
      </c>
      <c r="W43" s="106">
        <v>500</v>
      </c>
      <c r="X43" s="106">
        <v>300</v>
      </c>
      <c r="Y43" s="774"/>
      <c r="Z43" s="106">
        <v>400</v>
      </c>
      <c r="AA43" s="106">
        <v>400.2</v>
      </c>
      <c r="AB43" s="106">
        <v>400</v>
      </c>
      <c r="AC43" s="106">
        <v>300.52</v>
      </c>
      <c r="AD43" s="106">
        <v>97.81</v>
      </c>
      <c r="AE43" s="106">
        <v>250</v>
      </c>
      <c r="AF43" s="106">
        <v>300.31</v>
      </c>
      <c r="AG43" s="106">
        <v>250.19</v>
      </c>
      <c r="AH43" s="106">
        <v>399.95</v>
      </c>
      <c r="AI43" s="106">
        <v>401.07</v>
      </c>
      <c r="AJ43" s="774"/>
      <c r="AK43" s="38"/>
      <c r="AL43" s="197"/>
    </row>
    <row r="44" spans="1:38" x14ac:dyDescent="0.25">
      <c r="A44" s="11">
        <v>42</v>
      </c>
      <c r="B44" s="587" t="s">
        <v>290</v>
      </c>
      <c r="C44" s="587" t="s">
        <v>290</v>
      </c>
      <c r="D44" s="587" t="s">
        <v>290</v>
      </c>
      <c r="E44" s="587" t="s">
        <v>290</v>
      </c>
      <c r="F44" s="587" t="s">
        <v>290</v>
      </c>
      <c r="G44" s="587" t="s">
        <v>290</v>
      </c>
      <c r="H44" s="587" t="s">
        <v>290</v>
      </c>
      <c r="I44" s="182" t="s">
        <v>290</v>
      </c>
      <c r="J44" s="587" t="s">
        <v>290</v>
      </c>
      <c r="K44" s="587" t="s">
        <v>290</v>
      </c>
      <c r="L44" s="587" t="s">
        <v>290</v>
      </c>
      <c r="M44" s="587" t="s">
        <v>290</v>
      </c>
      <c r="N44" s="587" t="s">
        <v>290</v>
      </c>
      <c r="O44" s="587" t="s">
        <v>290</v>
      </c>
      <c r="P44" s="587" t="s">
        <v>290</v>
      </c>
      <c r="Q44" s="182" t="s">
        <v>290</v>
      </c>
      <c r="R44" s="587" t="s">
        <v>290</v>
      </c>
      <c r="S44" s="587" t="s">
        <v>290</v>
      </c>
      <c r="T44" s="587" t="s">
        <v>290</v>
      </c>
      <c r="U44" s="587" t="s">
        <v>290</v>
      </c>
      <c r="V44" s="587" t="s">
        <v>290</v>
      </c>
      <c r="W44" s="587" t="s">
        <v>290</v>
      </c>
      <c r="X44" s="587" t="s">
        <v>290</v>
      </c>
      <c r="Y44" s="182" t="s">
        <v>290</v>
      </c>
      <c r="Z44" s="587" t="s">
        <v>290</v>
      </c>
      <c r="AA44" s="587" t="s">
        <v>290</v>
      </c>
      <c r="AB44" s="587" t="s">
        <v>290</v>
      </c>
      <c r="AC44" s="587" t="s">
        <v>290</v>
      </c>
      <c r="AD44" s="587" t="s">
        <v>290</v>
      </c>
      <c r="AE44" s="587" t="s">
        <v>290</v>
      </c>
      <c r="AF44" s="587" t="s">
        <v>290</v>
      </c>
      <c r="AG44" s="589" t="s">
        <v>290</v>
      </c>
      <c r="AH44" s="589" t="s">
        <v>290</v>
      </c>
      <c r="AI44" s="589" t="s">
        <v>290</v>
      </c>
      <c r="AJ44" s="182" t="s">
        <v>290</v>
      </c>
      <c r="AK44" s="38"/>
      <c r="AL44" s="197"/>
    </row>
    <row r="45" spans="1:38" x14ac:dyDescent="0.25">
      <c r="A45" s="11">
        <v>43</v>
      </c>
      <c r="B45" s="106">
        <v>350</v>
      </c>
      <c r="C45" s="106">
        <v>300</v>
      </c>
      <c r="D45" s="106">
        <v>350</v>
      </c>
      <c r="E45" s="106">
        <v>164.32</v>
      </c>
      <c r="F45" s="106">
        <v>249.68</v>
      </c>
      <c r="G45" s="106">
        <v>300</v>
      </c>
      <c r="H45" s="106">
        <v>300</v>
      </c>
      <c r="I45" s="37"/>
      <c r="J45" s="106">
        <v>400</v>
      </c>
      <c r="K45" s="106">
        <v>350</v>
      </c>
      <c r="L45" s="106">
        <v>400</v>
      </c>
      <c r="M45" s="106">
        <v>300</v>
      </c>
      <c r="N45" s="106">
        <v>400</v>
      </c>
      <c r="O45" s="106" t="s">
        <v>289</v>
      </c>
      <c r="P45" s="106">
        <v>150</v>
      </c>
      <c r="Q45" s="774"/>
      <c r="R45" s="106">
        <v>187.67</v>
      </c>
      <c r="S45" s="106">
        <v>400</v>
      </c>
      <c r="T45" s="106">
        <v>400</v>
      </c>
      <c r="U45" s="106">
        <v>371.26</v>
      </c>
      <c r="V45" s="106">
        <v>300</v>
      </c>
      <c r="W45" s="106">
        <v>400</v>
      </c>
      <c r="X45" s="106">
        <v>350</v>
      </c>
      <c r="Y45" s="774"/>
      <c r="Z45" s="106">
        <v>300</v>
      </c>
      <c r="AA45" s="106">
        <v>500.1</v>
      </c>
      <c r="AB45" s="106">
        <v>301.43</v>
      </c>
      <c r="AC45" s="106">
        <v>400</v>
      </c>
      <c r="AD45" s="106">
        <v>400</v>
      </c>
      <c r="AE45" s="106">
        <v>251.2</v>
      </c>
      <c r="AF45" s="106">
        <v>200.7</v>
      </c>
      <c r="AG45" s="106">
        <v>299.83999999999997</v>
      </c>
      <c r="AH45" s="106">
        <v>300.27</v>
      </c>
      <c r="AI45" s="106">
        <v>350.51</v>
      </c>
      <c r="AJ45" s="774"/>
      <c r="AK45" s="38"/>
      <c r="AL45" s="197"/>
    </row>
    <row r="46" spans="1:38" x14ac:dyDescent="0.25">
      <c r="A46" s="11">
        <v>44</v>
      </c>
      <c r="B46" s="106" t="s">
        <v>289</v>
      </c>
      <c r="C46" s="106" t="s">
        <v>289</v>
      </c>
      <c r="D46" s="106" t="s">
        <v>289</v>
      </c>
      <c r="E46" s="106" t="s">
        <v>289</v>
      </c>
      <c r="F46" s="106" t="s">
        <v>289</v>
      </c>
      <c r="G46" s="106" t="s">
        <v>289</v>
      </c>
      <c r="H46" s="106" t="s">
        <v>289</v>
      </c>
      <c r="I46" s="37"/>
      <c r="J46" s="106" t="s">
        <v>289</v>
      </c>
      <c r="K46" s="106" t="s">
        <v>289</v>
      </c>
      <c r="L46" s="106" t="s">
        <v>289</v>
      </c>
      <c r="M46" s="106" t="s">
        <v>289</v>
      </c>
      <c r="N46" s="106" t="s">
        <v>289</v>
      </c>
      <c r="O46" s="106" t="s">
        <v>289</v>
      </c>
      <c r="P46" s="106" t="s">
        <v>289</v>
      </c>
      <c r="Q46" s="774"/>
      <c r="R46" s="106" t="s">
        <v>289</v>
      </c>
      <c r="S46" s="106" t="s">
        <v>289</v>
      </c>
      <c r="T46" s="106" t="s">
        <v>289</v>
      </c>
      <c r="U46" s="106" t="s">
        <v>289</v>
      </c>
      <c r="V46" s="106" t="s">
        <v>289</v>
      </c>
      <c r="W46" s="106" t="s">
        <v>289</v>
      </c>
      <c r="X46" s="106" t="s">
        <v>289</v>
      </c>
      <c r="Y46" s="774"/>
      <c r="Z46" s="106" t="s">
        <v>289</v>
      </c>
      <c r="AA46" s="106" t="s">
        <v>289</v>
      </c>
      <c r="AB46" s="106" t="s">
        <v>289</v>
      </c>
      <c r="AC46" s="106" t="s">
        <v>289</v>
      </c>
      <c r="AD46" s="106" t="s">
        <v>289</v>
      </c>
      <c r="AE46" s="106" t="s">
        <v>289</v>
      </c>
      <c r="AF46" s="106" t="s">
        <v>289</v>
      </c>
      <c r="AG46" s="106" t="s">
        <v>289</v>
      </c>
      <c r="AH46" s="106" t="s">
        <v>289</v>
      </c>
      <c r="AI46" s="106" t="s">
        <v>289</v>
      </c>
      <c r="AJ46" s="774"/>
      <c r="AK46" s="38"/>
      <c r="AL46" s="197"/>
    </row>
    <row r="47" spans="1:38" x14ac:dyDescent="0.25">
      <c r="A47" s="11">
        <v>45</v>
      </c>
      <c r="B47" s="106">
        <v>400</v>
      </c>
      <c r="C47" s="106" t="s">
        <v>289</v>
      </c>
      <c r="D47" s="106" t="s">
        <v>289</v>
      </c>
      <c r="E47" s="106" t="s">
        <v>289</v>
      </c>
      <c r="F47" s="106" t="s">
        <v>289</v>
      </c>
      <c r="G47" s="106" t="s">
        <v>289</v>
      </c>
      <c r="H47" s="106" t="s">
        <v>289</v>
      </c>
      <c r="I47" s="37"/>
      <c r="J47" s="106" t="s">
        <v>289</v>
      </c>
      <c r="K47" s="106">
        <v>16.41</v>
      </c>
      <c r="L47" s="106" t="s">
        <v>289</v>
      </c>
      <c r="M47" s="106">
        <v>229.2</v>
      </c>
      <c r="N47" s="106">
        <v>400</v>
      </c>
      <c r="O47" s="106">
        <v>265.36</v>
      </c>
      <c r="P47" s="106">
        <v>350</v>
      </c>
      <c r="Q47" s="774"/>
      <c r="R47" s="106">
        <v>350</v>
      </c>
      <c r="S47" s="106">
        <v>300.22000000000003</v>
      </c>
      <c r="T47" s="106">
        <v>400</v>
      </c>
      <c r="U47" s="106">
        <v>318.18</v>
      </c>
      <c r="V47" s="106">
        <v>300</v>
      </c>
      <c r="W47" s="106">
        <v>375.19</v>
      </c>
      <c r="X47" s="106">
        <v>344.75</v>
      </c>
      <c r="Y47" s="774"/>
      <c r="Z47" s="106">
        <v>232.85</v>
      </c>
      <c r="AA47" s="106">
        <v>374.9</v>
      </c>
      <c r="AB47" s="106">
        <v>162.47</v>
      </c>
      <c r="AC47" s="106">
        <v>387.68</v>
      </c>
      <c r="AD47" s="106" t="s">
        <v>289</v>
      </c>
      <c r="AE47" s="106">
        <v>207.68</v>
      </c>
      <c r="AF47" s="106">
        <v>144.74</v>
      </c>
      <c r="AG47" s="106">
        <v>181.13</v>
      </c>
      <c r="AH47" s="106">
        <v>285.08999999999997</v>
      </c>
      <c r="AI47" s="106">
        <v>300.45</v>
      </c>
      <c r="AJ47" s="774"/>
      <c r="AK47" s="38"/>
      <c r="AL47" s="197"/>
    </row>
    <row r="48" spans="1:38" x14ac:dyDescent="0.25">
      <c r="A48" s="11">
        <v>46</v>
      </c>
      <c r="B48" s="106" t="s">
        <v>289</v>
      </c>
      <c r="C48" s="106" t="s">
        <v>289</v>
      </c>
      <c r="D48" s="106" t="s">
        <v>289</v>
      </c>
      <c r="E48" s="106" t="s">
        <v>289</v>
      </c>
      <c r="F48" s="106" t="s">
        <v>289</v>
      </c>
      <c r="G48" s="106" t="s">
        <v>289</v>
      </c>
      <c r="H48" s="106">
        <v>500</v>
      </c>
      <c r="I48" s="37"/>
      <c r="J48" s="106">
        <v>377.76</v>
      </c>
      <c r="K48" s="106">
        <v>234.04</v>
      </c>
      <c r="L48" s="106">
        <v>263.18</v>
      </c>
      <c r="M48" s="106">
        <v>240.75</v>
      </c>
      <c r="N48" s="106">
        <v>278.89999999999998</v>
      </c>
      <c r="O48" s="106">
        <v>292.5</v>
      </c>
      <c r="P48" s="106">
        <v>240.27</v>
      </c>
      <c r="Q48" s="774"/>
      <c r="R48" s="106">
        <v>250.57</v>
      </c>
      <c r="S48" s="106">
        <v>274.31</v>
      </c>
      <c r="T48" s="106">
        <v>220.77</v>
      </c>
      <c r="U48" s="106">
        <v>301.92</v>
      </c>
      <c r="V48" s="106">
        <v>300</v>
      </c>
      <c r="W48" s="106">
        <v>123.98</v>
      </c>
      <c r="X48" s="106">
        <v>270.95</v>
      </c>
      <c r="Y48" s="774"/>
      <c r="Z48" s="106">
        <v>300</v>
      </c>
      <c r="AA48" s="106">
        <v>312.3</v>
      </c>
      <c r="AB48" s="106">
        <v>400</v>
      </c>
      <c r="AC48" s="106">
        <v>41.03</v>
      </c>
      <c r="AD48" s="106">
        <v>357.53</v>
      </c>
      <c r="AE48" s="106">
        <v>153.9</v>
      </c>
      <c r="AF48" s="106">
        <v>220.91</v>
      </c>
      <c r="AG48" s="106">
        <v>200.82</v>
      </c>
      <c r="AH48" s="106">
        <v>265.01</v>
      </c>
      <c r="AI48" s="106">
        <v>247.51</v>
      </c>
      <c r="AJ48" s="774"/>
      <c r="AK48" s="38"/>
      <c r="AL48" s="197"/>
    </row>
    <row r="49" spans="1:41" x14ac:dyDescent="0.25">
      <c r="A49" s="11">
        <v>47</v>
      </c>
      <c r="B49" s="106">
        <v>390.98</v>
      </c>
      <c r="C49" s="106">
        <v>215.73</v>
      </c>
      <c r="D49" s="106">
        <v>250</v>
      </c>
      <c r="E49" s="106">
        <v>356.31</v>
      </c>
      <c r="F49" s="106">
        <v>276.06</v>
      </c>
      <c r="G49" s="106">
        <v>306.31</v>
      </c>
      <c r="H49" s="106">
        <v>250</v>
      </c>
      <c r="I49" s="37"/>
      <c r="J49" s="106">
        <v>359.92</v>
      </c>
      <c r="K49" s="106">
        <v>252.87</v>
      </c>
      <c r="L49" s="106">
        <v>300</v>
      </c>
      <c r="M49" s="106">
        <v>250</v>
      </c>
      <c r="N49" s="106">
        <v>343.09</v>
      </c>
      <c r="O49" s="106">
        <v>300</v>
      </c>
      <c r="P49" s="106">
        <v>286.66000000000003</v>
      </c>
      <c r="Q49" s="774"/>
      <c r="R49" s="106">
        <v>325.57</v>
      </c>
      <c r="S49" s="106">
        <v>296.91000000000003</v>
      </c>
      <c r="T49" s="106">
        <v>257.88</v>
      </c>
      <c r="U49" s="106">
        <v>300</v>
      </c>
      <c r="V49" s="106">
        <v>300</v>
      </c>
      <c r="W49" s="106">
        <v>360.35</v>
      </c>
      <c r="X49" s="106">
        <v>288.16000000000003</v>
      </c>
      <c r="Y49" s="774"/>
      <c r="Z49" s="106">
        <v>344.99</v>
      </c>
      <c r="AA49" s="106">
        <v>306.7</v>
      </c>
      <c r="AB49" s="106">
        <v>224.21</v>
      </c>
      <c r="AC49" s="106">
        <v>54.31</v>
      </c>
      <c r="AD49" s="106">
        <v>26.27</v>
      </c>
      <c r="AE49" s="106">
        <v>152.88</v>
      </c>
      <c r="AF49" s="106">
        <v>76.45</v>
      </c>
      <c r="AG49" s="106">
        <v>211.79</v>
      </c>
      <c r="AH49" s="106">
        <v>289.8</v>
      </c>
      <c r="AI49" s="106">
        <v>300.49</v>
      </c>
      <c r="AJ49" s="774"/>
      <c r="AK49" s="38"/>
      <c r="AL49" s="197"/>
    </row>
    <row r="50" spans="1:41" x14ac:dyDescent="0.25">
      <c r="A50" s="11">
        <v>48</v>
      </c>
      <c r="B50" s="106">
        <v>250</v>
      </c>
      <c r="C50" s="106">
        <v>350</v>
      </c>
      <c r="D50" s="106">
        <v>250</v>
      </c>
      <c r="E50" s="106">
        <v>300.44</v>
      </c>
      <c r="F50" s="106">
        <v>148.58000000000001</v>
      </c>
      <c r="G50" s="106">
        <v>250</v>
      </c>
      <c r="H50" s="106">
        <v>300</v>
      </c>
      <c r="I50" s="37"/>
      <c r="J50" s="106">
        <v>345.31</v>
      </c>
      <c r="K50" s="106">
        <v>300</v>
      </c>
      <c r="L50" s="106">
        <v>224.96</v>
      </c>
      <c r="M50" s="106">
        <v>216.44</v>
      </c>
      <c r="N50" s="106">
        <v>112.25</v>
      </c>
      <c r="O50" s="106">
        <v>179.25</v>
      </c>
      <c r="P50" s="106">
        <v>99.25</v>
      </c>
      <c r="Q50" s="774"/>
      <c r="R50" s="106">
        <v>200</v>
      </c>
      <c r="S50" s="106" t="s">
        <v>289</v>
      </c>
      <c r="T50" s="106" t="s">
        <v>289</v>
      </c>
      <c r="U50" s="106" t="s">
        <v>289</v>
      </c>
      <c r="V50" s="106" t="s">
        <v>289</v>
      </c>
      <c r="W50" s="106" t="s">
        <v>289</v>
      </c>
      <c r="X50" s="106" t="s">
        <v>289</v>
      </c>
      <c r="Y50" s="774"/>
      <c r="Z50" s="106" t="s">
        <v>289</v>
      </c>
      <c r="AA50" s="106" t="s">
        <v>289</v>
      </c>
      <c r="AB50" s="106" t="s">
        <v>289</v>
      </c>
      <c r="AC50" s="106" t="s">
        <v>289</v>
      </c>
      <c r="AD50" s="106" t="s">
        <v>289</v>
      </c>
      <c r="AE50" s="106" t="s">
        <v>289</v>
      </c>
      <c r="AF50" s="106" t="s">
        <v>289</v>
      </c>
      <c r="AG50" s="106" t="s">
        <v>289</v>
      </c>
      <c r="AH50" s="106" t="s">
        <v>289</v>
      </c>
      <c r="AI50" s="106" t="s">
        <v>289</v>
      </c>
      <c r="AJ50" s="774"/>
      <c r="AK50" s="38"/>
      <c r="AL50" s="197"/>
    </row>
    <row r="51" spans="1:41" x14ac:dyDescent="0.25">
      <c r="A51" s="11">
        <v>49</v>
      </c>
      <c r="B51" s="106">
        <v>250</v>
      </c>
      <c r="C51" s="106">
        <v>259.98</v>
      </c>
      <c r="D51" s="106">
        <v>261.79000000000002</v>
      </c>
      <c r="E51" s="106">
        <v>221.5</v>
      </c>
      <c r="F51" s="106">
        <v>275.52</v>
      </c>
      <c r="G51" s="106">
        <v>300</v>
      </c>
      <c r="H51" s="106">
        <v>300</v>
      </c>
      <c r="I51" s="37"/>
      <c r="J51" s="106">
        <v>323.62</v>
      </c>
      <c r="K51" s="106">
        <v>300</v>
      </c>
      <c r="L51" s="106">
        <v>250.89</v>
      </c>
      <c r="M51" s="106">
        <v>239.9</v>
      </c>
      <c r="N51" s="106">
        <v>294.39999999999998</v>
      </c>
      <c r="O51" s="106">
        <v>254.8</v>
      </c>
      <c r="P51" s="106">
        <v>134.87</v>
      </c>
      <c r="Q51" s="774"/>
      <c r="R51" s="106">
        <v>256.37</v>
      </c>
      <c r="S51" s="106">
        <v>280.7</v>
      </c>
      <c r="T51" s="106">
        <v>311.39999999999998</v>
      </c>
      <c r="U51" s="106">
        <v>290.52999999999997</v>
      </c>
      <c r="V51" s="106">
        <v>250</v>
      </c>
      <c r="W51" s="106">
        <v>327.25</v>
      </c>
      <c r="X51" s="106">
        <v>236.69</v>
      </c>
      <c r="Y51" s="774"/>
      <c r="Z51" s="106">
        <v>250.48</v>
      </c>
      <c r="AA51" s="106">
        <v>453.5</v>
      </c>
      <c r="AB51" s="106">
        <v>374.47</v>
      </c>
      <c r="AC51" s="106">
        <v>16.350000000000001</v>
      </c>
      <c r="AD51" s="106">
        <v>226.06</v>
      </c>
      <c r="AE51" s="106">
        <v>96.49</v>
      </c>
      <c r="AF51" s="106">
        <v>178.85</v>
      </c>
      <c r="AG51" s="106">
        <v>152.41999999999999</v>
      </c>
      <c r="AH51" s="106">
        <v>262.70999999999998</v>
      </c>
      <c r="AI51" s="106">
        <v>14.45</v>
      </c>
      <c r="AJ51" s="774"/>
      <c r="AK51" s="38"/>
      <c r="AL51" s="197"/>
    </row>
    <row r="52" spans="1:41" x14ac:dyDescent="0.25">
      <c r="A52" s="11">
        <v>50</v>
      </c>
      <c r="B52" s="106">
        <v>400</v>
      </c>
      <c r="C52" s="106">
        <v>350</v>
      </c>
      <c r="D52" s="106">
        <v>300</v>
      </c>
      <c r="E52" s="106">
        <v>186.94</v>
      </c>
      <c r="F52" s="106">
        <v>89.47</v>
      </c>
      <c r="G52" s="106">
        <v>400</v>
      </c>
      <c r="H52" s="106">
        <v>200</v>
      </c>
      <c r="I52" s="37"/>
      <c r="J52" s="106">
        <v>400</v>
      </c>
      <c r="K52" s="106">
        <v>180.36</v>
      </c>
      <c r="L52" s="106">
        <v>195.98</v>
      </c>
      <c r="M52" s="106">
        <v>200</v>
      </c>
      <c r="N52" s="106">
        <v>364.74</v>
      </c>
      <c r="O52" s="106">
        <v>400</v>
      </c>
      <c r="P52" s="106">
        <v>300</v>
      </c>
      <c r="Q52" s="774"/>
      <c r="R52" s="106">
        <v>270.2</v>
      </c>
      <c r="S52" s="106">
        <v>355.98</v>
      </c>
      <c r="T52" s="106">
        <v>400</v>
      </c>
      <c r="U52" s="106">
        <v>350</v>
      </c>
      <c r="V52" s="106">
        <v>300</v>
      </c>
      <c r="W52" s="106">
        <v>400</v>
      </c>
      <c r="X52" s="106">
        <v>150</v>
      </c>
      <c r="Y52" s="774"/>
      <c r="Z52" s="106">
        <v>146.02000000000001</v>
      </c>
      <c r="AA52" s="106">
        <v>500.1</v>
      </c>
      <c r="AB52" s="106">
        <v>255.9</v>
      </c>
      <c r="AC52" s="106">
        <v>31.99</v>
      </c>
      <c r="AD52" s="106">
        <v>300</v>
      </c>
      <c r="AE52" s="106">
        <v>66.39</v>
      </c>
      <c r="AF52" s="106">
        <v>236.38</v>
      </c>
      <c r="AG52" s="106">
        <v>200</v>
      </c>
      <c r="AH52" s="106">
        <v>341.03</v>
      </c>
      <c r="AI52" s="106">
        <v>300.57</v>
      </c>
      <c r="AJ52" s="774"/>
      <c r="AK52" s="38"/>
      <c r="AL52" s="197"/>
    </row>
    <row r="53" spans="1:41" x14ac:dyDescent="0.25">
      <c r="A53" s="11">
        <v>51</v>
      </c>
      <c r="B53" s="106">
        <v>400</v>
      </c>
      <c r="C53" s="106">
        <v>223.82</v>
      </c>
      <c r="D53" s="106">
        <v>300</v>
      </c>
      <c r="E53" s="106">
        <v>400</v>
      </c>
      <c r="F53" s="106">
        <v>250.58</v>
      </c>
      <c r="G53" s="106">
        <v>250.52</v>
      </c>
      <c r="H53" s="106">
        <v>300</v>
      </c>
      <c r="I53" s="37"/>
      <c r="J53" s="106">
        <v>400</v>
      </c>
      <c r="K53" s="106">
        <v>300</v>
      </c>
      <c r="L53" s="106">
        <v>286.12</v>
      </c>
      <c r="M53" s="106">
        <v>200</v>
      </c>
      <c r="N53" s="106">
        <v>352.47</v>
      </c>
      <c r="O53" s="106">
        <v>417.7</v>
      </c>
      <c r="P53" s="106">
        <v>300</v>
      </c>
      <c r="Q53" s="774"/>
      <c r="R53" s="106">
        <v>300</v>
      </c>
      <c r="S53" s="106">
        <v>249.73</v>
      </c>
      <c r="T53" s="106">
        <v>400</v>
      </c>
      <c r="U53" s="106">
        <v>300</v>
      </c>
      <c r="V53" s="106">
        <v>250</v>
      </c>
      <c r="W53" s="106">
        <v>400</v>
      </c>
      <c r="X53" s="106">
        <v>303.98</v>
      </c>
      <c r="Y53" s="774"/>
      <c r="Z53" s="106">
        <v>200.21</v>
      </c>
      <c r="AA53" s="106">
        <v>500.1</v>
      </c>
      <c r="AB53" s="106">
        <v>300.2</v>
      </c>
      <c r="AC53" s="106">
        <v>364.19</v>
      </c>
      <c r="AD53" s="106">
        <v>300</v>
      </c>
      <c r="AE53" s="106">
        <v>104.44</v>
      </c>
      <c r="AF53" s="106">
        <v>252.71</v>
      </c>
      <c r="AG53" s="106">
        <v>150.33000000000001</v>
      </c>
      <c r="AH53" s="106">
        <v>200.28</v>
      </c>
      <c r="AI53" s="106">
        <v>350.05</v>
      </c>
      <c r="AJ53" s="774"/>
      <c r="AK53" s="38"/>
      <c r="AL53" s="197"/>
    </row>
    <row r="54" spans="1:41" x14ac:dyDescent="0.25">
      <c r="A54" s="11">
        <v>52</v>
      </c>
      <c r="B54" s="106">
        <v>250</v>
      </c>
      <c r="C54" s="106">
        <v>229.46</v>
      </c>
      <c r="D54" s="106">
        <v>129.44999999999999</v>
      </c>
      <c r="E54" s="106" t="s">
        <v>289</v>
      </c>
      <c r="F54" s="116">
        <v>217.09</v>
      </c>
      <c r="G54" s="116">
        <v>236.86</v>
      </c>
      <c r="H54" s="116">
        <v>200</v>
      </c>
      <c r="I54" s="37"/>
      <c r="J54" s="116">
        <v>262.04000000000002</v>
      </c>
      <c r="K54" s="106">
        <v>200</v>
      </c>
      <c r="L54" s="106">
        <v>228.81</v>
      </c>
      <c r="M54" s="106">
        <v>200.03</v>
      </c>
      <c r="N54" s="106">
        <v>200.59</v>
      </c>
      <c r="O54" s="106">
        <v>200.4</v>
      </c>
      <c r="P54" s="106">
        <v>200.32</v>
      </c>
      <c r="Q54" s="774"/>
      <c r="R54" s="106">
        <v>152.31</v>
      </c>
      <c r="S54" s="106">
        <v>203.53</v>
      </c>
      <c r="T54" s="106">
        <v>213.85</v>
      </c>
      <c r="U54" s="106">
        <v>218.25</v>
      </c>
      <c r="V54" s="106">
        <v>230.73</v>
      </c>
      <c r="W54" s="106">
        <v>232.75</v>
      </c>
      <c r="X54" s="106">
        <v>112.22</v>
      </c>
      <c r="Y54" s="774"/>
      <c r="Z54" s="106">
        <v>249.36</v>
      </c>
      <c r="AA54" s="106">
        <v>289.10000000000002</v>
      </c>
      <c r="AB54" s="106">
        <v>230</v>
      </c>
      <c r="AC54" s="106">
        <v>203.01</v>
      </c>
      <c r="AD54" s="106">
        <v>171.16</v>
      </c>
      <c r="AE54" s="106">
        <v>188.23</v>
      </c>
      <c r="AF54" s="106">
        <v>163.83000000000001</v>
      </c>
      <c r="AG54" s="106">
        <v>150.1</v>
      </c>
      <c r="AH54" s="106">
        <v>199.86</v>
      </c>
      <c r="AI54" s="106">
        <v>250.23</v>
      </c>
      <c r="AJ54" s="774"/>
      <c r="AK54" s="38"/>
      <c r="AL54" s="197"/>
    </row>
    <row r="55" spans="1:41" x14ac:dyDescent="0.25">
      <c r="A55" s="11">
        <v>53</v>
      </c>
      <c r="B55" s="106">
        <v>200</v>
      </c>
      <c r="C55" s="106">
        <v>241.63</v>
      </c>
      <c r="D55" s="106">
        <v>300</v>
      </c>
      <c r="E55" s="106">
        <v>109.64</v>
      </c>
      <c r="F55" s="106">
        <v>221.19</v>
      </c>
      <c r="G55" s="106">
        <v>212.27</v>
      </c>
      <c r="H55" s="106">
        <v>200</v>
      </c>
      <c r="I55" s="37"/>
      <c r="J55" s="106">
        <v>258.47000000000003</v>
      </c>
      <c r="K55" s="106">
        <v>200</v>
      </c>
      <c r="L55" s="106">
        <v>253.49</v>
      </c>
      <c r="M55" s="106">
        <v>204.18</v>
      </c>
      <c r="N55" s="106">
        <v>248.6</v>
      </c>
      <c r="O55" s="106">
        <v>229.53</v>
      </c>
      <c r="P55" s="106">
        <v>250</v>
      </c>
      <c r="Q55" s="774"/>
      <c r="R55" s="106">
        <v>222.3</v>
      </c>
      <c r="S55" s="106">
        <v>250.38</v>
      </c>
      <c r="T55" s="106">
        <v>143.26</v>
      </c>
      <c r="U55" s="106">
        <v>235.21</v>
      </c>
      <c r="V55" s="106">
        <v>200</v>
      </c>
      <c r="W55" s="106">
        <v>250.44</v>
      </c>
      <c r="X55" s="106">
        <v>269.43</v>
      </c>
      <c r="Y55" s="774"/>
      <c r="Z55" s="106">
        <v>201.9</v>
      </c>
      <c r="AA55" s="106">
        <v>311.39999999999998</v>
      </c>
      <c r="AB55" s="106">
        <v>355.6</v>
      </c>
      <c r="AC55" s="106">
        <v>199.69</v>
      </c>
      <c r="AD55" s="106">
        <v>190.17</v>
      </c>
      <c r="AE55" s="106">
        <v>221.35</v>
      </c>
      <c r="AF55" s="106">
        <v>146.85</v>
      </c>
      <c r="AG55" s="106">
        <v>200.19</v>
      </c>
      <c r="AH55" s="106">
        <v>200.56</v>
      </c>
      <c r="AI55" s="106">
        <v>212.7</v>
      </c>
      <c r="AJ55" s="774"/>
      <c r="AK55" s="38"/>
      <c r="AL55" s="197"/>
    </row>
    <row r="56" spans="1:41" x14ac:dyDescent="0.25">
      <c r="A56" s="11">
        <v>54</v>
      </c>
      <c r="B56" s="106">
        <v>214.02</v>
      </c>
      <c r="C56" s="106">
        <v>241.3</v>
      </c>
      <c r="D56" s="106">
        <v>216.09</v>
      </c>
      <c r="E56" s="106">
        <v>250.1</v>
      </c>
      <c r="F56" s="106">
        <v>229.88</v>
      </c>
      <c r="G56" s="106">
        <v>269.51</v>
      </c>
      <c r="H56" s="106">
        <v>199.91</v>
      </c>
      <c r="I56" s="37"/>
      <c r="J56" s="106">
        <v>250.16</v>
      </c>
      <c r="K56" s="106">
        <v>200</v>
      </c>
      <c r="L56" s="106">
        <v>250</v>
      </c>
      <c r="M56" s="106">
        <v>205.85</v>
      </c>
      <c r="N56" s="106" t="s">
        <v>289</v>
      </c>
      <c r="O56" s="106">
        <v>290.68</v>
      </c>
      <c r="P56" s="106">
        <v>250.62</v>
      </c>
      <c r="Q56" s="774"/>
      <c r="R56" s="106" t="s">
        <v>289</v>
      </c>
      <c r="S56" s="106">
        <v>200.56</v>
      </c>
      <c r="T56" s="106">
        <v>305.70999999999998</v>
      </c>
      <c r="U56" s="106">
        <v>300</v>
      </c>
      <c r="V56" s="106">
        <v>183.1</v>
      </c>
      <c r="W56" s="106">
        <v>241.28</v>
      </c>
      <c r="X56" s="106">
        <v>225.2</v>
      </c>
      <c r="Y56" s="774"/>
      <c r="Z56" s="106" t="s">
        <v>289</v>
      </c>
      <c r="AA56" s="106">
        <v>339.5</v>
      </c>
      <c r="AB56" s="106">
        <v>255.9</v>
      </c>
      <c r="AC56" s="106">
        <v>299.89999999999998</v>
      </c>
      <c r="AD56" s="106">
        <v>130.74</v>
      </c>
      <c r="AE56" s="106">
        <v>335.18</v>
      </c>
      <c r="AF56" s="106">
        <v>149.99</v>
      </c>
      <c r="AG56" s="106">
        <v>199.98</v>
      </c>
      <c r="AH56" s="106">
        <v>200.1</v>
      </c>
      <c r="AI56" s="106">
        <v>250.4</v>
      </c>
      <c r="AJ56" s="774"/>
      <c r="AK56" s="38"/>
      <c r="AL56" s="197"/>
    </row>
    <row r="57" spans="1:41" x14ac:dyDescent="0.25">
      <c r="A57" s="11">
        <v>55</v>
      </c>
      <c r="B57" s="106">
        <v>250</v>
      </c>
      <c r="C57" s="106">
        <v>182.6</v>
      </c>
      <c r="D57" s="106">
        <v>300</v>
      </c>
      <c r="E57" s="106" t="s">
        <v>289</v>
      </c>
      <c r="F57" s="106">
        <v>267.52999999999997</v>
      </c>
      <c r="G57" s="106">
        <v>178.65</v>
      </c>
      <c r="H57" s="106">
        <v>99.73</v>
      </c>
      <c r="I57" s="37"/>
      <c r="J57" s="106" t="s">
        <v>289</v>
      </c>
      <c r="K57" s="106">
        <v>114.05</v>
      </c>
      <c r="L57" s="106">
        <v>124.41</v>
      </c>
      <c r="M57" s="106" t="s">
        <v>289</v>
      </c>
      <c r="N57" s="106">
        <v>252.37</v>
      </c>
      <c r="O57" s="106">
        <v>227.54</v>
      </c>
      <c r="P57" s="106">
        <v>250.13</v>
      </c>
      <c r="Q57" s="774"/>
      <c r="R57" s="106">
        <v>275.83</v>
      </c>
      <c r="S57" s="106">
        <v>200.16</v>
      </c>
      <c r="T57" s="106">
        <v>199.51</v>
      </c>
      <c r="U57" s="106" t="s">
        <v>289</v>
      </c>
      <c r="V57" s="106">
        <v>250</v>
      </c>
      <c r="W57" s="106">
        <v>287.07</v>
      </c>
      <c r="X57" s="106">
        <v>224.22</v>
      </c>
      <c r="Y57" s="774"/>
      <c r="Z57" s="106">
        <v>149.01</v>
      </c>
      <c r="AA57" s="106">
        <v>320</v>
      </c>
      <c r="AB57" s="106">
        <v>300.10000000000002</v>
      </c>
      <c r="AC57" s="106">
        <v>145.19999999999999</v>
      </c>
      <c r="AD57" s="106">
        <v>200.18</v>
      </c>
      <c r="AE57" s="106">
        <v>132.88999999999999</v>
      </c>
      <c r="AF57" s="106" t="s">
        <v>289</v>
      </c>
      <c r="AG57" s="106">
        <v>166.28</v>
      </c>
      <c r="AH57" s="106">
        <v>199.75</v>
      </c>
      <c r="AI57" s="106">
        <v>200.38</v>
      </c>
      <c r="AJ57" s="774"/>
      <c r="AK57" s="38"/>
      <c r="AL57" s="197"/>
    </row>
    <row r="58" spans="1:41" x14ac:dyDescent="0.25">
      <c r="A58" s="11">
        <v>56</v>
      </c>
      <c r="B58" s="106">
        <v>200</v>
      </c>
      <c r="C58" s="106">
        <v>240.08</v>
      </c>
      <c r="D58" s="106">
        <v>229.78</v>
      </c>
      <c r="E58" s="106">
        <v>185.92</v>
      </c>
      <c r="F58" s="106">
        <v>249.81</v>
      </c>
      <c r="G58" s="106">
        <v>262.94</v>
      </c>
      <c r="H58" s="106">
        <v>200</v>
      </c>
      <c r="I58" s="37"/>
      <c r="J58" s="106">
        <v>185.32</v>
      </c>
      <c r="K58" s="106">
        <v>200</v>
      </c>
      <c r="L58" s="106">
        <v>263.89999999999998</v>
      </c>
      <c r="M58" s="106">
        <v>217.75</v>
      </c>
      <c r="N58" s="106">
        <v>209.97</v>
      </c>
      <c r="O58" s="106">
        <v>209.47</v>
      </c>
      <c r="P58" s="106">
        <v>250.21</v>
      </c>
      <c r="Q58" s="774"/>
      <c r="R58" s="106">
        <v>287.77</v>
      </c>
      <c r="S58" s="106">
        <v>224.49</v>
      </c>
      <c r="T58" s="106">
        <v>220.59</v>
      </c>
      <c r="U58" s="106">
        <v>173.21</v>
      </c>
      <c r="V58" s="106">
        <v>200</v>
      </c>
      <c r="W58" s="106">
        <v>300.13</v>
      </c>
      <c r="X58" s="106">
        <v>274.29000000000002</v>
      </c>
      <c r="Y58" s="774"/>
      <c r="Z58" s="106">
        <v>142.51</v>
      </c>
      <c r="AA58" s="106">
        <v>318.2</v>
      </c>
      <c r="AB58" s="106">
        <v>235.51</v>
      </c>
      <c r="AC58" s="106">
        <v>180.14</v>
      </c>
      <c r="AD58" s="106">
        <v>200.19</v>
      </c>
      <c r="AE58" s="106">
        <v>136.18</v>
      </c>
      <c r="AF58" s="106">
        <v>149.80000000000001</v>
      </c>
      <c r="AG58" s="106">
        <v>200.22</v>
      </c>
      <c r="AH58" s="106">
        <v>200.18</v>
      </c>
      <c r="AI58" s="106">
        <v>250.15</v>
      </c>
      <c r="AJ58" s="774"/>
      <c r="AK58" s="38"/>
      <c r="AL58" s="888"/>
      <c r="AM58" s="167"/>
      <c r="AN58" s="167"/>
      <c r="AO58" s="167"/>
    </row>
    <row r="59" spans="1:41" x14ac:dyDescent="0.25">
      <c r="A59" s="11">
        <v>57</v>
      </c>
      <c r="B59" s="106" t="s">
        <v>289</v>
      </c>
      <c r="C59" s="106" t="s">
        <v>289</v>
      </c>
      <c r="D59" s="106" t="s">
        <v>289</v>
      </c>
      <c r="E59" s="106" t="s">
        <v>289</v>
      </c>
      <c r="F59" s="106" t="s">
        <v>289</v>
      </c>
      <c r="G59" s="106" t="s">
        <v>289</v>
      </c>
      <c r="H59" s="106" t="s">
        <v>289</v>
      </c>
      <c r="I59" s="37"/>
      <c r="J59" s="106" t="s">
        <v>289</v>
      </c>
      <c r="K59" s="106" t="s">
        <v>289</v>
      </c>
      <c r="L59" s="106" t="s">
        <v>289</v>
      </c>
      <c r="M59" s="106" t="s">
        <v>289</v>
      </c>
      <c r="N59" s="106" t="s">
        <v>289</v>
      </c>
      <c r="O59" s="106" t="s">
        <v>289</v>
      </c>
      <c r="P59" s="106" t="s">
        <v>289</v>
      </c>
      <c r="Q59" s="774"/>
      <c r="R59" s="106" t="s">
        <v>289</v>
      </c>
      <c r="S59" s="106" t="s">
        <v>289</v>
      </c>
      <c r="T59" s="106" t="s">
        <v>289</v>
      </c>
      <c r="U59" s="106">
        <v>87.21</v>
      </c>
      <c r="V59" s="106" t="s">
        <v>289</v>
      </c>
      <c r="W59" s="106">
        <v>350.37</v>
      </c>
      <c r="X59" s="106">
        <v>286.58</v>
      </c>
      <c r="Y59" s="774"/>
      <c r="Z59" s="106">
        <v>191.38</v>
      </c>
      <c r="AA59" s="106">
        <v>395</v>
      </c>
      <c r="AB59" s="106">
        <v>200.02</v>
      </c>
      <c r="AC59" s="106">
        <v>200.21</v>
      </c>
      <c r="AD59" s="106">
        <v>300</v>
      </c>
      <c r="AE59" s="106">
        <v>231.7</v>
      </c>
      <c r="AF59" s="106">
        <v>162.28</v>
      </c>
      <c r="AG59" s="106">
        <v>200.28</v>
      </c>
      <c r="AH59" s="106">
        <v>199.97</v>
      </c>
      <c r="AI59" s="106">
        <v>250.16</v>
      </c>
      <c r="AJ59" s="774"/>
      <c r="AK59" s="38"/>
      <c r="AL59" s="888"/>
      <c r="AM59" s="167"/>
      <c r="AN59" s="167"/>
      <c r="AO59" s="167"/>
    </row>
    <row r="60" spans="1:41" x14ac:dyDescent="0.25">
      <c r="A60" s="11">
        <v>58</v>
      </c>
      <c r="B60" s="106">
        <v>200</v>
      </c>
      <c r="C60" s="106">
        <v>244.64</v>
      </c>
      <c r="D60" s="106">
        <v>200</v>
      </c>
      <c r="E60" s="106">
        <v>200.26</v>
      </c>
      <c r="F60" s="106">
        <v>200</v>
      </c>
      <c r="G60" s="106">
        <v>281.02999999999997</v>
      </c>
      <c r="H60" s="106">
        <v>194.39</v>
      </c>
      <c r="I60" s="37"/>
      <c r="J60" s="106">
        <v>251.83</v>
      </c>
      <c r="K60" s="106">
        <v>200</v>
      </c>
      <c r="L60" s="106">
        <v>267.70999999999998</v>
      </c>
      <c r="M60" s="106">
        <v>211.71</v>
      </c>
      <c r="N60" s="106">
        <v>199.92</v>
      </c>
      <c r="O60" s="106">
        <v>250.59</v>
      </c>
      <c r="P60" s="106">
        <v>255.44</v>
      </c>
      <c r="Q60" s="774"/>
      <c r="R60" s="106">
        <v>222.81</v>
      </c>
      <c r="S60" s="106">
        <v>165.91</v>
      </c>
      <c r="T60" s="106">
        <v>249.12</v>
      </c>
      <c r="U60" s="106">
        <v>231.44</v>
      </c>
      <c r="V60" s="106">
        <v>200</v>
      </c>
      <c r="W60" s="106">
        <v>249.35</v>
      </c>
      <c r="X60" s="106">
        <v>226.31</v>
      </c>
      <c r="Y60" s="774"/>
      <c r="Z60" s="106">
        <v>150.94999999999999</v>
      </c>
      <c r="AA60" s="106">
        <v>258.60000000000002</v>
      </c>
      <c r="AB60" s="106">
        <v>202.6</v>
      </c>
      <c r="AC60" s="106">
        <v>202.71</v>
      </c>
      <c r="AD60" s="106">
        <v>200</v>
      </c>
      <c r="AE60" s="106">
        <v>220.47</v>
      </c>
      <c r="AF60" s="106">
        <v>195.82</v>
      </c>
      <c r="AG60" s="106">
        <v>199.85</v>
      </c>
      <c r="AH60" s="106">
        <v>200.25</v>
      </c>
      <c r="AI60" s="106">
        <v>200.41</v>
      </c>
      <c r="AJ60" s="774"/>
      <c r="AK60" s="38"/>
      <c r="AL60" s="888"/>
      <c r="AM60" s="167"/>
      <c r="AN60" s="76"/>
      <c r="AO60" s="167"/>
    </row>
    <row r="61" spans="1:41" ht="18.75" x14ac:dyDescent="0.3">
      <c r="A61" s="11">
        <v>59</v>
      </c>
      <c r="B61" s="106">
        <v>200</v>
      </c>
      <c r="C61" s="106">
        <v>208.96</v>
      </c>
      <c r="D61" s="106">
        <v>251.06</v>
      </c>
      <c r="E61" s="106">
        <v>172.32</v>
      </c>
      <c r="F61" s="106">
        <v>253.2</v>
      </c>
      <c r="G61" s="106">
        <v>239.35</v>
      </c>
      <c r="H61" s="106">
        <v>187.06</v>
      </c>
      <c r="I61" s="37"/>
      <c r="J61" s="106">
        <v>253.32</v>
      </c>
      <c r="K61" s="106">
        <v>200</v>
      </c>
      <c r="L61" s="106">
        <v>250</v>
      </c>
      <c r="M61" s="106">
        <v>224.15</v>
      </c>
      <c r="N61" s="106">
        <v>200.15</v>
      </c>
      <c r="O61" s="106">
        <v>235.32</v>
      </c>
      <c r="P61" s="106">
        <v>219.76</v>
      </c>
      <c r="Q61" s="774"/>
      <c r="R61" s="106">
        <v>247.46</v>
      </c>
      <c r="S61" s="106">
        <v>174.76</v>
      </c>
      <c r="T61" s="106">
        <v>250</v>
      </c>
      <c r="U61" s="106">
        <v>237.37</v>
      </c>
      <c r="V61" s="106">
        <v>150</v>
      </c>
      <c r="W61" s="106">
        <v>150.99</v>
      </c>
      <c r="X61" s="106">
        <v>121.11</v>
      </c>
      <c r="Y61" s="774"/>
      <c r="Z61" s="106">
        <v>200.59</v>
      </c>
      <c r="AA61" s="106">
        <v>303.89999999999998</v>
      </c>
      <c r="AB61" s="106">
        <v>223.4</v>
      </c>
      <c r="AC61" s="106">
        <v>294.44</v>
      </c>
      <c r="AD61" s="106">
        <v>279.01</v>
      </c>
      <c r="AE61" s="106">
        <v>244.61</v>
      </c>
      <c r="AF61" s="106">
        <v>150.27000000000001</v>
      </c>
      <c r="AG61" s="106">
        <v>200</v>
      </c>
      <c r="AH61" s="106">
        <v>200.19</v>
      </c>
      <c r="AI61" s="106">
        <v>250.25</v>
      </c>
      <c r="AJ61" s="774"/>
      <c r="AK61" s="340"/>
      <c r="AL61" s="888"/>
      <c r="AM61" s="167"/>
      <c r="AN61" s="19"/>
      <c r="AO61" s="167"/>
    </row>
    <row r="62" spans="1:41" ht="15.75" x14ac:dyDescent="0.25">
      <c r="A62" s="11">
        <v>60</v>
      </c>
      <c r="B62" s="106">
        <v>250</v>
      </c>
      <c r="C62" s="106">
        <v>208.64</v>
      </c>
      <c r="D62" s="106">
        <v>249.25</v>
      </c>
      <c r="E62" s="106">
        <v>199.37</v>
      </c>
      <c r="F62" s="106">
        <v>300</v>
      </c>
      <c r="G62" s="106">
        <v>287.14</v>
      </c>
      <c r="H62" s="106">
        <v>200</v>
      </c>
      <c r="I62" s="37"/>
      <c r="J62" s="106">
        <v>291.13</v>
      </c>
      <c r="K62" s="106">
        <v>250</v>
      </c>
      <c r="L62" s="106">
        <v>256.88</v>
      </c>
      <c r="M62" s="106">
        <v>217.39</v>
      </c>
      <c r="N62" s="106">
        <v>228.81</v>
      </c>
      <c r="O62" s="106">
        <v>254.03</v>
      </c>
      <c r="P62" s="106">
        <v>299.91000000000003</v>
      </c>
      <c r="Q62" s="774"/>
      <c r="R62" s="106">
        <v>253.12</v>
      </c>
      <c r="S62" s="106">
        <v>220.66</v>
      </c>
      <c r="T62" s="106">
        <v>286.23</v>
      </c>
      <c r="U62" s="106">
        <v>188.11</v>
      </c>
      <c r="V62" s="106">
        <v>200</v>
      </c>
      <c r="W62" s="106">
        <v>300.31</v>
      </c>
      <c r="X62" s="106">
        <v>299.67</v>
      </c>
      <c r="Y62" s="774"/>
      <c r="Z62" s="106" t="s">
        <v>289</v>
      </c>
      <c r="AA62" s="106">
        <v>527.29999999999995</v>
      </c>
      <c r="AB62" s="106">
        <v>211</v>
      </c>
      <c r="AC62" s="106">
        <v>249.07</v>
      </c>
      <c r="AD62" s="106">
        <v>200.24</v>
      </c>
      <c r="AE62" s="106">
        <v>167.9</v>
      </c>
      <c r="AF62" s="106">
        <v>152.85</v>
      </c>
      <c r="AG62" s="106">
        <v>199.83</v>
      </c>
      <c r="AH62" s="106">
        <v>200.07</v>
      </c>
      <c r="AI62" s="106">
        <v>249.38</v>
      </c>
      <c r="AJ62" s="774"/>
      <c r="AK62" s="652">
        <v>78211.69</v>
      </c>
      <c r="AL62" s="888"/>
      <c r="AM62" s="167"/>
      <c r="AN62" s="32"/>
      <c r="AO62" s="167"/>
    </row>
    <row r="63" spans="1:41" ht="15.75" x14ac:dyDescent="0.25">
      <c r="A63" s="11">
        <v>61</v>
      </c>
      <c r="B63" s="106">
        <v>227.74</v>
      </c>
      <c r="C63" s="106">
        <v>200</v>
      </c>
      <c r="D63" s="106">
        <v>300</v>
      </c>
      <c r="E63" s="106">
        <v>152.97999999999999</v>
      </c>
      <c r="F63" s="106">
        <v>200</v>
      </c>
      <c r="G63" s="106">
        <v>200</v>
      </c>
      <c r="H63" s="106">
        <v>200</v>
      </c>
      <c r="I63" s="37"/>
      <c r="J63" s="106">
        <v>250.13</v>
      </c>
      <c r="K63" s="106">
        <v>250</v>
      </c>
      <c r="L63" s="106">
        <v>271.41000000000003</v>
      </c>
      <c r="M63" s="106">
        <v>236.32</v>
      </c>
      <c r="N63" s="106">
        <v>266.92</v>
      </c>
      <c r="O63" s="106">
        <v>206.93</v>
      </c>
      <c r="P63" s="106">
        <v>222.61</v>
      </c>
      <c r="Q63" s="774"/>
      <c r="R63" s="106">
        <v>270.2</v>
      </c>
      <c r="S63" s="106">
        <v>232.12</v>
      </c>
      <c r="T63" s="106">
        <v>188.85</v>
      </c>
      <c r="U63" s="106">
        <v>250.11</v>
      </c>
      <c r="V63" s="106">
        <v>265.86</v>
      </c>
      <c r="W63" s="106">
        <v>210.75</v>
      </c>
      <c r="X63" s="106">
        <v>259.54000000000002</v>
      </c>
      <c r="Y63" s="774"/>
      <c r="Z63" s="106">
        <v>153.97999999999999</v>
      </c>
      <c r="AA63" s="106">
        <v>304.89999999999998</v>
      </c>
      <c r="AB63" s="106">
        <v>300.2</v>
      </c>
      <c r="AC63" s="106">
        <v>199.57</v>
      </c>
      <c r="AD63" s="106">
        <v>165.48</v>
      </c>
      <c r="AE63" s="106">
        <v>97.2</v>
      </c>
      <c r="AF63" s="106">
        <v>152.1</v>
      </c>
      <c r="AG63" s="106">
        <v>199.86</v>
      </c>
      <c r="AH63" s="106">
        <v>200.13</v>
      </c>
      <c r="AI63" s="106">
        <v>250.09</v>
      </c>
      <c r="AJ63" s="774"/>
      <c r="AK63" s="652">
        <v>81765.649999999994</v>
      </c>
      <c r="AL63" s="888"/>
      <c r="AM63" s="167"/>
      <c r="AN63" s="167"/>
      <c r="AO63" s="167"/>
    </row>
    <row r="64" spans="1:41" ht="15.75" x14ac:dyDescent="0.25">
      <c r="A64" s="11">
        <v>62</v>
      </c>
      <c r="B64" s="106">
        <v>200</v>
      </c>
      <c r="C64" s="106">
        <v>300</v>
      </c>
      <c r="D64" s="106" t="s">
        <v>289</v>
      </c>
      <c r="E64" s="106">
        <v>299.45</v>
      </c>
      <c r="F64" s="106">
        <v>244</v>
      </c>
      <c r="G64" s="106">
        <v>246.85</v>
      </c>
      <c r="H64" s="106">
        <v>161.37</v>
      </c>
      <c r="I64" s="37"/>
      <c r="J64" s="106">
        <v>250.15</v>
      </c>
      <c r="K64" s="106">
        <v>200</v>
      </c>
      <c r="L64" s="106">
        <v>174.94</v>
      </c>
      <c r="M64" s="106">
        <v>250.41</v>
      </c>
      <c r="N64" s="106">
        <v>240.18</v>
      </c>
      <c r="O64" s="106">
        <v>200.25</v>
      </c>
      <c r="P64" s="106">
        <v>278.2</v>
      </c>
      <c r="Q64" s="774"/>
      <c r="R64" s="106">
        <v>250.27</v>
      </c>
      <c r="S64" s="106">
        <v>185.21</v>
      </c>
      <c r="T64" s="106">
        <v>279.79000000000002</v>
      </c>
      <c r="U64" s="106">
        <v>167.17</v>
      </c>
      <c r="V64" s="106">
        <v>245.34</v>
      </c>
      <c r="W64" s="106">
        <v>267.24</v>
      </c>
      <c r="X64" s="106">
        <v>227.61</v>
      </c>
      <c r="Y64" s="774"/>
      <c r="Z64" s="106">
        <v>138.27000000000001</v>
      </c>
      <c r="AA64" s="106">
        <v>271</v>
      </c>
      <c r="AB64" s="106">
        <v>168.5</v>
      </c>
      <c r="AC64" s="106">
        <v>249.7</v>
      </c>
      <c r="AD64" s="106">
        <v>200.23</v>
      </c>
      <c r="AE64" s="106">
        <v>241.01</v>
      </c>
      <c r="AF64" s="106">
        <v>120.62</v>
      </c>
      <c r="AG64" s="106">
        <v>200</v>
      </c>
      <c r="AH64" s="106">
        <v>200.08</v>
      </c>
      <c r="AI64" s="106">
        <v>230.26</v>
      </c>
      <c r="AJ64" s="774"/>
      <c r="AK64" s="648">
        <v>82722.95</v>
      </c>
      <c r="AL64" s="197"/>
    </row>
    <row r="65" spans="1:38" ht="16.5" thickBot="1" x14ac:dyDescent="0.3">
      <c r="A65" s="62">
        <v>63</v>
      </c>
      <c r="B65" s="589" t="s">
        <v>290</v>
      </c>
      <c r="C65" s="589" t="s">
        <v>290</v>
      </c>
      <c r="D65" s="589" t="s">
        <v>290</v>
      </c>
      <c r="E65" s="589" t="s">
        <v>290</v>
      </c>
      <c r="F65" s="589" t="s">
        <v>290</v>
      </c>
      <c r="G65" s="589" t="s">
        <v>290</v>
      </c>
      <c r="H65" s="589" t="s">
        <v>290</v>
      </c>
      <c r="I65" s="773" t="s">
        <v>290</v>
      </c>
      <c r="J65" s="589" t="s">
        <v>290</v>
      </c>
      <c r="K65" s="589" t="s">
        <v>290</v>
      </c>
      <c r="L65" s="589" t="s">
        <v>290</v>
      </c>
      <c r="M65" s="589" t="s">
        <v>290</v>
      </c>
      <c r="N65" s="589" t="s">
        <v>290</v>
      </c>
      <c r="O65" s="589" t="s">
        <v>290</v>
      </c>
      <c r="P65" s="589" t="s">
        <v>290</v>
      </c>
      <c r="Q65" s="773" t="s">
        <v>290</v>
      </c>
      <c r="R65" s="589" t="s">
        <v>290</v>
      </c>
      <c r="S65" s="589" t="s">
        <v>290</v>
      </c>
      <c r="T65" s="589" t="s">
        <v>290</v>
      </c>
      <c r="U65" s="589" t="s">
        <v>290</v>
      </c>
      <c r="V65" s="589" t="s">
        <v>290</v>
      </c>
      <c r="W65" s="589" t="s">
        <v>290</v>
      </c>
      <c r="X65" s="589" t="s">
        <v>290</v>
      </c>
      <c r="Y65" s="773" t="s">
        <v>290</v>
      </c>
      <c r="Z65" s="589" t="s">
        <v>290</v>
      </c>
      <c r="AA65" s="589" t="s">
        <v>290</v>
      </c>
      <c r="AB65" s="589" t="s">
        <v>290</v>
      </c>
      <c r="AC65" s="589" t="s">
        <v>290</v>
      </c>
      <c r="AD65" s="589" t="s">
        <v>290</v>
      </c>
      <c r="AE65" s="589" t="s">
        <v>290</v>
      </c>
      <c r="AF65" s="589" t="s">
        <v>290</v>
      </c>
      <c r="AG65" s="589" t="s">
        <v>290</v>
      </c>
      <c r="AH65" s="589" t="s">
        <v>290</v>
      </c>
      <c r="AI65" s="589" t="s">
        <v>290</v>
      </c>
      <c r="AJ65" s="773" t="s">
        <v>290</v>
      </c>
      <c r="AK65" s="661">
        <v>103625.79</v>
      </c>
      <c r="AL65" s="204"/>
    </row>
    <row r="66" spans="1:38" ht="18.75" x14ac:dyDescent="0.3">
      <c r="A66" s="281" t="s">
        <v>2</v>
      </c>
      <c r="B66" s="163">
        <f t="shared" ref="B66:G66" si="0">SUM(B3:B65)</f>
        <v>12782.74</v>
      </c>
      <c r="C66" s="163">
        <f t="shared" si="0"/>
        <v>12055.159999999994</v>
      </c>
      <c r="D66" s="163">
        <f t="shared" si="0"/>
        <v>10785.84</v>
      </c>
      <c r="E66" s="163">
        <f t="shared" si="0"/>
        <v>8962.5500000000029</v>
      </c>
      <c r="F66" s="163">
        <f t="shared" si="0"/>
        <v>11069.85</v>
      </c>
      <c r="G66" s="163">
        <f t="shared" si="0"/>
        <v>12037.630000000003</v>
      </c>
      <c r="H66" s="163">
        <f>SUM(H3:H65)</f>
        <v>10517.919999999998</v>
      </c>
      <c r="I66" s="163">
        <f>SUM(B66:H66)</f>
        <v>78211.689999999988</v>
      </c>
      <c r="J66" s="163">
        <f t="shared" ref="J66:O66" si="1">SUM(J3:J65)</f>
        <v>12585.199999999997</v>
      </c>
      <c r="K66" s="163">
        <f t="shared" si="1"/>
        <v>11622.95</v>
      </c>
      <c r="L66" s="163">
        <f t="shared" si="1"/>
        <v>12217.519999999997</v>
      </c>
      <c r="M66" s="163">
        <f t="shared" si="1"/>
        <v>9701.6099999999969</v>
      </c>
      <c r="N66" s="163">
        <f t="shared" si="1"/>
        <v>11826.36</v>
      </c>
      <c r="O66" s="163">
        <f t="shared" si="1"/>
        <v>11511.940000000002</v>
      </c>
      <c r="P66" s="163">
        <f>SUM(P3:P65)</f>
        <v>12300.070000000002</v>
      </c>
      <c r="Q66" s="775">
        <f>SUM(J66:P66)</f>
        <v>81765.650000000009</v>
      </c>
      <c r="R66" s="163">
        <f t="shared" ref="R66:W66" si="2">SUM(R3:R65)</f>
        <v>11368.19</v>
      </c>
      <c r="S66" s="163">
        <f t="shared" si="2"/>
        <v>10666.049999999997</v>
      </c>
      <c r="T66" s="163">
        <f>SUM(T3:T65)</f>
        <v>12229.630000000001</v>
      </c>
      <c r="U66" s="163">
        <f t="shared" si="2"/>
        <v>11521.820000000002</v>
      </c>
      <c r="V66" s="163">
        <f t="shared" si="2"/>
        <v>10572.84</v>
      </c>
      <c r="W66" s="163">
        <f t="shared" si="2"/>
        <v>14007.94</v>
      </c>
      <c r="X66" s="163">
        <f>SUM(X3:X65)</f>
        <v>12366.480000000003</v>
      </c>
      <c r="Y66" s="775">
        <f>SUM(R66:X66)</f>
        <v>82732.950000000012</v>
      </c>
      <c r="Z66" s="163">
        <f t="shared" ref="Z66:AG66" si="3">SUM(Z3:Z65)</f>
        <v>10228.720000000001</v>
      </c>
      <c r="AA66" s="163">
        <f t="shared" si="3"/>
        <v>15185.500000000002</v>
      </c>
      <c r="AB66" s="163">
        <f t="shared" si="3"/>
        <v>10624.420000000002</v>
      </c>
      <c r="AC66" s="163">
        <f t="shared" si="3"/>
        <v>9753.86</v>
      </c>
      <c r="AD66" s="163">
        <f t="shared" si="3"/>
        <v>10296.770000000002</v>
      </c>
      <c r="AE66" s="163">
        <f t="shared" si="3"/>
        <v>9365.5200000000023</v>
      </c>
      <c r="AF66" s="163">
        <f t="shared" si="3"/>
        <v>7459.4800000000014</v>
      </c>
      <c r="AG66" s="163">
        <f t="shared" si="3"/>
        <v>9764.18</v>
      </c>
      <c r="AH66" s="163">
        <f>SUM(AH3:AH65)</f>
        <v>10346.939999999999</v>
      </c>
      <c r="AI66" s="163">
        <f>SUM(AI3:AI65)</f>
        <v>10600.4</v>
      </c>
      <c r="AJ66" s="163">
        <f>SUM(Z66:AI66)</f>
        <v>103625.79000000001</v>
      </c>
      <c r="AK66" s="701">
        <f>SUM(AK62:AK65)</f>
        <v>346326.07999999996</v>
      </c>
      <c r="AL66" s="285"/>
    </row>
    <row r="67" spans="1:38" ht="15.75" thickBot="1" x14ac:dyDescent="0.3">
      <c r="A67" s="264"/>
      <c r="B67" s="265" t="s">
        <v>265</v>
      </c>
      <c r="C67" s="265" t="s">
        <v>259</v>
      </c>
      <c r="D67" s="265" t="s">
        <v>264</v>
      </c>
      <c r="E67" s="265" t="s">
        <v>333</v>
      </c>
      <c r="F67" s="265" t="s">
        <v>260</v>
      </c>
      <c r="G67" s="265" t="s">
        <v>265</v>
      </c>
      <c r="H67" s="265" t="s">
        <v>265</v>
      </c>
      <c r="I67" s="56"/>
      <c r="J67" s="265" t="s">
        <v>260</v>
      </c>
      <c r="K67" s="265" t="s">
        <v>261</v>
      </c>
      <c r="L67" s="265" t="s">
        <v>265</v>
      </c>
      <c r="M67" s="265" t="s">
        <v>260</v>
      </c>
      <c r="N67" s="265" t="s">
        <v>265</v>
      </c>
      <c r="O67" s="265" t="s">
        <v>260</v>
      </c>
      <c r="P67" s="265" t="s">
        <v>261</v>
      </c>
      <c r="Q67" s="56"/>
      <c r="R67" s="265" t="s">
        <v>260</v>
      </c>
      <c r="S67" s="265" t="s">
        <v>292</v>
      </c>
      <c r="T67" s="265" t="s">
        <v>259</v>
      </c>
      <c r="U67" s="265" t="s">
        <v>259</v>
      </c>
      <c r="V67" s="265" t="s">
        <v>259</v>
      </c>
      <c r="W67" s="265" t="s">
        <v>261</v>
      </c>
      <c r="X67" s="265" t="s">
        <v>265</v>
      </c>
      <c r="Y67" s="56"/>
      <c r="Z67" s="265" t="s">
        <v>292</v>
      </c>
      <c r="AA67" s="265" t="s">
        <v>259</v>
      </c>
      <c r="AB67" s="265" t="s">
        <v>259</v>
      </c>
      <c r="AC67" s="265" t="s">
        <v>265</v>
      </c>
      <c r="AD67" s="265" t="s">
        <v>292</v>
      </c>
      <c r="AE67" s="265" t="s">
        <v>262</v>
      </c>
      <c r="AF67" s="265" t="s">
        <v>292</v>
      </c>
      <c r="AG67" s="265" t="s">
        <v>265</v>
      </c>
      <c r="AH67" s="265" t="s">
        <v>260</v>
      </c>
      <c r="AI67" s="265" t="s">
        <v>414</v>
      </c>
      <c r="AJ67" s="56"/>
      <c r="AK67" s="225"/>
      <c r="AL67" s="228"/>
    </row>
    <row r="68" spans="1:38" ht="24" thickBot="1" x14ac:dyDescent="0.4">
      <c r="A68" s="252" t="s">
        <v>147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60"/>
    </row>
    <row r="69" spans="1:38" ht="16.5" thickBot="1" x14ac:dyDescent="0.3">
      <c r="A69" s="321" t="s">
        <v>7</v>
      </c>
      <c r="B69" s="322">
        <v>1</v>
      </c>
      <c r="C69" s="322">
        <v>2</v>
      </c>
      <c r="D69" s="322">
        <v>3</v>
      </c>
      <c r="E69" s="322">
        <v>4</v>
      </c>
      <c r="F69" s="322">
        <v>5</v>
      </c>
      <c r="G69" s="322">
        <v>6</v>
      </c>
      <c r="H69" s="322">
        <v>7</v>
      </c>
      <c r="I69" s="323" t="s">
        <v>6</v>
      </c>
      <c r="J69" s="322">
        <v>8</v>
      </c>
      <c r="K69" s="322">
        <v>9</v>
      </c>
      <c r="L69" s="322">
        <v>10</v>
      </c>
      <c r="M69" s="322">
        <v>11</v>
      </c>
      <c r="N69" s="322">
        <v>12</v>
      </c>
      <c r="O69" s="322">
        <v>13</v>
      </c>
      <c r="P69" s="322">
        <v>14</v>
      </c>
      <c r="Q69" s="323" t="s">
        <v>6</v>
      </c>
      <c r="R69" s="322">
        <v>15</v>
      </c>
      <c r="S69" s="322">
        <v>16</v>
      </c>
      <c r="T69" s="322">
        <v>17</v>
      </c>
      <c r="U69" s="322">
        <v>18</v>
      </c>
      <c r="V69" s="322">
        <v>19</v>
      </c>
      <c r="W69" s="322">
        <v>20</v>
      </c>
      <c r="X69" s="322">
        <v>21</v>
      </c>
      <c r="Y69" s="323" t="s">
        <v>6</v>
      </c>
      <c r="Z69" s="322">
        <v>22</v>
      </c>
      <c r="AA69" s="322">
        <v>23</v>
      </c>
      <c r="AB69" s="322">
        <v>24</v>
      </c>
      <c r="AC69" s="322">
        <v>25</v>
      </c>
      <c r="AD69" s="322">
        <v>26</v>
      </c>
      <c r="AE69" s="322">
        <v>27</v>
      </c>
      <c r="AF69" s="322">
        <v>28</v>
      </c>
      <c r="AG69" s="322">
        <v>29</v>
      </c>
      <c r="AH69" s="322">
        <v>30</v>
      </c>
      <c r="AI69" s="322">
        <v>31</v>
      </c>
      <c r="AJ69" s="324" t="s">
        <v>6</v>
      </c>
      <c r="AK69" s="325" t="s">
        <v>0</v>
      </c>
      <c r="AL69" s="772" t="s">
        <v>42</v>
      </c>
    </row>
    <row r="70" spans="1:38" x14ac:dyDescent="0.25">
      <c r="A70" s="394">
        <v>23</v>
      </c>
      <c r="B70" s="530"/>
      <c r="C70" s="530"/>
      <c r="D70" s="530"/>
      <c r="E70" s="530"/>
      <c r="F70" s="530"/>
      <c r="G70" s="530"/>
      <c r="H70" s="530"/>
      <c r="I70" s="160"/>
      <c r="J70" s="530"/>
      <c r="K70" s="530"/>
      <c r="L70" s="530"/>
      <c r="M70" s="530"/>
      <c r="N70" s="530"/>
      <c r="O70" s="530"/>
      <c r="P70" s="530"/>
      <c r="Q70" s="160"/>
      <c r="R70" s="530"/>
      <c r="S70" s="530"/>
      <c r="T70" s="530"/>
      <c r="U70" s="530"/>
      <c r="V70" s="530"/>
      <c r="W70" s="530"/>
      <c r="X70" s="530"/>
      <c r="Y70" s="160"/>
      <c r="Z70" s="530"/>
      <c r="AA70" s="530"/>
      <c r="AB70" s="530"/>
      <c r="AC70" s="530"/>
      <c r="AD70" s="530"/>
      <c r="AE70" s="530"/>
      <c r="AF70" s="530"/>
      <c r="AG70" s="530"/>
      <c r="AH70" s="530"/>
      <c r="AI70" s="530"/>
      <c r="AJ70" s="160"/>
      <c r="AK70" s="14"/>
      <c r="AL70" s="635" t="s">
        <v>234</v>
      </c>
    </row>
    <row r="71" spans="1:38" x14ac:dyDescent="0.25">
      <c r="A71" s="381">
        <v>83</v>
      </c>
      <c r="B71" s="530"/>
      <c r="C71" s="530"/>
      <c r="D71" s="532">
        <v>131.63999999999999</v>
      </c>
      <c r="E71" s="530"/>
      <c r="F71" s="530"/>
      <c r="G71" s="530"/>
      <c r="H71" s="530"/>
      <c r="I71" s="37"/>
      <c r="J71" s="530"/>
      <c r="K71" s="530"/>
      <c r="L71" s="530"/>
      <c r="M71" s="530"/>
      <c r="N71" s="530"/>
      <c r="O71" s="537"/>
      <c r="P71" s="537"/>
      <c r="Q71" s="111"/>
      <c r="R71" s="530"/>
      <c r="S71" s="537"/>
      <c r="T71" s="537"/>
      <c r="U71" s="530"/>
      <c r="V71" s="537"/>
      <c r="W71" s="530"/>
      <c r="X71" s="530"/>
      <c r="Y71" s="111"/>
      <c r="Z71" s="530"/>
      <c r="AA71" s="537"/>
      <c r="AB71" s="530"/>
      <c r="AC71" s="530"/>
      <c r="AD71" s="530"/>
      <c r="AE71" s="537"/>
      <c r="AF71" s="537"/>
      <c r="AG71" s="537"/>
      <c r="AH71" s="537"/>
      <c r="AI71" s="537"/>
      <c r="AJ71" s="111"/>
      <c r="AK71" s="38"/>
      <c r="AL71" s="448" t="s">
        <v>235</v>
      </c>
    </row>
    <row r="72" spans="1:38" x14ac:dyDescent="0.25">
      <c r="A72" s="381">
        <v>90</v>
      </c>
      <c r="B72" s="530"/>
      <c r="C72" s="530"/>
      <c r="D72" s="530"/>
      <c r="E72" s="537"/>
      <c r="F72" s="537"/>
      <c r="G72" s="537"/>
      <c r="H72" s="537"/>
      <c r="I72" s="111"/>
      <c r="J72" s="537"/>
      <c r="K72" s="537"/>
      <c r="L72" s="537"/>
      <c r="M72" s="537"/>
      <c r="N72" s="537"/>
      <c r="O72" s="537"/>
      <c r="P72" s="537"/>
      <c r="Q72" s="111"/>
      <c r="R72" s="537"/>
      <c r="S72" s="537"/>
      <c r="T72" s="537"/>
      <c r="U72" s="537"/>
      <c r="V72" s="537"/>
      <c r="W72" s="530"/>
      <c r="X72" s="530"/>
      <c r="Y72" s="111"/>
      <c r="Z72" s="530"/>
      <c r="AA72" s="530"/>
      <c r="AB72" s="530"/>
      <c r="AC72" s="530"/>
      <c r="AD72" s="530"/>
      <c r="AE72" s="530"/>
      <c r="AF72" s="530"/>
      <c r="AG72" s="530"/>
      <c r="AH72" s="530"/>
      <c r="AI72" s="530"/>
      <c r="AJ72" s="111"/>
      <c r="AK72" s="38"/>
      <c r="AL72" s="448"/>
    </row>
    <row r="73" spans="1:38" x14ac:dyDescent="0.25">
      <c r="A73" s="381">
        <v>93</v>
      </c>
      <c r="B73" s="537"/>
      <c r="C73" s="537"/>
      <c r="D73" s="537"/>
      <c r="E73" s="537"/>
      <c r="F73" s="537"/>
      <c r="G73" s="537"/>
      <c r="H73" s="537"/>
      <c r="I73" s="111"/>
      <c r="J73" s="530"/>
      <c r="K73" s="530"/>
      <c r="L73" s="530"/>
      <c r="M73" s="537"/>
      <c r="N73" s="537"/>
      <c r="O73" s="537"/>
      <c r="P73" s="537"/>
      <c r="Q73" s="111"/>
      <c r="R73" s="530"/>
      <c r="S73" s="537"/>
      <c r="T73" s="537"/>
      <c r="U73" s="530"/>
      <c r="V73" s="530"/>
      <c r="W73" s="530"/>
      <c r="X73" s="530"/>
      <c r="Y73" s="111"/>
      <c r="Z73" s="537"/>
      <c r="AA73" s="530"/>
      <c r="AB73" s="530"/>
      <c r="AC73" s="530"/>
      <c r="AD73" s="530"/>
      <c r="AE73" s="537"/>
      <c r="AF73" s="530"/>
      <c r="AG73" s="537"/>
      <c r="AH73" s="537"/>
      <c r="AI73" s="537"/>
      <c r="AJ73" s="111"/>
      <c r="AK73" s="38"/>
      <c r="AL73" s="449" t="s">
        <v>236</v>
      </c>
    </row>
    <row r="74" spans="1:38" x14ac:dyDescent="0.25">
      <c r="A74" s="381">
        <v>95</v>
      </c>
      <c r="B74" s="131">
        <v>123.68</v>
      </c>
      <c r="C74" s="135">
        <v>113.56</v>
      </c>
      <c r="D74" s="135">
        <v>129.9</v>
      </c>
      <c r="E74" s="135">
        <v>77.87</v>
      </c>
      <c r="F74" s="135">
        <v>71.56</v>
      </c>
      <c r="G74" s="530"/>
      <c r="H74" s="135">
        <v>57.05</v>
      </c>
      <c r="I74" s="37"/>
      <c r="J74" s="135">
        <v>98.57</v>
      </c>
      <c r="K74" s="135">
        <v>99.19</v>
      </c>
      <c r="L74" s="131">
        <v>42.39</v>
      </c>
      <c r="M74" s="135">
        <v>109.87</v>
      </c>
      <c r="N74" s="135">
        <v>75.739999999999995</v>
      </c>
      <c r="O74" s="135">
        <v>93.57</v>
      </c>
      <c r="P74" s="155">
        <v>113.93</v>
      </c>
      <c r="Q74" s="37"/>
      <c r="R74" s="537"/>
      <c r="S74" s="537"/>
      <c r="T74" s="537"/>
      <c r="U74" s="532">
        <v>169.88</v>
      </c>
      <c r="V74" s="131">
        <v>93.23</v>
      </c>
      <c r="W74" s="135">
        <v>82.97</v>
      </c>
      <c r="X74" s="135">
        <v>104.31</v>
      </c>
      <c r="Y74" s="37"/>
      <c r="Z74" s="131">
        <v>97.67</v>
      </c>
      <c r="AA74" s="537"/>
      <c r="AB74" s="530"/>
      <c r="AC74" s="530"/>
      <c r="AD74" s="530"/>
      <c r="AE74" s="131">
        <v>53.09</v>
      </c>
      <c r="AF74" s="131">
        <v>52.37</v>
      </c>
      <c r="AG74" s="131">
        <v>96.86</v>
      </c>
      <c r="AH74" s="131">
        <v>80.569999999999993</v>
      </c>
      <c r="AI74" s="131">
        <v>91.38</v>
      </c>
      <c r="AJ74" s="37"/>
      <c r="AK74" s="38"/>
      <c r="AL74" s="448" t="s">
        <v>237</v>
      </c>
    </row>
    <row r="75" spans="1:38" x14ac:dyDescent="0.25">
      <c r="A75" s="381">
        <v>98</v>
      </c>
      <c r="B75" s="537"/>
      <c r="C75" s="537"/>
      <c r="D75" s="537"/>
      <c r="E75" s="537"/>
      <c r="F75" s="537"/>
      <c r="G75" s="537"/>
      <c r="H75" s="537"/>
      <c r="I75" s="111"/>
      <c r="J75" s="537"/>
      <c r="K75" s="537"/>
      <c r="L75" s="537"/>
      <c r="M75" s="537"/>
      <c r="N75" s="537"/>
      <c r="O75" s="537"/>
      <c r="P75" s="537"/>
      <c r="Q75" s="111"/>
      <c r="R75" s="537"/>
      <c r="S75" s="537"/>
      <c r="T75" s="537"/>
      <c r="U75" s="537"/>
      <c r="V75" s="537"/>
      <c r="W75" s="530"/>
      <c r="X75" s="530"/>
      <c r="Y75" s="111"/>
      <c r="Z75" s="530"/>
      <c r="AA75" s="530"/>
      <c r="AB75" s="530"/>
      <c r="AC75" s="530"/>
      <c r="AD75" s="530"/>
      <c r="AE75" s="530"/>
      <c r="AF75" s="530"/>
      <c r="AG75" s="530"/>
      <c r="AH75" s="530"/>
      <c r="AI75" s="530"/>
      <c r="AJ75" s="111"/>
      <c r="AK75" s="38"/>
      <c r="AL75" s="448" t="s">
        <v>238</v>
      </c>
    </row>
    <row r="76" spans="1:38" x14ac:dyDescent="0.25">
      <c r="A76" s="381">
        <v>104</v>
      </c>
      <c r="B76" s="537"/>
      <c r="C76" s="530"/>
      <c r="D76" s="530"/>
      <c r="E76" s="530"/>
      <c r="F76" s="530"/>
      <c r="G76" s="530"/>
      <c r="H76" s="530"/>
      <c r="I76" s="111"/>
      <c r="J76" s="530"/>
      <c r="K76" s="530"/>
      <c r="L76" s="530"/>
      <c r="M76" s="530"/>
      <c r="N76" s="537"/>
      <c r="O76" s="530"/>
      <c r="P76" s="537"/>
      <c r="Q76" s="111"/>
      <c r="R76" s="530"/>
      <c r="S76" s="537"/>
      <c r="T76" s="537"/>
      <c r="U76" s="530"/>
      <c r="V76" s="537"/>
      <c r="W76" s="530"/>
      <c r="X76" s="530"/>
      <c r="Y76" s="111"/>
      <c r="Z76" s="530"/>
      <c r="AA76" s="537"/>
      <c r="AB76" s="530"/>
      <c r="AC76" s="530"/>
      <c r="AD76" s="530"/>
      <c r="AE76" s="530"/>
      <c r="AF76" s="537"/>
      <c r="AG76" s="537"/>
      <c r="AH76" s="537"/>
      <c r="AI76" s="537"/>
      <c r="AJ76" s="111"/>
      <c r="AK76" s="38"/>
      <c r="AL76" s="448"/>
    </row>
    <row r="77" spans="1:38" x14ac:dyDescent="0.25">
      <c r="A77" s="393">
        <v>118</v>
      </c>
      <c r="B77" s="537"/>
      <c r="C77" s="537"/>
      <c r="D77" s="537"/>
      <c r="E77" s="537"/>
      <c r="F77" s="537"/>
      <c r="G77" s="537"/>
      <c r="H77" s="537"/>
      <c r="I77" s="111"/>
      <c r="J77" s="537"/>
      <c r="K77" s="537"/>
      <c r="L77" s="537"/>
      <c r="M77" s="537"/>
      <c r="N77" s="537"/>
      <c r="O77" s="537"/>
      <c r="P77" s="537"/>
      <c r="Q77" s="111"/>
      <c r="R77" s="537"/>
      <c r="S77" s="537"/>
      <c r="T77" s="537"/>
      <c r="U77" s="537"/>
      <c r="V77" s="537"/>
      <c r="W77" s="537"/>
      <c r="X77" s="537"/>
      <c r="Y77" s="111"/>
      <c r="Z77" s="530"/>
      <c r="AA77" s="530"/>
      <c r="AB77" s="530"/>
      <c r="AC77" s="530"/>
      <c r="AD77" s="530"/>
      <c r="AE77" s="530"/>
      <c r="AF77" s="530"/>
      <c r="AG77" s="537"/>
      <c r="AH77" s="537"/>
      <c r="AI77" s="537"/>
      <c r="AJ77" s="111"/>
      <c r="AK77" s="38"/>
      <c r="AL77" s="112" t="s">
        <v>239</v>
      </c>
    </row>
    <row r="78" spans="1:38" x14ac:dyDescent="0.25">
      <c r="A78" s="382">
        <v>128</v>
      </c>
      <c r="B78" s="131">
        <v>67.39</v>
      </c>
      <c r="C78" s="12">
        <v>75.72</v>
      </c>
      <c r="D78" s="135">
        <v>105.19</v>
      </c>
      <c r="E78" s="135">
        <v>59.86</v>
      </c>
      <c r="F78" s="135">
        <v>71.3</v>
      </c>
      <c r="G78" s="135">
        <v>95.36</v>
      </c>
      <c r="H78" s="131">
        <v>52.65</v>
      </c>
      <c r="I78" s="37"/>
      <c r="J78" s="155">
        <v>78.55</v>
      </c>
      <c r="K78" s="135">
        <v>76.41</v>
      </c>
      <c r="L78" s="135">
        <v>100.32</v>
      </c>
      <c r="M78" s="135">
        <v>78.930000000000007</v>
      </c>
      <c r="N78" s="135">
        <v>88.01</v>
      </c>
      <c r="O78" s="155">
        <v>83.97</v>
      </c>
      <c r="P78" s="155">
        <v>92.88</v>
      </c>
      <c r="Q78" s="37"/>
      <c r="R78" s="131">
        <v>87.47</v>
      </c>
      <c r="S78" s="131">
        <v>88.35</v>
      </c>
      <c r="T78" s="12">
        <v>103.1</v>
      </c>
      <c r="U78" s="12">
        <v>72.260000000000005</v>
      </c>
      <c r="V78" s="537"/>
      <c r="W78" s="532">
        <v>131.86000000000001</v>
      </c>
      <c r="X78" s="135">
        <v>104.26</v>
      </c>
      <c r="Y78" s="37"/>
      <c r="Z78" s="12">
        <v>94.09</v>
      </c>
      <c r="AA78" s="131">
        <v>98.53</v>
      </c>
      <c r="AB78" s="12">
        <v>82.65</v>
      </c>
      <c r="AC78" s="12">
        <v>82.95</v>
      </c>
      <c r="AD78" s="12">
        <v>72.61</v>
      </c>
      <c r="AE78" s="131">
        <v>44.65</v>
      </c>
      <c r="AF78" s="12">
        <v>62.6</v>
      </c>
      <c r="AG78" s="131">
        <v>92.97</v>
      </c>
      <c r="AH78" s="131">
        <v>88.61</v>
      </c>
      <c r="AI78" s="12">
        <v>76</v>
      </c>
      <c r="AJ78" s="37"/>
      <c r="AK78" s="38"/>
      <c r="AL78" s="450" t="s">
        <v>240</v>
      </c>
    </row>
    <row r="79" spans="1:38" x14ac:dyDescent="0.25">
      <c r="A79" s="382">
        <v>131</v>
      </c>
      <c r="B79" s="537"/>
      <c r="C79" s="530"/>
      <c r="D79" s="530"/>
      <c r="E79" s="530"/>
      <c r="F79" s="537"/>
      <c r="G79" s="530"/>
      <c r="H79" s="537"/>
      <c r="I79" s="111"/>
      <c r="J79" s="530"/>
      <c r="K79" s="12">
        <v>74.099999999999994</v>
      </c>
      <c r="L79" s="135">
        <v>78.180000000000007</v>
      </c>
      <c r="M79" s="135">
        <v>69.08</v>
      </c>
      <c r="N79" s="135">
        <v>59.95</v>
      </c>
      <c r="O79" s="135">
        <v>73.97</v>
      </c>
      <c r="P79" s="155">
        <v>82.61</v>
      </c>
      <c r="Q79" s="37"/>
      <c r="R79" s="131">
        <v>100.59</v>
      </c>
      <c r="S79" s="131">
        <v>84.42</v>
      </c>
      <c r="T79" s="131">
        <v>78.06</v>
      </c>
      <c r="U79" s="12">
        <v>80.59</v>
      </c>
      <c r="V79" s="131">
        <v>78.55</v>
      </c>
      <c r="W79" s="135">
        <v>59.36</v>
      </c>
      <c r="X79" s="135">
        <v>82.24</v>
      </c>
      <c r="Y79" s="37"/>
      <c r="Z79" s="131">
        <v>75.22</v>
      </c>
      <c r="AA79" s="131">
        <v>74.34</v>
      </c>
      <c r="AB79" s="12">
        <v>73.28</v>
      </c>
      <c r="AC79" s="12">
        <v>94.11</v>
      </c>
      <c r="AD79" s="135">
        <v>89.56</v>
      </c>
      <c r="AE79" s="537"/>
      <c r="AF79" s="131">
        <v>93.72</v>
      </c>
      <c r="AG79" s="131">
        <v>76.319999999999993</v>
      </c>
      <c r="AH79" s="131">
        <v>86.09</v>
      </c>
      <c r="AI79" s="131">
        <v>65.45</v>
      </c>
      <c r="AJ79" s="37"/>
      <c r="AK79" s="38"/>
      <c r="AL79" s="450" t="s">
        <v>241</v>
      </c>
    </row>
    <row r="80" spans="1:38" x14ac:dyDescent="0.25">
      <c r="A80" s="382">
        <v>132</v>
      </c>
      <c r="B80" s="12">
        <v>60.46</v>
      </c>
      <c r="C80" s="135">
        <v>73.02</v>
      </c>
      <c r="D80" s="135">
        <v>73.760000000000005</v>
      </c>
      <c r="E80" s="131">
        <v>55.69</v>
      </c>
      <c r="F80" s="135">
        <v>79.77</v>
      </c>
      <c r="G80" s="135">
        <v>94.24</v>
      </c>
      <c r="H80" s="135">
        <v>99.13</v>
      </c>
      <c r="I80" s="37"/>
      <c r="J80" s="155">
        <v>76.13</v>
      </c>
      <c r="K80" s="135">
        <v>75.38</v>
      </c>
      <c r="L80" s="135">
        <v>53.39</v>
      </c>
      <c r="M80" s="135">
        <v>82.9</v>
      </c>
      <c r="N80" s="135">
        <v>54.34</v>
      </c>
      <c r="O80" s="135">
        <v>88.43</v>
      </c>
      <c r="P80" s="155">
        <v>84.89</v>
      </c>
      <c r="Q80" s="37"/>
      <c r="R80" s="131">
        <v>87.48</v>
      </c>
      <c r="S80" s="131">
        <v>76.59</v>
      </c>
      <c r="T80" s="131">
        <v>82.29</v>
      </c>
      <c r="U80" s="12">
        <v>60.57</v>
      </c>
      <c r="V80" s="12">
        <v>85.58</v>
      </c>
      <c r="W80" s="135">
        <v>94.26</v>
      </c>
      <c r="X80" s="135">
        <v>64.12</v>
      </c>
      <c r="Y80" s="37"/>
      <c r="Z80" s="131">
        <v>106.64</v>
      </c>
      <c r="AA80" s="12">
        <v>63.61</v>
      </c>
      <c r="AB80" s="12">
        <v>95.58</v>
      </c>
      <c r="AC80" s="12">
        <v>70.069999999999993</v>
      </c>
      <c r="AD80" s="135">
        <v>70.97</v>
      </c>
      <c r="AE80" s="135">
        <v>40.21</v>
      </c>
      <c r="AF80" s="131">
        <v>69.069999999999993</v>
      </c>
      <c r="AG80" s="131">
        <v>82.38</v>
      </c>
      <c r="AH80" s="12">
        <v>101.6</v>
      </c>
      <c r="AI80" s="131">
        <v>72.95</v>
      </c>
      <c r="AJ80" s="37"/>
      <c r="AK80" s="38"/>
      <c r="AL80" s="450"/>
    </row>
    <row r="81" spans="1:38" x14ac:dyDescent="0.25">
      <c r="A81" s="382">
        <v>133</v>
      </c>
      <c r="B81" s="537"/>
      <c r="C81" s="12">
        <v>45.2</v>
      </c>
      <c r="D81" s="135">
        <v>76.010000000000005</v>
      </c>
      <c r="E81" s="135">
        <v>69.84</v>
      </c>
      <c r="F81" s="131">
        <v>83.37</v>
      </c>
      <c r="G81" s="131">
        <v>63.99</v>
      </c>
      <c r="H81" s="12">
        <v>64.88</v>
      </c>
      <c r="I81" s="37"/>
      <c r="J81" s="135">
        <v>102.73</v>
      </c>
      <c r="K81" s="131">
        <v>86.31</v>
      </c>
      <c r="L81" s="530"/>
      <c r="M81" s="135">
        <v>88.15</v>
      </c>
      <c r="N81" s="155">
        <v>101.08</v>
      </c>
      <c r="O81" s="155">
        <v>80.06</v>
      </c>
      <c r="P81" s="135">
        <v>82</v>
      </c>
      <c r="Q81" s="37"/>
      <c r="R81" s="131">
        <v>82.75</v>
      </c>
      <c r="S81" s="131">
        <v>100.91</v>
      </c>
      <c r="T81" s="131">
        <v>68.94</v>
      </c>
      <c r="U81" s="12">
        <v>75.989999999999995</v>
      </c>
      <c r="V81" s="131">
        <v>75.81</v>
      </c>
      <c r="W81" s="135">
        <v>75.14</v>
      </c>
      <c r="X81" s="135">
        <v>88</v>
      </c>
      <c r="Y81" s="37"/>
      <c r="Z81" s="131">
        <v>77.180000000000007</v>
      </c>
      <c r="AA81" s="131">
        <v>30.04</v>
      </c>
      <c r="AB81" s="12">
        <v>97.09</v>
      </c>
      <c r="AC81" s="12">
        <v>113.25</v>
      </c>
      <c r="AD81" s="530"/>
      <c r="AE81" s="135">
        <v>80.23</v>
      </c>
      <c r="AF81" s="135">
        <v>86.9</v>
      </c>
      <c r="AG81" s="131">
        <v>83.14</v>
      </c>
      <c r="AH81" s="131">
        <v>90.09</v>
      </c>
      <c r="AI81" s="12">
        <v>85.2</v>
      </c>
      <c r="AJ81" s="37"/>
      <c r="AK81" s="38"/>
      <c r="AL81" s="689" t="s">
        <v>242</v>
      </c>
    </row>
    <row r="82" spans="1:38" x14ac:dyDescent="0.25">
      <c r="A82" s="382">
        <v>134</v>
      </c>
      <c r="B82" s="155">
        <v>72.41</v>
      </c>
      <c r="C82" s="131">
        <v>56.28</v>
      </c>
      <c r="D82" s="12">
        <v>92.92</v>
      </c>
      <c r="E82" s="135">
        <v>74.040000000000006</v>
      </c>
      <c r="F82" s="131">
        <v>82.12</v>
      </c>
      <c r="G82" s="135">
        <v>81.52</v>
      </c>
      <c r="H82" s="131">
        <v>58.05</v>
      </c>
      <c r="I82" s="37"/>
      <c r="J82" s="155">
        <v>100.03</v>
      </c>
      <c r="K82" s="131">
        <v>96.67</v>
      </c>
      <c r="L82" s="135">
        <v>99.44</v>
      </c>
      <c r="M82" s="135">
        <v>82.96</v>
      </c>
      <c r="N82" s="131">
        <v>78.05</v>
      </c>
      <c r="O82" s="131">
        <v>75.48</v>
      </c>
      <c r="P82" s="155">
        <v>86.61</v>
      </c>
      <c r="Q82" s="37"/>
      <c r="R82" s="131">
        <v>54.19</v>
      </c>
      <c r="S82" s="131">
        <v>111.89</v>
      </c>
      <c r="T82" s="12">
        <v>76.400000000000006</v>
      </c>
      <c r="U82" s="12">
        <v>97.71</v>
      </c>
      <c r="V82" s="131">
        <v>99.12</v>
      </c>
      <c r="W82" s="135">
        <v>97.75</v>
      </c>
      <c r="X82" s="135">
        <v>83.99</v>
      </c>
      <c r="Y82" s="37"/>
      <c r="Z82" s="131">
        <v>85.57</v>
      </c>
      <c r="AA82" s="131">
        <v>88.28</v>
      </c>
      <c r="AB82" s="12">
        <v>90.35</v>
      </c>
      <c r="AC82" s="12">
        <v>113.2</v>
      </c>
      <c r="AD82" s="12">
        <v>59.08</v>
      </c>
      <c r="AE82" s="131">
        <v>55.03</v>
      </c>
      <c r="AF82" s="131">
        <v>81.23</v>
      </c>
      <c r="AG82" s="131">
        <v>85.31</v>
      </c>
      <c r="AH82" s="131">
        <v>74.180000000000007</v>
      </c>
      <c r="AI82" s="131">
        <v>85.53</v>
      </c>
      <c r="AJ82" s="37"/>
      <c r="AK82" s="38"/>
      <c r="AL82" s="452" t="s">
        <v>243</v>
      </c>
    </row>
    <row r="83" spans="1:38" x14ac:dyDescent="0.25">
      <c r="A83" s="382">
        <v>135</v>
      </c>
      <c r="B83" s="131">
        <v>74.91</v>
      </c>
      <c r="C83" s="155">
        <v>71.52</v>
      </c>
      <c r="D83" s="135">
        <v>96.89</v>
      </c>
      <c r="E83" s="12">
        <v>78.83</v>
      </c>
      <c r="F83" s="131">
        <v>71.010000000000005</v>
      </c>
      <c r="G83" s="135">
        <v>85.8</v>
      </c>
      <c r="H83" s="135">
        <v>32.229999999999997</v>
      </c>
      <c r="I83" s="37"/>
      <c r="J83" s="135">
        <v>74.650000000000006</v>
      </c>
      <c r="K83" s="135">
        <v>88.44</v>
      </c>
      <c r="L83" s="135">
        <v>89.4</v>
      </c>
      <c r="M83" s="135">
        <v>87.08</v>
      </c>
      <c r="N83" s="135">
        <v>56.63</v>
      </c>
      <c r="O83" s="135">
        <v>96.03</v>
      </c>
      <c r="P83" s="135">
        <v>105.54</v>
      </c>
      <c r="Q83" s="37"/>
      <c r="R83" s="131">
        <v>88.88</v>
      </c>
      <c r="S83" s="537"/>
      <c r="T83" s="537"/>
      <c r="U83" s="530"/>
      <c r="V83" s="537"/>
      <c r="W83" s="530"/>
      <c r="X83" s="530"/>
      <c r="Y83" s="37"/>
      <c r="Z83" s="537"/>
      <c r="AA83" s="537"/>
      <c r="AB83" s="530"/>
      <c r="AC83" s="530"/>
      <c r="AD83" s="530"/>
      <c r="AE83" s="588"/>
      <c r="AF83" s="131">
        <v>25.95</v>
      </c>
      <c r="AG83" s="131">
        <v>88.89</v>
      </c>
      <c r="AH83" s="131">
        <v>62.54</v>
      </c>
      <c r="AI83" s="131">
        <v>76.349999999999994</v>
      </c>
      <c r="AJ83" s="37"/>
      <c r="AK83" s="38"/>
      <c r="AL83" s="452" t="s">
        <v>244</v>
      </c>
    </row>
    <row r="84" spans="1:38" x14ac:dyDescent="0.25">
      <c r="A84" s="382">
        <v>136</v>
      </c>
      <c r="B84" s="131">
        <v>83.75</v>
      </c>
      <c r="C84" s="135">
        <v>79.22</v>
      </c>
      <c r="D84" s="131">
        <v>98.91</v>
      </c>
      <c r="E84" s="12">
        <v>59.5</v>
      </c>
      <c r="F84" s="131">
        <v>68.349999999999994</v>
      </c>
      <c r="G84" s="135">
        <v>21.39</v>
      </c>
      <c r="H84" s="135">
        <v>34.32</v>
      </c>
      <c r="I84" s="37"/>
      <c r="J84" s="135">
        <v>71.180000000000007</v>
      </c>
      <c r="K84" s="135">
        <v>68.06</v>
      </c>
      <c r="L84" s="131">
        <v>87.09</v>
      </c>
      <c r="M84" s="131">
        <v>84.46</v>
      </c>
      <c r="N84" s="131">
        <v>76.819999999999993</v>
      </c>
      <c r="O84" s="131">
        <v>79.94</v>
      </c>
      <c r="P84" s="155">
        <v>79.77</v>
      </c>
      <c r="Q84" s="37"/>
      <c r="R84" s="131">
        <v>70.349999999999994</v>
      </c>
      <c r="S84" s="12">
        <v>86</v>
      </c>
      <c r="T84" s="12">
        <v>92.46</v>
      </c>
      <c r="U84" s="12">
        <v>75.47</v>
      </c>
      <c r="V84" s="131">
        <v>89.59</v>
      </c>
      <c r="W84" s="135">
        <v>80.22</v>
      </c>
      <c r="X84" s="135">
        <v>24.61</v>
      </c>
      <c r="Y84" s="37"/>
      <c r="Z84" s="12">
        <v>59.98</v>
      </c>
      <c r="AA84" s="135">
        <v>80.78</v>
      </c>
      <c r="AB84" s="12">
        <v>93.31</v>
      </c>
      <c r="AC84" s="12">
        <v>68.739999999999995</v>
      </c>
      <c r="AD84" s="12">
        <v>86.08</v>
      </c>
      <c r="AE84" s="131">
        <v>34.47</v>
      </c>
      <c r="AF84" s="445">
        <v>53.27</v>
      </c>
      <c r="AG84" s="12">
        <v>72.099999999999994</v>
      </c>
      <c r="AH84" s="131">
        <v>79.27</v>
      </c>
      <c r="AI84" s="131">
        <v>47.47</v>
      </c>
      <c r="AJ84" s="37"/>
      <c r="AK84" s="38"/>
      <c r="AL84" s="452" t="s">
        <v>245</v>
      </c>
    </row>
    <row r="85" spans="1:38" x14ac:dyDescent="0.25">
      <c r="A85" s="382">
        <v>137</v>
      </c>
      <c r="B85" s="131">
        <v>67.55</v>
      </c>
      <c r="C85" s="155">
        <v>103.27</v>
      </c>
      <c r="D85" s="155">
        <v>83.61</v>
      </c>
      <c r="E85" s="135">
        <v>58.31</v>
      </c>
      <c r="F85" s="135">
        <v>72</v>
      </c>
      <c r="G85" s="135">
        <v>88.67</v>
      </c>
      <c r="H85" s="135">
        <v>64.25</v>
      </c>
      <c r="I85" s="37"/>
      <c r="J85" s="135">
        <v>110.04</v>
      </c>
      <c r="K85" s="12">
        <v>68.5</v>
      </c>
      <c r="L85" s="135">
        <v>91.09</v>
      </c>
      <c r="M85" s="135">
        <v>70.83</v>
      </c>
      <c r="N85" s="135">
        <v>86.03</v>
      </c>
      <c r="O85" s="131">
        <v>83.28</v>
      </c>
      <c r="P85" s="155">
        <v>85.78</v>
      </c>
      <c r="Q85" s="37"/>
      <c r="R85" s="155">
        <v>97.25</v>
      </c>
      <c r="S85" s="12">
        <v>85.3</v>
      </c>
      <c r="T85" s="12">
        <v>87.26</v>
      </c>
      <c r="U85" s="12">
        <v>88.79</v>
      </c>
      <c r="V85" s="131">
        <v>85.75</v>
      </c>
      <c r="W85" s="135">
        <v>88.2</v>
      </c>
      <c r="X85" s="131">
        <v>82.54</v>
      </c>
      <c r="Y85" s="37"/>
      <c r="Z85" s="131">
        <v>82.87</v>
      </c>
      <c r="AA85" s="12">
        <v>85.24</v>
      </c>
      <c r="AB85" s="12">
        <v>86.2</v>
      </c>
      <c r="AC85" s="12">
        <v>98.51</v>
      </c>
      <c r="AD85" s="12">
        <v>99.26</v>
      </c>
      <c r="AE85" s="131">
        <v>32.229999999999997</v>
      </c>
      <c r="AF85" s="12">
        <v>62.11</v>
      </c>
      <c r="AG85" s="131">
        <v>71.09</v>
      </c>
      <c r="AH85" s="131">
        <v>77.010000000000005</v>
      </c>
      <c r="AI85" s="131">
        <v>78.86</v>
      </c>
      <c r="AJ85" s="37"/>
      <c r="AK85" s="38"/>
      <c r="AL85" s="452" t="s">
        <v>246</v>
      </c>
    </row>
    <row r="86" spans="1:38" x14ac:dyDescent="0.25">
      <c r="A86" s="382">
        <v>138</v>
      </c>
      <c r="B86" s="131">
        <v>82.21</v>
      </c>
      <c r="C86" s="135">
        <v>92.35</v>
      </c>
      <c r="D86" s="135">
        <v>100.13</v>
      </c>
      <c r="E86" s="12">
        <v>65.099999999999994</v>
      </c>
      <c r="F86" s="131">
        <v>74.47</v>
      </c>
      <c r="G86" s="135">
        <v>88.44</v>
      </c>
      <c r="H86" s="12">
        <v>54.84</v>
      </c>
      <c r="I86" s="37"/>
      <c r="J86" s="135">
        <v>119.59</v>
      </c>
      <c r="K86" s="135">
        <v>81.83</v>
      </c>
      <c r="L86" s="530"/>
      <c r="M86" s="532">
        <v>145.71</v>
      </c>
      <c r="N86" s="135">
        <v>90.21</v>
      </c>
      <c r="O86" s="131">
        <v>89.69</v>
      </c>
      <c r="P86" s="155">
        <v>88.31</v>
      </c>
      <c r="Q86" s="37"/>
      <c r="R86" s="135">
        <v>86.3</v>
      </c>
      <c r="S86" s="131">
        <v>75.81</v>
      </c>
      <c r="T86" s="131">
        <v>84.68</v>
      </c>
      <c r="U86" s="131">
        <v>89.66</v>
      </c>
      <c r="V86" s="131">
        <v>82.63</v>
      </c>
      <c r="W86" s="131">
        <v>77.239999999999995</v>
      </c>
      <c r="X86" s="12">
        <v>96.9</v>
      </c>
      <c r="Y86" s="37"/>
      <c r="Z86" s="135">
        <v>63.36</v>
      </c>
      <c r="AA86" s="135">
        <v>90.78</v>
      </c>
      <c r="AB86" s="135">
        <v>84.72</v>
      </c>
      <c r="AC86" s="135">
        <v>75.7</v>
      </c>
      <c r="AD86" s="135">
        <v>75.33</v>
      </c>
      <c r="AE86" s="135">
        <v>13.95</v>
      </c>
      <c r="AF86" s="135">
        <v>56.67</v>
      </c>
      <c r="AG86" s="135">
        <v>72.36</v>
      </c>
      <c r="AH86" s="135">
        <v>70.849999999999994</v>
      </c>
      <c r="AI86" s="532">
        <v>131.08000000000001</v>
      </c>
      <c r="AJ86" s="37"/>
      <c r="AK86" s="38"/>
      <c r="AL86" s="452" t="s">
        <v>247</v>
      </c>
    </row>
    <row r="87" spans="1:38" x14ac:dyDescent="0.25">
      <c r="A87" s="382">
        <v>139</v>
      </c>
      <c r="B87" s="131">
        <v>92.22</v>
      </c>
      <c r="C87" s="135">
        <v>93.71</v>
      </c>
      <c r="D87" s="155">
        <v>88.37</v>
      </c>
      <c r="E87" s="131">
        <v>45.75</v>
      </c>
      <c r="F87" s="131">
        <v>59.14</v>
      </c>
      <c r="G87" s="135">
        <v>83.74</v>
      </c>
      <c r="H87" s="131">
        <v>62.18</v>
      </c>
      <c r="I87" s="37"/>
      <c r="J87" s="155">
        <v>89.82</v>
      </c>
      <c r="K87" s="131">
        <v>94.36</v>
      </c>
      <c r="L87" s="135">
        <v>92.65</v>
      </c>
      <c r="M87" s="135">
        <v>79</v>
      </c>
      <c r="N87" s="135">
        <v>86.04</v>
      </c>
      <c r="O87" s="131">
        <v>90.01</v>
      </c>
      <c r="P87" s="155">
        <v>69.45</v>
      </c>
      <c r="Q87" s="37"/>
      <c r="R87" s="131">
        <v>81.489999999999995</v>
      </c>
      <c r="S87" s="131">
        <v>72.790000000000006</v>
      </c>
      <c r="T87" s="131">
        <v>78.430000000000007</v>
      </c>
      <c r="U87" s="12">
        <v>90.5</v>
      </c>
      <c r="V87" s="131">
        <v>83.41</v>
      </c>
      <c r="W87" s="135">
        <v>80.069999999999993</v>
      </c>
      <c r="X87" s="135">
        <v>63.28</v>
      </c>
      <c r="Y87" s="37"/>
      <c r="Z87" s="131">
        <v>62.57</v>
      </c>
      <c r="AA87" s="131">
        <v>44.03</v>
      </c>
      <c r="AB87" s="12">
        <v>54.78</v>
      </c>
      <c r="AC87" s="12">
        <v>83.82</v>
      </c>
      <c r="AD87" s="12">
        <v>87.87</v>
      </c>
      <c r="AE87" s="131">
        <v>51.34</v>
      </c>
      <c r="AF87" s="12">
        <v>63.7</v>
      </c>
      <c r="AG87" s="131">
        <v>68.62</v>
      </c>
      <c r="AH87" s="131">
        <v>68.650000000000006</v>
      </c>
      <c r="AI87" s="131">
        <v>64.52</v>
      </c>
      <c r="AJ87" s="37"/>
      <c r="AK87" s="38"/>
      <c r="AL87" s="450"/>
    </row>
    <row r="88" spans="1:38" x14ac:dyDescent="0.25">
      <c r="A88" s="382">
        <v>140</v>
      </c>
      <c r="B88" s="155">
        <v>94.68</v>
      </c>
      <c r="C88" s="12">
        <v>71.3</v>
      </c>
      <c r="D88" s="135">
        <v>92.08</v>
      </c>
      <c r="E88" s="131">
        <v>49.82</v>
      </c>
      <c r="F88" s="135">
        <v>67.8</v>
      </c>
      <c r="G88" s="530"/>
      <c r="H88" s="537"/>
      <c r="I88" s="37"/>
      <c r="J88" s="155">
        <v>15.57</v>
      </c>
      <c r="K88" s="131">
        <v>62.31</v>
      </c>
      <c r="L88" s="131">
        <v>70.19</v>
      </c>
      <c r="M88" s="131">
        <v>68.41</v>
      </c>
      <c r="N88" s="131">
        <v>90.62</v>
      </c>
      <c r="O88" s="131">
        <v>73.45</v>
      </c>
      <c r="P88" s="155">
        <v>93.28</v>
      </c>
      <c r="Q88" s="37"/>
      <c r="R88" s="131">
        <v>68.010000000000005</v>
      </c>
      <c r="S88" s="131">
        <v>68.959999999999994</v>
      </c>
      <c r="T88" s="131">
        <v>61.25</v>
      </c>
      <c r="U88" s="12">
        <v>73</v>
      </c>
      <c r="V88" s="12">
        <v>83.57</v>
      </c>
      <c r="W88" s="135">
        <v>85.1</v>
      </c>
      <c r="X88" s="135">
        <v>78.38</v>
      </c>
      <c r="Y88" s="37"/>
      <c r="Z88" s="131">
        <v>71.349999999999994</v>
      </c>
      <c r="AA88" s="131">
        <v>79.819999999999993</v>
      </c>
      <c r="AB88" s="12">
        <v>63.36</v>
      </c>
      <c r="AC88" s="12">
        <v>73.489999999999995</v>
      </c>
      <c r="AD88" s="12">
        <v>76.66</v>
      </c>
      <c r="AE88" s="131">
        <v>42.48</v>
      </c>
      <c r="AF88" s="12">
        <v>60.47</v>
      </c>
      <c r="AG88" s="131">
        <v>69.180000000000007</v>
      </c>
      <c r="AH88" s="131">
        <v>78.819999999999993</v>
      </c>
      <c r="AI88" s="131">
        <v>114.86</v>
      </c>
      <c r="AJ88" s="37"/>
      <c r="AK88" s="38"/>
      <c r="AL88" s="452" t="s">
        <v>248</v>
      </c>
    </row>
    <row r="89" spans="1:38" x14ac:dyDescent="0.25">
      <c r="A89" s="382">
        <v>141</v>
      </c>
      <c r="B89" s="155">
        <v>76.02</v>
      </c>
      <c r="C89" s="135">
        <v>114.5</v>
      </c>
      <c r="D89" s="155">
        <v>105.82</v>
      </c>
      <c r="E89" s="135">
        <v>61.39</v>
      </c>
      <c r="F89" s="135">
        <v>85.58</v>
      </c>
      <c r="G89" s="135">
        <v>46.89</v>
      </c>
      <c r="H89" s="135">
        <v>80.05</v>
      </c>
      <c r="I89" s="37"/>
      <c r="J89" s="135">
        <v>103.28</v>
      </c>
      <c r="K89" s="135">
        <v>85.22</v>
      </c>
      <c r="L89" s="135">
        <v>109.2</v>
      </c>
      <c r="M89" s="135">
        <v>74.569999999999993</v>
      </c>
      <c r="N89" s="135">
        <v>68.19</v>
      </c>
      <c r="O89" s="135">
        <v>103.31</v>
      </c>
      <c r="P89" s="155">
        <v>99.64</v>
      </c>
      <c r="Q89" s="37"/>
      <c r="R89" s="131">
        <v>104.33</v>
      </c>
      <c r="S89" s="131">
        <v>88.21</v>
      </c>
      <c r="T89" s="131">
        <v>100.37</v>
      </c>
      <c r="U89" s="12">
        <v>103.48</v>
      </c>
      <c r="V89" s="12">
        <v>82.92</v>
      </c>
      <c r="W89" s="135">
        <v>92.69</v>
      </c>
      <c r="X89" s="135">
        <v>102.89</v>
      </c>
      <c r="Y89" s="37"/>
      <c r="Z89" s="12">
        <v>99.62</v>
      </c>
      <c r="AA89" s="537"/>
      <c r="AB89" s="12">
        <v>80.94</v>
      </c>
      <c r="AC89" s="12">
        <v>88.63</v>
      </c>
      <c r="AD89" s="12">
        <v>91.17</v>
      </c>
      <c r="AE89" s="537"/>
      <c r="AF89" s="131">
        <v>111.61</v>
      </c>
      <c r="AG89" s="131">
        <v>75.650000000000006</v>
      </c>
      <c r="AH89" s="548">
        <v>126.01</v>
      </c>
      <c r="AI89" s="131">
        <v>64.319999999999993</v>
      </c>
      <c r="AJ89" s="37"/>
      <c r="AK89" s="38"/>
      <c r="AL89" s="450"/>
    </row>
    <row r="90" spans="1:38" x14ac:dyDescent="0.25">
      <c r="A90" s="382">
        <v>142</v>
      </c>
      <c r="B90" s="131">
        <v>78.540000000000006</v>
      </c>
      <c r="C90" s="131">
        <v>110.64</v>
      </c>
      <c r="D90" s="135">
        <v>82.69</v>
      </c>
      <c r="E90" s="131">
        <v>49.66</v>
      </c>
      <c r="F90" s="131">
        <v>84.22</v>
      </c>
      <c r="G90" s="135">
        <v>75.94</v>
      </c>
      <c r="H90" s="12">
        <v>67.27</v>
      </c>
      <c r="I90" s="37"/>
      <c r="J90" s="135">
        <v>70.510000000000005</v>
      </c>
      <c r="K90" s="131">
        <v>78.95</v>
      </c>
      <c r="L90" s="131">
        <v>89.69</v>
      </c>
      <c r="M90" s="135">
        <v>66.62</v>
      </c>
      <c r="N90" s="131">
        <v>73.48</v>
      </c>
      <c r="O90" s="131">
        <v>85.06</v>
      </c>
      <c r="P90" s="155">
        <v>72.17</v>
      </c>
      <c r="Q90" s="37"/>
      <c r="R90" s="548">
        <v>124.23</v>
      </c>
      <c r="S90" s="12">
        <v>52</v>
      </c>
      <c r="T90" s="12">
        <v>95.7</v>
      </c>
      <c r="U90" s="12">
        <v>77.010000000000005</v>
      </c>
      <c r="V90" s="537"/>
      <c r="W90" s="135">
        <v>79.34</v>
      </c>
      <c r="X90" s="135">
        <v>73.53</v>
      </c>
      <c r="Y90" s="37"/>
      <c r="Z90" s="131">
        <v>85.43</v>
      </c>
      <c r="AA90" s="131">
        <v>78.010000000000005</v>
      </c>
      <c r="AB90" s="12">
        <v>85.65</v>
      </c>
      <c r="AC90" s="12">
        <v>72.849999999999994</v>
      </c>
      <c r="AD90" s="12">
        <v>75.19</v>
      </c>
      <c r="AE90" s="131">
        <v>38.020000000000003</v>
      </c>
      <c r="AF90" s="131">
        <v>55.79</v>
      </c>
      <c r="AG90" s="131">
        <v>77.16</v>
      </c>
      <c r="AH90" s="12">
        <v>91.1</v>
      </c>
      <c r="AI90" s="131">
        <v>106.96</v>
      </c>
      <c r="AJ90" s="37"/>
      <c r="AK90" s="38"/>
      <c r="AL90" s="451" t="s">
        <v>249</v>
      </c>
    </row>
    <row r="91" spans="1:38" x14ac:dyDescent="0.25">
      <c r="A91" s="382">
        <v>143</v>
      </c>
      <c r="B91" s="155">
        <v>98.65</v>
      </c>
      <c r="C91" s="155">
        <v>118.03</v>
      </c>
      <c r="D91" s="135">
        <v>98.27</v>
      </c>
      <c r="E91" s="135">
        <v>72.09</v>
      </c>
      <c r="F91" s="135">
        <v>67.650000000000006</v>
      </c>
      <c r="G91" s="135">
        <v>104.02</v>
      </c>
      <c r="H91" s="131">
        <v>71.39</v>
      </c>
      <c r="I91" s="37"/>
      <c r="J91" s="135">
        <v>93.96</v>
      </c>
      <c r="K91" s="135">
        <v>85.75</v>
      </c>
      <c r="L91" s="135">
        <v>102.46</v>
      </c>
      <c r="M91" s="135">
        <v>66.900000000000006</v>
      </c>
      <c r="N91" s="135">
        <v>83.36</v>
      </c>
      <c r="O91" s="135">
        <v>90.13</v>
      </c>
      <c r="P91" s="135">
        <v>63.68</v>
      </c>
      <c r="Q91" s="37"/>
      <c r="R91" s="131">
        <v>83.81</v>
      </c>
      <c r="S91" s="131">
        <v>81.88</v>
      </c>
      <c r="T91" s="131">
        <v>88.02</v>
      </c>
      <c r="U91" s="12">
        <v>83.32</v>
      </c>
      <c r="V91" s="12">
        <v>55.22</v>
      </c>
      <c r="W91" s="135">
        <v>91.28</v>
      </c>
      <c r="X91" s="135">
        <v>96.06</v>
      </c>
      <c r="Y91" s="37"/>
      <c r="Z91" s="131">
        <v>56.06</v>
      </c>
      <c r="AA91" s="131">
        <v>71.53</v>
      </c>
      <c r="AB91" s="12">
        <v>96.26</v>
      </c>
      <c r="AC91" s="12">
        <v>81.92</v>
      </c>
      <c r="AD91" s="12">
        <v>65.88</v>
      </c>
      <c r="AE91" s="131">
        <v>37.65</v>
      </c>
      <c r="AF91" s="131">
        <v>74.11</v>
      </c>
      <c r="AG91" s="12">
        <v>78.599999999999994</v>
      </c>
      <c r="AH91" s="12">
        <v>86.5</v>
      </c>
      <c r="AI91" s="131">
        <v>93.23</v>
      </c>
      <c r="AJ91" s="37"/>
      <c r="AK91" s="38"/>
      <c r="AL91" s="451" t="s">
        <v>250</v>
      </c>
    </row>
    <row r="92" spans="1:38" x14ac:dyDescent="0.25">
      <c r="A92" s="382">
        <v>144</v>
      </c>
      <c r="B92" s="12">
        <v>50.56</v>
      </c>
      <c r="C92" s="131">
        <v>55.56</v>
      </c>
      <c r="D92" s="135">
        <v>93.58</v>
      </c>
      <c r="E92" s="135">
        <v>54.91</v>
      </c>
      <c r="F92" s="131">
        <v>60.26</v>
      </c>
      <c r="G92" s="135">
        <v>88.01</v>
      </c>
      <c r="H92" s="530"/>
      <c r="I92" s="37"/>
      <c r="J92" s="532">
        <v>161.16999999999999</v>
      </c>
      <c r="K92" s="131">
        <v>75.209999999999994</v>
      </c>
      <c r="L92" s="530"/>
      <c r="M92" s="530"/>
      <c r="N92" s="135">
        <v>67.209999999999994</v>
      </c>
      <c r="O92" s="155">
        <v>81.96</v>
      </c>
      <c r="P92" s="155">
        <v>78.61</v>
      </c>
      <c r="Q92" s="37"/>
      <c r="R92" s="12">
        <v>84.4</v>
      </c>
      <c r="S92" s="131">
        <v>87.67</v>
      </c>
      <c r="T92" s="131">
        <v>79.28</v>
      </c>
      <c r="U92" s="12">
        <v>90.81</v>
      </c>
      <c r="V92" s="12">
        <v>84</v>
      </c>
      <c r="W92" s="135">
        <v>74.23</v>
      </c>
      <c r="X92" s="135">
        <v>83.86</v>
      </c>
      <c r="Y92" s="37"/>
      <c r="Z92" s="12">
        <v>32.01</v>
      </c>
      <c r="AA92" s="131">
        <v>56.68</v>
      </c>
      <c r="AB92" s="12">
        <v>80.64</v>
      </c>
      <c r="AC92" s="12">
        <v>86.46</v>
      </c>
      <c r="AD92" s="12">
        <v>76.760000000000005</v>
      </c>
      <c r="AE92" s="131">
        <v>33.72</v>
      </c>
      <c r="AF92" s="131">
        <v>62.09</v>
      </c>
      <c r="AG92" s="131">
        <v>86.14</v>
      </c>
      <c r="AH92" s="131">
        <v>73.33</v>
      </c>
      <c r="AI92" s="131">
        <v>83.47</v>
      </c>
      <c r="AJ92" s="37"/>
      <c r="AK92" s="38"/>
      <c r="AL92" s="450"/>
    </row>
    <row r="93" spans="1:38" x14ac:dyDescent="0.25">
      <c r="A93" s="382">
        <v>145</v>
      </c>
      <c r="B93" s="131">
        <v>75.319999999999993</v>
      </c>
      <c r="C93" s="155">
        <v>61.24</v>
      </c>
      <c r="D93" s="135">
        <v>89.64</v>
      </c>
      <c r="E93" s="135">
        <v>45.65</v>
      </c>
      <c r="F93" s="131">
        <v>80.89</v>
      </c>
      <c r="G93" s="135">
        <v>110.33</v>
      </c>
      <c r="H93" s="135">
        <v>78.7</v>
      </c>
      <c r="I93" s="37"/>
      <c r="J93" s="135">
        <v>86.07</v>
      </c>
      <c r="K93" s="135">
        <v>64.260000000000005</v>
      </c>
      <c r="L93" s="135">
        <v>105.21</v>
      </c>
      <c r="M93" s="135">
        <v>81.319999999999993</v>
      </c>
      <c r="N93" s="135">
        <v>50.55</v>
      </c>
      <c r="O93" s="135">
        <v>85.78</v>
      </c>
      <c r="P93" s="155">
        <v>110.17</v>
      </c>
      <c r="Q93" s="37"/>
      <c r="R93" s="131">
        <v>99.42</v>
      </c>
      <c r="S93" s="131">
        <v>67.650000000000006</v>
      </c>
      <c r="T93" s="131">
        <v>73.52</v>
      </c>
      <c r="U93" s="12">
        <v>77.290000000000006</v>
      </c>
      <c r="V93" s="135">
        <v>101.1</v>
      </c>
      <c r="W93" s="135">
        <v>74.930000000000007</v>
      </c>
      <c r="X93" s="135">
        <v>89.94</v>
      </c>
      <c r="Y93" s="37"/>
      <c r="Z93" s="131">
        <v>43.05</v>
      </c>
      <c r="AA93" s="12">
        <v>72.78</v>
      </c>
      <c r="AB93" s="12">
        <v>85.98</v>
      </c>
      <c r="AC93" s="12">
        <v>73.11</v>
      </c>
      <c r="AD93" s="12">
        <v>93.79</v>
      </c>
      <c r="AE93" s="131">
        <v>28.22</v>
      </c>
      <c r="AF93" s="131">
        <v>82.83</v>
      </c>
      <c r="AG93" s="131">
        <v>73.33</v>
      </c>
      <c r="AH93" s="131">
        <v>99.33</v>
      </c>
      <c r="AI93" s="131">
        <v>82.03</v>
      </c>
      <c r="AJ93" s="37"/>
      <c r="AK93" s="38"/>
      <c r="AL93" s="453"/>
    </row>
    <row r="94" spans="1:38" x14ac:dyDescent="0.25">
      <c r="A94" s="382">
        <v>147</v>
      </c>
      <c r="B94" s="135">
        <v>91.66</v>
      </c>
      <c r="C94" s="135">
        <v>85.23</v>
      </c>
      <c r="D94" s="135">
        <v>84.12</v>
      </c>
      <c r="E94" s="131">
        <v>65.180000000000007</v>
      </c>
      <c r="F94" s="135">
        <v>89.04</v>
      </c>
      <c r="G94" s="135">
        <v>82.27</v>
      </c>
      <c r="H94" s="135">
        <v>96.95</v>
      </c>
      <c r="I94" s="37"/>
      <c r="J94" s="135">
        <v>77.5</v>
      </c>
      <c r="K94" s="135">
        <v>82.26</v>
      </c>
      <c r="L94" s="532">
        <v>133.16</v>
      </c>
      <c r="M94" s="135">
        <v>87.71</v>
      </c>
      <c r="N94" s="135">
        <v>63.53</v>
      </c>
      <c r="O94" s="131">
        <v>79.89</v>
      </c>
      <c r="P94" s="548">
        <v>146.72999999999999</v>
      </c>
      <c r="Q94" s="37"/>
      <c r="R94" s="155">
        <v>85.01</v>
      </c>
      <c r="S94" s="131">
        <v>115.38</v>
      </c>
      <c r="T94" s="131">
        <v>99.38</v>
      </c>
      <c r="U94" s="12">
        <v>83.48</v>
      </c>
      <c r="V94" s="131">
        <v>105.32</v>
      </c>
      <c r="W94" s="135">
        <v>94.14</v>
      </c>
      <c r="X94" s="530"/>
      <c r="Y94" s="37"/>
      <c r="Z94" s="131">
        <v>83.48</v>
      </c>
      <c r="AA94" s="131">
        <v>69.39</v>
      </c>
      <c r="AB94" s="12">
        <v>98.56</v>
      </c>
      <c r="AC94" s="532">
        <v>137.65</v>
      </c>
      <c r="AD94" s="12">
        <v>103.33</v>
      </c>
      <c r="AE94" s="12">
        <v>55.57</v>
      </c>
      <c r="AF94" s="131">
        <v>71.78</v>
      </c>
      <c r="AG94" s="131">
        <v>84.72</v>
      </c>
      <c r="AH94" s="131">
        <v>119.98</v>
      </c>
      <c r="AI94" s="131">
        <v>100.79</v>
      </c>
      <c r="AJ94" s="37"/>
      <c r="AK94" s="38"/>
      <c r="AL94" s="453"/>
    </row>
    <row r="95" spans="1:38" x14ac:dyDescent="0.25">
      <c r="A95" s="382">
        <v>148</v>
      </c>
      <c r="B95" s="135">
        <v>60.33</v>
      </c>
      <c r="C95" s="131">
        <v>98.14</v>
      </c>
      <c r="D95" s="131">
        <v>49.76</v>
      </c>
      <c r="E95" s="135">
        <v>67.88</v>
      </c>
      <c r="F95" s="135">
        <v>80.040000000000006</v>
      </c>
      <c r="G95" s="135">
        <v>90.62</v>
      </c>
      <c r="H95" s="135">
        <v>38.07</v>
      </c>
      <c r="I95" s="37"/>
      <c r="J95" s="135">
        <v>67.819999999999993</v>
      </c>
      <c r="K95" s="135">
        <v>101.37</v>
      </c>
      <c r="L95" s="135">
        <v>88.3</v>
      </c>
      <c r="M95" s="12">
        <v>71.3</v>
      </c>
      <c r="N95" s="530"/>
      <c r="O95" s="135">
        <v>74.97</v>
      </c>
      <c r="P95" s="155">
        <v>79.63</v>
      </c>
      <c r="Q95" s="37"/>
      <c r="R95" s="12">
        <v>70.400000000000006</v>
      </c>
      <c r="S95" s="131">
        <v>63.39</v>
      </c>
      <c r="T95" s="131">
        <v>77.05</v>
      </c>
      <c r="U95" s="532">
        <v>122.65</v>
      </c>
      <c r="V95" s="131">
        <v>70.34</v>
      </c>
      <c r="W95" s="135">
        <v>102.47</v>
      </c>
      <c r="X95" s="135">
        <v>60.58</v>
      </c>
      <c r="Y95" s="37"/>
      <c r="Z95" s="131">
        <v>27.96</v>
      </c>
      <c r="AA95" s="131">
        <v>95.03</v>
      </c>
      <c r="AB95" s="12">
        <v>84.38</v>
      </c>
      <c r="AC95" s="12">
        <v>79.3</v>
      </c>
      <c r="AD95" s="12">
        <v>113.38</v>
      </c>
      <c r="AE95" s="131">
        <v>31.22</v>
      </c>
      <c r="AF95" s="131">
        <v>73.58</v>
      </c>
      <c r="AG95" s="131">
        <v>57.61</v>
      </c>
      <c r="AH95" s="548">
        <v>125.77</v>
      </c>
      <c r="AI95" s="12">
        <v>72</v>
      </c>
      <c r="AJ95" s="37"/>
      <c r="AK95" s="38"/>
      <c r="AL95" s="453"/>
    </row>
    <row r="96" spans="1:38" x14ac:dyDescent="0.25">
      <c r="A96" s="382">
        <v>149</v>
      </c>
      <c r="B96" s="155">
        <v>18.98</v>
      </c>
      <c r="C96" s="135">
        <v>91.96</v>
      </c>
      <c r="D96" s="135">
        <v>95.52</v>
      </c>
      <c r="E96" s="135">
        <v>57.02</v>
      </c>
      <c r="F96" s="12">
        <v>46.39</v>
      </c>
      <c r="G96" s="135">
        <v>102.87</v>
      </c>
      <c r="H96" s="135">
        <v>79.08</v>
      </c>
      <c r="I96" s="37"/>
      <c r="J96" s="135">
        <v>90.5</v>
      </c>
      <c r="K96" s="135">
        <v>65.22</v>
      </c>
      <c r="L96" s="135">
        <v>80.14</v>
      </c>
      <c r="M96" s="135">
        <v>79.36</v>
      </c>
      <c r="N96" s="135">
        <v>61.9</v>
      </c>
      <c r="O96" s="135">
        <v>81.650000000000006</v>
      </c>
      <c r="P96" s="155">
        <v>87.01</v>
      </c>
      <c r="Q96" s="37"/>
      <c r="R96" s="131">
        <v>86.49</v>
      </c>
      <c r="S96" s="12">
        <v>85.67</v>
      </c>
      <c r="T96" s="131">
        <v>76.349999999999994</v>
      </c>
      <c r="U96" s="12">
        <v>99.95</v>
      </c>
      <c r="V96" s="131">
        <v>70.59</v>
      </c>
      <c r="W96" s="135">
        <v>60.73</v>
      </c>
      <c r="X96" s="135">
        <v>85.66</v>
      </c>
      <c r="Y96" s="37"/>
      <c r="Z96" s="131">
        <v>73.489999999999995</v>
      </c>
      <c r="AA96" s="131">
        <v>81.13</v>
      </c>
      <c r="AB96" s="12">
        <v>92.94</v>
      </c>
      <c r="AC96" s="12">
        <v>69.3</v>
      </c>
      <c r="AD96" s="12">
        <v>90.82</v>
      </c>
      <c r="AE96" s="131">
        <v>27.42</v>
      </c>
      <c r="AF96" s="131">
        <v>66.239999999999995</v>
      </c>
      <c r="AG96" s="131">
        <v>82.26</v>
      </c>
      <c r="AH96" s="131">
        <v>69.81</v>
      </c>
      <c r="AI96" s="131">
        <v>89.18</v>
      </c>
      <c r="AJ96" s="37"/>
      <c r="AK96" s="38"/>
      <c r="AL96" s="453"/>
    </row>
    <row r="97" spans="1:38" x14ac:dyDescent="0.25">
      <c r="A97" s="382">
        <v>150</v>
      </c>
      <c r="B97" s="131">
        <v>78.069999999999993</v>
      </c>
      <c r="C97" s="135">
        <v>104.37</v>
      </c>
      <c r="D97" s="135">
        <v>96.48</v>
      </c>
      <c r="E97" s="135">
        <v>57.28</v>
      </c>
      <c r="F97" s="135">
        <v>75.599999999999994</v>
      </c>
      <c r="G97" s="135">
        <v>89.66</v>
      </c>
      <c r="H97" s="135">
        <v>72.239999999999995</v>
      </c>
      <c r="I97" s="37"/>
      <c r="J97" s="135">
        <v>66.19</v>
      </c>
      <c r="K97" s="135">
        <v>85.11</v>
      </c>
      <c r="L97" s="135">
        <v>87.43</v>
      </c>
      <c r="M97" s="131">
        <v>73.569999999999993</v>
      </c>
      <c r="N97" s="135">
        <v>65.02</v>
      </c>
      <c r="O97" s="135">
        <v>103.99</v>
      </c>
      <c r="P97" s="155">
        <v>88.01</v>
      </c>
      <c r="Q97" s="37"/>
      <c r="R97" s="131">
        <v>74.81</v>
      </c>
      <c r="S97" s="131">
        <v>67.540000000000006</v>
      </c>
      <c r="T97" s="131">
        <v>93.05</v>
      </c>
      <c r="U97" s="12">
        <v>80.02</v>
      </c>
      <c r="V97" s="131">
        <v>81.680000000000007</v>
      </c>
      <c r="W97" s="135">
        <v>77.53</v>
      </c>
      <c r="X97" s="135">
        <v>77.209999999999994</v>
      </c>
      <c r="Y97" s="37"/>
      <c r="Z97" s="131">
        <v>85.13</v>
      </c>
      <c r="AA97" s="131">
        <v>71.72</v>
      </c>
      <c r="AB97" s="12">
        <v>68.88</v>
      </c>
      <c r="AC97" s="12">
        <v>88.61</v>
      </c>
      <c r="AD97" s="135">
        <v>79.81</v>
      </c>
      <c r="AE97" s="155">
        <v>45.34</v>
      </c>
      <c r="AF97" s="131">
        <v>62.16</v>
      </c>
      <c r="AG97" s="131">
        <v>70.52</v>
      </c>
      <c r="AH97" s="131">
        <v>80.540000000000006</v>
      </c>
      <c r="AI97" s="131">
        <v>88.66</v>
      </c>
      <c r="AJ97" s="37"/>
      <c r="AK97" s="38"/>
      <c r="AL97" s="453"/>
    </row>
    <row r="98" spans="1:38" x14ac:dyDescent="0.25">
      <c r="A98" s="382">
        <v>151</v>
      </c>
      <c r="B98" s="135">
        <v>88.24</v>
      </c>
      <c r="C98" s="155">
        <v>51.03</v>
      </c>
      <c r="D98" s="135">
        <v>86.19</v>
      </c>
      <c r="E98" s="135">
        <v>61.66</v>
      </c>
      <c r="F98" s="135">
        <v>64.58</v>
      </c>
      <c r="G98" s="135">
        <v>96.5</v>
      </c>
      <c r="H98" s="135">
        <v>73.02</v>
      </c>
      <c r="I98" s="37"/>
      <c r="J98" s="135">
        <v>83.56</v>
      </c>
      <c r="K98" s="12">
        <v>71.48</v>
      </c>
      <c r="L98" s="135">
        <v>93.66</v>
      </c>
      <c r="M98" s="135">
        <v>79.099999999999994</v>
      </c>
      <c r="N98" s="135">
        <v>60.55</v>
      </c>
      <c r="O98" s="135">
        <v>83.16</v>
      </c>
      <c r="P98" s="155">
        <v>87.48</v>
      </c>
      <c r="Q98" s="37"/>
      <c r="R98" s="155">
        <v>103.28</v>
      </c>
      <c r="S98" s="135">
        <v>69.2</v>
      </c>
      <c r="T98" s="12">
        <v>87.16</v>
      </c>
      <c r="U98" s="12">
        <v>87.18</v>
      </c>
      <c r="V98" s="131">
        <v>78.62</v>
      </c>
      <c r="W98" s="135">
        <v>91</v>
      </c>
      <c r="X98" s="135">
        <v>83.95</v>
      </c>
      <c r="Y98" s="37"/>
      <c r="Z98" s="12">
        <v>87.7</v>
      </c>
      <c r="AA98" s="131">
        <v>93.78</v>
      </c>
      <c r="AB98" s="12">
        <v>79.33</v>
      </c>
      <c r="AC98" s="12">
        <v>84.07</v>
      </c>
      <c r="AD98" s="12">
        <v>70.209999999999994</v>
      </c>
      <c r="AE98" s="530"/>
      <c r="AF98" s="12">
        <v>103.2</v>
      </c>
      <c r="AG98" s="12">
        <v>82.5</v>
      </c>
      <c r="AH98" s="131">
        <v>77.27</v>
      </c>
      <c r="AI98" s="12">
        <v>98</v>
      </c>
      <c r="AJ98" s="37"/>
      <c r="AK98" s="38"/>
      <c r="AL98" s="453"/>
    </row>
    <row r="99" spans="1:38" x14ac:dyDescent="0.25">
      <c r="A99" s="382">
        <v>152</v>
      </c>
      <c r="B99" s="155">
        <v>76.11</v>
      </c>
      <c r="C99" s="135">
        <v>74.400000000000006</v>
      </c>
      <c r="D99" s="155">
        <v>102.39</v>
      </c>
      <c r="E99" s="570">
        <v>62.31</v>
      </c>
      <c r="F99" s="533">
        <v>77.3</v>
      </c>
      <c r="G99" s="570">
        <v>77.25</v>
      </c>
      <c r="H99" s="570">
        <v>69.92</v>
      </c>
      <c r="I99" s="37"/>
      <c r="J99" s="57">
        <v>92.4</v>
      </c>
      <c r="K99" s="1">
        <v>82.8</v>
      </c>
      <c r="L99" s="118">
        <v>73.209999999999994</v>
      </c>
      <c r="M99" s="1">
        <v>80.099999999999994</v>
      </c>
      <c r="N99" s="118">
        <v>57.86</v>
      </c>
      <c r="O99" s="118">
        <v>80.92</v>
      </c>
      <c r="P99" s="1">
        <v>78.5</v>
      </c>
      <c r="Q99" s="37"/>
      <c r="R99" s="118">
        <v>87.34</v>
      </c>
      <c r="S99" s="118">
        <v>86.11</v>
      </c>
      <c r="T99" s="118">
        <v>105.67</v>
      </c>
      <c r="U99" s="118">
        <v>90.85</v>
      </c>
      <c r="V99" s="118">
        <v>88.75</v>
      </c>
      <c r="W99" s="118">
        <v>74.84</v>
      </c>
      <c r="X99" s="193">
        <v>148.35</v>
      </c>
      <c r="Y99" s="369"/>
      <c r="Z99" s="118">
        <v>68.17</v>
      </c>
      <c r="AA99" s="161">
        <v>79.66</v>
      </c>
      <c r="AB99" s="118">
        <v>91.53</v>
      </c>
      <c r="AC99" s="118">
        <v>75.13</v>
      </c>
      <c r="AD99" s="1">
        <v>98.6</v>
      </c>
      <c r="AE99" s="537"/>
      <c r="AF99" s="118">
        <v>118.01</v>
      </c>
      <c r="AG99" s="118">
        <v>81.84</v>
      </c>
      <c r="AH99" s="118">
        <v>85.21</v>
      </c>
      <c r="AI99" s="1">
        <v>94</v>
      </c>
      <c r="AJ99" s="37"/>
      <c r="AK99" s="38"/>
      <c r="AL99" s="453"/>
    </row>
    <row r="100" spans="1:38" x14ac:dyDescent="0.25">
      <c r="A100" s="382">
        <v>153</v>
      </c>
      <c r="B100" s="12">
        <v>83.38</v>
      </c>
      <c r="C100" s="135">
        <v>84.09</v>
      </c>
      <c r="D100" s="131">
        <v>86.77</v>
      </c>
      <c r="E100" s="12">
        <v>38.01</v>
      </c>
      <c r="F100" s="131">
        <v>76.989999999999995</v>
      </c>
      <c r="G100" s="135">
        <v>88.36</v>
      </c>
      <c r="H100" s="12">
        <v>57.82</v>
      </c>
      <c r="I100" s="37"/>
      <c r="J100" s="135">
        <v>65.38</v>
      </c>
      <c r="K100" s="12">
        <v>71.05</v>
      </c>
      <c r="L100" s="135">
        <v>103.17</v>
      </c>
      <c r="M100" s="131">
        <v>89.95</v>
      </c>
      <c r="N100" s="131">
        <v>62.49</v>
      </c>
      <c r="O100" s="135">
        <v>86.55</v>
      </c>
      <c r="P100" s="135">
        <v>83.8</v>
      </c>
      <c r="Q100" s="37"/>
      <c r="R100" s="131">
        <v>77.12</v>
      </c>
      <c r="S100" s="131">
        <v>67.59</v>
      </c>
      <c r="T100" s="131">
        <v>66.650000000000006</v>
      </c>
      <c r="U100" s="12">
        <v>66.36</v>
      </c>
      <c r="V100" s="131">
        <v>82.55</v>
      </c>
      <c r="W100" s="135">
        <v>80.11</v>
      </c>
      <c r="X100" s="135">
        <v>84.89</v>
      </c>
      <c r="Y100" s="37"/>
      <c r="Z100" s="131">
        <v>79.069999999999993</v>
      </c>
      <c r="AA100" s="131">
        <v>71.34</v>
      </c>
      <c r="AB100" s="12">
        <v>80.930000000000007</v>
      </c>
      <c r="AC100" s="12">
        <v>92.89</v>
      </c>
      <c r="AD100" s="12">
        <v>74.849999999999994</v>
      </c>
      <c r="AE100" s="131">
        <v>47.43</v>
      </c>
      <c r="AF100" s="131">
        <v>47.76</v>
      </c>
      <c r="AG100" s="12">
        <v>88.4</v>
      </c>
      <c r="AH100" s="537"/>
      <c r="AI100" s="548">
        <v>134.07</v>
      </c>
      <c r="AJ100" s="37"/>
      <c r="AK100" s="38"/>
      <c r="AL100" s="453"/>
    </row>
    <row r="101" spans="1:38" x14ac:dyDescent="0.25">
      <c r="A101" s="382">
        <v>154</v>
      </c>
      <c r="B101" s="131">
        <v>80.66</v>
      </c>
      <c r="C101" s="131">
        <v>100.48</v>
      </c>
      <c r="D101" s="135">
        <v>94.25</v>
      </c>
      <c r="E101" s="135">
        <v>49.5</v>
      </c>
      <c r="F101" s="135">
        <v>86.49</v>
      </c>
      <c r="G101" s="135">
        <v>116.01</v>
      </c>
      <c r="H101" s="135">
        <v>84.68</v>
      </c>
      <c r="I101" s="37"/>
      <c r="J101" s="135">
        <v>82.76</v>
      </c>
      <c r="K101" s="530"/>
      <c r="L101" s="530"/>
      <c r="M101" s="530"/>
      <c r="N101" s="530"/>
      <c r="O101" s="530"/>
      <c r="P101" s="537"/>
      <c r="Q101" s="37"/>
      <c r="R101" s="537"/>
      <c r="S101" s="537"/>
      <c r="T101" s="548">
        <v>133.72</v>
      </c>
      <c r="U101" s="12">
        <v>68.64</v>
      </c>
      <c r="V101" s="131">
        <v>70.319999999999993</v>
      </c>
      <c r="W101" s="135">
        <v>77.09</v>
      </c>
      <c r="X101" s="135">
        <v>98.86</v>
      </c>
      <c r="Y101" s="37"/>
      <c r="Z101" s="131">
        <v>67.569999999999993</v>
      </c>
      <c r="AA101" s="131">
        <v>86.44</v>
      </c>
      <c r="AB101" s="12">
        <v>74.040000000000006</v>
      </c>
      <c r="AC101" s="12">
        <v>78.28</v>
      </c>
      <c r="AD101" s="12">
        <v>91.61</v>
      </c>
      <c r="AE101" s="131">
        <v>31.42</v>
      </c>
      <c r="AF101" s="131">
        <v>62.59</v>
      </c>
      <c r="AG101" s="131">
        <v>86.17</v>
      </c>
      <c r="AH101" s="131">
        <v>73.25</v>
      </c>
      <c r="AI101" s="131">
        <v>85.68</v>
      </c>
      <c r="AJ101" s="37"/>
      <c r="AK101" s="38"/>
      <c r="AL101" s="453"/>
    </row>
    <row r="102" spans="1:38" x14ac:dyDescent="0.25">
      <c r="A102" s="382">
        <v>155</v>
      </c>
      <c r="B102" s="131">
        <v>84.22</v>
      </c>
      <c r="C102" s="131">
        <v>84.32</v>
      </c>
      <c r="D102" s="135">
        <v>85.55</v>
      </c>
      <c r="E102" s="131">
        <v>46.23</v>
      </c>
      <c r="F102" s="135">
        <v>84.5</v>
      </c>
      <c r="G102" s="135">
        <v>103.05</v>
      </c>
      <c r="H102" s="135">
        <v>47.03</v>
      </c>
      <c r="I102" s="37"/>
      <c r="J102" s="135">
        <v>96.35</v>
      </c>
      <c r="K102" s="135">
        <v>74.64</v>
      </c>
      <c r="L102" s="135">
        <v>79.64</v>
      </c>
      <c r="M102" s="135">
        <v>73.72</v>
      </c>
      <c r="N102" s="135">
        <v>81.39</v>
      </c>
      <c r="O102" s="135">
        <v>74.430000000000007</v>
      </c>
      <c r="P102" s="155">
        <v>99.03</v>
      </c>
      <c r="Q102" s="37"/>
      <c r="R102" s="12">
        <v>94.12</v>
      </c>
      <c r="S102" s="131">
        <v>78.62</v>
      </c>
      <c r="T102" s="131">
        <v>102.47</v>
      </c>
      <c r="U102" s="12">
        <v>90.91</v>
      </c>
      <c r="V102" s="131">
        <v>92.87</v>
      </c>
      <c r="W102" s="135">
        <v>100.72</v>
      </c>
      <c r="X102" s="135">
        <v>112.74</v>
      </c>
      <c r="Y102" s="37"/>
      <c r="Z102" s="131">
        <v>71.31</v>
      </c>
      <c r="AA102" s="131">
        <v>85.46</v>
      </c>
      <c r="AB102" s="12">
        <v>97.1</v>
      </c>
      <c r="AC102" s="12">
        <v>85.3</v>
      </c>
      <c r="AD102" s="12">
        <v>91.3</v>
      </c>
      <c r="AE102" s="537"/>
      <c r="AF102" s="532">
        <v>128.54</v>
      </c>
      <c r="AG102" s="131">
        <v>105.14</v>
      </c>
      <c r="AH102" s="131">
        <v>70.84</v>
      </c>
      <c r="AI102" s="131">
        <v>94.34</v>
      </c>
      <c r="AJ102" s="37"/>
      <c r="AK102" s="38"/>
      <c r="AL102" s="453"/>
    </row>
    <row r="103" spans="1:38" x14ac:dyDescent="0.25">
      <c r="A103" s="382">
        <v>156</v>
      </c>
      <c r="B103" s="131">
        <v>77.14</v>
      </c>
      <c r="C103" s="135">
        <v>102.02</v>
      </c>
      <c r="D103" s="135">
        <v>102.71</v>
      </c>
      <c r="E103" s="131">
        <v>68.31</v>
      </c>
      <c r="F103" s="12">
        <v>71.099999999999994</v>
      </c>
      <c r="G103" s="135">
        <v>89.71</v>
      </c>
      <c r="H103" s="135">
        <v>62.59</v>
      </c>
      <c r="I103" s="37"/>
      <c r="J103" s="135">
        <v>86.07</v>
      </c>
      <c r="K103" s="135">
        <v>78.31</v>
      </c>
      <c r="L103" s="135">
        <v>87.63</v>
      </c>
      <c r="M103" s="530"/>
      <c r="N103" s="530"/>
      <c r="O103" s="135">
        <v>67.540000000000006</v>
      </c>
      <c r="P103" s="155">
        <v>81.88</v>
      </c>
      <c r="Q103" s="37"/>
      <c r="R103" s="155">
        <v>115.86</v>
      </c>
      <c r="S103" s="131">
        <v>66.23</v>
      </c>
      <c r="T103" s="12">
        <v>88.8</v>
      </c>
      <c r="U103" s="12">
        <v>98.28</v>
      </c>
      <c r="V103" s="131">
        <v>73.37</v>
      </c>
      <c r="W103" s="135">
        <v>97.83</v>
      </c>
      <c r="X103" s="135">
        <v>78.069999999999993</v>
      </c>
      <c r="Y103" s="37"/>
      <c r="Z103" s="131">
        <v>71.73</v>
      </c>
      <c r="AA103" s="131">
        <v>93.49</v>
      </c>
      <c r="AB103" s="12">
        <v>86.51</v>
      </c>
      <c r="AC103" s="12">
        <v>81.61</v>
      </c>
      <c r="AD103" s="12">
        <v>73.8</v>
      </c>
      <c r="AE103" s="131">
        <v>38.44</v>
      </c>
      <c r="AF103" s="131">
        <v>60.87</v>
      </c>
      <c r="AG103" s="131">
        <v>83.39</v>
      </c>
      <c r="AH103" s="131">
        <v>76.87</v>
      </c>
      <c r="AI103" s="131">
        <v>101.53</v>
      </c>
      <c r="AJ103" s="37"/>
      <c r="AK103" s="38"/>
      <c r="AL103" s="453"/>
    </row>
    <row r="104" spans="1:38" x14ac:dyDescent="0.25">
      <c r="A104" s="382">
        <v>157</v>
      </c>
      <c r="B104" s="131">
        <v>89.22</v>
      </c>
      <c r="C104" s="155">
        <v>86.09</v>
      </c>
      <c r="D104" s="131">
        <v>84.95</v>
      </c>
      <c r="E104" s="135">
        <v>63.41</v>
      </c>
      <c r="F104" s="12">
        <v>76.400000000000006</v>
      </c>
      <c r="G104" s="135">
        <v>72.58</v>
      </c>
      <c r="H104" s="12">
        <v>55.91</v>
      </c>
      <c r="I104" s="37"/>
      <c r="J104" s="155">
        <v>55.51</v>
      </c>
      <c r="K104" s="135">
        <v>83.74</v>
      </c>
      <c r="L104" s="131">
        <v>89.48</v>
      </c>
      <c r="M104" s="135">
        <v>72.5</v>
      </c>
      <c r="N104" s="131">
        <v>75.22</v>
      </c>
      <c r="O104" s="12">
        <v>72.59</v>
      </c>
      <c r="P104" s="155">
        <v>84.65</v>
      </c>
      <c r="Q104" s="37"/>
      <c r="R104" s="155">
        <v>70.959999999999994</v>
      </c>
      <c r="S104" s="12">
        <v>74.099999999999994</v>
      </c>
      <c r="T104" s="131">
        <v>89.36</v>
      </c>
      <c r="U104" s="131">
        <v>82.18</v>
      </c>
      <c r="V104" s="131">
        <v>53.81</v>
      </c>
      <c r="W104" s="135">
        <v>74.95</v>
      </c>
      <c r="X104" s="135">
        <v>86.98</v>
      </c>
      <c r="Y104" s="37"/>
      <c r="Z104" s="131">
        <v>66.39</v>
      </c>
      <c r="AA104" s="12">
        <v>78.400000000000006</v>
      </c>
      <c r="AB104" s="12">
        <v>90.95</v>
      </c>
      <c r="AC104" s="530"/>
      <c r="AD104" s="12">
        <v>88.32</v>
      </c>
      <c r="AE104" s="537"/>
      <c r="AF104" s="12">
        <v>106.13</v>
      </c>
      <c r="AG104" s="131">
        <v>82.92</v>
      </c>
      <c r="AH104" s="131">
        <v>105.39</v>
      </c>
      <c r="AI104" s="131">
        <v>76.67</v>
      </c>
      <c r="AJ104" s="37"/>
      <c r="AK104" s="38"/>
      <c r="AL104" s="453"/>
    </row>
    <row r="105" spans="1:38" x14ac:dyDescent="0.25">
      <c r="A105" s="382">
        <v>158</v>
      </c>
      <c r="B105" s="131">
        <v>78.84</v>
      </c>
      <c r="C105" s="155">
        <v>90.08</v>
      </c>
      <c r="D105" s="155">
        <v>94.06</v>
      </c>
      <c r="E105" s="12">
        <v>76.83</v>
      </c>
      <c r="F105" s="131">
        <v>72.239999999999995</v>
      </c>
      <c r="G105" s="135">
        <v>95.75</v>
      </c>
      <c r="H105" s="135">
        <v>72.599999999999994</v>
      </c>
      <c r="I105" s="37"/>
      <c r="J105" s="135">
        <v>92.64</v>
      </c>
      <c r="K105" s="135">
        <v>75.23</v>
      </c>
      <c r="L105" s="135">
        <v>100.22</v>
      </c>
      <c r="M105" s="135">
        <v>76.260000000000005</v>
      </c>
      <c r="N105" s="135">
        <v>87.75</v>
      </c>
      <c r="O105" s="135">
        <v>86.2</v>
      </c>
      <c r="P105" s="155">
        <v>96.64</v>
      </c>
      <c r="Q105" s="37"/>
      <c r="R105" s="131">
        <v>104.52</v>
      </c>
      <c r="S105" s="12">
        <v>79.33</v>
      </c>
      <c r="T105" s="131">
        <v>90.02</v>
      </c>
      <c r="U105" s="12">
        <v>77.58</v>
      </c>
      <c r="V105" s="131">
        <v>89.59</v>
      </c>
      <c r="W105" s="135">
        <v>94.68</v>
      </c>
      <c r="X105" s="135">
        <v>54.75</v>
      </c>
      <c r="Y105" s="37"/>
      <c r="Z105" s="131">
        <v>85.95</v>
      </c>
      <c r="AA105" s="135">
        <v>90.83</v>
      </c>
      <c r="AB105" s="12">
        <v>87.99</v>
      </c>
      <c r="AC105" s="12">
        <v>85.95</v>
      </c>
      <c r="AD105" s="12">
        <v>105.95</v>
      </c>
      <c r="AE105" s="131">
        <v>46.54</v>
      </c>
      <c r="AF105" s="131">
        <v>64.069999999999993</v>
      </c>
      <c r="AG105" s="131">
        <v>88.75</v>
      </c>
      <c r="AH105" s="131">
        <v>91.72</v>
      </c>
      <c r="AI105" s="12">
        <v>84</v>
      </c>
      <c r="AJ105" s="37"/>
      <c r="AK105" s="38"/>
      <c r="AL105" s="453"/>
    </row>
    <row r="106" spans="1:38" x14ac:dyDescent="0.25">
      <c r="A106" s="382">
        <v>159</v>
      </c>
      <c r="B106" s="131">
        <v>83.64</v>
      </c>
      <c r="C106" s="135">
        <v>77.989999999999995</v>
      </c>
      <c r="D106" s="135">
        <v>98.2</v>
      </c>
      <c r="E106" s="135">
        <v>74.150000000000006</v>
      </c>
      <c r="F106" s="131">
        <v>82.47</v>
      </c>
      <c r="G106" s="12">
        <v>89.76</v>
      </c>
      <c r="H106" s="135">
        <v>71.540000000000006</v>
      </c>
      <c r="I106" s="37"/>
      <c r="J106" s="135">
        <v>85.4</v>
      </c>
      <c r="K106" s="135">
        <v>70.39</v>
      </c>
      <c r="L106" s="135">
        <v>84.86</v>
      </c>
      <c r="M106" s="135">
        <v>68.8</v>
      </c>
      <c r="N106" s="135">
        <v>80.77</v>
      </c>
      <c r="O106" s="12">
        <v>85.56</v>
      </c>
      <c r="P106" s="155">
        <v>98.03</v>
      </c>
      <c r="Q106" s="37"/>
      <c r="R106" s="155">
        <v>83.85</v>
      </c>
      <c r="S106" s="12">
        <v>93.99</v>
      </c>
      <c r="T106" s="131">
        <v>60.25</v>
      </c>
      <c r="U106" s="12">
        <v>71.819999999999993</v>
      </c>
      <c r="V106" s="131">
        <v>85.41</v>
      </c>
      <c r="W106" s="135">
        <v>79.040000000000006</v>
      </c>
      <c r="X106" s="135">
        <v>88.62</v>
      </c>
      <c r="Y106" s="37"/>
      <c r="Z106" s="12">
        <v>105.07</v>
      </c>
      <c r="AA106" s="131">
        <v>75.819999999999993</v>
      </c>
      <c r="AB106" s="12">
        <v>106.28</v>
      </c>
      <c r="AC106" s="12">
        <v>64.66</v>
      </c>
      <c r="AD106" s="530"/>
      <c r="AE106" s="537"/>
      <c r="AF106" s="537"/>
      <c r="AG106" s="537"/>
      <c r="AH106" s="537"/>
      <c r="AI106" s="537"/>
      <c r="AJ106" s="37"/>
      <c r="AK106" s="38"/>
      <c r="AL106" s="453"/>
    </row>
    <row r="107" spans="1:38" x14ac:dyDescent="0.25">
      <c r="A107" s="382">
        <v>161</v>
      </c>
      <c r="B107" s="155">
        <v>58.77</v>
      </c>
      <c r="C107" s="537"/>
      <c r="D107" s="155">
        <v>101.76</v>
      </c>
      <c r="E107" s="570">
        <v>59.84</v>
      </c>
      <c r="F107" s="570">
        <v>61.81</v>
      </c>
      <c r="G107" s="533">
        <v>94</v>
      </c>
      <c r="H107" s="570">
        <v>70.36</v>
      </c>
      <c r="I107" s="37"/>
      <c r="J107" s="155">
        <v>71.150000000000006</v>
      </c>
      <c r="K107" s="135">
        <v>68.209999999999994</v>
      </c>
      <c r="L107" s="135">
        <v>83.07</v>
      </c>
      <c r="M107" s="135">
        <v>69.05</v>
      </c>
      <c r="N107" s="135">
        <v>74.88</v>
      </c>
      <c r="O107" s="135">
        <v>74.900000000000006</v>
      </c>
      <c r="P107" s="155">
        <v>85.52</v>
      </c>
      <c r="Q107" s="37"/>
      <c r="R107" s="131">
        <v>85.13</v>
      </c>
      <c r="S107" s="131">
        <v>75.75</v>
      </c>
      <c r="T107" s="131">
        <v>76.25</v>
      </c>
      <c r="U107" s="12">
        <v>68.709999999999994</v>
      </c>
      <c r="V107" s="131">
        <v>70.39</v>
      </c>
      <c r="W107" s="135">
        <v>78.239999999999995</v>
      </c>
      <c r="X107" s="135">
        <v>86.41</v>
      </c>
      <c r="Y107" s="37"/>
      <c r="Z107" s="131">
        <v>67.12</v>
      </c>
      <c r="AA107" s="131">
        <v>100.72</v>
      </c>
      <c r="AB107" s="12">
        <v>84</v>
      </c>
      <c r="AC107" s="12">
        <v>74.400000000000006</v>
      </c>
      <c r="AD107" s="12">
        <v>83.13</v>
      </c>
      <c r="AE107" s="131">
        <v>51.97</v>
      </c>
      <c r="AF107" s="131">
        <v>66.64</v>
      </c>
      <c r="AG107" s="131">
        <v>70.849999999999994</v>
      </c>
      <c r="AH107" s="12">
        <v>14.3</v>
      </c>
      <c r="AI107" s="131">
        <v>66.47</v>
      </c>
      <c r="AJ107" s="37"/>
      <c r="AK107" s="38"/>
      <c r="AL107" s="453"/>
    </row>
    <row r="108" spans="1:38" x14ac:dyDescent="0.25">
      <c r="A108" s="382">
        <v>162</v>
      </c>
      <c r="B108" s="131">
        <v>71.260000000000005</v>
      </c>
      <c r="C108" s="135">
        <v>76.290000000000006</v>
      </c>
      <c r="D108" s="135">
        <v>84.9</v>
      </c>
      <c r="E108" s="12">
        <v>54.78</v>
      </c>
      <c r="F108" s="131">
        <v>83.48</v>
      </c>
      <c r="G108" s="12">
        <v>53.66</v>
      </c>
      <c r="H108" s="135">
        <v>79.84</v>
      </c>
      <c r="I108" s="37"/>
      <c r="J108" s="135">
        <v>86.81</v>
      </c>
      <c r="K108" s="12">
        <v>58.65</v>
      </c>
      <c r="L108" s="135">
        <v>97.29</v>
      </c>
      <c r="M108" s="135">
        <v>74.92</v>
      </c>
      <c r="N108" s="135">
        <v>65.45</v>
      </c>
      <c r="O108" s="12">
        <v>72.34</v>
      </c>
      <c r="P108" s="155">
        <v>83.83</v>
      </c>
      <c r="Q108" s="37"/>
      <c r="R108" s="131">
        <v>82.39</v>
      </c>
      <c r="S108" s="131">
        <v>69.739999999999995</v>
      </c>
      <c r="T108" s="131">
        <v>94.77</v>
      </c>
      <c r="U108" s="12">
        <v>101.79</v>
      </c>
      <c r="V108" s="131">
        <v>82.47</v>
      </c>
      <c r="W108" s="135">
        <v>78</v>
      </c>
      <c r="X108" s="135">
        <v>79.08</v>
      </c>
      <c r="Y108" s="37"/>
      <c r="Z108" s="131">
        <v>52.32</v>
      </c>
      <c r="AA108" s="131">
        <v>91.19</v>
      </c>
      <c r="AB108" s="12">
        <v>64.36</v>
      </c>
      <c r="AC108" s="12">
        <v>85.89</v>
      </c>
      <c r="AD108" s="12">
        <v>66.290000000000006</v>
      </c>
      <c r="AE108" s="131">
        <v>45.16</v>
      </c>
      <c r="AF108" s="131">
        <v>57.49</v>
      </c>
      <c r="AG108" s="131">
        <v>66.05</v>
      </c>
      <c r="AH108" s="12">
        <v>70.3</v>
      </c>
      <c r="AI108" s="131">
        <v>68.930000000000007</v>
      </c>
      <c r="AJ108" s="37"/>
      <c r="AK108" s="38"/>
      <c r="AL108" s="453"/>
    </row>
    <row r="109" spans="1:38" x14ac:dyDescent="0.25">
      <c r="A109" s="382">
        <v>163</v>
      </c>
      <c r="B109" s="155">
        <v>94.77</v>
      </c>
      <c r="C109" s="155">
        <v>82.77</v>
      </c>
      <c r="D109" s="135">
        <v>90.2</v>
      </c>
      <c r="E109" s="135">
        <v>49.86</v>
      </c>
      <c r="F109" s="135">
        <v>56.6</v>
      </c>
      <c r="G109" s="135">
        <v>70.78</v>
      </c>
      <c r="H109" s="135">
        <v>78.11</v>
      </c>
      <c r="I109" s="37"/>
      <c r="J109" s="135">
        <v>70.28</v>
      </c>
      <c r="K109" s="135">
        <v>83.41</v>
      </c>
      <c r="L109" s="131">
        <v>86.98</v>
      </c>
      <c r="M109" s="131">
        <v>70.650000000000006</v>
      </c>
      <c r="N109" s="131">
        <v>65.84</v>
      </c>
      <c r="O109" s="131">
        <v>74.75</v>
      </c>
      <c r="P109" s="131">
        <v>83.23</v>
      </c>
      <c r="Q109" s="37"/>
      <c r="R109" s="532">
        <v>129.08000000000001</v>
      </c>
      <c r="S109" s="12">
        <v>77.5</v>
      </c>
      <c r="T109" s="12">
        <v>81</v>
      </c>
      <c r="U109" s="12">
        <v>105.91</v>
      </c>
      <c r="V109" s="12">
        <v>71</v>
      </c>
      <c r="W109" s="135">
        <v>67.92</v>
      </c>
      <c r="X109" s="135">
        <v>89.48</v>
      </c>
      <c r="Y109" s="37"/>
      <c r="Z109" s="131">
        <v>84.11</v>
      </c>
      <c r="AA109" s="131">
        <v>74.17</v>
      </c>
      <c r="AB109" s="12">
        <v>75.02</v>
      </c>
      <c r="AC109" s="12">
        <v>73.25</v>
      </c>
      <c r="AD109" s="12">
        <v>105.34</v>
      </c>
      <c r="AE109" s="131">
        <v>27.07</v>
      </c>
      <c r="AF109" s="131">
        <v>71.73</v>
      </c>
      <c r="AG109" s="131">
        <v>76.38</v>
      </c>
      <c r="AH109" s="131">
        <v>79.03</v>
      </c>
      <c r="AI109" s="131">
        <v>94.77</v>
      </c>
      <c r="AJ109" s="37"/>
      <c r="AK109" s="38"/>
      <c r="AL109" s="453"/>
    </row>
    <row r="110" spans="1:38" x14ac:dyDescent="0.25">
      <c r="A110" s="382">
        <v>164</v>
      </c>
      <c r="B110" s="131">
        <v>77.48</v>
      </c>
      <c r="C110" s="135">
        <v>76.75</v>
      </c>
      <c r="D110" s="131">
        <v>79.94</v>
      </c>
      <c r="E110" s="131">
        <v>44.02</v>
      </c>
      <c r="F110" s="530"/>
      <c r="G110" s="530"/>
      <c r="H110" s="530"/>
      <c r="I110" s="37"/>
      <c r="J110" s="135">
        <v>78.349999999999994</v>
      </c>
      <c r="K110" s="135">
        <v>68.599999999999994</v>
      </c>
      <c r="L110" s="135">
        <v>82.52</v>
      </c>
      <c r="M110" s="135">
        <v>66.25</v>
      </c>
      <c r="N110" s="135">
        <v>64.44</v>
      </c>
      <c r="O110" s="135">
        <v>37.950000000000003</v>
      </c>
      <c r="P110" s="155">
        <v>73.349999999999994</v>
      </c>
      <c r="Q110" s="37"/>
      <c r="R110" s="131">
        <v>78.58</v>
      </c>
      <c r="S110" s="537"/>
      <c r="T110" s="131">
        <v>93.64</v>
      </c>
      <c r="U110" s="12">
        <v>62.57</v>
      </c>
      <c r="V110" s="131">
        <v>71.03</v>
      </c>
      <c r="W110" s="135">
        <v>69.94</v>
      </c>
      <c r="X110" s="135">
        <v>64.16</v>
      </c>
      <c r="Y110" s="37"/>
      <c r="Z110" s="131">
        <v>85.97</v>
      </c>
      <c r="AA110" s="131">
        <v>93.45</v>
      </c>
      <c r="AB110" s="12">
        <v>73.2</v>
      </c>
      <c r="AC110" s="12">
        <v>84.26</v>
      </c>
      <c r="AD110" s="12">
        <v>61.09</v>
      </c>
      <c r="AE110" s="131">
        <v>27.64</v>
      </c>
      <c r="AF110" s="12">
        <v>61.8</v>
      </c>
      <c r="AG110" s="131">
        <v>59.14</v>
      </c>
      <c r="AH110" s="131">
        <v>85.77</v>
      </c>
      <c r="AI110" s="131">
        <v>72.86</v>
      </c>
      <c r="AJ110" s="37"/>
      <c r="AK110" s="38"/>
      <c r="AL110" s="453"/>
    </row>
    <row r="111" spans="1:38" x14ac:dyDescent="0.25">
      <c r="A111" s="382">
        <v>165</v>
      </c>
      <c r="B111" s="155">
        <v>89.98</v>
      </c>
      <c r="C111" s="131">
        <v>109.65</v>
      </c>
      <c r="D111" s="135">
        <v>78.2</v>
      </c>
      <c r="E111" s="131">
        <v>75.58</v>
      </c>
      <c r="F111" s="135">
        <v>82.12</v>
      </c>
      <c r="G111" s="135">
        <v>66.569999999999993</v>
      </c>
      <c r="H111" s="135">
        <v>103.77</v>
      </c>
      <c r="I111" s="37"/>
      <c r="J111" s="155">
        <v>76.73</v>
      </c>
      <c r="K111" s="135">
        <v>70.25</v>
      </c>
      <c r="L111" s="530"/>
      <c r="M111" s="532">
        <v>140.38</v>
      </c>
      <c r="N111" s="135">
        <v>51.18</v>
      </c>
      <c r="O111" s="155">
        <v>82.53</v>
      </c>
      <c r="P111" s="155">
        <v>88.89</v>
      </c>
      <c r="Q111" s="37"/>
      <c r="R111" s="131">
        <v>87.75</v>
      </c>
      <c r="S111" s="131">
        <v>55.61</v>
      </c>
      <c r="T111" s="131">
        <v>76.44</v>
      </c>
      <c r="U111" s="12">
        <v>82.49</v>
      </c>
      <c r="V111" s="131">
        <v>61.86</v>
      </c>
      <c r="W111" s="135">
        <v>70.209999999999994</v>
      </c>
      <c r="X111" s="135">
        <v>76.709999999999994</v>
      </c>
      <c r="Y111" s="37"/>
      <c r="Z111" s="131">
        <v>82.77</v>
      </c>
      <c r="AA111" s="131">
        <v>69.45</v>
      </c>
      <c r="AB111" s="12">
        <v>89.61</v>
      </c>
      <c r="AC111" s="12">
        <v>77.3</v>
      </c>
      <c r="AD111" s="12">
        <v>95.91</v>
      </c>
      <c r="AE111" s="131">
        <v>42.25</v>
      </c>
      <c r="AF111" s="131">
        <v>47.42</v>
      </c>
      <c r="AG111" s="131">
        <v>87.84</v>
      </c>
      <c r="AH111" s="131">
        <v>87.59</v>
      </c>
      <c r="AI111" s="131">
        <v>71.58</v>
      </c>
      <c r="AJ111" s="37"/>
      <c r="AK111" s="38"/>
      <c r="AL111" s="453"/>
    </row>
    <row r="112" spans="1:38" x14ac:dyDescent="0.25">
      <c r="A112" s="382">
        <v>166</v>
      </c>
      <c r="B112" s="135">
        <v>63.98</v>
      </c>
      <c r="C112" s="135">
        <v>89.05</v>
      </c>
      <c r="D112" s="135">
        <v>85.89</v>
      </c>
      <c r="E112" s="135">
        <v>45.57</v>
      </c>
      <c r="F112" s="135">
        <v>60.55</v>
      </c>
      <c r="G112" s="12">
        <v>80.36</v>
      </c>
      <c r="H112" s="12">
        <v>52.86</v>
      </c>
      <c r="I112" s="37"/>
      <c r="J112" s="135">
        <v>88.47</v>
      </c>
      <c r="K112" s="12">
        <v>47.1</v>
      </c>
      <c r="L112" s="12">
        <v>87</v>
      </c>
      <c r="M112" s="135">
        <v>77.19</v>
      </c>
      <c r="N112" s="131">
        <v>71.45</v>
      </c>
      <c r="O112" s="155">
        <v>58.57</v>
      </c>
      <c r="P112" s="135">
        <v>90</v>
      </c>
      <c r="Q112" s="37"/>
      <c r="R112" s="131">
        <v>72.09</v>
      </c>
      <c r="S112" s="131">
        <v>78.59</v>
      </c>
      <c r="T112" s="131">
        <v>66.95</v>
      </c>
      <c r="U112" s="12">
        <v>73.31</v>
      </c>
      <c r="V112" s="567">
        <v>68.42</v>
      </c>
      <c r="W112" s="135">
        <v>52.4</v>
      </c>
      <c r="X112" s="135">
        <v>81.91</v>
      </c>
      <c r="Y112" s="37"/>
      <c r="Z112" s="131">
        <v>66.52</v>
      </c>
      <c r="AA112" s="131">
        <v>78.47</v>
      </c>
      <c r="AB112" s="12">
        <v>71.709999999999994</v>
      </c>
      <c r="AC112" s="12">
        <v>76.36</v>
      </c>
      <c r="AD112" s="12">
        <v>74.16</v>
      </c>
      <c r="AE112" s="131">
        <v>31.45</v>
      </c>
      <c r="AF112" s="12">
        <v>56.21</v>
      </c>
      <c r="AG112" s="12">
        <v>83.6</v>
      </c>
      <c r="AH112" s="131">
        <v>65.05</v>
      </c>
      <c r="AI112" s="131">
        <v>73.760000000000005</v>
      </c>
      <c r="AJ112" s="37"/>
      <c r="AK112" s="38"/>
      <c r="AL112" s="453"/>
    </row>
    <row r="113" spans="1:38" x14ac:dyDescent="0.25">
      <c r="A113" s="382">
        <v>167</v>
      </c>
      <c r="B113" s="155">
        <v>109.51</v>
      </c>
      <c r="C113" s="155">
        <v>101.55</v>
      </c>
      <c r="D113" s="135">
        <v>71.5</v>
      </c>
      <c r="E113" s="135">
        <v>94.36</v>
      </c>
      <c r="F113" s="131">
        <v>66.680000000000007</v>
      </c>
      <c r="G113" s="135">
        <v>85.83</v>
      </c>
      <c r="H113" s="135">
        <v>45.09</v>
      </c>
      <c r="I113" s="37"/>
      <c r="J113" s="530"/>
      <c r="K113" s="532">
        <v>131.63999999999999</v>
      </c>
      <c r="L113" s="135">
        <v>46.45</v>
      </c>
      <c r="M113" s="131">
        <v>97.48</v>
      </c>
      <c r="N113" s="155">
        <v>65.040000000000006</v>
      </c>
      <c r="O113" s="532">
        <v>122.66</v>
      </c>
      <c r="P113" s="155">
        <v>51.26</v>
      </c>
      <c r="Q113" s="37"/>
      <c r="R113" s="131">
        <v>88.27</v>
      </c>
      <c r="S113" s="131">
        <v>76.59</v>
      </c>
      <c r="T113" s="131">
        <v>96.49</v>
      </c>
      <c r="U113" s="12">
        <v>97.97</v>
      </c>
      <c r="V113" s="131">
        <v>88.62</v>
      </c>
      <c r="W113" s="135">
        <v>92.22</v>
      </c>
      <c r="X113" s="135">
        <v>80.06</v>
      </c>
      <c r="Y113" s="37"/>
      <c r="Z113" s="131">
        <v>91.92</v>
      </c>
      <c r="AA113" s="131">
        <v>86.63</v>
      </c>
      <c r="AB113" s="12">
        <v>72.98</v>
      </c>
      <c r="AC113" s="12">
        <v>80.790000000000006</v>
      </c>
      <c r="AD113" s="532">
        <v>124.18</v>
      </c>
      <c r="AE113" s="537"/>
      <c r="AF113" s="131">
        <v>94.89</v>
      </c>
      <c r="AG113" s="131">
        <v>73.150000000000006</v>
      </c>
      <c r="AH113" s="131">
        <v>97.11</v>
      </c>
      <c r="AI113" s="131">
        <v>54.49</v>
      </c>
      <c r="AJ113" s="37"/>
      <c r="AK113" s="38"/>
      <c r="AL113" s="453"/>
    </row>
    <row r="114" spans="1:38" x14ac:dyDescent="0.25">
      <c r="A114" s="382">
        <v>168</v>
      </c>
      <c r="B114" s="131">
        <v>71.16</v>
      </c>
      <c r="C114" s="131">
        <v>85.42</v>
      </c>
      <c r="D114" s="135">
        <v>95.64</v>
      </c>
      <c r="E114" s="135">
        <v>63.05</v>
      </c>
      <c r="F114" s="135">
        <v>72.16</v>
      </c>
      <c r="G114" s="135">
        <v>101.49</v>
      </c>
      <c r="H114" s="12">
        <v>69</v>
      </c>
      <c r="I114" s="37"/>
      <c r="J114" s="135">
        <v>72.25</v>
      </c>
      <c r="K114" s="135">
        <v>84.03</v>
      </c>
      <c r="L114" s="135">
        <v>71</v>
      </c>
      <c r="M114" s="131">
        <v>65.77</v>
      </c>
      <c r="N114" s="131">
        <v>58.79</v>
      </c>
      <c r="O114" s="135">
        <v>84.5</v>
      </c>
      <c r="P114" s="155">
        <v>83.82</v>
      </c>
      <c r="Q114" s="37"/>
      <c r="R114" s="131">
        <v>84.01</v>
      </c>
      <c r="S114" s="131">
        <v>86.05</v>
      </c>
      <c r="T114" s="131">
        <v>92.27</v>
      </c>
      <c r="U114" s="12">
        <v>77.39</v>
      </c>
      <c r="V114" s="131">
        <v>73.680000000000007</v>
      </c>
      <c r="W114" s="135">
        <v>66.17</v>
      </c>
      <c r="X114" s="135">
        <v>68.77</v>
      </c>
      <c r="Y114" s="37"/>
      <c r="Z114" s="131">
        <v>98.08</v>
      </c>
      <c r="AA114" s="12">
        <v>85.75</v>
      </c>
      <c r="AB114" s="12">
        <v>76.849999999999994</v>
      </c>
      <c r="AC114" s="12">
        <v>61.18</v>
      </c>
      <c r="AD114" s="12">
        <v>50.11</v>
      </c>
      <c r="AE114" s="131">
        <v>54.44</v>
      </c>
      <c r="AF114" s="131">
        <v>48.97</v>
      </c>
      <c r="AG114" s="131">
        <v>72.42</v>
      </c>
      <c r="AH114" s="131">
        <v>102.96</v>
      </c>
      <c r="AI114" s="12">
        <v>94.3</v>
      </c>
      <c r="AJ114" s="37"/>
      <c r="AK114" s="38"/>
      <c r="AL114" s="453"/>
    </row>
    <row r="115" spans="1:38" x14ac:dyDescent="0.25">
      <c r="A115" s="382">
        <v>169</v>
      </c>
      <c r="B115" s="12">
        <v>78.14</v>
      </c>
      <c r="C115" s="155">
        <v>101.13</v>
      </c>
      <c r="D115" s="135">
        <v>72.75</v>
      </c>
      <c r="E115" s="131">
        <v>64.81</v>
      </c>
      <c r="F115" s="135">
        <v>80.05</v>
      </c>
      <c r="G115" s="12">
        <v>89.82</v>
      </c>
      <c r="H115" s="12">
        <v>57.62</v>
      </c>
      <c r="I115" s="37"/>
      <c r="J115" s="135">
        <v>79.11</v>
      </c>
      <c r="K115" s="537"/>
      <c r="L115" s="12">
        <v>66.5</v>
      </c>
      <c r="M115" s="530"/>
      <c r="N115" s="530"/>
      <c r="O115" s="548">
        <v>129.69</v>
      </c>
      <c r="P115" s="135">
        <v>79.099999999999994</v>
      </c>
      <c r="Q115" s="37"/>
      <c r="R115" s="131">
        <v>82.58</v>
      </c>
      <c r="S115" s="12">
        <v>77.5</v>
      </c>
      <c r="T115" s="131">
        <v>50.97</v>
      </c>
      <c r="U115" s="12">
        <v>32.47</v>
      </c>
      <c r="V115" s="537"/>
      <c r="W115" s="135">
        <v>50.51</v>
      </c>
      <c r="X115" s="135">
        <v>79.23</v>
      </c>
      <c r="Y115" s="37"/>
      <c r="Z115" s="12">
        <v>77.94</v>
      </c>
      <c r="AA115" s="131">
        <v>58.11</v>
      </c>
      <c r="AB115" s="530"/>
      <c r="AC115" s="12">
        <v>83.36</v>
      </c>
      <c r="AD115" s="12">
        <v>93.39</v>
      </c>
      <c r="AE115" s="537"/>
      <c r="AF115" s="12">
        <v>55.06</v>
      </c>
      <c r="AG115" s="131">
        <v>71.39</v>
      </c>
      <c r="AH115" s="131">
        <v>71.75</v>
      </c>
      <c r="AI115" s="131">
        <v>77.45</v>
      </c>
      <c r="AJ115" s="37"/>
      <c r="AK115" s="38"/>
      <c r="AL115" s="453"/>
    </row>
    <row r="116" spans="1:38" x14ac:dyDescent="0.25">
      <c r="A116" s="382">
        <v>170</v>
      </c>
      <c r="B116" s="135">
        <v>98.9</v>
      </c>
      <c r="C116" s="135">
        <v>93.75</v>
      </c>
      <c r="D116" s="135">
        <v>107.35</v>
      </c>
      <c r="E116" s="135">
        <v>52.38</v>
      </c>
      <c r="F116" s="135">
        <v>63.13</v>
      </c>
      <c r="G116" s="135">
        <v>91.12</v>
      </c>
      <c r="H116" s="135">
        <v>81.05</v>
      </c>
      <c r="I116" s="37"/>
      <c r="J116" s="135">
        <v>112.56</v>
      </c>
      <c r="K116" s="135">
        <v>76.430000000000007</v>
      </c>
      <c r="L116" s="131">
        <v>100.77</v>
      </c>
      <c r="M116" s="135">
        <v>80.319999999999993</v>
      </c>
      <c r="N116" s="135">
        <v>87.19</v>
      </c>
      <c r="O116" s="135">
        <v>52.37</v>
      </c>
      <c r="P116" s="155">
        <v>91.52</v>
      </c>
      <c r="Q116" s="37"/>
      <c r="R116" s="131">
        <v>92.27</v>
      </c>
      <c r="S116" s="131">
        <v>79.849999999999994</v>
      </c>
      <c r="T116" s="131">
        <v>85.41</v>
      </c>
      <c r="U116" s="12">
        <v>78.989999999999995</v>
      </c>
      <c r="V116" s="12">
        <v>99.72</v>
      </c>
      <c r="W116" s="135">
        <v>92.39</v>
      </c>
      <c r="X116" s="135">
        <v>96.96</v>
      </c>
      <c r="Y116" s="37"/>
      <c r="Z116" s="131">
        <v>85.79</v>
      </c>
      <c r="AA116" s="131">
        <v>93.28</v>
      </c>
      <c r="AB116" s="12">
        <v>107.14</v>
      </c>
      <c r="AC116" s="12">
        <v>87.27</v>
      </c>
      <c r="AD116" s="12">
        <v>90.66</v>
      </c>
      <c r="AE116" s="131">
        <v>44.52</v>
      </c>
      <c r="AF116" s="135">
        <v>60.75</v>
      </c>
      <c r="AG116" s="131">
        <v>81.98</v>
      </c>
      <c r="AH116" s="131">
        <v>100.34</v>
      </c>
      <c r="AI116" s="131">
        <v>74.81</v>
      </c>
      <c r="AJ116" s="37"/>
      <c r="AK116" s="38"/>
      <c r="AL116" s="453"/>
    </row>
    <row r="117" spans="1:38" x14ac:dyDescent="0.25">
      <c r="A117" s="382">
        <v>171</v>
      </c>
      <c r="B117" s="12">
        <v>89</v>
      </c>
      <c r="C117" s="135">
        <v>99.75</v>
      </c>
      <c r="D117" s="135">
        <v>91.2</v>
      </c>
      <c r="E117" s="12">
        <v>78.05</v>
      </c>
      <c r="F117" s="12">
        <v>70.8</v>
      </c>
      <c r="G117" s="135">
        <v>78.790000000000006</v>
      </c>
      <c r="H117" s="135">
        <v>69.599999999999994</v>
      </c>
      <c r="I117" s="37"/>
      <c r="J117" s="135">
        <v>35.43</v>
      </c>
      <c r="K117" s="135">
        <v>58.09</v>
      </c>
      <c r="L117" s="135">
        <v>87.93</v>
      </c>
      <c r="M117" s="135">
        <v>70.84</v>
      </c>
      <c r="N117" s="135">
        <v>79.11</v>
      </c>
      <c r="O117" s="135">
        <v>75.14</v>
      </c>
      <c r="P117" s="155">
        <v>89.01</v>
      </c>
      <c r="Q117" s="37"/>
      <c r="R117" s="12">
        <v>74.05</v>
      </c>
      <c r="S117" s="131">
        <v>83.89</v>
      </c>
      <c r="T117" s="131">
        <v>87.14</v>
      </c>
      <c r="U117" s="12">
        <v>94.32</v>
      </c>
      <c r="V117" s="131">
        <v>77.94</v>
      </c>
      <c r="W117" s="135">
        <v>77.64</v>
      </c>
      <c r="X117" s="135">
        <v>60.39</v>
      </c>
      <c r="Y117" s="37"/>
      <c r="Z117" s="131">
        <v>105.74</v>
      </c>
      <c r="AA117" s="131">
        <v>73.599999999999994</v>
      </c>
      <c r="AB117" s="530"/>
      <c r="AC117" s="530"/>
      <c r="AD117" s="532">
        <v>137.55000000000001</v>
      </c>
      <c r="AE117" s="131">
        <v>21.45</v>
      </c>
      <c r="AF117" s="131">
        <v>73.430000000000007</v>
      </c>
      <c r="AG117" s="131">
        <v>82.35</v>
      </c>
      <c r="AH117" s="131">
        <v>76.63</v>
      </c>
      <c r="AI117" s="131">
        <v>78.95</v>
      </c>
      <c r="AJ117" s="37"/>
      <c r="AK117" s="38"/>
      <c r="AL117" s="453"/>
    </row>
    <row r="118" spans="1:38" x14ac:dyDescent="0.25">
      <c r="A118" s="382">
        <v>172</v>
      </c>
      <c r="B118" s="155">
        <v>19.739999999999998</v>
      </c>
      <c r="C118" s="537"/>
      <c r="D118" s="537"/>
      <c r="E118" s="537"/>
      <c r="F118" s="537"/>
      <c r="G118" s="537"/>
      <c r="H118" s="537"/>
      <c r="I118" s="37"/>
      <c r="J118" s="530"/>
      <c r="K118" s="537"/>
      <c r="L118" s="537"/>
      <c r="M118" s="537"/>
      <c r="N118" s="537"/>
      <c r="O118" s="537"/>
      <c r="P118" s="537"/>
      <c r="Q118" s="111"/>
      <c r="R118" s="537"/>
      <c r="S118" s="548">
        <v>168.63</v>
      </c>
      <c r="T118" s="537"/>
      <c r="U118" s="537"/>
      <c r="V118" s="131">
        <v>47.94</v>
      </c>
      <c r="W118" s="530"/>
      <c r="X118" s="530"/>
      <c r="Y118" s="37"/>
      <c r="Z118" s="537"/>
      <c r="AA118" s="135">
        <v>47.1</v>
      </c>
      <c r="AB118" s="135">
        <v>15.38</v>
      </c>
      <c r="AC118" s="530"/>
      <c r="AD118" s="530"/>
      <c r="AE118" s="530"/>
      <c r="AF118" s="530"/>
      <c r="AG118" s="537"/>
      <c r="AH118" s="537"/>
      <c r="AI118" s="537"/>
      <c r="AJ118" s="37"/>
      <c r="AK118" s="38"/>
      <c r="AL118" s="453"/>
    </row>
    <row r="119" spans="1:38" x14ac:dyDescent="0.25">
      <c r="A119" s="382">
        <v>173</v>
      </c>
      <c r="B119" s="537"/>
      <c r="C119" s="537"/>
      <c r="D119" s="537"/>
      <c r="E119" s="537"/>
      <c r="F119" s="567">
        <v>104.39</v>
      </c>
      <c r="G119" s="537"/>
      <c r="H119" s="887">
        <v>54.8</v>
      </c>
      <c r="I119" s="37"/>
      <c r="J119" s="537"/>
      <c r="K119" s="537"/>
      <c r="L119" s="537"/>
      <c r="M119" s="537"/>
      <c r="N119" s="537"/>
      <c r="O119" s="537"/>
      <c r="P119" s="537"/>
      <c r="Q119" s="111"/>
      <c r="R119" s="537"/>
      <c r="S119" s="537"/>
      <c r="T119" s="537"/>
      <c r="U119" s="12">
        <v>103.4</v>
      </c>
      <c r="V119" s="537"/>
      <c r="W119" s="537"/>
      <c r="X119" s="537"/>
      <c r="Y119" s="37"/>
      <c r="Z119" s="537"/>
      <c r="AA119" s="537"/>
      <c r="AB119" s="537"/>
      <c r="AC119" s="537"/>
      <c r="AD119" s="537"/>
      <c r="AE119" s="537"/>
      <c r="AF119" s="537"/>
      <c r="AG119" s="548">
        <v>137.97999999999999</v>
      </c>
      <c r="AH119" s="537"/>
      <c r="AI119" s="537"/>
      <c r="AJ119" s="37"/>
      <c r="AK119" s="38"/>
      <c r="AL119" s="453"/>
    </row>
    <row r="120" spans="1:38" x14ac:dyDescent="0.25">
      <c r="A120" s="385">
        <v>174</v>
      </c>
      <c r="B120" s="131">
        <v>81.52</v>
      </c>
      <c r="C120" s="131">
        <v>82.91</v>
      </c>
      <c r="D120" s="155">
        <v>91.94</v>
      </c>
      <c r="E120" s="530"/>
      <c r="F120" s="857"/>
      <c r="G120" s="548">
        <v>123.07</v>
      </c>
      <c r="H120" s="886">
        <v>21.3</v>
      </c>
      <c r="I120" s="37"/>
      <c r="J120" s="135">
        <v>71.7</v>
      </c>
      <c r="K120" s="131">
        <v>85.91</v>
      </c>
      <c r="L120" s="135">
        <v>69.91</v>
      </c>
      <c r="M120" s="131">
        <v>70.78</v>
      </c>
      <c r="N120" s="131">
        <v>75.66</v>
      </c>
      <c r="O120" s="131">
        <v>79.75</v>
      </c>
      <c r="P120" s="155">
        <v>85.03</v>
      </c>
      <c r="Q120" s="37"/>
      <c r="R120" s="12">
        <v>86.2</v>
      </c>
      <c r="S120" s="118">
        <v>82.03</v>
      </c>
      <c r="T120" s="118">
        <v>92.04</v>
      </c>
      <c r="U120" s="1">
        <v>76.290000000000006</v>
      </c>
      <c r="V120" s="118">
        <v>86.36</v>
      </c>
      <c r="W120" s="57">
        <v>74.11</v>
      </c>
      <c r="X120" s="57">
        <v>94.99</v>
      </c>
      <c r="Y120" s="37"/>
      <c r="Z120" s="118">
        <v>71.680000000000007</v>
      </c>
      <c r="AA120" s="118">
        <v>78.19</v>
      </c>
      <c r="AB120" s="1">
        <v>91.77</v>
      </c>
      <c r="AC120" s="1">
        <v>86.02</v>
      </c>
      <c r="AD120" s="1">
        <v>96.18</v>
      </c>
      <c r="AE120" s="118">
        <v>51.98</v>
      </c>
      <c r="AF120" s="118">
        <v>60.44</v>
      </c>
      <c r="AG120" s="118">
        <v>86.68</v>
      </c>
      <c r="AH120" s="537"/>
      <c r="AI120" s="548">
        <v>128.69</v>
      </c>
      <c r="AJ120" s="37"/>
      <c r="AK120" s="38"/>
      <c r="AL120" s="454" t="s">
        <v>251</v>
      </c>
    </row>
    <row r="121" spans="1:38" x14ac:dyDescent="0.25">
      <c r="A121" s="385">
        <v>175</v>
      </c>
      <c r="B121" s="155">
        <v>68.430000000000007</v>
      </c>
      <c r="C121" s="131">
        <v>59.99</v>
      </c>
      <c r="D121" s="12">
        <v>52</v>
      </c>
      <c r="E121" s="135">
        <v>31.08</v>
      </c>
      <c r="F121" s="155">
        <v>61.36</v>
      </c>
      <c r="G121" s="135">
        <v>79.59</v>
      </c>
      <c r="H121" s="135">
        <v>14.6</v>
      </c>
      <c r="I121" s="37"/>
      <c r="J121" s="135">
        <v>107.28</v>
      </c>
      <c r="K121" s="135">
        <v>71.48</v>
      </c>
      <c r="L121" s="135">
        <v>84.55</v>
      </c>
      <c r="M121" s="135">
        <v>56.61</v>
      </c>
      <c r="N121" s="135">
        <v>50.95</v>
      </c>
      <c r="O121" s="155">
        <v>72.489999999999995</v>
      </c>
      <c r="P121" s="135">
        <v>75.849999999999994</v>
      </c>
      <c r="Q121" s="37"/>
      <c r="R121" s="131">
        <v>64.77</v>
      </c>
      <c r="S121" s="118">
        <v>67.650000000000006</v>
      </c>
      <c r="T121" s="118">
        <v>75.650000000000006</v>
      </c>
      <c r="U121" s="1">
        <v>70.95</v>
      </c>
      <c r="V121" s="118">
        <v>73.44</v>
      </c>
      <c r="W121" s="57">
        <v>48.71</v>
      </c>
      <c r="X121" s="57">
        <v>68.83</v>
      </c>
      <c r="Y121" s="37"/>
      <c r="Z121" s="118">
        <v>67.05</v>
      </c>
      <c r="AA121" s="118">
        <v>65.34</v>
      </c>
      <c r="AB121" s="1">
        <v>74.349999999999994</v>
      </c>
      <c r="AC121" s="530"/>
      <c r="AD121" s="1">
        <v>64.290000000000006</v>
      </c>
      <c r="AE121" s="118">
        <v>35.93</v>
      </c>
      <c r="AF121" s="118">
        <v>35.18</v>
      </c>
      <c r="AG121" s="118">
        <v>71.819999999999993</v>
      </c>
      <c r="AH121" s="118">
        <v>73.790000000000006</v>
      </c>
      <c r="AI121" s="118">
        <v>78.09</v>
      </c>
      <c r="AJ121" s="37"/>
      <c r="AK121" s="38"/>
      <c r="AL121" s="455" t="s">
        <v>376</v>
      </c>
    </row>
    <row r="122" spans="1:38" x14ac:dyDescent="0.25">
      <c r="A122" s="385">
        <v>176</v>
      </c>
      <c r="B122" s="537"/>
      <c r="C122" s="537"/>
      <c r="D122" s="537"/>
      <c r="E122" s="537"/>
      <c r="F122" s="537"/>
      <c r="G122" s="537"/>
      <c r="H122" s="537"/>
      <c r="I122" s="111"/>
      <c r="J122" s="537"/>
      <c r="K122" s="537"/>
      <c r="L122" s="537"/>
      <c r="M122" s="537"/>
      <c r="N122" s="537"/>
      <c r="O122" s="537"/>
      <c r="P122" s="537"/>
      <c r="Q122" s="111"/>
      <c r="R122" s="537"/>
      <c r="S122" s="537"/>
      <c r="T122" s="537"/>
      <c r="U122" s="537"/>
      <c r="V122" s="537"/>
      <c r="W122" s="530"/>
      <c r="X122" s="530"/>
      <c r="Y122" s="111"/>
      <c r="Z122" s="530"/>
      <c r="AA122" s="530"/>
      <c r="AB122" s="530"/>
      <c r="AC122" s="530"/>
      <c r="AD122" s="530"/>
      <c r="AE122" s="530"/>
      <c r="AF122" s="530"/>
      <c r="AG122" s="530"/>
      <c r="AH122" s="530"/>
      <c r="AI122" s="530"/>
      <c r="AJ122" s="114"/>
      <c r="AK122" s="44"/>
      <c r="AL122" s="455"/>
    </row>
    <row r="123" spans="1:38" x14ac:dyDescent="0.25">
      <c r="A123" s="385">
        <v>177</v>
      </c>
      <c r="B123" s="537"/>
      <c r="C123" s="537"/>
      <c r="D123" s="537"/>
      <c r="E123" s="537"/>
      <c r="F123" s="537"/>
      <c r="G123" s="537"/>
      <c r="H123" s="537"/>
      <c r="I123" s="111"/>
      <c r="J123" s="537"/>
      <c r="K123" s="537"/>
      <c r="L123" s="530"/>
      <c r="M123" s="537"/>
      <c r="N123" s="537"/>
      <c r="O123" s="537"/>
      <c r="P123" s="537"/>
      <c r="Q123" s="111"/>
      <c r="R123" s="537"/>
      <c r="S123" s="537"/>
      <c r="T123" s="537"/>
      <c r="U123" s="530"/>
      <c r="V123" s="537"/>
      <c r="W123" s="530"/>
      <c r="X123" s="530"/>
      <c r="Y123" s="111"/>
      <c r="Z123" s="530"/>
      <c r="AA123" s="537"/>
      <c r="AB123" s="530"/>
      <c r="AC123" s="530"/>
      <c r="AD123" s="530"/>
      <c r="AE123" s="530"/>
      <c r="AF123" s="537"/>
      <c r="AG123" s="537"/>
      <c r="AH123" s="537"/>
      <c r="AI123" s="537"/>
      <c r="AJ123" s="609"/>
      <c r="AK123" s="48"/>
      <c r="AL123" s="455"/>
    </row>
    <row r="124" spans="1:38" x14ac:dyDescent="0.25">
      <c r="A124" s="385">
        <v>178</v>
      </c>
      <c r="B124" s="131">
        <v>80.05</v>
      </c>
      <c r="C124" s="155">
        <v>81.64</v>
      </c>
      <c r="D124" s="135">
        <v>94.58</v>
      </c>
      <c r="E124" s="135">
        <v>46.85</v>
      </c>
      <c r="F124" s="135">
        <v>59.01</v>
      </c>
      <c r="G124" s="135">
        <v>82.31</v>
      </c>
      <c r="H124" s="135">
        <v>81.510000000000005</v>
      </c>
      <c r="I124" s="37"/>
      <c r="J124" s="530"/>
      <c r="K124" s="548">
        <v>121.86</v>
      </c>
      <c r="L124" s="155">
        <v>93.85</v>
      </c>
      <c r="M124" s="135">
        <v>76.84</v>
      </c>
      <c r="N124" s="135">
        <v>54.88</v>
      </c>
      <c r="O124" s="155">
        <v>89.87</v>
      </c>
      <c r="P124" s="135">
        <v>52.24</v>
      </c>
      <c r="Q124" s="37"/>
      <c r="R124" s="131">
        <v>81.239999999999995</v>
      </c>
      <c r="S124" s="131">
        <v>74.81</v>
      </c>
      <c r="T124" s="131">
        <v>66.39</v>
      </c>
      <c r="U124" s="12">
        <v>95.07</v>
      </c>
      <c r="V124" s="12">
        <v>74.13</v>
      </c>
      <c r="W124" s="532">
        <v>130.68</v>
      </c>
      <c r="X124" s="530"/>
      <c r="Y124" s="37"/>
      <c r="Z124" s="131">
        <v>78.290000000000006</v>
      </c>
      <c r="AA124" s="530"/>
      <c r="AB124" s="12">
        <v>101.38</v>
      </c>
      <c r="AC124" s="12">
        <v>85.38</v>
      </c>
      <c r="AD124" s="532">
        <v>148.01</v>
      </c>
      <c r="AE124" s="131">
        <v>43.81</v>
      </c>
      <c r="AF124" s="131">
        <v>60.31</v>
      </c>
      <c r="AG124" s="131">
        <v>62.84</v>
      </c>
      <c r="AH124" s="131">
        <v>68.540000000000006</v>
      </c>
      <c r="AI124" s="131">
        <v>76.17</v>
      </c>
      <c r="AJ124" s="49"/>
      <c r="AK124" s="48"/>
      <c r="AL124" s="455"/>
    </row>
    <row r="125" spans="1:38" x14ac:dyDescent="0.25">
      <c r="A125" s="385">
        <v>179</v>
      </c>
      <c r="B125" s="12">
        <v>71.2</v>
      </c>
      <c r="C125" s="155">
        <v>80.13</v>
      </c>
      <c r="D125" s="537"/>
      <c r="E125" s="12">
        <v>33.58</v>
      </c>
      <c r="F125" s="131">
        <v>64.709999999999994</v>
      </c>
      <c r="G125" s="131">
        <v>96.16</v>
      </c>
      <c r="H125" s="131">
        <v>83.15</v>
      </c>
      <c r="I125" s="37"/>
      <c r="J125" s="131">
        <v>76.430000000000007</v>
      </c>
      <c r="K125" s="131">
        <v>82.23</v>
      </c>
      <c r="L125" s="131">
        <v>84.38</v>
      </c>
      <c r="M125" s="135">
        <v>79.69</v>
      </c>
      <c r="N125" s="12">
        <v>65.95</v>
      </c>
      <c r="O125" s="12">
        <v>83.6</v>
      </c>
      <c r="P125" s="155">
        <v>81.510000000000005</v>
      </c>
      <c r="Q125" s="37"/>
      <c r="R125" s="131">
        <v>101.51</v>
      </c>
      <c r="S125" s="131">
        <v>71.92</v>
      </c>
      <c r="T125" s="12">
        <v>82.3</v>
      </c>
      <c r="U125" s="12">
        <v>74.52</v>
      </c>
      <c r="V125" s="131">
        <v>96.07</v>
      </c>
      <c r="W125" s="135">
        <v>95.31</v>
      </c>
      <c r="X125" s="135">
        <v>97.97</v>
      </c>
      <c r="Y125" s="37"/>
      <c r="Z125" s="131">
        <v>100.41</v>
      </c>
      <c r="AA125" s="131">
        <v>106.67</v>
      </c>
      <c r="AB125" s="12">
        <v>24.2</v>
      </c>
      <c r="AC125" s="12">
        <v>94.15</v>
      </c>
      <c r="AD125" s="532">
        <v>129.44999999999999</v>
      </c>
      <c r="AE125" s="131">
        <v>36.93</v>
      </c>
      <c r="AF125" s="131">
        <v>62.54</v>
      </c>
      <c r="AG125" s="131">
        <v>95.62</v>
      </c>
      <c r="AH125" s="131">
        <v>104.62</v>
      </c>
      <c r="AI125" s="131">
        <v>71.209999999999994</v>
      </c>
      <c r="AJ125" s="36"/>
      <c r="AK125" s="14"/>
      <c r="AL125" s="455"/>
    </row>
    <row r="126" spans="1:38" x14ac:dyDescent="0.25">
      <c r="A126" s="385">
        <v>180</v>
      </c>
      <c r="B126" s="537"/>
      <c r="C126" s="537"/>
      <c r="D126" s="131">
        <v>49.17</v>
      </c>
      <c r="E126" s="537"/>
      <c r="F126" s="537"/>
      <c r="G126" s="537"/>
      <c r="H126" s="537"/>
      <c r="I126" s="37"/>
      <c r="J126" s="537"/>
      <c r="K126" s="155">
        <v>57.96</v>
      </c>
      <c r="L126" s="537"/>
      <c r="M126" s="537"/>
      <c r="N126" s="537"/>
      <c r="O126" s="537"/>
      <c r="P126" s="537"/>
      <c r="Q126" s="37"/>
      <c r="R126" s="131">
        <v>82.24</v>
      </c>
      <c r="S126" s="537"/>
      <c r="T126" s="537"/>
      <c r="U126" s="537"/>
      <c r="V126" s="131">
        <v>22.01</v>
      </c>
      <c r="W126" s="530"/>
      <c r="X126" s="537"/>
      <c r="Y126" s="37"/>
      <c r="Z126" s="135">
        <v>51.84</v>
      </c>
      <c r="AA126" s="530"/>
      <c r="AB126" s="530"/>
      <c r="AC126" s="530"/>
      <c r="AD126" s="530"/>
      <c r="AE126" s="530"/>
      <c r="AF126" s="530"/>
      <c r="AG126" s="537"/>
      <c r="AH126" s="537"/>
      <c r="AI126" s="537"/>
      <c r="AJ126" s="37"/>
      <c r="AK126" s="38"/>
      <c r="AL126" s="455"/>
    </row>
    <row r="127" spans="1:38" x14ac:dyDescent="0.25">
      <c r="A127" s="385">
        <v>181</v>
      </c>
      <c r="B127" s="12">
        <v>65.099999999999994</v>
      </c>
      <c r="C127" s="155">
        <v>116.74</v>
      </c>
      <c r="D127" s="12">
        <v>97.44</v>
      </c>
      <c r="E127" s="135">
        <v>58.16</v>
      </c>
      <c r="F127" s="131">
        <v>75.08</v>
      </c>
      <c r="G127" s="131">
        <v>74.150000000000006</v>
      </c>
      <c r="H127" s="135">
        <v>98.54</v>
      </c>
      <c r="I127" s="37"/>
      <c r="J127" s="12">
        <v>85.8</v>
      </c>
      <c r="K127" s="131">
        <v>83.16</v>
      </c>
      <c r="L127" s="131">
        <v>102.68</v>
      </c>
      <c r="M127" s="131">
        <v>74.12</v>
      </c>
      <c r="N127" s="135">
        <v>72.989999999999995</v>
      </c>
      <c r="O127" s="155">
        <v>105.56</v>
      </c>
      <c r="P127" s="135">
        <v>54.51</v>
      </c>
      <c r="Q127" s="37"/>
      <c r="R127" s="12">
        <v>108.1</v>
      </c>
      <c r="S127" s="131">
        <v>82.45</v>
      </c>
      <c r="T127" s="131">
        <v>65.989999999999995</v>
      </c>
      <c r="U127" s="532">
        <v>123.25</v>
      </c>
      <c r="V127" s="131">
        <v>91.62</v>
      </c>
      <c r="W127" s="135">
        <v>80.02</v>
      </c>
      <c r="X127" s="135">
        <v>66.03</v>
      </c>
      <c r="Y127" s="37"/>
      <c r="Z127" s="131">
        <v>71.08</v>
      </c>
      <c r="AA127" s="131">
        <v>105.57</v>
      </c>
      <c r="AB127" s="12">
        <v>41.81</v>
      </c>
      <c r="AC127" s="12">
        <v>67.459999999999994</v>
      </c>
      <c r="AD127" s="532">
        <v>155.71</v>
      </c>
      <c r="AE127" s="131">
        <v>62.22</v>
      </c>
      <c r="AF127" s="131">
        <v>64.34</v>
      </c>
      <c r="AG127" s="131">
        <v>105.66</v>
      </c>
      <c r="AH127" s="131">
        <v>73.62</v>
      </c>
      <c r="AI127" s="131">
        <v>95.65</v>
      </c>
      <c r="AJ127" s="37"/>
      <c r="AK127" s="38"/>
      <c r="AL127" s="455"/>
    </row>
    <row r="128" spans="1:38" x14ac:dyDescent="0.25">
      <c r="A128" s="385">
        <v>182</v>
      </c>
      <c r="B128" s="135">
        <v>79.27</v>
      </c>
      <c r="C128" s="135">
        <v>88.6</v>
      </c>
      <c r="D128" s="135">
        <v>82.73</v>
      </c>
      <c r="E128" s="135">
        <v>53.77</v>
      </c>
      <c r="F128" s="530"/>
      <c r="G128" s="135">
        <v>104.65</v>
      </c>
      <c r="H128" s="135">
        <v>80.38</v>
      </c>
      <c r="I128" s="37"/>
      <c r="J128" s="135">
        <v>73.06</v>
      </c>
      <c r="K128" s="135">
        <v>74.69</v>
      </c>
      <c r="L128" s="135">
        <v>77.62</v>
      </c>
      <c r="M128" s="135">
        <v>73.17</v>
      </c>
      <c r="N128" s="135">
        <v>62.89</v>
      </c>
      <c r="O128" s="155">
        <v>90.36</v>
      </c>
      <c r="P128" s="155">
        <v>83.29</v>
      </c>
      <c r="Q128" s="37"/>
      <c r="R128" s="12">
        <v>78.099999999999994</v>
      </c>
      <c r="S128" s="12">
        <v>56.1</v>
      </c>
      <c r="T128" s="131">
        <v>70.08</v>
      </c>
      <c r="U128" s="12">
        <v>70.56</v>
      </c>
      <c r="V128" s="131">
        <v>80.48</v>
      </c>
      <c r="W128" s="135">
        <v>104.67</v>
      </c>
      <c r="X128" s="135">
        <v>88</v>
      </c>
      <c r="Y128" s="37"/>
      <c r="Z128" s="131">
        <v>75.27</v>
      </c>
      <c r="AA128" s="131">
        <v>81.99</v>
      </c>
      <c r="AB128" s="12">
        <v>94.83</v>
      </c>
      <c r="AC128" s="12">
        <v>78.349999999999994</v>
      </c>
      <c r="AD128" s="12">
        <v>96.1</v>
      </c>
      <c r="AE128" s="12">
        <v>42.43</v>
      </c>
      <c r="AF128" s="131">
        <v>61.69</v>
      </c>
      <c r="AG128" s="131">
        <v>85.69</v>
      </c>
      <c r="AH128" s="131">
        <v>90.73</v>
      </c>
      <c r="AI128" s="131">
        <v>85.28</v>
      </c>
      <c r="AJ128" s="37"/>
      <c r="AK128" s="38"/>
      <c r="AL128" s="455"/>
    </row>
    <row r="129" spans="1:38" x14ac:dyDescent="0.25">
      <c r="A129" s="385">
        <v>183</v>
      </c>
      <c r="B129" s="131">
        <v>50.28</v>
      </c>
      <c r="C129" s="12">
        <v>82.1</v>
      </c>
      <c r="D129" s="131">
        <v>74.680000000000007</v>
      </c>
      <c r="E129" s="131">
        <v>29.01</v>
      </c>
      <c r="F129" s="131">
        <v>80.930000000000007</v>
      </c>
      <c r="G129" s="131">
        <v>82.98</v>
      </c>
      <c r="H129" s="131">
        <v>75.180000000000007</v>
      </c>
      <c r="I129" s="37"/>
      <c r="J129" s="131">
        <v>82.47</v>
      </c>
      <c r="K129" s="131">
        <v>44.56</v>
      </c>
      <c r="L129" s="131">
        <v>79.06</v>
      </c>
      <c r="M129" s="131">
        <v>70.459999999999994</v>
      </c>
      <c r="N129" s="135">
        <v>61.54</v>
      </c>
      <c r="O129" s="131">
        <v>82.09</v>
      </c>
      <c r="P129" s="155">
        <v>91.98</v>
      </c>
      <c r="Q129" s="37"/>
      <c r="R129" s="131">
        <v>81.16</v>
      </c>
      <c r="S129" s="131">
        <v>89.94</v>
      </c>
      <c r="T129" s="131">
        <v>64.52</v>
      </c>
      <c r="U129" s="12">
        <v>80.900000000000006</v>
      </c>
      <c r="V129" s="131">
        <v>79.72</v>
      </c>
      <c r="W129" s="135">
        <v>86.32</v>
      </c>
      <c r="X129" s="135">
        <v>86.98</v>
      </c>
      <c r="Y129" s="37"/>
      <c r="Z129" s="131">
        <v>77.319999999999993</v>
      </c>
      <c r="AA129" s="131">
        <v>86.41</v>
      </c>
      <c r="AB129" s="12">
        <v>77.209999999999994</v>
      </c>
      <c r="AC129" s="12">
        <v>81.05</v>
      </c>
      <c r="AD129" s="12">
        <v>69.87</v>
      </c>
      <c r="AE129" s="131">
        <v>53.16</v>
      </c>
      <c r="AF129" s="131">
        <v>57.41</v>
      </c>
      <c r="AG129" s="131">
        <v>71.75</v>
      </c>
      <c r="AH129" s="131">
        <v>82.99</v>
      </c>
      <c r="AI129" s="537"/>
      <c r="AJ129" s="37"/>
      <c r="AK129" s="38"/>
      <c r="AL129" s="455"/>
    </row>
    <row r="130" spans="1:38" x14ac:dyDescent="0.25">
      <c r="A130" s="385">
        <v>184</v>
      </c>
      <c r="B130" s="135">
        <v>78.56</v>
      </c>
      <c r="C130" s="135">
        <v>83.3</v>
      </c>
      <c r="D130" s="135">
        <v>62.98</v>
      </c>
      <c r="E130" s="135">
        <v>44.9</v>
      </c>
      <c r="F130" s="131">
        <v>57.91</v>
      </c>
      <c r="G130" s="135">
        <v>46.11</v>
      </c>
      <c r="H130" s="537"/>
      <c r="I130" s="37"/>
      <c r="J130" s="12">
        <v>96.9</v>
      </c>
      <c r="K130" s="135">
        <v>65.900000000000006</v>
      </c>
      <c r="L130" s="135">
        <v>81.45</v>
      </c>
      <c r="M130" s="135">
        <v>60.42</v>
      </c>
      <c r="N130" s="135">
        <v>27.36</v>
      </c>
      <c r="O130" s="135">
        <v>66.91</v>
      </c>
      <c r="P130" s="155">
        <v>67.94</v>
      </c>
      <c r="Q130" s="37"/>
      <c r="R130" s="12">
        <v>75.7</v>
      </c>
      <c r="S130" s="131">
        <v>71.94</v>
      </c>
      <c r="T130" s="131">
        <v>68.39</v>
      </c>
      <c r="U130" s="12">
        <v>68.81</v>
      </c>
      <c r="V130" s="131">
        <v>71.150000000000006</v>
      </c>
      <c r="W130" s="135">
        <v>74.7</v>
      </c>
      <c r="X130" s="135">
        <v>35.4</v>
      </c>
      <c r="Y130" s="37"/>
      <c r="Z130" s="131">
        <v>45.66</v>
      </c>
      <c r="AA130" s="131">
        <v>69.260000000000005</v>
      </c>
      <c r="AB130" s="12">
        <v>74.510000000000005</v>
      </c>
      <c r="AC130" s="12">
        <v>66.53</v>
      </c>
      <c r="AD130" s="12">
        <v>78.56</v>
      </c>
      <c r="AE130" s="537"/>
      <c r="AF130" s="131">
        <v>77.16</v>
      </c>
      <c r="AG130" s="12">
        <v>86.5</v>
      </c>
      <c r="AH130" s="537"/>
      <c r="AI130" s="12">
        <v>99.3</v>
      </c>
      <c r="AJ130" s="37"/>
      <c r="AK130" s="38"/>
      <c r="AL130" s="455"/>
    </row>
    <row r="131" spans="1:38" x14ac:dyDescent="0.25">
      <c r="A131" s="385">
        <v>185</v>
      </c>
      <c r="B131" s="135">
        <v>87.38</v>
      </c>
      <c r="C131" s="155">
        <v>80.59</v>
      </c>
      <c r="D131" s="135">
        <v>77.86</v>
      </c>
      <c r="E131" s="12">
        <v>37.54</v>
      </c>
      <c r="F131" s="131">
        <v>92.88</v>
      </c>
      <c r="G131" s="131">
        <v>71.680000000000007</v>
      </c>
      <c r="H131" s="131">
        <v>13.81</v>
      </c>
      <c r="I131" s="37"/>
      <c r="J131" s="131">
        <v>45.65</v>
      </c>
      <c r="K131" s="131">
        <v>65.91</v>
      </c>
      <c r="L131" s="537"/>
      <c r="M131" s="131">
        <v>101.46</v>
      </c>
      <c r="N131" s="131">
        <v>56.54</v>
      </c>
      <c r="O131" s="12">
        <v>71.38</v>
      </c>
      <c r="P131" s="155">
        <v>100.19</v>
      </c>
      <c r="Q131" s="37"/>
      <c r="R131" s="131">
        <v>70.63</v>
      </c>
      <c r="S131" s="12">
        <v>71.34</v>
      </c>
      <c r="T131" s="131">
        <v>79.569999999999993</v>
      </c>
      <c r="U131" s="12">
        <v>84.81</v>
      </c>
      <c r="V131" s="131">
        <v>83.58</v>
      </c>
      <c r="W131" s="135">
        <v>60.12</v>
      </c>
      <c r="X131" s="135">
        <v>86</v>
      </c>
      <c r="Y131" s="37"/>
      <c r="Z131" s="12">
        <v>71.33</v>
      </c>
      <c r="AA131" s="135">
        <v>45.98</v>
      </c>
      <c r="AB131" s="530"/>
      <c r="AC131" s="12">
        <v>76.22</v>
      </c>
      <c r="AD131" s="12">
        <v>46.34</v>
      </c>
      <c r="AE131" s="12">
        <v>2.7</v>
      </c>
      <c r="AF131" s="131">
        <v>58.49</v>
      </c>
      <c r="AG131" s="131">
        <v>77.58</v>
      </c>
      <c r="AH131" s="131">
        <v>70.290000000000006</v>
      </c>
      <c r="AI131" s="12">
        <v>15.4</v>
      </c>
      <c r="AJ131" s="37"/>
      <c r="AK131" s="38"/>
      <c r="AL131" s="455"/>
    </row>
    <row r="132" spans="1:38" x14ac:dyDescent="0.25">
      <c r="A132" s="385">
        <v>186</v>
      </c>
      <c r="B132" s="155">
        <v>97.87</v>
      </c>
      <c r="C132" s="131">
        <v>88.85</v>
      </c>
      <c r="D132" s="155">
        <v>71.28</v>
      </c>
      <c r="E132" s="131">
        <v>43.22</v>
      </c>
      <c r="F132" s="131">
        <v>66.27</v>
      </c>
      <c r="G132" s="135">
        <v>93.35</v>
      </c>
      <c r="H132" s="135">
        <v>87.71</v>
      </c>
      <c r="I132" s="37"/>
      <c r="J132" s="135">
        <v>85.17</v>
      </c>
      <c r="K132" s="135">
        <v>65.88</v>
      </c>
      <c r="L132" s="135">
        <v>94.9</v>
      </c>
      <c r="M132" s="135">
        <v>66.47</v>
      </c>
      <c r="N132" s="135">
        <v>55.24</v>
      </c>
      <c r="O132" s="155">
        <v>81.260000000000005</v>
      </c>
      <c r="P132" s="155">
        <v>76.17</v>
      </c>
      <c r="Q132" s="37"/>
      <c r="R132" s="12">
        <v>76.69</v>
      </c>
      <c r="S132" s="131">
        <v>73.930000000000007</v>
      </c>
      <c r="T132" s="131">
        <v>80.86</v>
      </c>
      <c r="U132" s="12">
        <v>65.88</v>
      </c>
      <c r="V132" s="131">
        <v>74.349999999999994</v>
      </c>
      <c r="W132" s="135">
        <v>66.5</v>
      </c>
      <c r="X132" s="135">
        <v>92.79</v>
      </c>
      <c r="Y132" s="37"/>
      <c r="Z132" s="131">
        <v>60.38</v>
      </c>
      <c r="AA132" s="131">
        <v>72.150000000000006</v>
      </c>
      <c r="AB132" s="12">
        <v>85.93</v>
      </c>
      <c r="AC132" s="12">
        <v>74.680000000000007</v>
      </c>
      <c r="AD132" s="12">
        <v>90.32</v>
      </c>
      <c r="AE132" s="12">
        <v>29.04</v>
      </c>
      <c r="AF132" s="12">
        <v>48.4</v>
      </c>
      <c r="AG132" s="131">
        <v>72.19</v>
      </c>
      <c r="AH132" s="131">
        <v>85.21</v>
      </c>
      <c r="AI132" s="131">
        <v>68.959999999999994</v>
      </c>
      <c r="AJ132" s="37"/>
      <c r="AK132" s="38"/>
      <c r="AL132" s="455"/>
    </row>
    <row r="133" spans="1:38" x14ac:dyDescent="0.25">
      <c r="A133" s="385">
        <v>187</v>
      </c>
      <c r="B133" s="537"/>
      <c r="C133" s="537"/>
      <c r="D133" s="537"/>
      <c r="E133" s="537"/>
      <c r="F133" s="537"/>
      <c r="G133" s="537"/>
      <c r="H133" s="537"/>
      <c r="I133" s="111"/>
      <c r="J133" s="537"/>
      <c r="K133" s="537"/>
      <c r="L133" s="537"/>
      <c r="M133" s="537"/>
      <c r="N133" s="537"/>
      <c r="O133" s="537"/>
      <c r="P133" s="537"/>
      <c r="Q133" s="111"/>
      <c r="R133" s="537"/>
      <c r="S133" s="537"/>
      <c r="T133" s="537"/>
      <c r="U133" s="537"/>
      <c r="V133" s="537"/>
      <c r="W133" s="530"/>
      <c r="X133" s="530"/>
      <c r="Y133" s="111"/>
      <c r="Z133" s="530"/>
      <c r="AA133" s="530"/>
      <c r="AB133" s="530"/>
      <c r="AC133" s="530"/>
      <c r="AD133" s="530"/>
      <c r="AE133" s="530"/>
      <c r="AF133" s="530"/>
      <c r="AG133" s="530"/>
      <c r="AH133" s="530"/>
      <c r="AI133" s="530"/>
      <c r="AJ133" s="111"/>
      <c r="AK133" s="38"/>
      <c r="AL133" s="455"/>
    </row>
    <row r="134" spans="1:38" x14ac:dyDescent="0.25">
      <c r="A134" s="385">
        <v>188</v>
      </c>
      <c r="B134" s="131">
        <v>92.59</v>
      </c>
      <c r="C134" s="12">
        <v>89.89</v>
      </c>
      <c r="D134" s="131">
        <v>89.54</v>
      </c>
      <c r="E134" s="131">
        <v>40.54</v>
      </c>
      <c r="F134" s="131">
        <v>48.53</v>
      </c>
      <c r="G134" s="135">
        <v>80</v>
      </c>
      <c r="H134" s="135">
        <v>64.34</v>
      </c>
      <c r="I134" s="37"/>
      <c r="J134" s="135">
        <v>51.67</v>
      </c>
      <c r="K134" s="530"/>
      <c r="L134" s="135">
        <v>84.67</v>
      </c>
      <c r="M134" s="135">
        <v>71.010000000000005</v>
      </c>
      <c r="N134" s="12">
        <v>55.2</v>
      </c>
      <c r="O134" s="131">
        <v>97.76</v>
      </c>
      <c r="P134" s="155">
        <v>58.26</v>
      </c>
      <c r="Q134" s="37"/>
      <c r="R134" s="131">
        <v>99.78</v>
      </c>
      <c r="S134" s="131">
        <v>56.26</v>
      </c>
      <c r="T134" s="131">
        <v>69.760000000000005</v>
      </c>
      <c r="U134" s="12">
        <v>72.180000000000007</v>
      </c>
      <c r="V134" s="131">
        <v>66.67</v>
      </c>
      <c r="W134" s="135">
        <v>66.03</v>
      </c>
      <c r="X134" s="135">
        <v>71.38</v>
      </c>
      <c r="Y134" s="37"/>
      <c r="Z134" s="131">
        <v>55.88</v>
      </c>
      <c r="AA134" s="131">
        <v>65.989999999999995</v>
      </c>
      <c r="AB134" s="12">
        <v>74.34</v>
      </c>
      <c r="AC134" s="12">
        <v>62.94</v>
      </c>
      <c r="AD134" s="12">
        <v>80.680000000000007</v>
      </c>
      <c r="AE134" s="131">
        <v>43.57</v>
      </c>
      <c r="AF134" s="131">
        <v>44.11</v>
      </c>
      <c r="AG134" s="131">
        <v>31.95</v>
      </c>
      <c r="AH134" s="131">
        <v>75.12</v>
      </c>
      <c r="AI134" s="12">
        <v>71.2</v>
      </c>
      <c r="AJ134" s="37"/>
      <c r="AK134" s="38"/>
      <c r="AL134" s="455"/>
    </row>
    <row r="135" spans="1:38" x14ac:dyDescent="0.25">
      <c r="A135" s="385">
        <v>189</v>
      </c>
      <c r="B135" s="131">
        <v>77.33</v>
      </c>
      <c r="C135" s="537"/>
      <c r="D135" s="131">
        <v>92.61</v>
      </c>
      <c r="E135" s="131">
        <v>60.77</v>
      </c>
      <c r="F135" s="135">
        <v>59.81</v>
      </c>
      <c r="G135" s="131">
        <v>96.55</v>
      </c>
      <c r="H135" s="135">
        <v>78.16</v>
      </c>
      <c r="I135" s="37"/>
      <c r="J135" s="537"/>
      <c r="K135" s="12">
        <v>105.8</v>
      </c>
      <c r="L135" s="12">
        <v>71.8</v>
      </c>
      <c r="M135" s="131">
        <v>72.290000000000006</v>
      </c>
      <c r="N135" s="12">
        <v>45.3</v>
      </c>
      <c r="O135" s="131">
        <v>76.48</v>
      </c>
      <c r="P135" s="135">
        <v>89.1</v>
      </c>
      <c r="Q135" s="37"/>
      <c r="R135" s="155">
        <v>60.75</v>
      </c>
      <c r="S135" s="131">
        <v>96.88</v>
      </c>
      <c r="T135" s="12">
        <v>77.95</v>
      </c>
      <c r="U135" s="12">
        <v>62.2</v>
      </c>
      <c r="V135" s="131">
        <v>61.12</v>
      </c>
      <c r="W135" s="135">
        <v>65.319999999999993</v>
      </c>
      <c r="X135" s="135">
        <v>96.09</v>
      </c>
      <c r="Y135" s="37"/>
      <c r="Z135" s="131">
        <v>111.12</v>
      </c>
      <c r="AA135" s="131">
        <v>65.16</v>
      </c>
      <c r="AB135" s="12">
        <v>76.83</v>
      </c>
      <c r="AC135" s="12">
        <v>92.97</v>
      </c>
      <c r="AD135" s="12">
        <v>61.8</v>
      </c>
      <c r="AE135" s="131">
        <v>41.79</v>
      </c>
      <c r="AF135" s="12">
        <v>58.93</v>
      </c>
      <c r="AG135" s="131">
        <v>82.42</v>
      </c>
      <c r="AH135" s="131">
        <v>71.89</v>
      </c>
      <c r="AI135" s="131">
        <v>72.56</v>
      </c>
      <c r="AJ135" s="37"/>
      <c r="AK135" s="38"/>
      <c r="AL135" s="455"/>
    </row>
    <row r="136" spans="1:38" x14ac:dyDescent="0.25">
      <c r="A136" s="385">
        <v>190</v>
      </c>
      <c r="B136" s="135">
        <v>72.05</v>
      </c>
      <c r="C136" s="155">
        <v>92.28</v>
      </c>
      <c r="D136" s="135">
        <v>55.78</v>
      </c>
      <c r="E136" s="131">
        <v>26.02</v>
      </c>
      <c r="F136" s="12">
        <v>50.63</v>
      </c>
      <c r="G136" s="135">
        <v>83.45</v>
      </c>
      <c r="H136" s="12">
        <v>54.86</v>
      </c>
      <c r="I136" s="37"/>
      <c r="J136" s="135">
        <v>76.08</v>
      </c>
      <c r="K136" s="135">
        <v>65.25</v>
      </c>
      <c r="L136" s="131">
        <v>80.08</v>
      </c>
      <c r="M136" s="131">
        <v>82.35</v>
      </c>
      <c r="N136" s="135">
        <v>67.14</v>
      </c>
      <c r="O136" s="530"/>
      <c r="P136" s="548">
        <v>134.41999999999999</v>
      </c>
      <c r="Q136" s="37"/>
      <c r="R136" s="12">
        <v>90.08</v>
      </c>
      <c r="S136" s="131">
        <v>20.43</v>
      </c>
      <c r="T136" s="12">
        <v>55.2</v>
      </c>
      <c r="U136" s="12">
        <v>96.5</v>
      </c>
      <c r="V136" s="12">
        <v>66.03</v>
      </c>
      <c r="W136" s="135">
        <v>80.77</v>
      </c>
      <c r="X136" s="135">
        <v>62.94</v>
      </c>
      <c r="Y136" s="37"/>
      <c r="Z136" s="131">
        <v>52.04</v>
      </c>
      <c r="AA136" s="131">
        <v>75.61</v>
      </c>
      <c r="AB136" s="12">
        <v>72.66</v>
      </c>
      <c r="AC136" s="12">
        <v>69.16</v>
      </c>
      <c r="AD136" s="12">
        <v>86.78</v>
      </c>
      <c r="AE136" s="131">
        <v>40.619999999999997</v>
      </c>
      <c r="AF136" s="131">
        <v>59.67</v>
      </c>
      <c r="AG136" s="131">
        <v>55.82</v>
      </c>
      <c r="AH136" s="131">
        <v>64.89</v>
      </c>
      <c r="AI136" s="131">
        <v>76.790000000000006</v>
      </c>
      <c r="AJ136" s="37"/>
      <c r="AK136" s="38"/>
      <c r="AL136" s="455"/>
    </row>
    <row r="137" spans="1:38" x14ac:dyDescent="0.25">
      <c r="A137" s="385">
        <v>191</v>
      </c>
      <c r="B137" s="155">
        <v>67.03</v>
      </c>
      <c r="C137" s="135">
        <v>96.07</v>
      </c>
      <c r="D137" s="155">
        <v>91.21</v>
      </c>
      <c r="E137" s="135">
        <v>42.39</v>
      </c>
      <c r="F137" s="135">
        <v>77.41</v>
      </c>
      <c r="G137" s="135">
        <v>101.08</v>
      </c>
      <c r="H137" s="135">
        <v>58.3</v>
      </c>
      <c r="I137" s="37"/>
      <c r="J137" s="135">
        <v>98.6</v>
      </c>
      <c r="K137" s="135">
        <v>61</v>
      </c>
      <c r="L137" s="135">
        <v>76.86</v>
      </c>
      <c r="M137" s="135">
        <v>72.97</v>
      </c>
      <c r="N137" s="135">
        <v>65.56</v>
      </c>
      <c r="O137" s="131">
        <v>80.97</v>
      </c>
      <c r="P137" s="155">
        <v>62.45</v>
      </c>
      <c r="Q137" s="37"/>
      <c r="R137" s="155">
        <v>83.03</v>
      </c>
      <c r="S137" s="131">
        <v>88.65</v>
      </c>
      <c r="T137" s="12">
        <v>88.3</v>
      </c>
      <c r="U137" s="12">
        <v>67.83</v>
      </c>
      <c r="V137" s="131">
        <v>88.65</v>
      </c>
      <c r="W137" s="135">
        <v>80.55</v>
      </c>
      <c r="X137" s="135">
        <v>94.38</v>
      </c>
      <c r="Y137" s="37"/>
      <c r="Z137" s="131">
        <v>84.21</v>
      </c>
      <c r="AA137" s="131">
        <v>71.239999999999995</v>
      </c>
      <c r="AB137" s="12">
        <v>100.85</v>
      </c>
      <c r="AC137" s="12">
        <v>58.91</v>
      </c>
      <c r="AD137" s="12">
        <v>79.17</v>
      </c>
      <c r="AE137" s="131">
        <v>44.92</v>
      </c>
      <c r="AF137" s="12">
        <v>55.17</v>
      </c>
      <c r="AG137" s="131">
        <v>77.61</v>
      </c>
      <c r="AH137" s="131">
        <v>68.11</v>
      </c>
      <c r="AI137" s="131">
        <v>74.94</v>
      </c>
      <c r="AJ137" s="37"/>
      <c r="AK137" s="38"/>
      <c r="AL137" s="455"/>
    </row>
    <row r="138" spans="1:38" x14ac:dyDescent="0.25">
      <c r="A138" s="385">
        <v>192</v>
      </c>
      <c r="B138" s="135">
        <v>99.51</v>
      </c>
      <c r="C138" s="155">
        <v>91.04</v>
      </c>
      <c r="D138" s="530"/>
      <c r="E138" s="532">
        <v>145.13999999999999</v>
      </c>
      <c r="F138" s="135">
        <v>98.5</v>
      </c>
      <c r="G138" s="135">
        <v>58.02</v>
      </c>
      <c r="H138" s="135">
        <v>50.56</v>
      </c>
      <c r="I138" s="37"/>
      <c r="J138" s="155">
        <v>69.150000000000006</v>
      </c>
      <c r="K138" s="131">
        <v>74.03</v>
      </c>
      <c r="L138" s="131">
        <v>107.06</v>
      </c>
      <c r="M138" s="131">
        <v>71.760000000000005</v>
      </c>
      <c r="N138" s="131">
        <v>72.02</v>
      </c>
      <c r="O138" s="131">
        <v>73.87</v>
      </c>
      <c r="P138" s="131">
        <v>88.06</v>
      </c>
      <c r="Q138" s="37"/>
      <c r="R138" s="537"/>
      <c r="S138" s="131">
        <v>114.84</v>
      </c>
      <c r="T138" s="12">
        <v>87.5</v>
      </c>
      <c r="U138" s="12">
        <v>90.71</v>
      </c>
      <c r="V138" s="131">
        <v>87.97</v>
      </c>
      <c r="W138" s="135">
        <v>80</v>
      </c>
      <c r="X138" s="131">
        <v>62.71</v>
      </c>
      <c r="Y138" s="37"/>
      <c r="Z138" s="135">
        <v>83.91</v>
      </c>
      <c r="AA138" s="131">
        <v>85.17</v>
      </c>
      <c r="AB138" s="12">
        <v>91.3</v>
      </c>
      <c r="AC138" s="12">
        <v>76.430000000000007</v>
      </c>
      <c r="AD138" s="12">
        <v>89.62</v>
      </c>
      <c r="AE138" s="131">
        <v>36.31</v>
      </c>
      <c r="AF138" s="12">
        <v>49.6</v>
      </c>
      <c r="AG138" s="131">
        <v>67.819999999999993</v>
      </c>
      <c r="AH138" s="131">
        <v>77.62</v>
      </c>
      <c r="AI138" s="131">
        <v>74.040000000000006</v>
      </c>
      <c r="AJ138" s="37"/>
      <c r="AK138" s="38"/>
      <c r="AL138" s="455"/>
    </row>
    <row r="139" spans="1:38" x14ac:dyDescent="0.25">
      <c r="A139" s="385">
        <v>193</v>
      </c>
      <c r="B139" s="131">
        <v>107.35</v>
      </c>
      <c r="C139" s="135">
        <v>76.150000000000006</v>
      </c>
      <c r="D139" s="537"/>
      <c r="E139" s="135">
        <v>24.15</v>
      </c>
      <c r="F139" s="537"/>
      <c r="G139" s="548">
        <v>156.52000000000001</v>
      </c>
      <c r="H139" s="131">
        <v>46.68</v>
      </c>
      <c r="I139" s="37"/>
      <c r="J139" s="135">
        <v>86.62</v>
      </c>
      <c r="K139" s="135">
        <v>77.14</v>
      </c>
      <c r="L139" s="131">
        <v>91.65</v>
      </c>
      <c r="M139" s="131">
        <v>66.48</v>
      </c>
      <c r="N139" s="131">
        <v>67.09</v>
      </c>
      <c r="O139" s="131">
        <v>69.849999999999994</v>
      </c>
      <c r="P139" s="155">
        <v>74.709999999999994</v>
      </c>
      <c r="Q139" s="37"/>
      <c r="R139" s="12">
        <v>85.5</v>
      </c>
      <c r="S139" s="12">
        <v>78.959999999999994</v>
      </c>
      <c r="T139" s="131">
        <v>75.959999999999994</v>
      </c>
      <c r="U139" s="12">
        <v>61.36</v>
      </c>
      <c r="V139" s="131">
        <v>81.239999999999995</v>
      </c>
      <c r="W139" s="135">
        <v>71</v>
      </c>
      <c r="X139" s="135">
        <v>78.91</v>
      </c>
      <c r="Y139" s="37"/>
      <c r="Z139" s="131">
        <v>96.08</v>
      </c>
      <c r="AA139" s="131">
        <v>66.34</v>
      </c>
      <c r="AB139" s="12">
        <v>86.24</v>
      </c>
      <c r="AC139" s="12">
        <v>82.2</v>
      </c>
      <c r="AD139" s="12">
        <v>99.33</v>
      </c>
      <c r="AE139" s="131">
        <v>37.85</v>
      </c>
      <c r="AF139" s="131">
        <v>60.47</v>
      </c>
      <c r="AG139" s="131">
        <v>66.73</v>
      </c>
      <c r="AH139" s="131">
        <v>70.569999999999993</v>
      </c>
      <c r="AI139" s="131">
        <v>83.62</v>
      </c>
      <c r="AJ139" s="37"/>
      <c r="AK139" s="38"/>
      <c r="AL139" s="455"/>
    </row>
    <row r="140" spans="1:38" x14ac:dyDescent="0.25">
      <c r="A140" s="385">
        <v>194</v>
      </c>
      <c r="B140" s="135">
        <v>81.38</v>
      </c>
      <c r="C140" s="155">
        <v>72.77</v>
      </c>
      <c r="D140" s="135">
        <v>81.900000000000006</v>
      </c>
      <c r="E140" s="131">
        <v>43.44</v>
      </c>
      <c r="F140" s="135">
        <v>72.510000000000005</v>
      </c>
      <c r="G140" s="131">
        <v>77.28</v>
      </c>
      <c r="H140" s="131">
        <v>63.85</v>
      </c>
      <c r="I140" s="37"/>
      <c r="J140" s="155">
        <v>60.87</v>
      </c>
      <c r="K140" s="12">
        <v>52.1</v>
      </c>
      <c r="L140" s="131">
        <v>85.97</v>
      </c>
      <c r="M140" s="131">
        <v>72.13</v>
      </c>
      <c r="N140" s="12">
        <v>65.849999999999994</v>
      </c>
      <c r="O140" s="155">
        <v>72.25</v>
      </c>
      <c r="P140" s="135">
        <v>99.1</v>
      </c>
      <c r="Q140" s="37"/>
      <c r="R140" s="131">
        <v>80.930000000000007</v>
      </c>
      <c r="S140" s="131">
        <v>69.31</v>
      </c>
      <c r="T140" s="131">
        <v>64.69</v>
      </c>
      <c r="U140" s="12">
        <v>80.44</v>
      </c>
      <c r="V140" s="12">
        <v>83.5</v>
      </c>
      <c r="W140" s="135">
        <v>87.81</v>
      </c>
      <c r="X140" s="135">
        <v>63.85</v>
      </c>
      <c r="Y140" s="37"/>
      <c r="Z140" s="131">
        <v>74.72</v>
      </c>
      <c r="AA140" s="12">
        <v>86.84</v>
      </c>
      <c r="AB140" s="135">
        <v>75</v>
      </c>
      <c r="AC140" s="12">
        <v>77.45</v>
      </c>
      <c r="AD140" s="12">
        <v>87.05</v>
      </c>
      <c r="AE140" s="131">
        <v>47.07</v>
      </c>
      <c r="AF140" s="131">
        <v>65.02</v>
      </c>
      <c r="AG140" s="131">
        <v>70.94</v>
      </c>
      <c r="AH140" s="131">
        <v>92.75</v>
      </c>
      <c r="AI140" s="131">
        <v>77.17</v>
      </c>
      <c r="AJ140" s="40"/>
      <c r="AK140" s="41"/>
      <c r="AL140" s="455"/>
    </row>
    <row r="141" spans="1:38" x14ac:dyDescent="0.25">
      <c r="A141" s="385">
        <v>195</v>
      </c>
      <c r="B141" s="135">
        <v>74.790000000000006</v>
      </c>
      <c r="C141" s="135">
        <v>84.37</v>
      </c>
      <c r="D141" s="135">
        <v>91.14</v>
      </c>
      <c r="E141" s="131">
        <v>57.88</v>
      </c>
      <c r="F141" s="135">
        <v>56.6</v>
      </c>
      <c r="G141" s="135">
        <v>86.9</v>
      </c>
      <c r="H141" s="135">
        <v>57.33</v>
      </c>
      <c r="I141" s="37"/>
      <c r="J141" s="135">
        <v>39.090000000000003</v>
      </c>
      <c r="K141" s="135">
        <v>84.83</v>
      </c>
      <c r="L141" s="135">
        <v>77.92</v>
      </c>
      <c r="M141" s="135">
        <v>70</v>
      </c>
      <c r="N141" s="135">
        <v>54.43</v>
      </c>
      <c r="O141" s="155">
        <v>80.569999999999993</v>
      </c>
      <c r="P141" s="155">
        <v>82.69</v>
      </c>
      <c r="Q141" s="37"/>
      <c r="R141" s="12">
        <v>97.98</v>
      </c>
      <c r="S141" s="131">
        <v>90.27</v>
      </c>
      <c r="T141" s="131">
        <v>72.180000000000007</v>
      </c>
      <c r="U141" s="12">
        <v>85.01</v>
      </c>
      <c r="V141" s="131">
        <v>82.12</v>
      </c>
      <c r="W141" s="135">
        <v>82.49</v>
      </c>
      <c r="X141" s="532">
        <v>146.22</v>
      </c>
      <c r="Y141" s="37"/>
      <c r="Z141" s="131">
        <v>47.72</v>
      </c>
      <c r="AA141" s="12">
        <v>97.55</v>
      </c>
      <c r="AB141" s="12">
        <v>91.11</v>
      </c>
      <c r="AC141" s="12">
        <v>84.73</v>
      </c>
      <c r="AD141" s="12">
        <v>79.08</v>
      </c>
      <c r="AE141" s="537"/>
      <c r="AF141" s="131">
        <v>94.28</v>
      </c>
      <c r="AG141" s="131">
        <v>87.99</v>
      </c>
      <c r="AH141" s="131">
        <v>82.18</v>
      </c>
      <c r="AI141" s="131">
        <v>68.72</v>
      </c>
      <c r="AJ141" s="37"/>
      <c r="AK141" s="38"/>
      <c r="AL141" s="455"/>
    </row>
    <row r="142" spans="1:38" x14ac:dyDescent="0.25">
      <c r="A142" s="385">
        <v>196</v>
      </c>
      <c r="B142" s="135">
        <v>104.64</v>
      </c>
      <c r="C142" s="155">
        <v>108.12</v>
      </c>
      <c r="D142" s="135">
        <v>103.02</v>
      </c>
      <c r="E142" s="135">
        <v>61.58</v>
      </c>
      <c r="F142" s="135">
        <v>89.58</v>
      </c>
      <c r="G142" s="135">
        <v>93.4</v>
      </c>
      <c r="H142" s="135">
        <v>50.87</v>
      </c>
      <c r="I142" s="37"/>
      <c r="J142" s="135">
        <v>55.34</v>
      </c>
      <c r="K142" s="155">
        <v>65.95</v>
      </c>
      <c r="L142" s="530"/>
      <c r="M142" s="135">
        <v>108.52</v>
      </c>
      <c r="N142" s="135">
        <v>70.56</v>
      </c>
      <c r="O142" s="131">
        <v>87.26</v>
      </c>
      <c r="P142" s="131">
        <v>103.35</v>
      </c>
      <c r="Q142" s="37"/>
      <c r="R142" s="131">
        <v>84.65</v>
      </c>
      <c r="S142" s="131">
        <v>95.51</v>
      </c>
      <c r="T142" s="12">
        <v>90.78</v>
      </c>
      <c r="U142" s="12">
        <v>80.87</v>
      </c>
      <c r="V142" s="131">
        <v>96.07</v>
      </c>
      <c r="W142" s="135">
        <v>70.41</v>
      </c>
      <c r="X142" s="135">
        <v>112.33</v>
      </c>
      <c r="Y142" s="37"/>
      <c r="Z142" s="131">
        <v>78.89</v>
      </c>
      <c r="AA142" s="131">
        <v>84.28</v>
      </c>
      <c r="AB142" s="12">
        <v>63.64</v>
      </c>
      <c r="AC142" s="530"/>
      <c r="AD142" s="12">
        <v>77.33</v>
      </c>
      <c r="AE142" s="131">
        <v>45.75</v>
      </c>
      <c r="AF142" s="131">
        <v>62.14</v>
      </c>
      <c r="AG142" s="131">
        <v>89.09</v>
      </c>
      <c r="AH142" s="131">
        <v>92.54</v>
      </c>
      <c r="AI142" s="131">
        <v>88.84</v>
      </c>
      <c r="AJ142" s="37"/>
      <c r="AK142" s="38"/>
      <c r="AL142" s="455"/>
    </row>
    <row r="143" spans="1:38" x14ac:dyDescent="0.25">
      <c r="A143" s="385">
        <v>197</v>
      </c>
      <c r="B143" s="155">
        <v>67.069999999999993</v>
      </c>
      <c r="C143" s="155">
        <v>81.96</v>
      </c>
      <c r="D143" s="155">
        <v>91.47</v>
      </c>
      <c r="E143" s="12">
        <v>65.7</v>
      </c>
      <c r="F143" s="135">
        <v>62.47</v>
      </c>
      <c r="G143" s="131">
        <v>82.98</v>
      </c>
      <c r="H143" s="135">
        <v>53.35</v>
      </c>
      <c r="I143" s="37"/>
      <c r="J143" s="135">
        <v>74.989999999999995</v>
      </c>
      <c r="K143" s="131">
        <v>57.65</v>
      </c>
      <c r="L143" s="135">
        <v>82.67</v>
      </c>
      <c r="M143" s="131">
        <v>64.59</v>
      </c>
      <c r="N143" s="131">
        <v>57.57</v>
      </c>
      <c r="O143" s="135">
        <v>73.83</v>
      </c>
      <c r="P143" s="155">
        <v>61.48</v>
      </c>
      <c r="Q143" s="37"/>
      <c r="R143" s="131">
        <v>80.19</v>
      </c>
      <c r="S143" s="131">
        <v>74.260000000000005</v>
      </c>
      <c r="T143" s="131">
        <v>63.52</v>
      </c>
      <c r="U143" s="12">
        <v>73.98</v>
      </c>
      <c r="V143" s="131">
        <v>65.31</v>
      </c>
      <c r="W143" s="135">
        <v>68.5</v>
      </c>
      <c r="X143" s="135">
        <v>76.510000000000005</v>
      </c>
      <c r="Y143" s="37"/>
      <c r="Z143" s="131">
        <v>62.89</v>
      </c>
      <c r="AA143" s="12">
        <v>42.74</v>
      </c>
      <c r="AB143" s="12">
        <v>84.56</v>
      </c>
      <c r="AC143" s="12">
        <v>61.01</v>
      </c>
      <c r="AD143" s="12">
        <v>73.84</v>
      </c>
      <c r="AE143" s="131">
        <v>36.57</v>
      </c>
      <c r="AF143" s="12">
        <v>34.130000000000003</v>
      </c>
      <c r="AG143" s="759">
        <v>73.64</v>
      </c>
      <c r="AH143" s="537"/>
      <c r="AI143" s="537"/>
      <c r="AJ143" s="37"/>
      <c r="AK143" s="38"/>
      <c r="AL143" s="455"/>
    </row>
    <row r="144" spans="1:38" x14ac:dyDescent="0.25">
      <c r="A144" s="385">
        <v>198</v>
      </c>
      <c r="B144" s="135">
        <v>120.09</v>
      </c>
      <c r="C144" s="135">
        <v>85.8</v>
      </c>
      <c r="D144" s="135">
        <v>111.22</v>
      </c>
      <c r="E144" s="135">
        <v>49.2</v>
      </c>
      <c r="F144" s="135">
        <v>66.81</v>
      </c>
      <c r="G144" s="135">
        <v>87.06</v>
      </c>
      <c r="H144" s="135">
        <v>74.19</v>
      </c>
      <c r="I144" s="37"/>
      <c r="J144" s="135">
        <v>117.19</v>
      </c>
      <c r="K144" s="135">
        <v>85.5</v>
      </c>
      <c r="L144" s="135">
        <v>89.35</v>
      </c>
      <c r="M144" s="135">
        <v>94.58</v>
      </c>
      <c r="N144" s="135">
        <v>99.89</v>
      </c>
      <c r="O144" s="135">
        <v>90.63</v>
      </c>
      <c r="P144" s="135">
        <v>96.6</v>
      </c>
      <c r="Q144" s="37"/>
      <c r="R144" s="131">
        <v>73.94</v>
      </c>
      <c r="S144" s="131">
        <v>109.65</v>
      </c>
      <c r="T144" s="131">
        <v>92.16</v>
      </c>
      <c r="U144" s="12">
        <v>102.16</v>
      </c>
      <c r="V144" s="567">
        <v>115.82</v>
      </c>
      <c r="W144" s="135">
        <v>81.099999999999994</v>
      </c>
      <c r="X144" s="135">
        <v>102.2</v>
      </c>
      <c r="Y144" s="37"/>
      <c r="Z144" s="131">
        <v>85.94</v>
      </c>
      <c r="AA144" s="131">
        <v>81.94</v>
      </c>
      <c r="AB144" s="530"/>
      <c r="AC144" s="532">
        <v>142.86000000000001</v>
      </c>
      <c r="AD144" s="12">
        <v>108.26</v>
      </c>
      <c r="AE144" s="131">
        <v>42.89</v>
      </c>
      <c r="AF144" s="131">
        <v>67.849999999999994</v>
      </c>
      <c r="AG144" s="131">
        <v>94.12</v>
      </c>
      <c r="AH144" s="131">
        <v>96.93</v>
      </c>
      <c r="AI144" s="131">
        <v>107.04</v>
      </c>
      <c r="AJ144" s="37"/>
      <c r="AK144" s="38"/>
      <c r="AL144" s="455"/>
    </row>
    <row r="145" spans="1:38" x14ac:dyDescent="0.25">
      <c r="A145" s="385">
        <v>199</v>
      </c>
      <c r="B145" s="12">
        <v>80.849999999999994</v>
      </c>
      <c r="C145" s="131">
        <v>78.12</v>
      </c>
      <c r="D145" s="12">
        <v>87.99</v>
      </c>
      <c r="E145" s="12">
        <v>67.16</v>
      </c>
      <c r="F145" s="131">
        <v>81.77</v>
      </c>
      <c r="G145" s="12">
        <v>84.52</v>
      </c>
      <c r="H145" s="131">
        <v>82.42</v>
      </c>
      <c r="I145" s="37"/>
      <c r="J145" s="155">
        <v>69.25</v>
      </c>
      <c r="K145" s="131">
        <v>84.83</v>
      </c>
      <c r="L145" s="135">
        <v>80.86</v>
      </c>
      <c r="M145" s="530"/>
      <c r="N145" s="135">
        <v>119.46</v>
      </c>
      <c r="O145" s="537"/>
      <c r="P145" s="155">
        <v>66.37</v>
      </c>
      <c r="Q145" s="37"/>
      <c r="R145" s="537"/>
      <c r="S145" s="537"/>
      <c r="T145" s="131">
        <v>106.01</v>
      </c>
      <c r="U145" s="12">
        <v>59.38</v>
      </c>
      <c r="V145" s="131">
        <v>61.68</v>
      </c>
      <c r="W145" s="135">
        <v>77.19</v>
      </c>
      <c r="X145" s="135">
        <v>72.22</v>
      </c>
      <c r="Y145" s="37"/>
      <c r="Z145" s="131">
        <v>80.150000000000006</v>
      </c>
      <c r="AA145" s="131">
        <v>65.41</v>
      </c>
      <c r="AB145" s="12">
        <v>75.44</v>
      </c>
      <c r="AC145" s="135">
        <v>68.5</v>
      </c>
      <c r="AD145" s="135">
        <v>108.83</v>
      </c>
      <c r="AE145" s="135">
        <v>45.86</v>
      </c>
      <c r="AF145" s="155">
        <v>40.58</v>
      </c>
      <c r="AG145" s="131">
        <v>65.05</v>
      </c>
      <c r="AH145" s="131">
        <v>64.989999999999995</v>
      </c>
      <c r="AI145" s="131">
        <v>68.650000000000006</v>
      </c>
      <c r="AJ145" s="37"/>
      <c r="AK145" s="38"/>
      <c r="AL145" s="455"/>
    </row>
    <row r="146" spans="1:38" x14ac:dyDescent="0.25">
      <c r="A146" s="385">
        <v>200</v>
      </c>
      <c r="B146" s="537"/>
      <c r="C146" s="537"/>
      <c r="D146" s="537"/>
      <c r="E146" s="537"/>
      <c r="F146" s="537"/>
      <c r="G146" s="537"/>
      <c r="H146" s="537"/>
      <c r="I146" s="111"/>
      <c r="J146" s="537"/>
      <c r="K146" s="537"/>
      <c r="L146" s="537"/>
      <c r="M146" s="537"/>
      <c r="N146" s="537"/>
      <c r="O146" s="537"/>
      <c r="P146" s="537"/>
      <c r="Q146" s="111"/>
      <c r="R146" s="537"/>
      <c r="S146" s="537"/>
      <c r="T146" s="537"/>
      <c r="U146" s="537"/>
      <c r="V146" s="537"/>
      <c r="W146" s="530"/>
      <c r="X146" s="530"/>
      <c r="Y146" s="111"/>
      <c r="Z146" s="530"/>
      <c r="AA146" s="530"/>
      <c r="AB146" s="530"/>
      <c r="AC146" s="530"/>
      <c r="AD146" s="530"/>
      <c r="AE146" s="530"/>
      <c r="AF146" s="530"/>
      <c r="AG146" s="530"/>
      <c r="AH146" s="530"/>
      <c r="AI146" s="530"/>
      <c r="AJ146" s="111"/>
      <c r="AK146" s="38"/>
      <c r="AL146" s="455"/>
    </row>
    <row r="147" spans="1:38" x14ac:dyDescent="0.25">
      <c r="A147" s="385">
        <v>201</v>
      </c>
      <c r="B147" s="12">
        <v>65.8</v>
      </c>
      <c r="C147" s="135">
        <v>92.73</v>
      </c>
      <c r="D147" s="135">
        <v>90.16</v>
      </c>
      <c r="E147" s="12">
        <v>58.87</v>
      </c>
      <c r="F147" s="131">
        <v>58.09</v>
      </c>
      <c r="G147" s="135">
        <v>70.150000000000006</v>
      </c>
      <c r="H147" s="131">
        <v>85.76</v>
      </c>
      <c r="I147" s="37"/>
      <c r="J147" s="155">
        <v>59.78</v>
      </c>
      <c r="K147" s="135">
        <v>80.11</v>
      </c>
      <c r="L147" s="135">
        <v>72.72</v>
      </c>
      <c r="M147" s="135">
        <v>67.5</v>
      </c>
      <c r="N147" s="131">
        <v>69.819999999999993</v>
      </c>
      <c r="O147" s="131">
        <v>13.96</v>
      </c>
      <c r="P147" s="155">
        <v>82.75</v>
      </c>
      <c r="Q147" s="37"/>
      <c r="R147" s="12">
        <v>77.400000000000006</v>
      </c>
      <c r="S147" s="1">
        <v>70.2</v>
      </c>
      <c r="T147" s="118">
        <v>68.33</v>
      </c>
      <c r="U147" s="1">
        <v>71.290000000000006</v>
      </c>
      <c r="V147" s="118">
        <v>80.290000000000006</v>
      </c>
      <c r="W147" s="57">
        <v>80.75</v>
      </c>
      <c r="X147" s="57">
        <v>79.75</v>
      </c>
      <c r="Y147" s="37"/>
      <c r="Z147" s="12">
        <v>75.8</v>
      </c>
      <c r="AA147" s="131">
        <v>53.98</v>
      </c>
      <c r="AB147" s="12">
        <v>69.37</v>
      </c>
      <c r="AC147" s="12">
        <v>66.400000000000006</v>
      </c>
      <c r="AD147" s="12">
        <v>77.290000000000006</v>
      </c>
      <c r="AE147" s="131">
        <v>48.39</v>
      </c>
      <c r="AF147" s="131">
        <v>45.09</v>
      </c>
      <c r="AG147" s="131">
        <v>69.790000000000006</v>
      </c>
      <c r="AH147" s="131">
        <v>64.36</v>
      </c>
      <c r="AI147" s="131">
        <v>79.64</v>
      </c>
      <c r="AJ147" s="37"/>
      <c r="AK147" s="38"/>
      <c r="AL147" s="455"/>
    </row>
    <row r="148" spans="1:38" x14ac:dyDescent="0.25">
      <c r="A148" s="385">
        <v>202</v>
      </c>
      <c r="B148" s="135">
        <v>49.62</v>
      </c>
      <c r="C148" s="135">
        <v>51.52</v>
      </c>
      <c r="D148" s="155">
        <v>60.29</v>
      </c>
      <c r="E148" s="12">
        <v>42.44</v>
      </c>
      <c r="F148" s="135">
        <v>75.48</v>
      </c>
      <c r="G148" s="135">
        <v>64.92</v>
      </c>
      <c r="H148" s="537"/>
      <c r="I148" s="37"/>
      <c r="J148" s="537"/>
      <c r="K148" s="131">
        <v>77.83</v>
      </c>
      <c r="L148" s="131">
        <v>76.11</v>
      </c>
      <c r="M148" s="135">
        <v>89.07</v>
      </c>
      <c r="N148" s="135">
        <v>54.47</v>
      </c>
      <c r="O148" s="131">
        <v>84.98</v>
      </c>
      <c r="P148" s="155">
        <v>75.58</v>
      </c>
      <c r="Q148" s="37"/>
      <c r="R148" s="131">
        <v>55.79</v>
      </c>
      <c r="S148" s="118">
        <v>70.98</v>
      </c>
      <c r="T148" s="118">
        <v>70.94</v>
      </c>
      <c r="U148" s="1">
        <v>72.03</v>
      </c>
      <c r="V148" s="1">
        <v>83.7</v>
      </c>
      <c r="W148" s="57">
        <v>70</v>
      </c>
      <c r="X148" s="57">
        <v>51.45</v>
      </c>
      <c r="Y148" s="37"/>
      <c r="Z148" s="135">
        <v>62.38</v>
      </c>
      <c r="AA148" s="135">
        <v>27.17</v>
      </c>
      <c r="AB148" s="12">
        <v>73.78</v>
      </c>
      <c r="AC148" s="135">
        <v>65.2</v>
      </c>
      <c r="AD148" s="12">
        <v>58.24</v>
      </c>
      <c r="AE148" s="337">
        <v>52.48</v>
      </c>
      <c r="AF148" s="135">
        <v>41.67</v>
      </c>
      <c r="AG148" s="759">
        <v>54.19</v>
      </c>
      <c r="AH148" s="131">
        <v>69.47</v>
      </c>
      <c r="AI148" s="131">
        <v>56.91</v>
      </c>
      <c r="AJ148" s="37"/>
      <c r="AK148" s="38"/>
      <c r="AL148" s="455"/>
    </row>
    <row r="149" spans="1:38" x14ac:dyDescent="0.25">
      <c r="A149" s="385">
        <v>203</v>
      </c>
      <c r="B149" s="131">
        <v>68.97</v>
      </c>
      <c r="C149" s="155">
        <v>78.88</v>
      </c>
      <c r="D149" s="135">
        <v>74.58</v>
      </c>
      <c r="E149" s="135">
        <v>52.95</v>
      </c>
      <c r="F149" s="135">
        <v>63.82</v>
      </c>
      <c r="G149" s="135">
        <v>80</v>
      </c>
      <c r="H149" s="135">
        <v>66.48</v>
      </c>
      <c r="I149" s="37"/>
      <c r="J149" s="135">
        <v>102.69</v>
      </c>
      <c r="K149" s="135">
        <v>74.5</v>
      </c>
      <c r="L149" s="135">
        <v>63.01</v>
      </c>
      <c r="M149" s="135">
        <v>73.239999999999995</v>
      </c>
      <c r="N149" s="135">
        <v>62.57</v>
      </c>
      <c r="O149" s="135">
        <v>80.849999999999994</v>
      </c>
      <c r="P149" s="135">
        <v>91.34</v>
      </c>
      <c r="Q149" s="37"/>
      <c r="R149" s="131">
        <v>82.29</v>
      </c>
      <c r="S149" s="1">
        <v>81.58</v>
      </c>
      <c r="T149" s="118">
        <v>56.26</v>
      </c>
      <c r="U149" s="1">
        <v>105.04</v>
      </c>
      <c r="V149" s="118">
        <v>68.91</v>
      </c>
      <c r="W149" s="57">
        <v>77.23</v>
      </c>
      <c r="X149" s="57">
        <v>82.65</v>
      </c>
      <c r="Y149" s="37"/>
      <c r="Z149" s="131">
        <v>74.540000000000006</v>
      </c>
      <c r="AA149" s="12">
        <v>47.67</v>
      </c>
      <c r="AB149" s="12">
        <v>93.11</v>
      </c>
      <c r="AC149" s="12">
        <v>61.09</v>
      </c>
      <c r="AD149" s="12">
        <v>93.55</v>
      </c>
      <c r="AE149" s="131">
        <v>36.340000000000003</v>
      </c>
      <c r="AF149" s="131">
        <v>46.57</v>
      </c>
      <c r="AG149" s="131">
        <v>56.54</v>
      </c>
      <c r="AH149" s="131">
        <v>86.84</v>
      </c>
      <c r="AI149" s="131">
        <v>77.319999999999993</v>
      </c>
      <c r="AJ149" s="37"/>
      <c r="AK149" s="38"/>
      <c r="AL149" s="455"/>
    </row>
    <row r="150" spans="1:38" x14ac:dyDescent="0.25">
      <c r="A150" s="383">
        <v>204</v>
      </c>
      <c r="B150" s="155">
        <v>53.15</v>
      </c>
      <c r="C150" s="155">
        <v>68.290000000000006</v>
      </c>
      <c r="D150" s="135">
        <v>92.59</v>
      </c>
      <c r="E150" s="135">
        <v>50.6</v>
      </c>
      <c r="F150" s="12">
        <v>71.02</v>
      </c>
      <c r="G150" s="135">
        <v>68.05</v>
      </c>
      <c r="H150" s="12">
        <v>87.85</v>
      </c>
      <c r="I150" s="37"/>
      <c r="J150" s="135">
        <v>68.42</v>
      </c>
      <c r="K150" s="131">
        <v>68.459999999999994</v>
      </c>
      <c r="L150" s="131">
        <v>93.81</v>
      </c>
      <c r="M150" s="131">
        <v>58.17</v>
      </c>
      <c r="N150" s="131">
        <v>47.96</v>
      </c>
      <c r="O150" s="155">
        <v>70.61</v>
      </c>
      <c r="P150" s="155">
        <v>75.510000000000005</v>
      </c>
      <c r="Q150" s="37"/>
      <c r="R150" s="131">
        <v>70.59</v>
      </c>
      <c r="S150" s="118">
        <v>63.85</v>
      </c>
      <c r="T150" s="118">
        <v>81.459999999999994</v>
      </c>
      <c r="U150" s="1">
        <v>79.260000000000005</v>
      </c>
      <c r="V150" s="118">
        <v>81.75</v>
      </c>
      <c r="W150" s="57">
        <v>66.87</v>
      </c>
      <c r="X150" s="57">
        <v>61.36</v>
      </c>
      <c r="Y150" s="37"/>
      <c r="Z150" s="131">
        <v>70.06</v>
      </c>
      <c r="AA150" s="131">
        <v>77.73</v>
      </c>
      <c r="AB150" s="12">
        <v>85.45</v>
      </c>
      <c r="AC150" s="12">
        <v>66.03</v>
      </c>
      <c r="AD150" s="12">
        <v>84.89</v>
      </c>
      <c r="AE150" s="537"/>
      <c r="AF150" s="131">
        <v>98.32</v>
      </c>
      <c r="AG150" s="131">
        <v>76.77</v>
      </c>
      <c r="AH150" s="953">
        <v>63.91</v>
      </c>
      <c r="AI150" s="12">
        <v>84.1</v>
      </c>
      <c r="AJ150" s="37"/>
      <c r="AK150" s="38"/>
      <c r="AL150" s="456" t="s">
        <v>252</v>
      </c>
    </row>
    <row r="151" spans="1:38" x14ac:dyDescent="0.25">
      <c r="A151" s="383">
        <v>205</v>
      </c>
      <c r="B151" s="155">
        <v>101.95</v>
      </c>
      <c r="C151" s="135">
        <v>104.35</v>
      </c>
      <c r="D151" s="135">
        <v>90.22</v>
      </c>
      <c r="E151" s="135">
        <v>63.11</v>
      </c>
      <c r="F151" s="530"/>
      <c r="G151" s="135">
        <v>86.46</v>
      </c>
      <c r="H151" s="135">
        <v>85.55</v>
      </c>
      <c r="I151" s="37"/>
      <c r="J151" s="135">
        <v>74.12</v>
      </c>
      <c r="K151" s="135">
        <v>68.86</v>
      </c>
      <c r="L151" s="135">
        <v>91.21</v>
      </c>
      <c r="M151" s="135">
        <v>75.16</v>
      </c>
      <c r="N151" s="135">
        <v>70.39</v>
      </c>
      <c r="O151" s="135">
        <v>78.34</v>
      </c>
      <c r="P151" s="155">
        <v>85.51</v>
      </c>
      <c r="Q151" s="37"/>
      <c r="R151" s="131">
        <v>79.69</v>
      </c>
      <c r="S151" s="1">
        <v>66.900000000000006</v>
      </c>
      <c r="T151" s="118">
        <v>98.24</v>
      </c>
      <c r="U151" s="1">
        <v>88.16</v>
      </c>
      <c r="V151" s="118">
        <v>71.67</v>
      </c>
      <c r="W151" s="57">
        <v>62.89</v>
      </c>
      <c r="X151" s="57">
        <v>102.06</v>
      </c>
      <c r="Y151" s="37"/>
      <c r="Z151" s="131">
        <v>65.709999999999994</v>
      </c>
      <c r="AA151" s="12">
        <v>93.3</v>
      </c>
      <c r="AB151" s="12">
        <v>92.51</v>
      </c>
      <c r="AC151" s="12">
        <v>115.57</v>
      </c>
      <c r="AD151" s="12">
        <v>63.18</v>
      </c>
      <c r="AE151" s="131">
        <v>41.75</v>
      </c>
      <c r="AF151" s="12">
        <v>86.2</v>
      </c>
      <c r="AG151" s="537"/>
      <c r="AH151" s="12">
        <v>74.900000000000006</v>
      </c>
      <c r="AI151" s="131">
        <v>94.56</v>
      </c>
      <c r="AJ151" s="37"/>
      <c r="AK151" s="38"/>
      <c r="AL151" s="372"/>
    </row>
    <row r="152" spans="1:38" x14ac:dyDescent="0.25">
      <c r="A152" s="383">
        <v>206</v>
      </c>
      <c r="B152" s="131">
        <v>90.55</v>
      </c>
      <c r="C152" s="135">
        <v>100.01</v>
      </c>
      <c r="D152" s="135">
        <v>81.72</v>
      </c>
      <c r="E152" s="155">
        <v>61.26</v>
      </c>
      <c r="F152" s="135">
        <v>95.07</v>
      </c>
      <c r="G152" s="135">
        <v>82.46</v>
      </c>
      <c r="H152" s="131">
        <v>74.81</v>
      </c>
      <c r="I152" s="37"/>
      <c r="J152" s="135">
        <v>68.28</v>
      </c>
      <c r="K152" s="135">
        <v>61.43</v>
      </c>
      <c r="L152" s="135">
        <v>84.77</v>
      </c>
      <c r="M152" s="135">
        <v>58.75</v>
      </c>
      <c r="N152" s="135">
        <v>70.19</v>
      </c>
      <c r="O152" s="135">
        <v>100.96</v>
      </c>
      <c r="P152" s="155">
        <v>95.64</v>
      </c>
      <c r="Q152" s="37"/>
      <c r="R152" s="12">
        <v>70.84</v>
      </c>
      <c r="S152" s="118">
        <v>103.56</v>
      </c>
      <c r="T152" s="1">
        <v>74.61</v>
      </c>
      <c r="U152" s="1">
        <v>112.18</v>
      </c>
      <c r="V152" s="118">
        <v>89.62</v>
      </c>
      <c r="W152" s="57">
        <v>79.819999999999993</v>
      </c>
      <c r="X152" s="57">
        <v>85.04</v>
      </c>
      <c r="Y152" s="37"/>
      <c r="Z152" s="12">
        <v>83.39</v>
      </c>
      <c r="AA152" s="131">
        <v>94.28</v>
      </c>
      <c r="AB152" s="12">
        <v>94.64</v>
      </c>
      <c r="AC152" s="12">
        <v>90.02</v>
      </c>
      <c r="AD152" s="12">
        <v>90.22</v>
      </c>
      <c r="AE152" s="12">
        <v>34.11</v>
      </c>
      <c r="AF152" s="12">
        <v>52.27</v>
      </c>
      <c r="AG152" s="548">
        <v>126.76</v>
      </c>
      <c r="AH152" s="131">
        <v>88.58</v>
      </c>
      <c r="AI152" s="672">
        <v>74.17</v>
      </c>
      <c r="AJ152" s="37"/>
      <c r="AK152" s="38"/>
      <c r="AL152" s="372"/>
    </row>
    <row r="153" spans="1:38" x14ac:dyDescent="0.25">
      <c r="A153" s="383">
        <v>207</v>
      </c>
      <c r="B153" s="155">
        <v>89.59</v>
      </c>
      <c r="C153" s="131">
        <v>92.48</v>
      </c>
      <c r="D153" s="155">
        <v>96.62</v>
      </c>
      <c r="E153" s="135">
        <v>59.61</v>
      </c>
      <c r="F153" s="135">
        <v>77.05</v>
      </c>
      <c r="G153" s="135">
        <v>85.03</v>
      </c>
      <c r="H153" s="131">
        <v>82.25</v>
      </c>
      <c r="I153" s="37"/>
      <c r="J153" s="135">
        <v>92.39</v>
      </c>
      <c r="K153" s="135">
        <v>79.290000000000006</v>
      </c>
      <c r="L153" s="135">
        <v>91.39</v>
      </c>
      <c r="M153" s="135">
        <v>62.46</v>
      </c>
      <c r="N153" s="135">
        <v>68.02</v>
      </c>
      <c r="O153" s="155">
        <v>71.180000000000007</v>
      </c>
      <c r="P153" s="155">
        <v>85.94</v>
      </c>
      <c r="Q153" s="37"/>
      <c r="R153" s="131">
        <v>110.04</v>
      </c>
      <c r="S153" s="118">
        <v>51.58</v>
      </c>
      <c r="T153" s="118">
        <v>97.67</v>
      </c>
      <c r="U153" s="1">
        <v>105.3</v>
      </c>
      <c r="V153" s="118">
        <v>86.22</v>
      </c>
      <c r="W153" s="57">
        <v>75.290000000000006</v>
      </c>
      <c r="X153" s="57">
        <v>69.13</v>
      </c>
      <c r="Y153" s="37"/>
      <c r="Z153" s="131">
        <v>88.73</v>
      </c>
      <c r="AA153" s="131">
        <v>75.37</v>
      </c>
      <c r="AB153" s="12">
        <v>98</v>
      </c>
      <c r="AC153" s="12">
        <v>79.09</v>
      </c>
      <c r="AD153" s="12">
        <v>74.739999999999995</v>
      </c>
      <c r="AE153" s="131">
        <v>55.89</v>
      </c>
      <c r="AF153" s="131">
        <v>44.92</v>
      </c>
      <c r="AG153" s="131">
        <v>80.45</v>
      </c>
      <c r="AH153" s="131">
        <v>97.25</v>
      </c>
      <c r="AI153" s="953">
        <v>67.040000000000006</v>
      </c>
      <c r="AJ153" s="37"/>
      <c r="AK153" s="38"/>
      <c r="AL153" s="372"/>
    </row>
    <row r="154" spans="1:38" x14ac:dyDescent="0.25">
      <c r="A154" s="383">
        <v>208</v>
      </c>
      <c r="B154" s="131">
        <v>76.45</v>
      </c>
      <c r="C154" s="135">
        <v>74.67</v>
      </c>
      <c r="D154" s="155">
        <v>71.260000000000005</v>
      </c>
      <c r="E154" s="135">
        <v>68.709999999999994</v>
      </c>
      <c r="F154" s="131">
        <v>69.03</v>
      </c>
      <c r="G154" s="131">
        <v>72.150000000000006</v>
      </c>
      <c r="H154" s="131">
        <v>71.12</v>
      </c>
      <c r="I154" s="37"/>
      <c r="J154" s="155">
        <v>69.34</v>
      </c>
      <c r="K154" s="131">
        <v>53.94</v>
      </c>
      <c r="L154" s="131">
        <v>89.75</v>
      </c>
      <c r="M154" s="135">
        <v>58.66</v>
      </c>
      <c r="N154" s="131">
        <v>54.48</v>
      </c>
      <c r="O154" s="131">
        <v>88.06</v>
      </c>
      <c r="P154" s="155">
        <v>75.680000000000007</v>
      </c>
      <c r="Q154" s="37"/>
      <c r="R154" s="131">
        <v>91.87</v>
      </c>
      <c r="S154" s="118">
        <v>72.97</v>
      </c>
      <c r="T154" s="118">
        <v>48.49</v>
      </c>
      <c r="U154" s="1">
        <v>87.76</v>
      </c>
      <c r="V154" s="530"/>
      <c r="W154" s="57">
        <v>91.44</v>
      </c>
      <c r="X154" s="57">
        <v>73.569999999999993</v>
      </c>
      <c r="Y154" s="37"/>
      <c r="Z154" s="131">
        <v>73.53</v>
      </c>
      <c r="AA154" s="131">
        <v>54.45</v>
      </c>
      <c r="AB154" s="12">
        <v>86.81</v>
      </c>
      <c r="AC154" s="12">
        <v>81.14</v>
      </c>
      <c r="AD154" s="12">
        <v>76.56</v>
      </c>
      <c r="AE154" s="131">
        <v>19.18</v>
      </c>
      <c r="AF154" s="131">
        <v>67.64</v>
      </c>
      <c r="AG154" s="131">
        <v>64.61</v>
      </c>
      <c r="AH154" s="131">
        <v>67.510000000000005</v>
      </c>
      <c r="AI154" s="131">
        <v>74.33</v>
      </c>
      <c r="AJ154" s="37"/>
      <c r="AK154" s="38"/>
      <c r="AL154" s="372"/>
    </row>
    <row r="155" spans="1:38" x14ac:dyDescent="0.25">
      <c r="A155" s="383">
        <v>209</v>
      </c>
      <c r="B155" s="155">
        <v>105.44</v>
      </c>
      <c r="C155" s="155">
        <v>97.96</v>
      </c>
      <c r="D155" s="135">
        <v>97.57</v>
      </c>
      <c r="E155" s="135">
        <v>51.36</v>
      </c>
      <c r="F155" s="135">
        <v>92.28</v>
      </c>
      <c r="G155" s="135">
        <v>91.18</v>
      </c>
      <c r="H155" s="135">
        <v>93.04</v>
      </c>
      <c r="I155" s="37"/>
      <c r="J155" s="135">
        <v>75.67</v>
      </c>
      <c r="K155" s="135">
        <v>77.8</v>
      </c>
      <c r="L155" s="135">
        <v>108.33</v>
      </c>
      <c r="M155" s="135">
        <v>65.22</v>
      </c>
      <c r="N155" s="135">
        <v>66.03</v>
      </c>
      <c r="O155" s="135">
        <v>106.43</v>
      </c>
      <c r="P155" s="135">
        <v>96.64</v>
      </c>
      <c r="Q155" s="37"/>
      <c r="R155" s="131">
        <v>106.11</v>
      </c>
      <c r="S155" s="118">
        <v>83.75</v>
      </c>
      <c r="T155" s="118">
        <v>116.89</v>
      </c>
      <c r="U155" s="1">
        <v>66.760000000000005</v>
      </c>
      <c r="V155" s="118">
        <v>80.930000000000007</v>
      </c>
      <c r="W155" s="57">
        <v>77.959999999999994</v>
      </c>
      <c r="X155" s="57">
        <v>105.24</v>
      </c>
      <c r="Y155" s="37"/>
      <c r="Z155" s="131">
        <v>100.99</v>
      </c>
      <c r="AA155" s="131">
        <v>81.34</v>
      </c>
      <c r="AB155" s="12">
        <v>89.13</v>
      </c>
      <c r="AC155" s="12">
        <v>102.55</v>
      </c>
      <c r="AD155" s="135">
        <v>109.79</v>
      </c>
      <c r="AE155" s="135">
        <v>40.94</v>
      </c>
      <c r="AF155" s="131">
        <v>66.14</v>
      </c>
      <c r="AG155" s="131">
        <v>92.74</v>
      </c>
      <c r="AH155" s="131">
        <v>82.91</v>
      </c>
      <c r="AI155" s="131">
        <v>97.34</v>
      </c>
      <c r="AJ155" s="37"/>
      <c r="AK155" s="38"/>
      <c r="AL155" s="372"/>
    </row>
    <row r="156" spans="1:38" x14ac:dyDescent="0.25">
      <c r="A156" s="383">
        <v>210</v>
      </c>
      <c r="B156" s="131">
        <v>64.42</v>
      </c>
      <c r="C156" s="135">
        <v>84.72</v>
      </c>
      <c r="D156" s="135">
        <v>94.6</v>
      </c>
      <c r="E156" s="135">
        <v>42.51</v>
      </c>
      <c r="F156" s="12">
        <v>62.02</v>
      </c>
      <c r="G156" s="135">
        <v>85.19</v>
      </c>
      <c r="H156" s="135">
        <v>81.63</v>
      </c>
      <c r="I156" s="37"/>
      <c r="J156" s="135">
        <v>77.47</v>
      </c>
      <c r="K156" s="135">
        <v>75.08</v>
      </c>
      <c r="L156" s="131">
        <v>83.27</v>
      </c>
      <c r="M156" s="135">
        <v>62.02</v>
      </c>
      <c r="N156" s="135">
        <v>40.729999999999997</v>
      </c>
      <c r="O156" s="155">
        <v>86.56</v>
      </c>
      <c r="P156" s="135">
        <v>103.01</v>
      </c>
      <c r="Q156" s="37"/>
      <c r="R156" s="131">
        <v>83.88</v>
      </c>
      <c r="S156" s="118">
        <v>54.76</v>
      </c>
      <c r="T156" s="118">
        <v>103.78</v>
      </c>
      <c r="U156" s="1">
        <v>96.85</v>
      </c>
      <c r="V156" s="118">
        <v>89.26</v>
      </c>
      <c r="W156" s="57">
        <v>99.63</v>
      </c>
      <c r="X156" s="57">
        <v>65.150000000000006</v>
      </c>
      <c r="Y156" s="37"/>
      <c r="Z156" s="131">
        <v>75.03</v>
      </c>
      <c r="AA156" s="131">
        <v>57.56</v>
      </c>
      <c r="AB156" s="12">
        <v>104.58</v>
      </c>
      <c r="AC156" s="12">
        <v>87.4</v>
      </c>
      <c r="AD156" s="12">
        <v>92.47</v>
      </c>
      <c r="AE156" s="12">
        <v>47.52</v>
      </c>
      <c r="AF156" s="131">
        <v>53.11</v>
      </c>
      <c r="AG156" s="12">
        <v>63.9</v>
      </c>
      <c r="AH156" s="953">
        <v>77.680000000000007</v>
      </c>
      <c r="AI156" s="12">
        <v>56.6</v>
      </c>
      <c r="AJ156" s="37"/>
      <c r="AK156" s="38"/>
      <c r="AL156" s="372"/>
    </row>
    <row r="157" spans="1:38" x14ac:dyDescent="0.25">
      <c r="A157" s="383">
        <v>211</v>
      </c>
      <c r="B157" s="155">
        <v>108.91</v>
      </c>
      <c r="C157" s="155">
        <v>106.58</v>
      </c>
      <c r="D157" s="135">
        <v>72.7</v>
      </c>
      <c r="E157" s="135">
        <v>54.84</v>
      </c>
      <c r="F157" s="131">
        <v>87.31</v>
      </c>
      <c r="G157" s="135">
        <v>97.19</v>
      </c>
      <c r="H157" s="12">
        <v>48.2</v>
      </c>
      <c r="I157" s="37"/>
      <c r="J157" s="135">
        <v>75.790000000000006</v>
      </c>
      <c r="K157" s="135">
        <v>77.38</v>
      </c>
      <c r="L157" s="135">
        <v>92.77</v>
      </c>
      <c r="M157" s="135">
        <v>75.010000000000005</v>
      </c>
      <c r="N157" s="135">
        <v>55.2</v>
      </c>
      <c r="O157" s="135">
        <v>83.84</v>
      </c>
      <c r="P157" s="155">
        <v>96.18</v>
      </c>
      <c r="Q157" s="37"/>
      <c r="R157" s="131">
        <v>82.55</v>
      </c>
      <c r="S157" s="118">
        <v>61.46</v>
      </c>
      <c r="T157" s="1">
        <v>78.099999999999994</v>
      </c>
      <c r="U157" s="1">
        <v>97.05</v>
      </c>
      <c r="V157" s="118">
        <v>87.97</v>
      </c>
      <c r="W157" s="57">
        <v>82.61</v>
      </c>
      <c r="X157" s="57">
        <v>69.16</v>
      </c>
      <c r="Y157" s="37"/>
      <c r="Z157" s="131">
        <v>103.88</v>
      </c>
      <c r="AA157" s="12">
        <v>58.34</v>
      </c>
      <c r="AB157" s="12">
        <v>90.79</v>
      </c>
      <c r="AC157" s="12">
        <v>93.04</v>
      </c>
      <c r="AD157" s="12">
        <v>59.75</v>
      </c>
      <c r="AE157" s="537"/>
      <c r="AF157" s="12">
        <v>97.88</v>
      </c>
      <c r="AG157" s="131">
        <v>96.43</v>
      </c>
      <c r="AH157" s="131">
        <v>79.459999999999994</v>
      </c>
      <c r="AI157" s="131">
        <v>76.11</v>
      </c>
      <c r="AJ157" s="37"/>
      <c r="AK157" s="38"/>
      <c r="AL157" s="372"/>
    </row>
    <row r="158" spans="1:38" x14ac:dyDescent="0.25">
      <c r="A158" s="383">
        <v>212</v>
      </c>
      <c r="B158" s="135">
        <v>86.22</v>
      </c>
      <c r="C158" s="155">
        <v>120.71</v>
      </c>
      <c r="D158" s="155">
        <v>74.28</v>
      </c>
      <c r="E158" s="131">
        <v>72.16</v>
      </c>
      <c r="F158" s="131">
        <v>100.87</v>
      </c>
      <c r="G158" s="548">
        <v>152.57</v>
      </c>
      <c r="H158" s="135">
        <v>89.98</v>
      </c>
      <c r="I158" s="37"/>
      <c r="J158" s="135">
        <v>94.72</v>
      </c>
      <c r="K158" s="530"/>
      <c r="L158" s="532">
        <v>135.78</v>
      </c>
      <c r="M158" s="135">
        <v>83.79</v>
      </c>
      <c r="N158" s="135">
        <v>86.84</v>
      </c>
      <c r="O158" s="155">
        <v>99.44</v>
      </c>
      <c r="P158" s="155">
        <v>75.09</v>
      </c>
      <c r="Q158" s="37"/>
      <c r="R158" s="131">
        <v>69.069999999999993</v>
      </c>
      <c r="S158" s="118">
        <v>82.05</v>
      </c>
      <c r="T158" s="118">
        <v>95.06</v>
      </c>
      <c r="U158" s="530"/>
      <c r="V158" s="118">
        <v>80.94</v>
      </c>
      <c r="W158" s="57">
        <v>76.040000000000006</v>
      </c>
      <c r="X158" s="57">
        <v>92.9</v>
      </c>
      <c r="Y158" s="37"/>
      <c r="Z158" s="131">
        <v>68.010000000000005</v>
      </c>
      <c r="AA158" s="131">
        <v>108.03</v>
      </c>
      <c r="AB158" s="12">
        <v>95.72</v>
      </c>
      <c r="AC158" s="12">
        <v>84.28</v>
      </c>
      <c r="AD158" s="12">
        <v>77.58</v>
      </c>
      <c r="AE158" s="131">
        <v>36.58</v>
      </c>
      <c r="AF158" s="131">
        <v>55.22</v>
      </c>
      <c r="AG158" s="131">
        <v>97.49</v>
      </c>
      <c r="AH158" s="131">
        <v>106.88</v>
      </c>
      <c r="AI158" s="131">
        <v>94.52</v>
      </c>
      <c r="AJ158" s="37"/>
      <c r="AK158" s="38"/>
      <c r="AL158" s="372"/>
    </row>
    <row r="159" spans="1:38" ht="15.75" x14ac:dyDescent="0.25">
      <c r="A159" s="383">
        <v>213</v>
      </c>
      <c r="B159" s="135">
        <v>65.180000000000007</v>
      </c>
      <c r="C159" s="135">
        <v>97.73</v>
      </c>
      <c r="D159" s="135">
        <v>74.23</v>
      </c>
      <c r="E159" s="135">
        <v>64.959999999999994</v>
      </c>
      <c r="F159" s="131">
        <v>88.68</v>
      </c>
      <c r="G159" s="135">
        <v>86.19</v>
      </c>
      <c r="H159" s="135">
        <v>86.58</v>
      </c>
      <c r="I159" s="37"/>
      <c r="J159" s="135">
        <v>48.27</v>
      </c>
      <c r="K159" s="135">
        <v>68.28</v>
      </c>
      <c r="L159" s="135">
        <v>83.8</v>
      </c>
      <c r="M159" s="135">
        <v>78.42</v>
      </c>
      <c r="N159" s="135">
        <v>91.95</v>
      </c>
      <c r="O159" s="155">
        <v>81.67</v>
      </c>
      <c r="P159" s="155">
        <v>88.64</v>
      </c>
      <c r="Q159" s="37"/>
      <c r="R159" s="131">
        <v>76.91</v>
      </c>
      <c r="S159" s="118">
        <v>77.81</v>
      </c>
      <c r="T159" s="118">
        <v>92.92</v>
      </c>
      <c r="U159" s="1">
        <v>83.44</v>
      </c>
      <c r="V159" s="118">
        <v>79.290000000000006</v>
      </c>
      <c r="W159" s="57">
        <v>98.99</v>
      </c>
      <c r="X159" s="57">
        <v>98.86</v>
      </c>
      <c r="Y159" s="37"/>
      <c r="Z159" s="12">
        <v>68.260000000000005</v>
      </c>
      <c r="AA159" s="131">
        <v>80.45</v>
      </c>
      <c r="AB159" s="12">
        <v>91.73</v>
      </c>
      <c r="AC159" s="12">
        <v>89.83</v>
      </c>
      <c r="AD159" s="12">
        <v>74.97</v>
      </c>
      <c r="AE159" s="131">
        <v>47.92</v>
      </c>
      <c r="AF159" s="131">
        <v>81.72</v>
      </c>
      <c r="AG159" s="131">
        <v>107.75</v>
      </c>
      <c r="AH159" s="131">
        <v>67.489999999999995</v>
      </c>
      <c r="AI159" s="131">
        <v>104.05</v>
      </c>
      <c r="AJ159" s="37"/>
      <c r="AK159" s="648">
        <v>40905.71</v>
      </c>
      <c r="AL159" s="372"/>
    </row>
    <row r="160" spans="1:38" ht="15.75" x14ac:dyDescent="0.25">
      <c r="A160" s="383">
        <v>214</v>
      </c>
      <c r="B160" s="131">
        <v>113.49</v>
      </c>
      <c r="C160" s="135">
        <v>96.53</v>
      </c>
      <c r="D160" s="135">
        <v>104.52</v>
      </c>
      <c r="E160" s="135">
        <v>54.17</v>
      </c>
      <c r="F160" s="135">
        <v>76.510000000000005</v>
      </c>
      <c r="G160" s="135">
        <v>72.05</v>
      </c>
      <c r="H160" s="135">
        <v>92.62</v>
      </c>
      <c r="I160" s="37"/>
      <c r="J160" s="135">
        <v>95.28</v>
      </c>
      <c r="K160" s="12">
        <v>94.93</v>
      </c>
      <c r="L160" s="135">
        <v>62.04</v>
      </c>
      <c r="M160" s="135">
        <v>81.39</v>
      </c>
      <c r="N160" s="135">
        <v>77.459999999999994</v>
      </c>
      <c r="O160" s="12">
        <v>71</v>
      </c>
      <c r="P160" s="135">
        <v>117.6</v>
      </c>
      <c r="Q160" s="37"/>
      <c r="R160" s="131">
        <v>80.59</v>
      </c>
      <c r="S160" s="118">
        <v>84.52</v>
      </c>
      <c r="T160" s="118">
        <v>87.42</v>
      </c>
      <c r="U160" s="1">
        <v>86.42</v>
      </c>
      <c r="V160" s="537"/>
      <c r="W160" s="57">
        <v>66.17</v>
      </c>
      <c r="X160" s="532">
        <v>130.59</v>
      </c>
      <c r="Y160" s="37"/>
      <c r="Z160" s="131">
        <v>105.61</v>
      </c>
      <c r="AA160" s="131">
        <v>94.84</v>
      </c>
      <c r="AB160" s="12">
        <v>82.83</v>
      </c>
      <c r="AC160" s="12">
        <v>115.37</v>
      </c>
      <c r="AD160" s="12">
        <v>69.16</v>
      </c>
      <c r="AE160" s="537"/>
      <c r="AF160" s="131">
        <v>96.27</v>
      </c>
      <c r="AG160" s="131">
        <v>64.989999999999995</v>
      </c>
      <c r="AH160" s="131">
        <v>102.55</v>
      </c>
      <c r="AI160" s="131">
        <v>83.19</v>
      </c>
      <c r="AJ160" s="37"/>
      <c r="AK160" s="648">
        <v>41652.660000000003</v>
      </c>
      <c r="AL160" s="372"/>
    </row>
    <row r="161" spans="1:38" ht="15.75" x14ac:dyDescent="0.25">
      <c r="A161" s="383">
        <v>215</v>
      </c>
      <c r="B161" s="131">
        <v>77.61</v>
      </c>
      <c r="C161" s="135">
        <v>77.88</v>
      </c>
      <c r="D161" s="135">
        <v>119.54</v>
      </c>
      <c r="E161" s="135">
        <v>49.73</v>
      </c>
      <c r="F161" s="131">
        <v>78.650000000000006</v>
      </c>
      <c r="G161" s="135">
        <v>42.11</v>
      </c>
      <c r="H161" s="135">
        <v>69.23</v>
      </c>
      <c r="I161" s="37"/>
      <c r="J161" s="135">
        <v>77.5</v>
      </c>
      <c r="K161" s="135">
        <v>84.97</v>
      </c>
      <c r="L161" s="135">
        <v>79.23</v>
      </c>
      <c r="M161" s="135">
        <v>60.59</v>
      </c>
      <c r="N161" s="135">
        <v>65.52</v>
      </c>
      <c r="O161" s="135">
        <v>90.42</v>
      </c>
      <c r="P161" s="155">
        <v>92.09</v>
      </c>
      <c r="Q161" s="37"/>
      <c r="R161" s="131">
        <v>87.75</v>
      </c>
      <c r="S161" s="118">
        <v>64.25</v>
      </c>
      <c r="T161" s="118">
        <v>87.53</v>
      </c>
      <c r="U161" s="1">
        <v>90.09</v>
      </c>
      <c r="V161" s="1">
        <v>97.2</v>
      </c>
      <c r="W161" s="57">
        <v>104.73</v>
      </c>
      <c r="X161" s="57">
        <v>72.59</v>
      </c>
      <c r="Y161" s="37"/>
      <c r="Z161" s="537"/>
      <c r="AA161" s="532">
        <v>149.47</v>
      </c>
      <c r="AB161" s="12">
        <v>67.84</v>
      </c>
      <c r="AC161" s="12">
        <v>67.650000000000006</v>
      </c>
      <c r="AD161" s="12">
        <v>112.23</v>
      </c>
      <c r="AE161" s="131">
        <v>44.46</v>
      </c>
      <c r="AF161" s="131">
        <v>44.66</v>
      </c>
      <c r="AG161" s="131">
        <v>73.989999999999995</v>
      </c>
      <c r="AH161" s="131">
        <v>66.67</v>
      </c>
      <c r="AI161" s="131">
        <v>66.17</v>
      </c>
      <c r="AJ161" s="37"/>
      <c r="AK161" s="648">
        <v>43814.37</v>
      </c>
      <c r="AL161" s="372"/>
    </row>
    <row r="162" spans="1:38" ht="16.5" thickBot="1" x14ac:dyDescent="0.3">
      <c r="A162" s="384">
        <v>216</v>
      </c>
      <c r="B162" s="152">
        <v>90.55</v>
      </c>
      <c r="C162" s="171">
        <v>72.23</v>
      </c>
      <c r="D162" s="175">
        <v>101.63</v>
      </c>
      <c r="E162" s="175">
        <v>53.73</v>
      </c>
      <c r="F162" s="175">
        <v>76.14</v>
      </c>
      <c r="G162" s="131">
        <v>81.22</v>
      </c>
      <c r="H162" s="175">
        <v>83.81</v>
      </c>
      <c r="I162" s="43"/>
      <c r="J162" s="175">
        <v>50.94</v>
      </c>
      <c r="K162" s="131">
        <v>75.69</v>
      </c>
      <c r="L162" s="131">
        <v>70.73</v>
      </c>
      <c r="M162" s="131">
        <v>67.86</v>
      </c>
      <c r="N162" s="175">
        <v>63.56</v>
      </c>
      <c r="O162" s="171">
        <v>73.97</v>
      </c>
      <c r="P162" s="171">
        <v>75.209999999999994</v>
      </c>
      <c r="Q162" s="43"/>
      <c r="R162" s="152">
        <v>71.510000000000005</v>
      </c>
      <c r="S162" s="119">
        <v>46.22</v>
      </c>
      <c r="T162" s="119">
        <v>82.28</v>
      </c>
      <c r="U162" s="123">
        <v>89.24</v>
      </c>
      <c r="V162" s="119">
        <v>60.48</v>
      </c>
      <c r="W162" s="178">
        <v>66.900000000000006</v>
      </c>
      <c r="X162" s="178">
        <v>75.59</v>
      </c>
      <c r="Y162" s="43"/>
      <c r="Z162" s="135">
        <v>65.86</v>
      </c>
      <c r="AA162" s="152">
        <v>99.03</v>
      </c>
      <c r="AB162" s="153">
        <v>92.18</v>
      </c>
      <c r="AC162" s="153">
        <v>55.94</v>
      </c>
      <c r="AD162" s="153">
        <v>71.400000000000006</v>
      </c>
      <c r="AE162" s="152">
        <v>26.55</v>
      </c>
      <c r="AF162" s="152">
        <v>69.459999999999994</v>
      </c>
      <c r="AG162" s="152">
        <v>56.09</v>
      </c>
      <c r="AH162" s="152">
        <v>72.08</v>
      </c>
      <c r="AI162" s="152">
        <v>76.92</v>
      </c>
      <c r="AJ162" s="43"/>
      <c r="AK162" s="662">
        <v>56545.4</v>
      </c>
      <c r="AL162" s="457"/>
    </row>
    <row r="163" spans="1:38" ht="18.75" x14ac:dyDescent="0.3">
      <c r="A163" s="281" t="s">
        <v>2</v>
      </c>
      <c r="B163" s="163">
        <f>SUM(B71:B162)</f>
        <v>6223.77</v>
      </c>
      <c r="C163" s="163">
        <f>SUM(C71:C162)</f>
        <v>6600.12</v>
      </c>
      <c r="D163" s="163">
        <f>SUM(D70:D162)</f>
        <v>6806.739999999998</v>
      </c>
      <c r="E163" s="163">
        <f>SUM(E70:E162)</f>
        <v>4411.4699999999993</v>
      </c>
      <c r="F163" s="163">
        <f>SUM(F70:F162)</f>
        <v>5459.1900000000014</v>
      </c>
      <c r="G163" s="163">
        <f>SUM(G70:G162)</f>
        <v>6393.8799999999983</v>
      </c>
      <c r="H163" s="163">
        <f>SUM(H70:H162)</f>
        <v>5010.54</v>
      </c>
      <c r="I163" s="158">
        <f>SUM(B163:H163)</f>
        <v>40905.71</v>
      </c>
      <c r="J163" s="163">
        <f t="shared" ref="J163:O163" si="4">SUM(J70:J162)</f>
        <v>5919.04</v>
      </c>
      <c r="K163" s="163">
        <f t="shared" si="4"/>
        <v>5801.1299999999983</v>
      </c>
      <c r="L163" s="163">
        <f t="shared" si="4"/>
        <v>6197.1200000000017</v>
      </c>
      <c r="M163" s="163">
        <f t="shared" si="4"/>
        <v>5696.0200000000023</v>
      </c>
      <c r="N163" s="163">
        <f t="shared" si="4"/>
        <v>5135.4199999999983</v>
      </c>
      <c r="O163" s="163">
        <f t="shared" si="4"/>
        <v>6205.9800000000014</v>
      </c>
      <c r="P163" s="163">
        <f>SUM(P70:P162)</f>
        <v>6697.9500000000053</v>
      </c>
      <c r="Q163" s="221">
        <f>SUM(J163:P163)</f>
        <v>41652.660000000011</v>
      </c>
      <c r="R163" s="163">
        <f t="shared" ref="R163:V163" si="5">SUM(R70:R162)</f>
        <v>6450.9599999999964</v>
      </c>
      <c r="S163" s="163">
        <f t="shared" si="5"/>
        <v>5878.8500000000031</v>
      </c>
      <c r="T163" s="163">
        <f t="shared" si="5"/>
        <v>6350.7999999999993</v>
      </c>
      <c r="U163" s="163">
        <f t="shared" si="5"/>
        <v>6580.079999999999</v>
      </c>
      <c r="V163" s="163">
        <f t="shared" si="5"/>
        <v>5964.0899999999992</v>
      </c>
      <c r="W163" s="163">
        <f>SUM(W70:W162)</f>
        <v>6275.0399999999972</v>
      </c>
      <c r="X163" s="163">
        <f>SUM(X70:X162)</f>
        <v>6314.5499999999975</v>
      </c>
      <c r="Y163" s="221">
        <f>SUM(R163:X163)</f>
        <v>43814.369999999988</v>
      </c>
      <c r="Z163" s="163">
        <f t="shared" ref="Z163:AG163" si="6">SUM(Z70:Z162)</f>
        <v>5929.61</v>
      </c>
      <c r="AA163" s="163">
        <f t="shared" si="6"/>
        <v>5891.699999999998</v>
      </c>
      <c r="AB163" s="163">
        <f t="shared" si="6"/>
        <v>6086.89</v>
      </c>
      <c r="AC163" s="163">
        <f t="shared" si="6"/>
        <v>5991.2199999999975</v>
      </c>
      <c r="AD163" s="163">
        <f t="shared" si="6"/>
        <v>6476.62</v>
      </c>
      <c r="AE163" s="163">
        <f t="shared" si="6"/>
        <v>2608.1300000000006</v>
      </c>
      <c r="AF163" s="163">
        <f t="shared" si="6"/>
        <v>5138.8599999999997</v>
      </c>
      <c r="AG163" s="163">
        <f t="shared" si="6"/>
        <v>6169.4499999999971</v>
      </c>
      <c r="AH163" s="163">
        <f>SUM(AH70:AH162)</f>
        <v>6037.95</v>
      </c>
      <c r="AI163" s="163">
        <f>SUM(AI70:AI162)</f>
        <v>6212.2400000000016</v>
      </c>
      <c r="AJ163" s="376">
        <f>SUM(Z163:AI163)</f>
        <v>56542.669999999984</v>
      </c>
      <c r="AK163" s="700">
        <f>SUM(AK159:AK162)</f>
        <v>182918.13999999998</v>
      </c>
      <c r="AL163" s="235"/>
    </row>
    <row r="164" spans="1:38" ht="15.75" thickBot="1" x14ac:dyDescent="0.3">
      <c r="A164" s="264"/>
      <c r="B164" s="265" t="s">
        <v>361</v>
      </c>
      <c r="C164" s="265" t="s">
        <v>317</v>
      </c>
      <c r="D164" s="265" t="s">
        <v>320</v>
      </c>
      <c r="E164" s="265" t="s">
        <v>320</v>
      </c>
      <c r="F164" s="265" t="s">
        <v>324</v>
      </c>
      <c r="G164" s="265" t="s">
        <v>321</v>
      </c>
      <c r="H164" s="265" t="s">
        <v>324</v>
      </c>
      <c r="I164" s="56"/>
      <c r="J164" s="265" t="s">
        <v>324</v>
      </c>
      <c r="K164" s="265" t="s">
        <v>317</v>
      </c>
      <c r="L164" s="265" t="s">
        <v>323</v>
      </c>
      <c r="M164" s="265" t="s">
        <v>324</v>
      </c>
      <c r="N164" s="265" t="s">
        <v>321</v>
      </c>
      <c r="O164" s="265" t="s">
        <v>317</v>
      </c>
      <c r="P164" s="265" t="s">
        <v>361</v>
      </c>
      <c r="Q164" s="56"/>
      <c r="R164" s="265" t="s">
        <v>317</v>
      </c>
      <c r="S164" s="265" t="s">
        <v>321</v>
      </c>
      <c r="T164" s="265" t="s">
        <v>320</v>
      </c>
      <c r="U164" s="265" t="s">
        <v>361</v>
      </c>
      <c r="V164" s="265" t="s">
        <v>321</v>
      </c>
      <c r="W164" s="265" t="s">
        <v>361</v>
      </c>
      <c r="X164" s="265" t="s">
        <v>317</v>
      </c>
      <c r="Y164" s="56"/>
      <c r="Z164" s="265" t="s">
        <v>361</v>
      </c>
      <c r="AA164" s="265" t="s">
        <v>317</v>
      </c>
      <c r="AB164" s="265" t="s">
        <v>324</v>
      </c>
      <c r="AC164" s="265" t="s">
        <v>318</v>
      </c>
      <c r="AD164" s="265" t="s">
        <v>321</v>
      </c>
      <c r="AE164" s="265" t="s">
        <v>425</v>
      </c>
      <c r="AF164" s="265" t="s">
        <v>324</v>
      </c>
      <c r="AG164" s="265" t="s">
        <v>361</v>
      </c>
      <c r="AH164" s="265" t="s">
        <v>324</v>
      </c>
      <c r="AI164" s="265" t="s">
        <v>317</v>
      </c>
      <c r="AJ164" s="56"/>
      <c r="AK164" s="225"/>
      <c r="AL164" s="228"/>
    </row>
    <row r="165" spans="1:38" ht="24" thickBot="1" x14ac:dyDescent="0.4">
      <c r="A165" s="252" t="s">
        <v>148</v>
      </c>
      <c r="B165" s="258"/>
      <c r="C165" s="258"/>
      <c r="D165" s="258"/>
      <c r="E165" s="258"/>
      <c r="F165" s="258"/>
      <c r="G165" s="254"/>
      <c r="H165" s="254"/>
      <c r="I165" s="259"/>
      <c r="J165" s="259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60"/>
      <c r="AK165" s="261"/>
      <c r="AL165" s="255"/>
    </row>
    <row r="166" spans="1:38" ht="16.5" thickBot="1" x14ac:dyDescent="0.3">
      <c r="A166" s="320" t="s">
        <v>8</v>
      </c>
      <c r="B166" s="322">
        <v>1</v>
      </c>
      <c r="C166" s="322">
        <v>2</v>
      </c>
      <c r="D166" s="322">
        <v>3</v>
      </c>
      <c r="E166" s="322">
        <v>4</v>
      </c>
      <c r="F166" s="322">
        <v>5</v>
      </c>
      <c r="G166" s="322">
        <v>6</v>
      </c>
      <c r="H166" s="322">
        <v>7</v>
      </c>
      <c r="I166" s="323" t="s">
        <v>6</v>
      </c>
      <c r="J166" s="322">
        <v>8</v>
      </c>
      <c r="K166" s="322">
        <v>9</v>
      </c>
      <c r="L166" s="322">
        <v>10</v>
      </c>
      <c r="M166" s="322">
        <v>11</v>
      </c>
      <c r="N166" s="322">
        <v>12</v>
      </c>
      <c r="O166" s="322">
        <v>13</v>
      </c>
      <c r="P166" s="322">
        <v>14</v>
      </c>
      <c r="Q166" s="323" t="s">
        <v>6</v>
      </c>
      <c r="R166" s="322">
        <v>15</v>
      </c>
      <c r="S166" s="322">
        <v>16</v>
      </c>
      <c r="T166" s="322">
        <v>17</v>
      </c>
      <c r="U166" s="322">
        <v>18</v>
      </c>
      <c r="V166" s="322">
        <v>19</v>
      </c>
      <c r="W166" s="322">
        <v>20</v>
      </c>
      <c r="X166" s="322">
        <v>21</v>
      </c>
      <c r="Y166" s="323" t="s">
        <v>6</v>
      </c>
      <c r="Z166" s="322">
        <v>22</v>
      </c>
      <c r="AA166" s="322">
        <v>23</v>
      </c>
      <c r="AB166" s="322">
        <v>24</v>
      </c>
      <c r="AC166" s="322">
        <v>25</v>
      </c>
      <c r="AD166" s="322">
        <v>26</v>
      </c>
      <c r="AE166" s="322">
        <v>27</v>
      </c>
      <c r="AF166" s="322">
        <v>28</v>
      </c>
      <c r="AG166" s="322">
        <v>29</v>
      </c>
      <c r="AH166" s="322">
        <v>30</v>
      </c>
      <c r="AI166" s="322">
        <v>31</v>
      </c>
      <c r="AJ166" s="324" t="s">
        <v>6</v>
      </c>
      <c r="AK166" s="325" t="s">
        <v>0</v>
      </c>
      <c r="AL166" s="772" t="s">
        <v>42</v>
      </c>
    </row>
    <row r="167" spans="1:38" x14ac:dyDescent="0.25">
      <c r="A167" s="67" t="s">
        <v>9</v>
      </c>
      <c r="B167" s="530"/>
      <c r="C167" s="530"/>
      <c r="D167" s="530"/>
      <c r="E167" s="530"/>
      <c r="F167" s="530"/>
      <c r="G167" s="530"/>
      <c r="H167" s="530"/>
      <c r="I167" s="36"/>
      <c r="J167" s="530"/>
      <c r="K167" s="530"/>
      <c r="L167" s="530"/>
      <c r="M167" s="530"/>
      <c r="N167" s="530"/>
      <c r="O167" s="530"/>
      <c r="P167" s="530"/>
      <c r="Q167" s="36"/>
      <c r="R167" s="530"/>
      <c r="S167" s="530"/>
      <c r="T167" s="530"/>
      <c r="U167" s="530"/>
      <c r="V167" s="530"/>
      <c r="W167" s="530"/>
      <c r="X167" s="530"/>
      <c r="Y167" s="36"/>
      <c r="Z167" s="530"/>
      <c r="AA167" s="530"/>
      <c r="AB167" s="530"/>
      <c r="AC167" s="530"/>
      <c r="AD167" s="530"/>
      <c r="AE167" s="530"/>
      <c r="AF167" s="530"/>
      <c r="AG167" s="530"/>
      <c r="AH167" s="530"/>
      <c r="AI167" s="530"/>
      <c r="AJ167" s="37"/>
      <c r="AK167" s="38"/>
      <c r="AL167" s="197"/>
    </row>
    <row r="168" spans="1:38" x14ac:dyDescent="0.25">
      <c r="A168" s="67" t="s">
        <v>10</v>
      </c>
      <c r="B168" s="537"/>
      <c r="C168" s="537"/>
      <c r="D168" s="537"/>
      <c r="E168" s="537"/>
      <c r="F168" s="537"/>
      <c r="G168" s="537"/>
      <c r="H168" s="537"/>
      <c r="I168" s="37"/>
      <c r="J168" s="537"/>
      <c r="K168" s="537"/>
      <c r="L168" s="537"/>
      <c r="M168" s="537"/>
      <c r="N168" s="537"/>
      <c r="O168" s="537"/>
      <c r="P168" s="537"/>
      <c r="Q168" s="37"/>
      <c r="R168" s="537"/>
      <c r="S168" s="537"/>
      <c r="T168" s="537"/>
      <c r="U168" s="537"/>
      <c r="V168" s="537"/>
      <c r="W168" s="537"/>
      <c r="X168" s="537"/>
      <c r="Y168" s="37"/>
      <c r="Z168" s="537"/>
      <c r="AA168" s="537"/>
      <c r="AB168" s="537"/>
      <c r="AC168" s="537"/>
      <c r="AD168" s="537"/>
      <c r="AE168" s="537"/>
      <c r="AF168" s="537"/>
      <c r="AG168" s="537"/>
      <c r="AH168" s="537"/>
      <c r="AI168" s="537"/>
      <c r="AJ168" s="37"/>
      <c r="AK168" s="38"/>
      <c r="AL168" s="197"/>
    </row>
    <row r="169" spans="1:38" ht="15" customHeight="1" x14ac:dyDescent="0.25">
      <c r="A169" s="67" t="s">
        <v>45</v>
      </c>
      <c r="B169" s="537"/>
      <c r="C169" s="537"/>
      <c r="D169" s="537"/>
      <c r="E169" s="537"/>
      <c r="F169" s="537"/>
      <c r="G169" s="537"/>
      <c r="H169" s="537"/>
      <c r="I169" s="37"/>
      <c r="J169" s="537"/>
      <c r="K169" s="537"/>
      <c r="L169" s="537"/>
      <c r="M169" s="537"/>
      <c r="N169" s="537"/>
      <c r="O169" s="537"/>
      <c r="P169" s="537"/>
      <c r="Q169" s="37"/>
      <c r="R169" s="537"/>
      <c r="S169" s="537"/>
      <c r="T169" s="537"/>
      <c r="U169" s="537"/>
      <c r="V169" s="537"/>
      <c r="W169" s="537"/>
      <c r="X169" s="537"/>
      <c r="Y169" s="37"/>
      <c r="Z169" s="537"/>
      <c r="AA169" s="537"/>
      <c r="AB169" s="537"/>
      <c r="AC169" s="537"/>
      <c r="AD169" s="537"/>
      <c r="AE169" s="537"/>
      <c r="AF169" s="537"/>
      <c r="AG169" s="537"/>
      <c r="AH169" s="537"/>
      <c r="AI169" s="537"/>
      <c r="AJ169" s="37"/>
      <c r="AK169" s="652">
        <v>0</v>
      </c>
      <c r="AL169" s="197"/>
    </row>
    <row r="170" spans="1:38" ht="15" customHeight="1" x14ac:dyDescent="0.25">
      <c r="A170" s="67" t="s">
        <v>11</v>
      </c>
      <c r="B170" s="537"/>
      <c r="C170" s="537"/>
      <c r="D170" s="537"/>
      <c r="E170" s="537"/>
      <c r="F170" s="537"/>
      <c r="G170" s="537"/>
      <c r="H170" s="537"/>
      <c r="I170" s="37"/>
      <c r="J170" s="537"/>
      <c r="K170" s="537"/>
      <c r="L170" s="537"/>
      <c r="M170" s="537"/>
      <c r="N170" s="537"/>
      <c r="O170" s="537"/>
      <c r="P170" s="537"/>
      <c r="Q170" s="37"/>
      <c r="R170" s="537"/>
      <c r="S170" s="567">
        <v>215.39</v>
      </c>
      <c r="T170" s="537"/>
      <c r="U170" s="537"/>
      <c r="V170" s="537"/>
      <c r="W170" s="537"/>
      <c r="X170" s="537"/>
      <c r="Y170" s="37"/>
      <c r="Z170" s="537"/>
      <c r="AA170" s="537"/>
      <c r="AB170" s="537"/>
      <c r="AC170" s="537"/>
      <c r="AD170" s="537"/>
      <c r="AE170" s="537"/>
      <c r="AF170" s="537"/>
      <c r="AG170" s="537"/>
      <c r="AH170" s="537"/>
      <c r="AI170" s="537"/>
      <c r="AJ170" s="37"/>
      <c r="AK170" s="652">
        <v>0</v>
      </c>
      <c r="AL170" s="197"/>
    </row>
    <row r="171" spans="1:38" ht="15" customHeight="1" x14ac:dyDescent="0.25">
      <c r="A171" s="67" t="s">
        <v>12</v>
      </c>
      <c r="B171" s="537"/>
      <c r="C171" s="537"/>
      <c r="D171" s="537"/>
      <c r="E171" s="537"/>
      <c r="F171" s="537"/>
      <c r="G171" s="537"/>
      <c r="H171" s="537"/>
      <c r="I171" s="37"/>
      <c r="J171" s="537"/>
      <c r="K171" s="537"/>
      <c r="L171" s="537"/>
      <c r="M171" s="537"/>
      <c r="N171" s="537"/>
      <c r="O171" s="537"/>
      <c r="P171" s="537"/>
      <c r="Q171" s="37"/>
      <c r="R171" s="537"/>
      <c r="S171" s="537"/>
      <c r="T171" s="537"/>
      <c r="U171" s="537"/>
      <c r="V171" s="537"/>
      <c r="W171" s="537"/>
      <c r="X171" s="537"/>
      <c r="Y171" s="37"/>
      <c r="Z171" s="537"/>
      <c r="AA171" s="537"/>
      <c r="AB171" s="537"/>
      <c r="AC171" s="537"/>
      <c r="AD171" s="537"/>
      <c r="AE171" s="537"/>
      <c r="AF171" s="537"/>
      <c r="AG171" s="537"/>
      <c r="AH171" s="537"/>
      <c r="AI171" s="537"/>
      <c r="AJ171" s="37"/>
      <c r="AK171" s="652">
        <v>215.39</v>
      </c>
      <c r="AL171" s="197"/>
    </row>
    <row r="172" spans="1:38" ht="15" customHeight="1" thickBot="1" x14ac:dyDescent="0.3">
      <c r="A172" s="63" t="s">
        <v>79</v>
      </c>
      <c r="B172" s="581"/>
      <c r="C172" s="576"/>
      <c r="D172" s="581"/>
      <c r="E172" s="581"/>
      <c r="F172" s="581"/>
      <c r="G172" s="581"/>
      <c r="H172" s="581"/>
      <c r="I172" s="43"/>
      <c r="J172" s="581"/>
      <c r="K172" s="576"/>
      <c r="L172" s="581"/>
      <c r="M172" s="581"/>
      <c r="N172" s="581"/>
      <c r="O172" s="581"/>
      <c r="P172" s="581"/>
      <c r="Q172" s="43"/>
      <c r="R172" s="581"/>
      <c r="S172" s="576"/>
      <c r="T172" s="581"/>
      <c r="U172" s="581"/>
      <c r="V172" s="581"/>
      <c r="W172" s="581"/>
      <c r="X172" s="581"/>
      <c r="Y172" s="43"/>
      <c r="Z172" s="581"/>
      <c r="AA172" s="576"/>
      <c r="AB172" s="581"/>
      <c r="AC172" s="581"/>
      <c r="AD172" s="581"/>
      <c r="AE172" s="581"/>
      <c r="AF172" s="581"/>
      <c r="AG172" s="581"/>
      <c r="AH172" s="581"/>
      <c r="AI172" s="581"/>
      <c r="AJ172" s="43"/>
      <c r="AK172" s="662">
        <v>0</v>
      </c>
      <c r="AL172" s="204"/>
    </row>
    <row r="173" spans="1:38" ht="19.5" thickBot="1" x14ac:dyDescent="0.35">
      <c r="A173" s="281" t="s">
        <v>2</v>
      </c>
      <c r="B173" s="241"/>
      <c r="C173" s="241"/>
      <c r="D173" s="241"/>
      <c r="E173" s="241"/>
      <c r="F173" s="241"/>
      <c r="G173" s="241"/>
      <c r="H173" s="241"/>
      <c r="I173" s="221"/>
      <c r="J173" s="241"/>
      <c r="K173" s="241"/>
      <c r="L173" s="241"/>
      <c r="M173" s="241"/>
      <c r="N173" s="191"/>
      <c r="O173" s="191"/>
      <c r="P173" s="241"/>
      <c r="Q173" s="221"/>
      <c r="R173" s="241"/>
      <c r="S173" s="241">
        <f>SUM(S167:S172)</f>
        <v>215.39</v>
      </c>
      <c r="T173" s="241"/>
      <c r="U173" s="241"/>
      <c r="V173" s="241"/>
      <c r="W173" s="241"/>
      <c r="X173" s="241"/>
      <c r="Y173" s="221">
        <f>SUM(R173:X173)</f>
        <v>215.39</v>
      </c>
      <c r="Z173" s="241"/>
      <c r="AA173" s="191"/>
      <c r="AB173" s="241"/>
      <c r="AC173" s="241"/>
      <c r="AD173" s="241"/>
      <c r="AE173" s="241"/>
      <c r="AF173" s="241"/>
      <c r="AG173" s="191"/>
      <c r="AH173" s="191"/>
      <c r="AI173" s="191"/>
      <c r="AJ173" s="262"/>
      <c r="AK173" s="700">
        <f>SUM(AK169:AK172)</f>
        <v>215.39</v>
      </c>
      <c r="AL173" s="284"/>
    </row>
    <row r="174" spans="1:38" ht="15.75" thickBot="1" x14ac:dyDescent="0.3">
      <c r="A174" s="264"/>
      <c r="B174" s="348"/>
      <c r="C174" s="348"/>
      <c r="D174" s="348"/>
      <c r="E174" s="348"/>
      <c r="F174" s="348"/>
      <c r="G174" s="348"/>
      <c r="H174" s="348"/>
      <c r="I174" s="56"/>
      <c r="J174" s="348"/>
      <c r="K174" s="348"/>
      <c r="L174" s="348"/>
      <c r="M174" s="348"/>
      <c r="N174" s="348"/>
      <c r="O174" s="348"/>
      <c r="P174" s="348"/>
      <c r="Q174" s="56"/>
      <c r="R174" s="348"/>
      <c r="S174" s="348" t="s">
        <v>340</v>
      </c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228"/>
    </row>
    <row r="175" spans="1:38" ht="24" thickBot="1" x14ac:dyDescent="0.4">
      <c r="A175" s="252" t="s">
        <v>149</v>
      </c>
      <c r="B175" s="258"/>
      <c r="C175" s="258"/>
      <c r="D175" s="258"/>
      <c r="E175" s="258"/>
      <c r="F175" s="258"/>
      <c r="G175" s="254"/>
      <c r="H175" s="254"/>
      <c r="I175" s="259"/>
      <c r="J175" s="259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60"/>
      <c r="AK175" s="261"/>
      <c r="AL175" s="260"/>
    </row>
    <row r="176" spans="1:38" ht="16.5" thickBot="1" x14ac:dyDescent="0.3">
      <c r="A176" s="320" t="s">
        <v>8</v>
      </c>
      <c r="B176" s="322">
        <v>1</v>
      </c>
      <c r="C176" s="322">
        <v>2</v>
      </c>
      <c r="D176" s="322">
        <v>3</v>
      </c>
      <c r="E176" s="322">
        <v>4</v>
      </c>
      <c r="F176" s="322">
        <v>5</v>
      </c>
      <c r="G176" s="322">
        <v>6</v>
      </c>
      <c r="H176" s="322">
        <v>7</v>
      </c>
      <c r="I176" s="323" t="s">
        <v>6</v>
      </c>
      <c r="J176" s="322">
        <v>8</v>
      </c>
      <c r="K176" s="322">
        <v>9</v>
      </c>
      <c r="L176" s="322">
        <v>10</v>
      </c>
      <c r="M176" s="322">
        <v>11</v>
      </c>
      <c r="N176" s="322">
        <v>12</v>
      </c>
      <c r="O176" s="322">
        <v>13</v>
      </c>
      <c r="P176" s="322">
        <v>14</v>
      </c>
      <c r="Q176" s="323" t="s">
        <v>6</v>
      </c>
      <c r="R176" s="322">
        <v>15</v>
      </c>
      <c r="S176" s="322">
        <v>16</v>
      </c>
      <c r="T176" s="322">
        <v>17</v>
      </c>
      <c r="U176" s="322">
        <v>18</v>
      </c>
      <c r="V176" s="322">
        <v>19</v>
      </c>
      <c r="W176" s="322">
        <v>20</v>
      </c>
      <c r="X176" s="322">
        <v>21</v>
      </c>
      <c r="Y176" s="323" t="s">
        <v>6</v>
      </c>
      <c r="Z176" s="322">
        <v>22</v>
      </c>
      <c r="AA176" s="322">
        <v>23</v>
      </c>
      <c r="AB176" s="322">
        <v>24</v>
      </c>
      <c r="AC176" s="322">
        <v>25</v>
      </c>
      <c r="AD176" s="322">
        <v>26</v>
      </c>
      <c r="AE176" s="322">
        <v>27</v>
      </c>
      <c r="AF176" s="322">
        <v>28</v>
      </c>
      <c r="AG176" s="322">
        <v>29</v>
      </c>
      <c r="AH176" s="322">
        <v>30</v>
      </c>
      <c r="AI176" s="322">
        <v>31</v>
      </c>
      <c r="AJ176" s="324" t="s">
        <v>6</v>
      </c>
      <c r="AK176" s="325" t="s">
        <v>0</v>
      </c>
      <c r="AL176" s="772" t="s">
        <v>42</v>
      </c>
    </row>
    <row r="177" spans="1:38" ht="15" customHeight="1" x14ac:dyDescent="0.3">
      <c r="A177" s="67" t="s">
        <v>29</v>
      </c>
      <c r="B177" s="537"/>
      <c r="C177" s="537"/>
      <c r="D177" s="537"/>
      <c r="E177" s="537"/>
      <c r="F177" s="537"/>
      <c r="G177" s="537"/>
      <c r="H177" s="537"/>
      <c r="I177" s="37"/>
      <c r="J177" s="537"/>
      <c r="K177" s="537"/>
      <c r="L177" s="537"/>
      <c r="M177" s="537"/>
      <c r="N177" s="537"/>
      <c r="O177" s="537"/>
      <c r="P177" s="537"/>
      <c r="Q177" s="37"/>
      <c r="R177" s="537"/>
      <c r="S177" s="537"/>
      <c r="T177" s="537"/>
      <c r="U177" s="537"/>
      <c r="V177" s="537"/>
      <c r="W177" s="537"/>
      <c r="X177" s="537"/>
      <c r="Y177" s="37"/>
      <c r="Z177" s="537"/>
      <c r="AA177" s="537"/>
      <c r="AB177" s="537"/>
      <c r="AC177" s="537"/>
      <c r="AD177" s="537"/>
      <c r="AE177" s="537"/>
      <c r="AF177" s="537"/>
      <c r="AG177" s="537"/>
      <c r="AH177" s="537"/>
      <c r="AI177" s="537"/>
      <c r="AJ177" s="37"/>
      <c r="AK177" s="339"/>
      <c r="AL177" s="197"/>
    </row>
    <row r="178" spans="1:38" ht="15" customHeight="1" x14ac:dyDescent="0.3">
      <c r="A178" s="67" t="s">
        <v>13</v>
      </c>
      <c r="B178" s="537"/>
      <c r="C178" s="530"/>
      <c r="D178" s="537"/>
      <c r="E178" s="537"/>
      <c r="F178" s="537"/>
      <c r="G178" s="537"/>
      <c r="H178" s="537"/>
      <c r="I178" s="37"/>
      <c r="J178" s="537"/>
      <c r="K178" s="530"/>
      <c r="L178" s="537"/>
      <c r="M178" s="537"/>
      <c r="N178" s="537"/>
      <c r="O178" s="537"/>
      <c r="P178" s="537"/>
      <c r="Q178" s="37"/>
      <c r="R178" s="537"/>
      <c r="S178" s="530"/>
      <c r="T178" s="537"/>
      <c r="U178" s="537"/>
      <c r="V178" s="537"/>
      <c r="W178" s="537"/>
      <c r="X178" s="537"/>
      <c r="Y178" s="37"/>
      <c r="Z178" s="537"/>
      <c r="AA178" s="530"/>
      <c r="AB178" s="537"/>
      <c r="AC178" s="537"/>
      <c r="AD178" s="537"/>
      <c r="AE178" s="537"/>
      <c r="AF178" s="537"/>
      <c r="AG178" s="537"/>
      <c r="AH178" s="537"/>
      <c r="AI178" s="537"/>
      <c r="AJ178" s="37"/>
      <c r="AK178" s="339"/>
      <c r="AL178" s="197"/>
    </row>
    <row r="179" spans="1:38" ht="15" customHeight="1" x14ac:dyDescent="0.3">
      <c r="A179" s="63" t="s">
        <v>14</v>
      </c>
      <c r="B179" s="581"/>
      <c r="C179" s="581"/>
      <c r="D179" s="581"/>
      <c r="E179" s="581"/>
      <c r="F179" s="581"/>
      <c r="G179" s="581"/>
      <c r="H179" s="581"/>
      <c r="I179" s="43"/>
      <c r="J179" s="581"/>
      <c r="K179" s="581"/>
      <c r="L179" s="581"/>
      <c r="M179" s="581"/>
      <c r="N179" s="581"/>
      <c r="O179" s="581"/>
      <c r="P179" s="581"/>
      <c r="Q179" s="43"/>
      <c r="R179" s="581"/>
      <c r="S179" s="581"/>
      <c r="T179" s="581"/>
      <c r="U179" s="581"/>
      <c r="V179" s="581"/>
      <c r="W179" s="581"/>
      <c r="X179" s="581"/>
      <c r="Y179" s="43"/>
      <c r="Z179" s="581"/>
      <c r="AA179" s="581"/>
      <c r="AB179" s="581"/>
      <c r="AC179" s="581"/>
      <c r="AD179" s="581"/>
      <c r="AE179" s="581"/>
      <c r="AF179" s="581"/>
      <c r="AG179" s="581"/>
      <c r="AH179" s="581"/>
      <c r="AI179" s="581"/>
      <c r="AJ179" s="43"/>
      <c r="AK179" s="342"/>
      <c r="AL179" s="204"/>
    </row>
    <row r="180" spans="1:38" ht="15" customHeight="1" thickBot="1" x14ac:dyDescent="0.35">
      <c r="A180" s="349"/>
      <c r="B180" s="576"/>
      <c r="C180" s="576"/>
      <c r="D180" s="576"/>
      <c r="E180" s="576"/>
      <c r="F180" s="576"/>
      <c r="G180" s="576"/>
      <c r="H180" s="576"/>
      <c r="I180" s="127"/>
      <c r="J180" s="576"/>
      <c r="K180" s="576"/>
      <c r="L180" s="576"/>
      <c r="M180" s="576"/>
      <c r="N180" s="576"/>
      <c r="O180" s="576"/>
      <c r="P180" s="576"/>
      <c r="Q180" s="45"/>
      <c r="R180" s="576"/>
      <c r="S180" s="576"/>
      <c r="T180" s="576"/>
      <c r="U180" s="576"/>
      <c r="V180" s="576"/>
      <c r="W180" s="576"/>
      <c r="X180" s="576"/>
      <c r="Y180" s="45"/>
      <c r="Z180" s="576"/>
      <c r="AA180" s="576"/>
      <c r="AB180" s="576"/>
      <c r="AC180" s="576"/>
      <c r="AD180" s="576"/>
      <c r="AE180" s="576"/>
      <c r="AF180" s="576"/>
      <c r="AG180" s="576"/>
      <c r="AH180" s="576"/>
      <c r="AI180" s="576"/>
      <c r="AJ180" s="43"/>
      <c r="AK180" s="293"/>
      <c r="AL180" s="204"/>
    </row>
    <row r="181" spans="1:38" ht="15" customHeight="1" x14ac:dyDescent="0.3">
      <c r="A181" s="281" t="s">
        <v>2</v>
      </c>
      <c r="B181" s="163"/>
      <c r="C181" s="163"/>
      <c r="D181" s="163"/>
      <c r="E181" s="163"/>
      <c r="F181" s="163"/>
      <c r="G181" s="163"/>
      <c r="H181" s="163"/>
      <c r="I181" s="221"/>
      <c r="J181" s="163"/>
      <c r="K181" s="163"/>
      <c r="L181" s="163"/>
      <c r="M181" s="163"/>
      <c r="N181" s="163"/>
      <c r="O181" s="163"/>
      <c r="P181" s="163"/>
      <c r="Q181" s="221"/>
      <c r="R181" s="163"/>
      <c r="S181" s="163"/>
      <c r="T181" s="163"/>
      <c r="U181" s="163"/>
      <c r="V181" s="163"/>
      <c r="W181" s="163"/>
      <c r="X181" s="163"/>
      <c r="Y181" s="221"/>
      <c r="Z181" s="163"/>
      <c r="AA181" s="163"/>
      <c r="AB181" s="163"/>
      <c r="AC181" s="163"/>
      <c r="AD181" s="163"/>
      <c r="AE181" s="163"/>
      <c r="AF181" s="163"/>
      <c r="AG181" s="50"/>
      <c r="AH181" s="50"/>
      <c r="AI181" s="50"/>
      <c r="AJ181" s="262"/>
      <c r="AK181" s="263"/>
      <c r="AL181" s="235"/>
    </row>
    <row r="182" spans="1:38" ht="15.75" thickBot="1" x14ac:dyDescent="0.3">
      <c r="A182" s="264"/>
      <c r="B182" s="265"/>
      <c r="C182" s="265"/>
      <c r="D182" s="265"/>
      <c r="E182" s="265"/>
      <c r="F182" s="265"/>
      <c r="G182" s="265"/>
      <c r="H182" s="265"/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</row>
    <row r="183" spans="1:38" ht="24" thickBot="1" x14ac:dyDescent="0.4">
      <c r="A183" s="252" t="s">
        <v>150</v>
      </c>
      <c r="B183" s="258"/>
      <c r="C183" s="258"/>
      <c r="D183" s="258"/>
      <c r="E183" s="258"/>
      <c r="F183" s="258"/>
      <c r="G183" s="254"/>
      <c r="H183" s="254"/>
      <c r="I183" s="259"/>
      <c r="J183" s="259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60"/>
      <c r="AK183" s="261"/>
      <c r="AL183" s="260"/>
    </row>
    <row r="184" spans="1:38" ht="16.5" thickBot="1" x14ac:dyDescent="0.3">
      <c r="A184" s="320" t="s">
        <v>8</v>
      </c>
      <c r="B184" s="322">
        <v>1</v>
      </c>
      <c r="C184" s="322">
        <v>2</v>
      </c>
      <c r="D184" s="322">
        <v>3</v>
      </c>
      <c r="E184" s="322">
        <v>4</v>
      </c>
      <c r="F184" s="322">
        <v>5</v>
      </c>
      <c r="G184" s="322">
        <v>6</v>
      </c>
      <c r="H184" s="322">
        <v>7</v>
      </c>
      <c r="I184" s="323" t="s">
        <v>6</v>
      </c>
      <c r="J184" s="322">
        <v>8</v>
      </c>
      <c r="K184" s="322">
        <v>9</v>
      </c>
      <c r="L184" s="322">
        <v>10</v>
      </c>
      <c r="M184" s="322">
        <v>11</v>
      </c>
      <c r="N184" s="322">
        <v>12</v>
      </c>
      <c r="O184" s="322">
        <v>13</v>
      </c>
      <c r="P184" s="322">
        <v>14</v>
      </c>
      <c r="Q184" s="323" t="s">
        <v>6</v>
      </c>
      <c r="R184" s="322">
        <v>15</v>
      </c>
      <c r="S184" s="322">
        <v>16</v>
      </c>
      <c r="T184" s="322">
        <v>17</v>
      </c>
      <c r="U184" s="322">
        <v>18</v>
      </c>
      <c r="V184" s="322">
        <v>19</v>
      </c>
      <c r="W184" s="322">
        <v>20</v>
      </c>
      <c r="X184" s="322">
        <v>21</v>
      </c>
      <c r="Y184" s="323" t="s">
        <v>6</v>
      </c>
      <c r="Z184" s="322">
        <v>22</v>
      </c>
      <c r="AA184" s="322">
        <v>23</v>
      </c>
      <c r="AB184" s="322">
        <v>24</v>
      </c>
      <c r="AC184" s="322">
        <v>25</v>
      </c>
      <c r="AD184" s="322">
        <v>26</v>
      </c>
      <c r="AE184" s="322">
        <v>27</v>
      </c>
      <c r="AF184" s="322">
        <v>28</v>
      </c>
      <c r="AG184" s="322">
        <v>29</v>
      </c>
      <c r="AH184" s="322">
        <v>30</v>
      </c>
      <c r="AI184" s="322">
        <v>31</v>
      </c>
      <c r="AJ184" s="324" t="s">
        <v>6</v>
      </c>
      <c r="AK184" s="325" t="s">
        <v>0</v>
      </c>
      <c r="AL184" s="772" t="s">
        <v>42</v>
      </c>
    </row>
    <row r="185" spans="1:38" x14ac:dyDescent="0.25">
      <c r="A185" s="67" t="s">
        <v>32</v>
      </c>
      <c r="B185" s="537"/>
      <c r="C185" s="537"/>
      <c r="D185" s="530"/>
      <c r="E185" s="530"/>
      <c r="F185" s="537"/>
      <c r="G185" s="537"/>
      <c r="H185" s="537"/>
      <c r="I185" s="37"/>
      <c r="J185" s="531">
        <v>0</v>
      </c>
      <c r="K185" s="537"/>
      <c r="L185" s="531">
        <v>0</v>
      </c>
      <c r="M185" s="530"/>
      <c r="N185" s="530"/>
      <c r="O185" s="531">
        <v>0</v>
      </c>
      <c r="P185" s="537"/>
      <c r="Q185" s="37"/>
      <c r="R185" s="531">
        <v>0</v>
      </c>
      <c r="S185" s="537"/>
      <c r="T185" s="537"/>
      <c r="U185" s="537"/>
      <c r="V185" s="530"/>
      <c r="W185" s="57">
        <v>40</v>
      </c>
      <c r="X185" s="530"/>
      <c r="Y185" s="37"/>
      <c r="Z185" s="1">
        <v>22.6</v>
      </c>
      <c r="AA185" s="531">
        <v>0</v>
      </c>
      <c r="AB185" s="537"/>
      <c r="AC185" s="537"/>
      <c r="AD185" s="531">
        <v>0</v>
      </c>
      <c r="AE185" s="531">
        <v>0</v>
      </c>
      <c r="AF185" s="537"/>
      <c r="AG185" s="537"/>
      <c r="AH185" s="537"/>
      <c r="AI185" s="537"/>
      <c r="AJ185" s="37"/>
      <c r="AK185" s="38"/>
      <c r="AL185" s="197"/>
    </row>
    <row r="186" spans="1:38" x14ac:dyDescent="0.25">
      <c r="A186" s="67" t="s">
        <v>15</v>
      </c>
      <c r="B186" s="537"/>
      <c r="C186" s="537"/>
      <c r="D186" s="537"/>
      <c r="E186" s="537"/>
      <c r="F186" s="537"/>
      <c r="G186" s="537"/>
      <c r="H186" s="537"/>
      <c r="I186" s="37"/>
      <c r="J186" s="537"/>
      <c r="K186" s="537"/>
      <c r="L186" s="537"/>
      <c r="M186" s="530"/>
      <c r="N186" s="537"/>
      <c r="O186" s="537"/>
      <c r="P186" s="537"/>
      <c r="Q186" s="37"/>
      <c r="R186" s="537"/>
      <c r="S186" s="537"/>
      <c r="T186" s="537"/>
      <c r="U186" s="537"/>
      <c r="V186" s="537"/>
      <c r="W186" s="530"/>
      <c r="X186" s="530"/>
      <c r="Y186" s="37"/>
      <c r="Z186" s="530"/>
      <c r="AA186" s="537"/>
      <c r="AB186" s="537"/>
      <c r="AC186" s="537"/>
      <c r="AD186" s="537"/>
      <c r="AE186" s="537"/>
      <c r="AF186" s="537"/>
      <c r="AG186" s="537"/>
      <c r="AH186" s="537"/>
      <c r="AI186" s="537"/>
      <c r="AJ186" s="37"/>
      <c r="AK186" s="38"/>
      <c r="AL186" s="197"/>
    </row>
    <row r="187" spans="1:38" x14ac:dyDescent="0.25">
      <c r="A187" s="67" t="s">
        <v>34</v>
      </c>
      <c r="B187" s="537"/>
      <c r="C187" s="537"/>
      <c r="D187" s="537"/>
      <c r="E187" s="537"/>
      <c r="F187" s="118">
        <v>15.08</v>
      </c>
      <c r="G187" s="537"/>
      <c r="H187" s="537"/>
      <c r="I187" s="37"/>
      <c r="J187" s="537"/>
      <c r="K187" s="537"/>
      <c r="L187" s="537"/>
      <c r="M187" s="530"/>
      <c r="N187" s="537"/>
      <c r="O187" s="537"/>
      <c r="P187" s="57">
        <v>30.2</v>
      </c>
      <c r="Q187" s="37"/>
      <c r="R187" s="537"/>
      <c r="S187" s="537"/>
      <c r="T187" s="537"/>
      <c r="U187" s="537"/>
      <c r="V187" s="537"/>
      <c r="W187" s="530"/>
      <c r="X187" s="530"/>
      <c r="Y187" s="37"/>
      <c r="Z187" s="537"/>
      <c r="AA187" s="537"/>
      <c r="AB187" s="537"/>
      <c r="AC187" s="537"/>
      <c r="AD187" s="537"/>
      <c r="AE187" s="537"/>
      <c r="AF187" s="537"/>
      <c r="AG187" s="537"/>
      <c r="AH187" s="118">
        <v>34.479999999999997</v>
      </c>
      <c r="AI187" s="537"/>
      <c r="AJ187" s="37"/>
      <c r="AK187" s="38"/>
      <c r="AL187" s="197"/>
    </row>
    <row r="188" spans="1:38" x14ac:dyDescent="0.25">
      <c r="A188" s="67" t="s">
        <v>297</v>
      </c>
      <c r="B188" s="530"/>
      <c r="C188" s="537"/>
      <c r="D188" s="537"/>
      <c r="E188" s="118">
        <v>45.73</v>
      </c>
      <c r="F188" s="537"/>
      <c r="G188" s="537"/>
      <c r="H188" s="537"/>
      <c r="I188" s="37"/>
      <c r="J188" s="537"/>
      <c r="K188" s="537"/>
      <c r="L188" s="537"/>
      <c r="M188" s="530"/>
      <c r="N188" s="118">
        <v>34.85</v>
      </c>
      <c r="O188" s="537"/>
      <c r="P188" s="537"/>
      <c r="Q188" s="37"/>
      <c r="R188" s="537"/>
      <c r="S188" s="537"/>
      <c r="T188" s="537"/>
      <c r="U188" s="537"/>
      <c r="V188" s="537"/>
      <c r="W188" s="530"/>
      <c r="X188" s="530"/>
      <c r="Y188" s="37"/>
      <c r="Z188" s="537"/>
      <c r="AA188" s="537"/>
      <c r="AB188" s="537"/>
      <c r="AC188" s="537"/>
      <c r="AD188" s="537"/>
      <c r="AE188" s="537"/>
      <c r="AF188" s="537"/>
      <c r="AG188" s="537"/>
      <c r="AH188" s="537"/>
      <c r="AI188" s="537"/>
      <c r="AJ188" s="37"/>
      <c r="AK188" s="38"/>
      <c r="AL188" s="197"/>
    </row>
    <row r="189" spans="1:38" x14ac:dyDescent="0.25">
      <c r="A189" s="67" t="s">
        <v>30</v>
      </c>
      <c r="B189" s="1">
        <v>40</v>
      </c>
      <c r="C189" s="537"/>
      <c r="D189" s="537"/>
      <c r="E189" s="537"/>
      <c r="F189" s="537"/>
      <c r="G189" s="118">
        <v>13.65</v>
      </c>
      <c r="H189" s="118">
        <v>20.21</v>
      </c>
      <c r="I189" s="37"/>
      <c r="J189" s="537"/>
      <c r="K189" s="118">
        <v>39.25</v>
      </c>
      <c r="L189" s="537"/>
      <c r="M189" s="1">
        <v>21.36</v>
      </c>
      <c r="N189" s="118">
        <v>22.36</v>
      </c>
      <c r="O189" s="537"/>
      <c r="P189" s="1">
        <v>35.6</v>
      </c>
      <c r="Q189" s="37"/>
      <c r="R189" s="537"/>
      <c r="S189" s="1">
        <v>35.799999999999997</v>
      </c>
      <c r="T189" s="537"/>
      <c r="U189" s="537"/>
      <c r="V189" s="1">
        <v>40</v>
      </c>
      <c r="W189" s="57">
        <v>29.27</v>
      </c>
      <c r="X189" s="57">
        <v>15.16</v>
      </c>
      <c r="Y189" s="37"/>
      <c r="Z189" s="537"/>
      <c r="AA189" s="537"/>
      <c r="AB189" s="537"/>
      <c r="AC189" s="537"/>
      <c r="AD189" s="537"/>
      <c r="AE189" s="537"/>
      <c r="AF189" s="57">
        <v>26.9</v>
      </c>
      <c r="AG189" s="537"/>
      <c r="AH189" s="118">
        <v>35.659999999999997</v>
      </c>
      <c r="AI189" s="118">
        <v>27.47</v>
      </c>
      <c r="AJ189" s="37"/>
      <c r="AK189" s="38"/>
      <c r="AL189" s="197"/>
    </row>
    <row r="190" spans="1:38" x14ac:dyDescent="0.25">
      <c r="A190" s="67" t="s">
        <v>17</v>
      </c>
      <c r="B190" s="537"/>
      <c r="C190" s="118">
        <v>33.049999999999997</v>
      </c>
      <c r="D190" s="118">
        <v>22.39</v>
      </c>
      <c r="E190" s="1">
        <v>13.8</v>
      </c>
      <c r="F190" s="537"/>
      <c r="G190" s="537"/>
      <c r="H190" s="537"/>
      <c r="I190" s="37"/>
      <c r="J190" s="537"/>
      <c r="K190" s="537"/>
      <c r="L190" s="537"/>
      <c r="M190" s="530"/>
      <c r="N190" s="537"/>
      <c r="O190" s="537"/>
      <c r="P190" s="537"/>
      <c r="Q190" s="37"/>
      <c r="R190" s="537"/>
      <c r="S190" s="118">
        <v>29.91</v>
      </c>
      <c r="T190" s="537"/>
      <c r="U190" s="537"/>
      <c r="V190" s="537"/>
      <c r="W190" s="530"/>
      <c r="X190" s="530"/>
      <c r="Y190" s="37"/>
      <c r="Z190" s="118">
        <v>30.63</v>
      </c>
      <c r="AA190" s="537"/>
      <c r="AB190" s="161">
        <v>25.53</v>
      </c>
      <c r="AC190" s="161">
        <v>18.77</v>
      </c>
      <c r="AD190" s="537"/>
      <c r="AE190" s="537"/>
      <c r="AF190" s="537"/>
      <c r="AG190" s="118">
        <v>38.840000000000003</v>
      </c>
      <c r="AH190" s="537"/>
      <c r="AI190" s="537"/>
      <c r="AJ190" s="37"/>
      <c r="AK190" s="38"/>
      <c r="AL190" s="197"/>
    </row>
    <row r="191" spans="1:38" ht="15" customHeight="1" x14ac:dyDescent="0.3">
      <c r="A191" s="67" t="s">
        <v>16</v>
      </c>
      <c r="B191" s="537"/>
      <c r="C191" s="537"/>
      <c r="D191" s="537"/>
      <c r="E191" s="537"/>
      <c r="F191" s="118">
        <v>33.28</v>
      </c>
      <c r="G191" s="537"/>
      <c r="H191" s="537"/>
      <c r="I191" s="37"/>
      <c r="J191" s="537"/>
      <c r="K191" s="537"/>
      <c r="L191" s="537"/>
      <c r="M191" s="530"/>
      <c r="N191" s="537"/>
      <c r="O191" s="537"/>
      <c r="P191" s="537"/>
      <c r="Q191" s="37"/>
      <c r="R191" s="537"/>
      <c r="S191" s="537"/>
      <c r="T191" s="537"/>
      <c r="U191" s="118">
        <v>27.73</v>
      </c>
      <c r="V191" s="537"/>
      <c r="W191" s="530"/>
      <c r="X191" s="530"/>
      <c r="Y191" s="37"/>
      <c r="Z191" s="537"/>
      <c r="AA191" s="537"/>
      <c r="AB191" s="537"/>
      <c r="AC191" s="537"/>
      <c r="AD191" s="537"/>
      <c r="AE191" s="537"/>
      <c r="AF191" s="537"/>
      <c r="AG191" s="537"/>
      <c r="AH191" s="537"/>
      <c r="AI191" s="537"/>
      <c r="AJ191" s="37"/>
      <c r="AK191" s="339"/>
      <c r="AL191" s="197"/>
    </row>
    <row r="192" spans="1:38" ht="15" customHeight="1" x14ac:dyDescent="0.25">
      <c r="A192" s="67" t="s">
        <v>33</v>
      </c>
      <c r="B192" s="581"/>
      <c r="C192" s="581"/>
      <c r="D192" s="581"/>
      <c r="E192" s="581"/>
      <c r="F192" s="581"/>
      <c r="G192" s="581"/>
      <c r="H192" s="123">
        <v>25.9</v>
      </c>
      <c r="I192" s="43"/>
      <c r="J192" s="581"/>
      <c r="K192" s="581"/>
      <c r="L192" s="581"/>
      <c r="M192" s="576"/>
      <c r="N192" s="581"/>
      <c r="O192" s="581"/>
      <c r="P192" s="581"/>
      <c r="Q192" s="43"/>
      <c r="R192" s="581"/>
      <c r="S192" s="581"/>
      <c r="T192" s="581"/>
      <c r="U192" s="581"/>
      <c r="V192" s="581"/>
      <c r="W192" s="576"/>
      <c r="X192" s="576"/>
      <c r="Y192" s="43"/>
      <c r="Z192" s="581"/>
      <c r="AA192" s="581"/>
      <c r="AB192" s="581"/>
      <c r="AC192" s="581"/>
      <c r="AD192" s="576"/>
      <c r="AE192" s="581"/>
      <c r="AF192" s="581"/>
      <c r="AG192" s="581"/>
      <c r="AH192" s="581"/>
      <c r="AI192" s="581"/>
      <c r="AJ192" s="43"/>
      <c r="AK192" s="661">
        <v>263.08999999999997</v>
      </c>
      <c r="AL192" s="204"/>
    </row>
    <row r="193" spans="1:38" ht="15" customHeight="1" x14ac:dyDescent="0.25">
      <c r="A193" s="63" t="s">
        <v>18</v>
      </c>
      <c r="B193" s="530"/>
      <c r="C193" s="530"/>
      <c r="D193" s="530"/>
      <c r="E193" s="530"/>
      <c r="F193" s="530"/>
      <c r="G193" s="530"/>
      <c r="H193" s="530"/>
      <c r="I193" s="47"/>
      <c r="J193" s="530"/>
      <c r="K193" s="530"/>
      <c r="L193" s="530"/>
      <c r="M193" s="530"/>
      <c r="N193" s="530"/>
      <c r="O193" s="530"/>
      <c r="P193" s="530"/>
      <c r="Q193" s="47"/>
      <c r="R193" s="530"/>
      <c r="S193" s="530"/>
      <c r="T193" s="530"/>
      <c r="U193" s="530"/>
      <c r="V193" s="530"/>
      <c r="W193" s="530"/>
      <c r="X193" s="530"/>
      <c r="Y193" s="47"/>
      <c r="Z193" s="530"/>
      <c r="AA193" s="530"/>
      <c r="AB193" s="530"/>
      <c r="AC193" s="530"/>
      <c r="AD193" s="530"/>
      <c r="AE193" s="530"/>
      <c r="AF193" s="530"/>
      <c r="AG193" s="530"/>
      <c r="AH193" s="530"/>
      <c r="AI193" s="530"/>
      <c r="AJ193" s="37"/>
      <c r="AK193" s="669">
        <v>183.62</v>
      </c>
      <c r="AL193" s="197"/>
    </row>
    <row r="194" spans="1:38" ht="15.75" x14ac:dyDescent="0.25">
      <c r="A194" s="63" t="s">
        <v>19</v>
      </c>
      <c r="B194" s="584"/>
      <c r="C194" s="584"/>
      <c r="D194" s="584"/>
      <c r="E194" s="584"/>
      <c r="F194" s="584"/>
      <c r="G194" s="584"/>
      <c r="H194" s="584"/>
      <c r="I194" s="43"/>
      <c r="J194" s="584"/>
      <c r="K194" s="584"/>
      <c r="L194" s="584"/>
      <c r="M194" s="589"/>
      <c r="N194" s="584"/>
      <c r="O194" s="584"/>
      <c r="P194" s="584"/>
      <c r="Q194" s="43"/>
      <c r="R194" s="584"/>
      <c r="S194" s="584"/>
      <c r="T194" s="584"/>
      <c r="U194" s="584"/>
      <c r="V194" s="584"/>
      <c r="W194" s="589"/>
      <c r="X194" s="589"/>
      <c r="Y194" s="43"/>
      <c r="Z194" s="584"/>
      <c r="AA194" s="584"/>
      <c r="AB194" s="584"/>
      <c r="AC194" s="584"/>
      <c r="AD194" s="584"/>
      <c r="AE194" s="584"/>
      <c r="AF194" s="584"/>
      <c r="AG194" s="584"/>
      <c r="AH194" s="584"/>
      <c r="AI194" s="584"/>
      <c r="AJ194" s="43"/>
      <c r="AK194" s="117">
        <v>217.87</v>
      </c>
      <c r="AL194" s="204"/>
    </row>
    <row r="195" spans="1:38" ht="15.75" x14ac:dyDescent="0.25">
      <c r="A195" s="67" t="s">
        <v>102</v>
      </c>
      <c r="B195" s="583"/>
      <c r="C195" s="583"/>
      <c r="D195" s="583"/>
      <c r="E195" s="583"/>
      <c r="F195" s="583"/>
      <c r="G195" s="583"/>
      <c r="H195" s="583"/>
      <c r="I195" s="37"/>
      <c r="J195" s="583"/>
      <c r="K195" s="583"/>
      <c r="L195" s="583"/>
      <c r="M195" s="587"/>
      <c r="N195" s="583"/>
      <c r="O195" s="583"/>
      <c r="P195" s="583"/>
      <c r="Q195" s="37"/>
      <c r="R195" s="583"/>
      <c r="S195" s="583"/>
      <c r="T195" s="583"/>
      <c r="U195" s="583"/>
      <c r="V195" s="583"/>
      <c r="W195" s="587"/>
      <c r="X195" s="587"/>
      <c r="Y195" s="37"/>
      <c r="Z195" s="583"/>
      <c r="AA195" s="583"/>
      <c r="AB195" s="583"/>
      <c r="AC195" s="583"/>
      <c r="AD195" s="587"/>
      <c r="AE195" s="583"/>
      <c r="AF195" s="583"/>
      <c r="AG195" s="582"/>
      <c r="AH195" s="583"/>
      <c r="AI195" s="583"/>
      <c r="AJ195" s="37"/>
      <c r="AK195" s="669">
        <v>260.88</v>
      </c>
      <c r="AL195" s="197"/>
    </row>
    <row r="196" spans="1:38" ht="18.75" x14ac:dyDescent="0.3">
      <c r="A196" s="402" t="s">
        <v>2</v>
      </c>
      <c r="B196" s="199">
        <f t="shared" ref="B196:G196" si="7">SUM(B185:B195)</f>
        <v>40</v>
      </c>
      <c r="C196" s="199">
        <f t="shared" si="7"/>
        <v>33.049999999999997</v>
      </c>
      <c r="D196" s="199">
        <f t="shared" si="7"/>
        <v>22.39</v>
      </c>
      <c r="E196" s="199">
        <f t="shared" si="7"/>
        <v>59.53</v>
      </c>
      <c r="F196" s="199">
        <f t="shared" si="7"/>
        <v>48.36</v>
      </c>
      <c r="G196" s="199">
        <f t="shared" si="7"/>
        <v>13.65</v>
      </c>
      <c r="H196" s="199">
        <f>SUM(H185:H195)</f>
        <v>46.11</v>
      </c>
      <c r="I196" s="440">
        <f>SUM(B196:H196)</f>
        <v>263.08999999999997</v>
      </c>
      <c r="J196" s="199">
        <f t="shared" ref="J196:O196" si="8">SUM(J185:J195)</f>
        <v>0</v>
      </c>
      <c r="K196" s="199">
        <f t="shared" si="8"/>
        <v>39.25</v>
      </c>
      <c r="L196" s="199">
        <f t="shared" si="8"/>
        <v>0</v>
      </c>
      <c r="M196" s="199">
        <f t="shared" si="8"/>
        <v>21.36</v>
      </c>
      <c r="N196" s="199">
        <f t="shared" si="8"/>
        <v>57.21</v>
      </c>
      <c r="O196" s="199">
        <f t="shared" si="8"/>
        <v>0</v>
      </c>
      <c r="P196" s="199">
        <f>SUM(P185:P195)</f>
        <v>65.8</v>
      </c>
      <c r="Q196" s="440">
        <f>SUM(J196:P196)</f>
        <v>183.62</v>
      </c>
      <c r="R196" s="199">
        <f>SUM(R185:R195)</f>
        <v>0</v>
      </c>
      <c r="S196" s="199">
        <f>SUM(S185:S195)</f>
        <v>65.709999999999994</v>
      </c>
      <c r="T196" s="199"/>
      <c r="U196" s="199">
        <f>SUM(U185:U195)</f>
        <v>27.73</v>
      </c>
      <c r="V196" s="199">
        <f>SUM(V185:V195)</f>
        <v>40</v>
      </c>
      <c r="W196" s="199">
        <f>SUM(W185:W195)</f>
        <v>69.27</v>
      </c>
      <c r="X196" s="199">
        <f>SUM(X185:X195)</f>
        <v>15.16</v>
      </c>
      <c r="Y196" s="440">
        <f>SUM(R196:X196)</f>
        <v>217.86999999999998</v>
      </c>
      <c r="Z196" s="199">
        <f t="shared" ref="Z196:AG196" si="9">SUM(Z185:Z195)</f>
        <v>53.230000000000004</v>
      </c>
      <c r="AA196" s="199">
        <f t="shared" si="9"/>
        <v>0</v>
      </c>
      <c r="AB196" s="199">
        <f t="shared" si="9"/>
        <v>25.53</v>
      </c>
      <c r="AC196" s="199">
        <f t="shared" si="9"/>
        <v>18.77</v>
      </c>
      <c r="AD196" s="199">
        <f t="shared" si="9"/>
        <v>0</v>
      </c>
      <c r="AE196" s="199">
        <f t="shared" si="9"/>
        <v>0</v>
      </c>
      <c r="AF196" s="199">
        <f t="shared" si="9"/>
        <v>26.9</v>
      </c>
      <c r="AG196" s="199">
        <f t="shared" si="9"/>
        <v>38.840000000000003</v>
      </c>
      <c r="AH196" s="199">
        <f>SUM(AH185:AH195)</f>
        <v>70.139999999999986</v>
      </c>
      <c r="AI196" s="199">
        <f>SUM(AI185:AI195)</f>
        <v>27.47</v>
      </c>
      <c r="AJ196" s="404">
        <f>SUM(Z196:AI196)</f>
        <v>260.88</v>
      </c>
      <c r="AK196" s="952">
        <f>SUM(AK192:AK195)</f>
        <v>925.45999999999992</v>
      </c>
      <c r="AL196" s="442"/>
    </row>
    <row r="197" spans="1:38" ht="15.75" thickBot="1" x14ac:dyDescent="0.3">
      <c r="A197" s="264"/>
      <c r="B197" s="265"/>
      <c r="C197" s="265" t="s">
        <v>341</v>
      </c>
      <c r="D197" s="265" t="s">
        <v>341</v>
      </c>
      <c r="E197" s="265" t="s">
        <v>355</v>
      </c>
      <c r="F197" s="265" t="s">
        <v>355</v>
      </c>
      <c r="G197" s="265" t="s">
        <v>341</v>
      </c>
      <c r="H197" s="265" t="s">
        <v>355</v>
      </c>
      <c r="I197" s="56"/>
      <c r="J197" s="265" t="s">
        <v>357</v>
      </c>
      <c r="K197" s="265" t="s">
        <v>341</v>
      </c>
      <c r="L197" s="265" t="s">
        <v>357</v>
      </c>
      <c r="M197" s="265" t="s">
        <v>341</v>
      </c>
      <c r="N197" s="265" t="s">
        <v>355</v>
      </c>
      <c r="O197" s="265" t="s">
        <v>357</v>
      </c>
      <c r="P197" s="265" t="s">
        <v>355</v>
      </c>
      <c r="Q197" s="56"/>
      <c r="R197" s="265" t="s">
        <v>357</v>
      </c>
      <c r="S197" s="265" t="s">
        <v>355</v>
      </c>
      <c r="T197" s="265" t="s">
        <v>357</v>
      </c>
      <c r="U197" s="265" t="s">
        <v>355</v>
      </c>
      <c r="V197" s="265" t="s">
        <v>341</v>
      </c>
      <c r="W197" s="265" t="s">
        <v>355</v>
      </c>
      <c r="X197" s="265" t="s">
        <v>341</v>
      </c>
      <c r="Y197" s="56"/>
      <c r="Z197" s="265" t="s">
        <v>341</v>
      </c>
      <c r="AA197" s="265" t="s">
        <v>357</v>
      </c>
      <c r="AB197" s="265" t="s">
        <v>341</v>
      </c>
      <c r="AC197" s="265" t="s">
        <v>341</v>
      </c>
      <c r="AD197" s="265" t="s">
        <v>357</v>
      </c>
      <c r="AE197" s="265" t="s">
        <v>357</v>
      </c>
      <c r="AF197" s="265" t="s">
        <v>341</v>
      </c>
      <c r="AG197" s="265" t="s">
        <v>341</v>
      </c>
      <c r="AH197" s="265" t="s">
        <v>355</v>
      </c>
      <c r="AI197" s="265" t="s">
        <v>341</v>
      </c>
      <c r="AJ197" s="56"/>
      <c r="AK197" s="225"/>
      <c r="AL197" s="228"/>
    </row>
    <row r="198" spans="1:38" ht="24" thickBot="1" x14ac:dyDescent="0.4">
      <c r="A198" s="294" t="s">
        <v>151</v>
      </c>
      <c r="B198" s="295"/>
      <c r="C198" s="295"/>
      <c r="D198" s="295"/>
      <c r="E198" s="295"/>
      <c r="F198" s="295"/>
      <c r="G198" s="296"/>
      <c r="H198" s="297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8"/>
      <c r="AA198" s="298"/>
      <c r="AB198" s="298"/>
      <c r="AC198" s="298"/>
      <c r="AD198" s="298"/>
      <c r="AE198" s="298"/>
      <c r="AF198" s="298"/>
      <c r="AG198" s="298"/>
      <c r="AH198" s="298"/>
      <c r="AI198" s="298"/>
      <c r="AJ198" s="299"/>
      <c r="AK198" s="300"/>
      <c r="AL198" s="301"/>
    </row>
    <row r="199" spans="1:38" ht="16.5" thickBot="1" x14ac:dyDescent="0.3">
      <c r="A199" s="319" t="s">
        <v>80</v>
      </c>
      <c r="B199" s="322">
        <v>1</v>
      </c>
      <c r="C199" s="322">
        <v>2</v>
      </c>
      <c r="D199" s="322">
        <v>3</v>
      </c>
      <c r="E199" s="322">
        <v>4</v>
      </c>
      <c r="F199" s="322">
        <v>5</v>
      </c>
      <c r="G199" s="322">
        <v>6</v>
      </c>
      <c r="H199" s="322">
        <v>7</v>
      </c>
      <c r="I199" s="323" t="s">
        <v>6</v>
      </c>
      <c r="J199" s="322">
        <v>8</v>
      </c>
      <c r="K199" s="322">
        <v>9</v>
      </c>
      <c r="L199" s="322">
        <v>10</v>
      </c>
      <c r="M199" s="322">
        <v>11</v>
      </c>
      <c r="N199" s="322">
        <v>12</v>
      </c>
      <c r="O199" s="322">
        <v>13</v>
      </c>
      <c r="P199" s="322">
        <v>14</v>
      </c>
      <c r="Q199" s="323" t="s">
        <v>6</v>
      </c>
      <c r="R199" s="322">
        <v>15</v>
      </c>
      <c r="S199" s="322">
        <v>16</v>
      </c>
      <c r="T199" s="322">
        <v>17</v>
      </c>
      <c r="U199" s="322">
        <v>18</v>
      </c>
      <c r="V199" s="322">
        <v>19</v>
      </c>
      <c r="W199" s="322">
        <v>20</v>
      </c>
      <c r="X199" s="322">
        <v>21</v>
      </c>
      <c r="Y199" s="323" t="s">
        <v>6</v>
      </c>
      <c r="Z199" s="322">
        <v>22</v>
      </c>
      <c r="AA199" s="322">
        <v>23</v>
      </c>
      <c r="AB199" s="322">
        <v>24</v>
      </c>
      <c r="AC199" s="322">
        <v>25</v>
      </c>
      <c r="AD199" s="322">
        <v>26</v>
      </c>
      <c r="AE199" s="322">
        <v>27</v>
      </c>
      <c r="AF199" s="322">
        <v>28</v>
      </c>
      <c r="AG199" s="322">
        <v>29</v>
      </c>
      <c r="AH199" s="322">
        <v>30</v>
      </c>
      <c r="AI199" s="322">
        <v>31</v>
      </c>
      <c r="AJ199" s="324" t="s">
        <v>6</v>
      </c>
      <c r="AK199" s="325" t="s">
        <v>0</v>
      </c>
      <c r="AL199" s="772" t="s">
        <v>42</v>
      </c>
    </row>
    <row r="200" spans="1:38" ht="15" customHeight="1" x14ac:dyDescent="0.3">
      <c r="A200" s="347" t="s">
        <v>81</v>
      </c>
      <c r="B200" s="575"/>
      <c r="C200" s="575"/>
      <c r="D200" s="575"/>
      <c r="E200" s="575"/>
      <c r="F200" s="575"/>
      <c r="G200" s="575"/>
      <c r="H200" s="575"/>
      <c r="I200" s="304"/>
      <c r="J200" s="575"/>
      <c r="K200" s="575"/>
      <c r="L200" s="575"/>
      <c r="M200" s="575"/>
      <c r="N200" s="575"/>
      <c r="O200" s="575"/>
      <c r="P200" s="575"/>
      <c r="Q200" s="304"/>
      <c r="R200" s="575"/>
      <c r="S200" s="575"/>
      <c r="T200" s="575"/>
      <c r="U200" s="575"/>
      <c r="V200" s="575"/>
      <c r="W200" s="575"/>
      <c r="X200" s="575"/>
      <c r="Y200" s="304"/>
      <c r="Z200" s="575"/>
      <c r="AA200" s="575"/>
      <c r="AB200" s="575"/>
      <c r="AC200" s="575"/>
      <c r="AD200" s="575"/>
      <c r="AE200" s="575"/>
      <c r="AF200" s="575"/>
      <c r="AG200" s="575"/>
      <c r="AH200" s="575"/>
      <c r="AI200" s="575"/>
      <c r="AJ200" s="305"/>
      <c r="AK200" s="343"/>
      <c r="AL200" s="207"/>
    </row>
    <row r="201" spans="1:38" ht="15" customHeight="1" x14ac:dyDescent="0.3">
      <c r="A201" s="63" t="s">
        <v>82</v>
      </c>
      <c r="B201" s="581"/>
      <c r="C201" s="581"/>
      <c r="D201" s="581"/>
      <c r="E201" s="581"/>
      <c r="F201" s="581"/>
      <c r="G201" s="581"/>
      <c r="H201" s="581"/>
      <c r="I201" s="43"/>
      <c r="J201" s="581"/>
      <c r="K201" s="581"/>
      <c r="L201" s="581"/>
      <c r="M201" s="581"/>
      <c r="N201" s="581"/>
      <c r="O201" s="581"/>
      <c r="P201" s="581"/>
      <c r="Q201" s="43"/>
      <c r="R201" s="581"/>
      <c r="S201" s="581"/>
      <c r="T201" s="581"/>
      <c r="U201" s="581"/>
      <c r="V201" s="581"/>
      <c r="W201" s="581"/>
      <c r="X201" s="581"/>
      <c r="Y201" s="43"/>
      <c r="Z201" s="581"/>
      <c r="AA201" s="581"/>
      <c r="AB201" s="581"/>
      <c r="AC201" s="581"/>
      <c r="AD201" s="581"/>
      <c r="AE201" s="581"/>
      <c r="AF201" s="581"/>
      <c r="AG201" s="581"/>
      <c r="AH201" s="581"/>
      <c r="AI201" s="581"/>
      <c r="AJ201" s="43"/>
      <c r="AK201" s="379"/>
      <c r="AL201" s="204"/>
    </row>
    <row r="202" spans="1:38" ht="15" customHeight="1" x14ac:dyDescent="0.35">
      <c r="A202" s="195"/>
      <c r="B202" s="530"/>
      <c r="C202" s="530"/>
      <c r="D202" s="530"/>
      <c r="E202" s="530"/>
      <c r="F202" s="530"/>
      <c r="G202" s="530"/>
      <c r="H202" s="530"/>
      <c r="I202" s="157"/>
      <c r="J202" s="530"/>
      <c r="K202" s="530"/>
      <c r="L202" s="530"/>
      <c r="M202" s="530"/>
      <c r="N202" s="530"/>
      <c r="O202" s="530"/>
      <c r="P202" s="530"/>
      <c r="Q202" s="47"/>
      <c r="R202" s="530"/>
      <c r="S202" s="530"/>
      <c r="T202" s="530"/>
      <c r="U202" s="530"/>
      <c r="V202" s="530"/>
      <c r="W202" s="530"/>
      <c r="X202" s="530"/>
      <c r="Y202" s="47"/>
      <c r="Z202" s="530"/>
      <c r="AA202" s="530"/>
      <c r="AB202" s="530"/>
      <c r="AC202" s="530"/>
      <c r="AD202" s="530"/>
      <c r="AE202" s="530"/>
      <c r="AF202" s="530"/>
      <c r="AG202" s="530"/>
      <c r="AH202" s="530"/>
      <c r="AI202" s="530"/>
      <c r="AJ202" s="47"/>
      <c r="AK202" s="422"/>
      <c r="AL202" s="292"/>
    </row>
    <row r="203" spans="1:38" ht="16.5" thickBot="1" x14ac:dyDescent="0.3">
      <c r="A203" s="63"/>
      <c r="B203" s="584"/>
      <c r="C203" s="584"/>
      <c r="D203" s="584"/>
      <c r="E203" s="584"/>
      <c r="F203" s="584"/>
      <c r="G203" s="584"/>
      <c r="H203" s="584"/>
      <c r="I203" s="43"/>
      <c r="J203" s="584"/>
      <c r="K203" s="584"/>
      <c r="L203" s="584"/>
      <c r="M203" s="584"/>
      <c r="N203" s="584"/>
      <c r="O203" s="584"/>
      <c r="P203" s="584"/>
      <c r="Q203" s="43"/>
      <c r="R203" s="584"/>
      <c r="S203" s="584"/>
      <c r="T203" s="584"/>
      <c r="U203" s="584"/>
      <c r="V203" s="584"/>
      <c r="W203" s="584"/>
      <c r="X203" s="584"/>
      <c r="Y203" s="43"/>
      <c r="Z203" s="584"/>
      <c r="AA203" s="584"/>
      <c r="AB203" s="584"/>
      <c r="AC203" s="584"/>
      <c r="AD203" s="584"/>
      <c r="AE203" s="584"/>
      <c r="AF203" s="584"/>
      <c r="AG203" s="584"/>
      <c r="AH203" s="584"/>
      <c r="AI203" s="584"/>
      <c r="AJ203" s="43"/>
      <c r="AK203" s="117"/>
      <c r="AL203" s="350"/>
    </row>
    <row r="204" spans="1:38" ht="23.25" x14ac:dyDescent="0.35">
      <c r="A204" s="281" t="s">
        <v>2</v>
      </c>
      <c r="B204" s="163"/>
      <c r="C204" s="163"/>
      <c r="D204" s="163"/>
      <c r="E204" s="163"/>
      <c r="F204" s="163"/>
      <c r="G204" s="163"/>
      <c r="H204" s="163"/>
      <c r="I204" s="221"/>
      <c r="J204" s="163"/>
      <c r="K204" s="163"/>
      <c r="L204" s="163"/>
      <c r="M204" s="163"/>
      <c r="N204" s="163"/>
      <c r="O204" s="163"/>
      <c r="P204" s="163"/>
      <c r="Q204" s="221"/>
      <c r="R204" s="163"/>
      <c r="S204" s="163"/>
      <c r="T204" s="163"/>
      <c r="U204" s="163"/>
      <c r="V204" s="163"/>
      <c r="W204" s="163"/>
      <c r="X204" s="163"/>
      <c r="Y204" s="221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51"/>
      <c r="AK204" s="351"/>
      <c r="AL204" s="352"/>
    </row>
    <row r="205" spans="1:38" ht="16.5" thickBot="1" x14ac:dyDescent="0.3">
      <c r="A205" s="264"/>
      <c r="B205" s="265"/>
      <c r="C205" s="265"/>
      <c r="D205" s="265"/>
      <c r="E205" s="265"/>
      <c r="F205" s="265"/>
      <c r="G205" s="265"/>
      <c r="H205" s="265"/>
      <c r="I205" s="56"/>
      <c r="J205" s="265"/>
      <c r="K205" s="265"/>
      <c r="L205" s="265"/>
      <c r="M205" s="265"/>
      <c r="N205" s="265"/>
      <c r="O205" s="265"/>
      <c r="P205" s="265"/>
      <c r="Q205" s="56"/>
      <c r="R205" s="265"/>
      <c r="S205" s="265"/>
      <c r="T205" s="265"/>
      <c r="U205" s="265"/>
      <c r="V205" s="265"/>
      <c r="W205" s="265"/>
      <c r="X205" s="265"/>
      <c r="Y205" s="56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56"/>
      <c r="AK205" s="353"/>
      <c r="AL205" s="354"/>
    </row>
    <row r="206" spans="1:38" ht="24" thickBot="1" x14ac:dyDescent="0.4">
      <c r="A206" s="294" t="s">
        <v>152</v>
      </c>
      <c r="B206" s="295"/>
      <c r="C206" s="295"/>
      <c r="D206" s="295"/>
      <c r="E206" s="295"/>
      <c r="F206" s="295"/>
      <c r="G206" s="296"/>
      <c r="H206" s="297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9"/>
      <c r="AK206" s="300"/>
      <c r="AL206" s="301"/>
    </row>
    <row r="207" spans="1:38" ht="16.5" thickBot="1" x14ac:dyDescent="0.3">
      <c r="A207" s="319" t="s">
        <v>20</v>
      </c>
      <c r="B207" s="322">
        <v>1</v>
      </c>
      <c r="C207" s="322">
        <v>2</v>
      </c>
      <c r="D207" s="322">
        <v>3</v>
      </c>
      <c r="E207" s="322">
        <v>4</v>
      </c>
      <c r="F207" s="322">
        <v>5</v>
      </c>
      <c r="G207" s="322">
        <v>6</v>
      </c>
      <c r="H207" s="322">
        <v>7</v>
      </c>
      <c r="I207" s="323" t="s">
        <v>6</v>
      </c>
      <c r="J207" s="322">
        <v>8</v>
      </c>
      <c r="K207" s="322">
        <v>9</v>
      </c>
      <c r="L207" s="322">
        <v>10</v>
      </c>
      <c r="M207" s="322">
        <v>11</v>
      </c>
      <c r="N207" s="322">
        <v>12</v>
      </c>
      <c r="O207" s="322">
        <v>13</v>
      </c>
      <c r="P207" s="322">
        <v>14</v>
      </c>
      <c r="Q207" s="323" t="s">
        <v>6</v>
      </c>
      <c r="R207" s="322">
        <v>15</v>
      </c>
      <c r="S207" s="322">
        <v>16</v>
      </c>
      <c r="T207" s="322">
        <v>17</v>
      </c>
      <c r="U207" s="322">
        <v>18</v>
      </c>
      <c r="V207" s="322">
        <v>19</v>
      </c>
      <c r="W207" s="322">
        <v>20</v>
      </c>
      <c r="X207" s="322">
        <v>21</v>
      </c>
      <c r="Y207" s="323" t="s">
        <v>6</v>
      </c>
      <c r="Z207" s="322">
        <v>22</v>
      </c>
      <c r="AA207" s="322">
        <v>23</v>
      </c>
      <c r="AB207" s="322">
        <v>24</v>
      </c>
      <c r="AC207" s="322">
        <v>25</v>
      </c>
      <c r="AD207" s="322">
        <v>26</v>
      </c>
      <c r="AE207" s="322">
        <v>27</v>
      </c>
      <c r="AF207" s="322">
        <v>28</v>
      </c>
      <c r="AG207" s="322">
        <v>29</v>
      </c>
      <c r="AH207" s="322">
        <v>30</v>
      </c>
      <c r="AI207" s="322">
        <v>31</v>
      </c>
      <c r="AJ207" s="324" t="s">
        <v>6</v>
      </c>
      <c r="AK207" s="325" t="s">
        <v>0</v>
      </c>
      <c r="AL207" s="772" t="s">
        <v>42</v>
      </c>
    </row>
    <row r="208" spans="1:38" x14ac:dyDescent="0.25">
      <c r="A208" s="302" t="s">
        <v>63</v>
      </c>
      <c r="B208" s="575"/>
      <c r="C208" s="575"/>
      <c r="D208" s="575"/>
      <c r="E208" s="303">
        <v>28.14</v>
      </c>
      <c r="F208" s="575"/>
      <c r="G208" s="575"/>
      <c r="H208" s="575"/>
      <c r="I208" s="304"/>
      <c r="J208" s="575"/>
      <c r="K208" s="575"/>
      <c r="L208" s="575"/>
      <c r="M208" s="575"/>
      <c r="N208" s="303">
        <v>31.78</v>
      </c>
      <c r="O208" s="575"/>
      <c r="P208" s="575"/>
      <c r="Q208" s="304"/>
      <c r="R208" s="575"/>
      <c r="S208" s="575"/>
      <c r="T208" s="575"/>
      <c r="U208" s="303">
        <v>26.36</v>
      </c>
      <c r="V208" s="575"/>
      <c r="W208" s="756"/>
      <c r="X208" s="756"/>
      <c r="Y208" s="304"/>
      <c r="Z208" s="575"/>
      <c r="AA208" s="575"/>
      <c r="AB208" s="575"/>
      <c r="AC208" s="411">
        <v>33.840000000000003</v>
      </c>
      <c r="AD208" s="577">
        <v>0</v>
      </c>
      <c r="AE208" s="577">
        <v>0</v>
      </c>
      <c r="AF208" s="575"/>
      <c r="AG208" s="575"/>
      <c r="AH208" s="575"/>
      <c r="AI208" s="303">
        <v>27.61</v>
      </c>
      <c r="AJ208" s="305"/>
      <c r="AK208" s="184"/>
      <c r="AL208" s="207"/>
    </row>
    <row r="209" spans="1:38" x14ac:dyDescent="0.25">
      <c r="A209" s="65" t="s">
        <v>64</v>
      </c>
      <c r="B209" s="537"/>
      <c r="C209" s="537"/>
      <c r="D209" s="1">
        <v>40</v>
      </c>
      <c r="E209" s="537"/>
      <c r="F209" s="537"/>
      <c r="G209" s="537"/>
      <c r="H209" s="118">
        <v>20.75</v>
      </c>
      <c r="I209" s="37"/>
      <c r="J209" s="537"/>
      <c r="K209" s="537"/>
      <c r="L209" s="537"/>
      <c r="M209" s="537"/>
      <c r="N209" s="567">
        <v>25.14</v>
      </c>
      <c r="O209" s="537"/>
      <c r="P209" s="537"/>
      <c r="Q209" s="37"/>
      <c r="R209" s="537"/>
      <c r="S209" s="537"/>
      <c r="T209" s="537"/>
      <c r="U209" s="530"/>
      <c r="V209" s="118">
        <v>38.97</v>
      </c>
      <c r="W209" s="414">
        <v>38.07</v>
      </c>
      <c r="X209" s="597"/>
      <c r="Y209" s="37"/>
      <c r="Z209" s="537"/>
      <c r="AA209" s="537"/>
      <c r="AB209" s="530"/>
      <c r="AC209" s="530"/>
      <c r="AD209" s="530"/>
      <c r="AE209" s="537"/>
      <c r="AF209" s="118">
        <v>33.590000000000003</v>
      </c>
      <c r="AG209" s="537"/>
      <c r="AH209" s="537"/>
      <c r="AI209" s="537"/>
      <c r="AJ209" s="37"/>
      <c r="AK209" s="38"/>
      <c r="AL209" s="197"/>
    </row>
    <row r="210" spans="1:38" x14ac:dyDescent="0.25">
      <c r="A210" s="65" t="s">
        <v>77</v>
      </c>
      <c r="B210" s="537"/>
      <c r="C210" s="537"/>
      <c r="D210" s="537"/>
      <c r="E210" s="118">
        <v>28.32</v>
      </c>
      <c r="F210" s="537"/>
      <c r="G210" s="537"/>
      <c r="H210" s="537"/>
      <c r="I210" s="37"/>
      <c r="J210" s="537"/>
      <c r="K210" s="537"/>
      <c r="L210" s="537"/>
      <c r="M210" s="537"/>
      <c r="N210" s="118">
        <v>35.659999999999997</v>
      </c>
      <c r="O210" s="537"/>
      <c r="P210" s="537"/>
      <c r="Q210" s="37"/>
      <c r="R210" s="537"/>
      <c r="S210" s="537"/>
      <c r="T210" s="537"/>
      <c r="U210" s="537"/>
      <c r="V210" s="537"/>
      <c r="W210" s="414">
        <v>36.19</v>
      </c>
      <c r="X210" s="597"/>
      <c r="Y210" s="37"/>
      <c r="Z210" s="537"/>
      <c r="AA210" s="537"/>
      <c r="AB210" s="530"/>
      <c r="AC210" s="530"/>
      <c r="AD210" s="530"/>
      <c r="AE210" s="537"/>
      <c r="AF210" s="1">
        <v>34.6</v>
      </c>
      <c r="AG210" s="537"/>
      <c r="AH210" s="537"/>
      <c r="AI210" s="537"/>
      <c r="AJ210" s="37"/>
      <c r="AK210" s="38"/>
      <c r="AL210" s="197"/>
    </row>
    <row r="211" spans="1:38" x14ac:dyDescent="0.25">
      <c r="A211" s="65" t="s">
        <v>65</v>
      </c>
      <c r="B211" s="1">
        <v>22.2</v>
      </c>
      <c r="C211" s="537"/>
      <c r="D211" s="118">
        <v>19.920000000000002</v>
      </c>
      <c r="E211" s="537"/>
      <c r="F211" s="537"/>
      <c r="G211" s="1">
        <v>40</v>
      </c>
      <c r="H211" s="530"/>
      <c r="I211" s="37"/>
      <c r="J211" s="537"/>
      <c r="K211" s="537"/>
      <c r="L211" s="537"/>
      <c r="M211" s="537"/>
      <c r="N211" s="537"/>
      <c r="O211" s="537"/>
      <c r="P211" s="57">
        <v>40</v>
      </c>
      <c r="Q211" s="37"/>
      <c r="R211" s="530"/>
      <c r="S211" s="537"/>
      <c r="T211" s="537"/>
      <c r="U211" s="118">
        <v>30.97</v>
      </c>
      <c r="V211" s="537"/>
      <c r="W211" s="414">
        <v>39.19</v>
      </c>
      <c r="X211" s="597"/>
      <c r="Y211" s="37"/>
      <c r="Z211" s="537"/>
      <c r="AA211" s="537"/>
      <c r="AB211" s="57">
        <v>25.15</v>
      </c>
      <c r="AC211" s="530"/>
      <c r="AD211" s="530"/>
      <c r="AE211" s="537"/>
      <c r="AF211" s="1">
        <v>40</v>
      </c>
      <c r="AG211" s="537"/>
      <c r="AH211" s="537"/>
      <c r="AI211" s="537"/>
      <c r="AJ211" s="47"/>
      <c r="AK211" s="48"/>
      <c r="AL211" s="197"/>
    </row>
    <row r="212" spans="1:38" x14ac:dyDescent="0.25">
      <c r="A212" s="65" t="s">
        <v>66</v>
      </c>
      <c r="B212" s="537"/>
      <c r="C212" s="537"/>
      <c r="D212" s="537"/>
      <c r="E212" s="537"/>
      <c r="F212" s="537"/>
      <c r="G212" s="537"/>
      <c r="H212" s="537"/>
      <c r="I212" s="37"/>
      <c r="J212" s="537"/>
      <c r="K212" s="537"/>
      <c r="L212" s="537"/>
      <c r="M212" s="537"/>
      <c r="N212" s="537"/>
      <c r="O212" s="537"/>
      <c r="P212" s="2"/>
      <c r="Q212" s="37"/>
      <c r="R212" s="537"/>
      <c r="S212" s="537"/>
      <c r="T212" s="537"/>
      <c r="U212" s="537"/>
      <c r="V212" s="537"/>
      <c r="W212" s="597"/>
      <c r="X212" s="597"/>
      <c r="Y212" s="37"/>
      <c r="Z212" s="537"/>
      <c r="AA212" s="537"/>
      <c r="AB212" s="530"/>
      <c r="AC212" s="530"/>
      <c r="AD212" s="530"/>
      <c r="AE212" s="537"/>
      <c r="AF212" s="537"/>
      <c r="AG212" s="537"/>
      <c r="AH212" s="537"/>
      <c r="AI212" s="537"/>
      <c r="AJ212" s="37"/>
      <c r="AK212" s="38"/>
      <c r="AL212" s="197"/>
    </row>
    <row r="213" spans="1:38" x14ac:dyDescent="0.25">
      <c r="A213" s="65" t="s">
        <v>67</v>
      </c>
      <c r="B213" s="537"/>
      <c r="C213" s="537"/>
      <c r="D213" s="537"/>
      <c r="E213" s="537"/>
      <c r="F213" s="1">
        <v>40</v>
      </c>
      <c r="G213" s="537"/>
      <c r="H213" s="537"/>
      <c r="I213" s="37"/>
      <c r="J213" s="537"/>
      <c r="K213" s="1">
        <v>40</v>
      </c>
      <c r="L213" s="537"/>
      <c r="M213" s="537"/>
      <c r="N213" s="537"/>
      <c r="O213" s="530"/>
      <c r="P213" s="1">
        <v>40</v>
      </c>
      <c r="Q213" s="37"/>
      <c r="R213" s="537"/>
      <c r="S213" s="537"/>
      <c r="T213" s="118">
        <v>30.83</v>
      </c>
      <c r="U213" s="537"/>
      <c r="V213" s="537"/>
      <c r="W213" s="597"/>
      <c r="X213" s="597"/>
      <c r="Y213" s="37"/>
      <c r="Z213" s="1">
        <v>40</v>
      </c>
      <c r="AA213" s="537"/>
      <c r="AB213" s="530"/>
      <c r="AC213" s="57">
        <v>33.369999999999997</v>
      </c>
      <c r="AD213" s="530"/>
      <c r="AE213" s="537"/>
      <c r="AF213" s="537"/>
      <c r="AG213" s="530"/>
      <c r="AH213" s="1">
        <v>40</v>
      </c>
      <c r="AI213" s="537"/>
      <c r="AJ213" s="37"/>
      <c r="AK213" s="38"/>
      <c r="AL213" s="197"/>
    </row>
    <row r="214" spans="1:38" x14ac:dyDescent="0.25">
      <c r="A214" s="65" t="s">
        <v>68</v>
      </c>
      <c r="B214" s="537"/>
      <c r="C214" s="537"/>
      <c r="D214" s="537"/>
      <c r="E214" s="537"/>
      <c r="F214" s="537"/>
      <c r="G214" s="537"/>
      <c r="H214" s="537"/>
      <c r="I214" s="37"/>
      <c r="J214" s="537"/>
      <c r="K214" s="537"/>
      <c r="L214" s="537"/>
      <c r="M214" s="537"/>
      <c r="N214" s="537"/>
      <c r="O214" s="530"/>
      <c r="P214" s="1">
        <v>40</v>
      </c>
      <c r="Q214" s="37"/>
      <c r="R214" s="537"/>
      <c r="S214" s="537"/>
      <c r="T214" s="537"/>
      <c r="U214" s="537"/>
      <c r="V214" s="537"/>
      <c r="W214" s="597"/>
      <c r="X214" s="597"/>
      <c r="Y214" s="37"/>
      <c r="Z214" s="537"/>
      <c r="AA214" s="537"/>
      <c r="AB214" s="530"/>
      <c r="AC214" s="530"/>
      <c r="AD214" s="530"/>
      <c r="AE214" s="537"/>
      <c r="AF214" s="537"/>
      <c r="AG214" s="537"/>
      <c r="AH214" s="537"/>
      <c r="AI214" s="537"/>
      <c r="AJ214" s="37"/>
      <c r="AK214" s="38"/>
      <c r="AL214" s="197"/>
    </row>
    <row r="215" spans="1:38" x14ac:dyDescent="0.25">
      <c r="A215" s="65" t="s">
        <v>78</v>
      </c>
      <c r="B215" s="537"/>
      <c r="C215" s="537"/>
      <c r="D215" s="537"/>
      <c r="E215" s="537"/>
      <c r="F215" s="537"/>
      <c r="G215" s="537"/>
      <c r="H215" s="537"/>
      <c r="I215" s="37"/>
      <c r="J215" s="537"/>
      <c r="K215" s="537"/>
      <c r="L215" s="537"/>
      <c r="M215" s="537"/>
      <c r="N215" s="537"/>
      <c r="O215" s="537"/>
      <c r="P215" s="537"/>
      <c r="Q215" s="37"/>
      <c r="R215" s="537"/>
      <c r="S215" s="537"/>
      <c r="T215" s="537"/>
      <c r="U215" s="537"/>
      <c r="V215" s="537"/>
      <c r="W215" s="597"/>
      <c r="X215" s="597"/>
      <c r="Y215" s="37"/>
      <c r="Z215" s="537"/>
      <c r="AA215" s="537"/>
      <c r="AB215" s="530"/>
      <c r="AC215" s="530"/>
      <c r="AD215" s="530"/>
      <c r="AE215" s="537"/>
      <c r="AF215" s="537"/>
      <c r="AG215" s="537"/>
      <c r="AH215" s="537"/>
      <c r="AI215" s="537"/>
      <c r="AJ215" s="37"/>
      <c r="AK215" s="38"/>
      <c r="AL215" s="197"/>
    </row>
    <row r="216" spans="1:38" x14ac:dyDescent="0.25">
      <c r="A216" s="65" t="s">
        <v>69</v>
      </c>
      <c r="B216" s="537"/>
      <c r="C216" s="537"/>
      <c r="D216" s="537"/>
      <c r="E216" s="537"/>
      <c r="F216" s="537"/>
      <c r="G216" s="537"/>
      <c r="H216" s="537"/>
      <c r="I216" s="37"/>
      <c r="J216" s="537"/>
      <c r="K216" s="537"/>
      <c r="L216" s="537"/>
      <c r="M216" s="537"/>
      <c r="N216" s="537"/>
      <c r="O216" s="898">
        <v>40</v>
      </c>
      <c r="P216" s="537"/>
      <c r="Q216" s="37"/>
      <c r="R216" s="537"/>
      <c r="S216" s="537"/>
      <c r="T216" s="537"/>
      <c r="U216" s="537"/>
      <c r="V216" s="537"/>
      <c r="W216" s="597"/>
      <c r="X216" s="597"/>
      <c r="Y216" s="37"/>
      <c r="Z216" s="537"/>
      <c r="AA216" s="537"/>
      <c r="AB216" s="530"/>
      <c r="AC216" s="57">
        <v>33.43</v>
      </c>
      <c r="AD216" s="530"/>
      <c r="AE216" s="537"/>
      <c r="AF216" s="537"/>
      <c r="AG216" s="537"/>
      <c r="AH216" s="537"/>
      <c r="AI216" s="537"/>
      <c r="AJ216" s="37"/>
      <c r="AK216" s="38"/>
      <c r="AL216" s="197"/>
    </row>
    <row r="217" spans="1:38" x14ac:dyDescent="0.25">
      <c r="A217" s="65" t="s">
        <v>70</v>
      </c>
      <c r="B217" s="118">
        <v>37.92</v>
      </c>
      <c r="C217" s="537"/>
      <c r="D217" s="537"/>
      <c r="E217" s="537"/>
      <c r="F217" s="537"/>
      <c r="G217" s="1">
        <v>40</v>
      </c>
      <c r="H217" s="537"/>
      <c r="I217" s="37"/>
      <c r="J217" s="537"/>
      <c r="K217" s="537"/>
      <c r="L217" s="537"/>
      <c r="M217" s="1">
        <v>40</v>
      </c>
      <c r="N217" s="537"/>
      <c r="O217" s="537"/>
      <c r="P217" s="537"/>
      <c r="Q217" s="37"/>
      <c r="R217" s="537"/>
      <c r="S217" s="1">
        <v>40</v>
      </c>
      <c r="T217" s="537"/>
      <c r="U217" s="537"/>
      <c r="V217" s="537"/>
      <c r="W217" s="597"/>
      <c r="X217" s="597"/>
      <c r="Y217" s="37"/>
      <c r="Z217" s="537"/>
      <c r="AA217" s="537"/>
      <c r="AB217" s="57">
        <v>35.450000000000003</v>
      </c>
      <c r="AC217" s="530"/>
      <c r="AD217" s="530"/>
      <c r="AE217" s="537"/>
      <c r="AF217" s="537"/>
      <c r="AG217" s="537"/>
      <c r="AH217" s="1">
        <v>40</v>
      </c>
      <c r="AI217" s="537"/>
      <c r="AJ217" s="37"/>
      <c r="AK217" s="38"/>
      <c r="AL217" s="197"/>
    </row>
    <row r="218" spans="1:38" x14ac:dyDescent="0.25">
      <c r="A218" s="65" t="s">
        <v>71</v>
      </c>
      <c r="B218" s="537"/>
      <c r="C218" s="537"/>
      <c r="D218" s="537"/>
      <c r="E218" s="537"/>
      <c r="F218" s="1">
        <v>36.44</v>
      </c>
      <c r="G218" s="537"/>
      <c r="H218" s="537"/>
      <c r="I218" s="37"/>
      <c r="J218" s="537"/>
      <c r="K218" s="537"/>
      <c r="L218" s="537"/>
      <c r="M218" s="1">
        <v>39.36</v>
      </c>
      <c r="N218" s="537"/>
      <c r="O218" s="537"/>
      <c r="P218" s="537"/>
      <c r="Q218" s="37"/>
      <c r="R218" s="537"/>
      <c r="S218" s="537"/>
      <c r="T218" s="537"/>
      <c r="U218" s="118">
        <v>35.28</v>
      </c>
      <c r="V218" s="537"/>
      <c r="W218" s="597"/>
      <c r="X218" s="597"/>
      <c r="Y218" s="37"/>
      <c r="Z218" s="118">
        <v>32.47</v>
      </c>
      <c r="AA218" s="537"/>
      <c r="AB218" s="530"/>
      <c r="AC218" s="530"/>
      <c r="AD218" s="530"/>
      <c r="AE218" s="537"/>
      <c r="AF218" s="537"/>
      <c r="AG218" s="537"/>
      <c r="AH218" s="537"/>
      <c r="AI218" s="537"/>
      <c r="AJ218" s="37"/>
      <c r="AK218" s="38"/>
      <c r="AL218" s="197"/>
    </row>
    <row r="219" spans="1:38" x14ac:dyDescent="0.25">
      <c r="A219" s="65" t="s">
        <v>72</v>
      </c>
      <c r="B219" s="537"/>
      <c r="C219" s="118">
        <v>31.92</v>
      </c>
      <c r="D219" s="537"/>
      <c r="E219" s="537"/>
      <c r="F219" s="537"/>
      <c r="G219" s="537"/>
      <c r="H219" s="537"/>
      <c r="I219" s="37"/>
      <c r="J219" s="537"/>
      <c r="K219" s="1">
        <v>40</v>
      </c>
      <c r="L219" s="537"/>
      <c r="M219" s="537"/>
      <c r="N219" s="582"/>
      <c r="O219" s="537"/>
      <c r="P219" s="1">
        <v>40</v>
      </c>
      <c r="Q219" s="37"/>
      <c r="R219" s="537"/>
      <c r="S219" s="537"/>
      <c r="T219" s="118">
        <v>35.67</v>
      </c>
      <c r="U219" s="537"/>
      <c r="V219" s="530"/>
      <c r="W219" s="597"/>
      <c r="X219" s="597"/>
      <c r="Y219" s="37"/>
      <c r="Z219" s="537"/>
      <c r="AA219" s="1">
        <v>40</v>
      </c>
      <c r="AB219" s="530"/>
      <c r="AC219" s="530"/>
      <c r="AD219" s="530"/>
      <c r="AE219" s="537"/>
      <c r="AF219" s="1">
        <v>40</v>
      </c>
      <c r="AG219" s="537"/>
      <c r="AH219" s="537"/>
      <c r="AI219" s="537"/>
      <c r="AJ219" s="37"/>
      <c r="AK219" s="38"/>
      <c r="AL219" s="197"/>
    </row>
    <row r="220" spans="1:38" x14ac:dyDescent="0.25">
      <c r="A220" s="65" t="s">
        <v>73</v>
      </c>
      <c r="B220" s="537"/>
      <c r="C220" s="537"/>
      <c r="D220" s="537"/>
      <c r="E220" s="537"/>
      <c r="F220" s="530"/>
      <c r="G220" s="1">
        <v>40</v>
      </c>
      <c r="H220" s="537"/>
      <c r="I220" s="37"/>
      <c r="J220" s="537"/>
      <c r="K220" s="537"/>
      <c r="L220" s="537"/>
      <c r="M220" s="537"/>
      <c r="N220" s="537"/>
      <c r="O220" s="537"/>
      <c r="P220" s="1">
        <v>40</v>
      </c>
      <c r="Q220" s="37"/>
      <c r="R220" s="537"/>
      <c r="S220" s="537"/>
      <c r="T220" s="537"/>
      <c r="U220" s="537"/>
      <c r="V220" s="537"/>
      <c r="W220" s="597"/>
      <c r="X220" s="597"/>
      <c r="Y220" s="37"/>
      <c r="Z220" s="1">
        <v>40</v>
      </c>
      <c r="AA220" s="1">
        <v>25.82</v>
      </c>
      <c r="AB220" s="530"/>
      <c r="AC220" s="530"/>
      <c r="AD220" s="530"/>
      <c r="AE220" s="537"/>
      <c r="AF220" s="537"/>
      <c r="AG220" s="537"/>
      <c r="AH220" s="537"/>
      <c r="AI220" s="537"/>
      <c r="AJ220" s="37"/>
      <c r="AK220" s="38"/>
      <c r="AL220" s="197"/>
    </row>
    <row r="221" spans="1:38" x14ac:dyDescent="0.25">
      <c r="A221" s="65" t="s">
        <v>74</v>
      </c>
      <c r="B221" s="537"/>
      <c r="C221" s="118">
        <v>32.56</v>
      </c>
      <c r="D221" s="537"/>
      <c r="E221" s="537"/>
      <c r="F221" s="118">
        <v>29.38</v>
      </c>
      <c r="G221" s="530"/>
      <c r="H221" s="118">
        <v>25.75</v>
      </c>
      <c r="I221" s="37"/>
      <c r="J221" s="537"/>
      <c r="K221" s="118">
        <v>21.07</v>
      </c>
      <c r="L221" s="537"/>
      <c r="M221" s="530"/>
      <c r="N221" s="161">
        <v>36.93</v>
      </c>
      <c r="O221" s="537"/>
      <c r="P221" s="537"/>
      <c r="Q221" s="37"/>
      <c r="R221" s="1">
        <v>36.200000000000003</v>
      </c>
      <c r="S221" s="537"/>
      <c r="T221" s="537"/>
      <c r="U221" s="1">
        <v>30.4</v>
      </c>
      <c r="V221" s="537"/>
      <c r="W221" s="597"/>
      <c r="X221" s="597"/>
      <c r="Y221" s="37"/>
      <c r="Z221" s="1">
        <v>40</v>
      </c>
      <c r="AA221" s="530"/>
      <c r="AB221" s="530"/>
      <c r="AC221" s="530"/>
      <c r="AD221" s="530"/>
      <c r="AE221" s="537"/>
      <c r="AF221" s="530"/>
      <c r="AG221" s="1">
        <v>40</v>
      </c>
      <c r="AH221" s="537"/>
      <c r="AI221" s="118">
        <v>38.76</v>
      </c>
      <c r="AJ221" s="37"/>
      <c r="AK221" s="38"/>
      <c r="AL221" s="197"/>
    </row>
    <row r="222" spans="1:38" x14ac:dyDescent="0.25">
      <c r="A222" s="65" t="s">
        <v>76</v>
      </c>
      <c r="B222" s="537"/>
      <c r="C222" s="1">
        <v>30.4</v>
      </c>
      <c r="D222" s="537"/>
      <c r="E222" s="537"/>
      <c r="F222" s="118">
        <v>27.77</v>
      </c>
      <c r="G222" s="537"/>
      <c r="H222" s="537"/>
      <c r="I222" s="37"/>
      <c r="J222" s="537"/>
      <c r="K222" s="1">
        <v>40</v>
      </c>
      <c r="L222" s="537"/>
      <c r="M222" s="537"/>
      <c r="N222" s="57">
        <v>36.450000000000003</v>
      </c>
      <c r="O222" s="537"/>
      <c r="P222" s="537"/>
      <c r="Q222" s="37"/>
      <c r="R222" s="537"/>
      <c r="S222" s="1">
        <v>40</v>
      </c>
      <c r="T222" s="537"/>
      <c r="U222" s="1">
        <v>31.1</v>
      </c>
      <c r="V222" s="537"/>
      <c r="W222" s="414">
        <v>29.7</v>
      </c>
      <c r="X222" s="597"/>
      <c r="Y222" s="37"/>
      <c r="Z222" s="537"/>
      <c r="AA222" s="537"/>
      <c r="AB222" s="57">
        <v>40</v>
      </c>
      <c r="AC222" s="530"/>
      <c r="AD222" s="530"/>
      <c r="AE222" s="537"/>
      <c r="AF222" s="1">
        <v>40</v>
      </c>
      <c r="AG222" s="537"/>
      <c r="AH222" s="537"/>
      <c r="AI222" s="118">
        <v>39.770000000000003</v>
      </c>
      <c r="AJ222" s="37"/>
      <c r="AK222" s="38"/>
      <c r="AL222" s="197"/>
    </row>
    <row r="223" spans="1:38" x14ac:dyDescent="0.25">
      <c r="A223" s="65" t="s">
        <v>75</v>
      </c>
      <c r="B223" s="537"/>
      <c r="C223" s="530"/>
      <c r="D223" s="537"/>
      <c r="E223" s="537"/>
      <c r="F223" s="537"/>
      <c r="G223" s="537"/>
      <c r="H223" s="537"/>
      <c r="I223" s="37"/>
      <c r="J223" s="537"/>
      <c r="K223" s="537"/>
      <c r="L223" s="530"/>
      <c r="M223" s="1">
        <v>39.799999999999997</v>
      </c>
      <c r="N223" s="537"/>
      <c r="O223" s="537"/>
      <c r="P223" s="537"/>
      <c r="Q223" s="37"/>
      <c r="R223" s="537"/>
      <c r="S223" s="537"/>
      <c r="T223" s="537"/>
      <c r="U223" s="537"/>
      <c r="V223" s="537"/>
      <c r="W223" s="597"/>
      <c r="X223" s="414">
        <v>39.58</v>
      </c>
      <c r="Y223" s="37"/>
      <c r="Z223" s="537"/>
      <c r="AA223" s="537"/>
      <c r="AB223" s="530"/>
      <c r="AC223" s="530"/>
      <c r="AD223" s="530"/>
      <c r="AE223" s="537"/>
      <c r="AF223" s="537"/>
      <c r="AG223" s="537"/>
      <c r="AH223" s="537"/>
      <c r="AI223" s="537"/>
      <c r="AJ223" s="37"/>
      <c r="AK223" s="38"/>
      <c r="AL223" s="197"/>
    </row>
    <row r="224" spans="1:38" x14ac:dyDescent="0.25">
      <c r="A224" s="65" t="s">
        <v>49</v>
      </c>
      <c r="B224" s="537"/>
      <c r="C224" s="537"/>
      <c r="D224" s="537"/>
      <c r="E224" s="537"/>
      <c r="F224" s="537"/>
      <c r="G224" s="537"/>
      <c r="H224" s="537"/>
      <c r="I224" s="37"/>
      <c r="J224" s="537"/>
      <c r="K224" s="537"/>
      <c r="L224" s="537"/>
      <c r="M224" s="537"/>
      <c r="N224" s="537"/>
      <c r="O224" s="537"/>
      <c r="P224" s="537"/>
      <c r="Q224" s="37"/>
      <c r="R224" s="537"/>
      <c r="S224" s="537"/>
      <c r="T224" s="537"/>
      <c r="U224" s="537"/>
      <c r="V224" s="537"/>
      <c r="W224" s="597"/>
      <c r="X224" s="597"/>
      <c r="Y224" s="37"/>
      <c r="Z224" s="537"/>
      <c r="AA224" s="537"/>
      <c r="AB224" s="530"/>
      <c r="AC224" s="57">
        <v>40</v>
      </c>
      <c r="AD224" s="530"/>
      <c r="AE224" s="537"/>
      <c r="AF224" s="537"/>
      <c r="AG224" s="537"/>
      <c r="AH224" s="537"/>
      <c r="AI224" s="537"/>
      <c r="AJ224" s="37"/>
      <c r="AK224" s="38"/>
      <c r="AL224" s="197"/>
    </row>
    <row r="225" spans="1:38" x14ac:dyDescent="0.25">
      <c r="A225" s="65" t="s">
        <v>423</v>
      </c>
      <c r="B225" s="537"/>
      <c r="C225" s="537"/>
      <c r="D225" s="537"/>
      <c r="E225" s="537"/>
      <c r="F225" s="537"/>
      <c r="G225" s="537"/>
      <c r="H225" s="537"/>
      <c r="I225" s="37"/>
      <c r="J225" s="537"/>
      <c r="K225" s="537"/>
      <c r="L225" s="537"/>
      <c r="M225" s="537"/>
      <c r="N225" s="537"/>
      <c r="O225" s="537"/>
      <c r="P225" s="537"/>
      <c r="Q225" s="37"/>
      <c r="R225" s="537"/>
      <c r="S225" s="537"/>
      <c r="T225" s="537"/>
      <c r="U225" s="537"/>
      <c r="V225" s="537"/>
      <c r="W225" s="597"/>
      <c r="X225" s="597"/>
      <c r="Y225" s="37"/>
      <c r="Z225" s="537"/>
      <c r="AA225" s="537"/>
      <c r="AB225" s="57">
        <v>35.090000000000003</v>
      </c>
      <c r="AC225" s="530"/>
      <c r="AD225" s="530"/>
      <c r="AE225" s="537"/>
      <c r="AF225" s="537"/>
      <c r="AG225" s="537"/>
      <c r="AH225" s="537"/>
      <c r="AI225" s="537"/>
      <c r="AJ225" s="37"/>
      <c r="AK225" s="38"/>
      <c r="AL225" s="197"/>
    </row>
    <row r="226" spans="1:38" x14ac:dyDescent="0.25">
      <c r="A226" s="65" t="s">
        <v>50</v>
      </c>
      <c r="B226" s="537"/>
      <c r="C226" s="537"/>
      <c r="D226" s="537"/>
      <c r="E226" s="537"/>
      <c r="F226" s="530"/>
      <c r="G226" s="537"/>
      <c r="H226" s="537"/>
      <c r="I226" s="37"/>
      <c r="J226" s="537"/>
      <c r="K226" s="537"/>
      <c r="L226" s="537"/>
      <c r="M226" s="537"/>
      <c r="N226" s="537"/>
      <c r="O226" s="537"/>
      <c r="P226" s="537"/>
      <c r="Q226" s="37"/>
      <c r="R226" s="537"/>
      <c r="S226" s="537"/>
      <c r="T226" s="537"/>
      <c r="U226" s="537"/>
      <c r="V226" s="537"/>
      <c r="W226" s="597"/>
      <c r="X226" s="597"/>
      <c r="Y226" s="37"/>
      <c r="Z226" s="537"/>
      <c r="AA226" s="537"/>
      <c r="AB226" s="530"/>
      <c r="AC226" s="530"/>
      <c r="AD226" s="530"/>
      <c r="AE226" s="537"/>
      <c r="AF226" s="537"/>
      <c r="AG226" s="537"/>
      <c r="AH226" s="537"/>
      <c r="AI226" s="537"/>
      <c r="AJ226" s="37"/>
      <c r="AK226" s="38"/>
      <c r="AL226" s="197"/>
    </row>
    <row r="227" spans="1:38" x14ac:dyDescent="0.25">
      <c r="A227" s="65" t="s">
        <v>51</v>
      </c>
      <c r="B227" s="537"/>
      <c r="C227" s="537"/>
      <c r="D227" s="537"/>
      <c r="E227" s="537"/>
      <c r="F227" s="537"/>
      <c r="G227" s="537"/>
      <c r="H227" s="537"/>
      <c r="I227" s="37"/>
      <c r="J227" s="537"/>
      <c r="K227" s="537"/>
      <c r="L227" s="537"/>
      <c r="M227" s="537"/>
      <c r="N227" s="537"/>
      <c r="O227" s="537"/>
      <c r="P227" s="537"/>
      <c r="Q227" s="37"/>
      <c r="R227" s="537"/>
      <c r="S227" s="537"/>
      <c r="T227" s="537"/>
      <c r="U227" s="1">
        <v>40</v>
      </c>
      <c r="V227" s="537"/>
      <c r="W227" s="597"/>
      <c r="X227" s="597"/>
      <c r="Y227" s="37"/>
      <c r="Z227" s="537"/>
      <c r="AA227" s="537"/>
      <c r="AB227" s="530"/>
      <c r="AC227" s="530"/>
      <c r="AD227" s="530"/>
      <c r="AE227" s="537"/>
      <c r="AF227" s="537"/>
      <c r="AG227" s="537"/>
      <c r="AH227" s="537"/>
      <c r="AI227" s="537"/>
      <c r="AJ227" s="37"/>
      <c r="AK227" s="38"/>
      <c r="AL227" s="197"/>
    </row>
    <row r="228" spans="1:38" x14ac:dyDescent="0.25">
      <c r="A228" s="65" t="s">
        <v>52</v>
      </c>
      <c r="B228" s="537"/>
      <c r="C228" s="537"/>
      <c r="D228" s="537"/>
      <c r="E228" s="537"/>
      <c r="F228" s="537"/>
      <c r="G228" s="537"/>
      <c r="H228" s="537"/>
      <c r="I228" s="37"/>
      <c r="J228" s="537"/>
      <c r="K228" s="537"/>
      <c r="L228" s="537"/>
      <c r="M228" s="537"/>
      <c r="N228" s="537"/>
      <c r="O228" s="537"/>
      <c r="P228" s="1">
        <v>40</v>
      </c>
      <c r="Q228" s="37"/>
      <c r="R228" s="537"/>
      <c r="S228" s="537"/>
      <c r="T228" s="537"/>
      <c r="U228" s="537"/>
      <c r="V228" s="537"/>
      <c r="W228" s="597"/>
      <c r="X228" s="597"/>
      <c r="Y228" s="37"/>
      <c r="Z228" s="537"/>
      <c r="AA228" s="537"/>
      <c r="AB228" s="530"/>
      <c r="AC228" s="530"/>
      <c r="AD228" s="530"/>
      <c r="AE228" s="537"/>
      <c r="AF228" s="537"/>
      <c r="AG228" s="537"/>
      <c r="AH228" s="537"/>
      <c r="AI228" s="1">
        <v>40</v>
      </c>
      <c r="AJ228" s="37"/>
      <c r="AK228" s="38"/>
      <c r="AL228" s="197"/>
    </row>
    <row r="229" spans="1:38" x14ac:dyDescent="0.25">
      <c r="A229" s="65" t="s">
        <v>53</v>
      </c>
      <c r="B229" s="537"/>
      <c r="C229" s="537"/>
      <c r="D229" s="537"/>
      <c r="E229" s="537"/>
      <c r="F229" s="537"/>
      <c r="G229" s="537"/>
      <c r="H229" s="537"/>
      <c r="I229" s="37"/>
      <c r="J229" s="537"/>
      <c r="K229" s="537"/>
      <c r="L229" s="537"/>
      <c r="M229" s="537"/>
      <c r="N229" s="537"/>
      <c r="O229" s="537"/>
      <c r="P229" s="537"/>
      <c r="Q229" s="37"/>
      <c r="R229" s="537"/>
      <c r="S229" s="537"/>
      <c r="T229" s="537"/>
      <c r="U229" s="537"/>
      <c r="V229" s="537"/>
      <c r="W229" s="597"/>
      <c r="X229" s="597"/>
      <c r="Y229" s="37"/>
      <c r="Z229" s="537"/>
      <c r="AA229" s="537"/>
      <c r="AB229" s="530"/>
      <c r="AC229" s="530"/>
      <c r="AD229" s="530"/>
      <c r="AE229" s="537"/>
      <c r="AF229" s="537"/>
      <c r="AG229" s="537"/>
      <c r="AH229" s="537"/>
      <c r="AI229" s="537"/>
      <c r="AJ229" s="37"/>
      <c r="AK229" s="38"/>
      <c r="AL229" s="197"/>
    </row>
    <row r="230" spans="1:38" x14ac:dyDescent="0.25">
      <c r="A230" s="65" t="s">
        <v>98</v>
      </c>
      <c r="B230" s="537"/>
      <c r="C230" s="537"/>
      <c r="D230" s="537"/>
      <c r="E230" s="118">
        <v>78.849999999999994</v>
      </c>
      <c r="F230" s="537"/>
      <c r="G230" s="537"/>
      <c r="H230" s="537"/>
      <c r="I230" s="37"/>
      <c r="J230" s="537"/>
      <c r="K230" s="537"/>
      <c r="L230" s="537"/>
      <c r="M230" s="537"/>
      <c r="N230" s="537"/>
      <c r="O230" s="537"/>
      <c r="P230" s="537"/>
      <c r="Q230" s="37"/>
      <c r="R230" s="537"/>
      <c r="S230" s="1">
        <v>40</v>
      </c>
      <c r="T230" s="537"/>
      <c r="U230" s="537"/>
      <c r="V230" s="537"/>
      <c r="W230" s="597"/>
      <c r="X230" s="597"/>
      <c r="Y230" s="37"/>
      <c r="Z230" s="1">
        <v>70</v>
      </c>
      <c r="AA230" s="537"/>
      <c r="AB230" s="530"/>
      <c r="AC230" s="530"/>
      <c r="AD230" s="57">
        <v>50</v>
      </c>
      <c r="AE230" s="537"/>
      <c r="AF230" s="537"/>
      <c r="AG230" s="537"/>
      <c r="AH230" s="537"/>
      <c r="AI230" s="537"/>
      <c r="AJ230" s="37"/>
      <c r="AK230" s="38"/>
      <c r="AL230" s="197"/>
    </row>
    <row r="231" spans="1:38" ht="18.75" x14ac:dyDescent="0.3">
      <c r="A231" s="65" t="s">
        <v>83</v>
      </c>
      <c r="B231" s="581"/>
      <c r="C231" s="581"/>
      <c r="D231" s="581"/>
      <c r="E231" s="581"/>
      <c r="F231" s="581"/>
      <c r="G231" s="576"/>
      <c r="H231" s="152">
        <v>39.76</v>
      </c>
      <c r="I231" s="269"/>
      <c r="J231" s="152">
        <v>6.85</v>
      </c>
      <c r="K231" s="576"/>
      <c r="L231" s="581"/>
      <c r="M231" s="581"/>
      <c r="N231" s="171">
        <v>34.94</v>
      </c>
      <c r="O231" s="153">
        <v>40</v>
      </c>
      <c r="P231" s="581"/>
      <c r="Q231" s="269"/>
      <c r="R231" s="581"/>
      <c r="S231" s="581"/>
      <c r="T231" s="153">
        <v>40</v>
      </c>
      <c r="U231" s="581"/>
      <c r="V231" s="581"/>
      <c r="W231" s="598"/>
      <c r="X231" s="415">
        <v>32.76</v>
      </c>
      <c r="Y231" s="269"/>
      <c r="Z231" s="581"/>
      <c r="AA231" s="581"/>
      <c r="AB231" s="175">
        <v>24.25</v>
      </c>
      <c r="AC231" s="175">
        <v>9.85</v>
      </c>
      <c r="AD231" s="576"/>
      <c r="AE231" s="581"/>
      <c r="AF231" s="581"/>
      <c r="AG231" s="152">
        <v>34.28</v>
      </c>
      <c r="AH231" s="581"/>
      <c r="AI231" s="581"/>
      <c r="AJ231" s="269"/>
      <c r="AK231" s="271"/>
      <c r="AL231" s="204"/>
    </row>
    <row r="232" spans="1:38" x14ac:dyDescent="0.25">
      <c r="A232" s="65" t="s">
        <v>84</v>
      </c>
      <c r="B232" s="587"/>
      <c r="C232" s="242">
        <v>21.31</v>
      </c>
      <c r="D232" s="587"/>
      <c r="E232" s="583"/>
      <c r="F232" s="242">
        <v>35.11</v>
      </c>
      <c r="G232" s="240">
        <v>26.77</v>
      </c>
      <c r="H232" s="583"/>
      <c r="I232" s="49"/>
      <c r="J232" s="242">
        <v>40</v>
      </c>
      <c r="K232" s="583"/>
      <c r="L232" s="242">
        <v>40</v>
      </c>
      <c r="M232" s="240">
        <v>25.54</v>
      </c>
      <c r="N232" s="588"/>
      <c r="O232" s="240">
        <v>37.89</v>
      </c>
      <c r="P232" s="582"/>
      <c r="Q232" s="49"/>
      <c r="R232" s="242">
        <v>35.299999999999997</v>
      </c>
      <c r="S232" s="588"/>
      <c r="T232" s="583"/>
      <c r="U232" s="582"/>
      <c r="V232" s="242">
        <v>40</v>
      </c>
      <c r="W232" s="597"/>
      <c r="X232" s="597"/>
      <c r="Y232" s="49"/>
      <c r="Z232" s="583"/>
      <c r="AA232" s="583"/>
      <c r="AB232" s="432">
        <v>40</v>
      </c>
      <c r="AC232" s="587"/>
      <c r="AD232" s="242">
        <v>40</v>
      </c>
      <c r="AE232" s="583"/>
      <c r="AF232" s="582"/>
      <c r="AG232" s="582"/>
      <c r="AH232" s="242">
        <v>40</v>
      </c>
      <c r="AI232" s="240">
        <v>26.92</v>
      </c>
      <c r="AJ232" s="49"/>
      <c r="AK232" s="133"/>
      <c r="AL232" s="197"/>
    </row>
    <row r="233" spans="1:38" x14ac:dyDescent="0.25">
      <c r="A233" s="65" t="s">
        <v>85</v>
      </c>
      <c r="B233" s="587"/>
      <c r="C233" s="587"/>
      <c r="D233" s="587"/>
      <c r="E233" s="583"/>
      <c r="F233" s="583"/>
      <c r="G233" s="583"/>
      <c r="H233" s="583"/>
      <c r="I233" s="49"/>
      <c r="J233" s="583"/>
      <c r="K233" s="583"/>
      <c r="L233" s="588"/>
      <c r="M233" s="583"/>
      <c r="N233" s="242">
        <v>40</v>
      </c>
      <c r="O233" s="587"/>
      <c r="P233" s="583"/>
      <c r="Q233" s="49"/>
      <c r="R233" s="582"/>
      <c r="S233" s="583"/>
      <c r="T233" s="583"/>
      <c r="U233" s="583"/>
      <c r="V233" s="582"/>
      <c r="W233" s="597"/>
      <c r="X233" s="417">
        <v>37.479999999999997</v>
      </c>
      <c r="Y233" s="49"/>
      <c r="Z233" s="240">
        <v>39.39</v>
      </c>
      <c r="AA233" s="583"/>
      <c r="AB233" s="588"/>
      <c r="AC233" s="587"/>
      <c r="AD233" s="588"/>
      <c r="AE233" s="583"/>
      <c r="AF233" s="583"/>
      <c r="AG233" s="240">
        <v>30.66</v>
      </c>
      <c r="AH233" s="583"/>
      <c r="AI233" s="583"/>
      <c r="AJ233" s="49"/>
      <c r="AK233" s="133"/>
      <c r="AL233" s="197"/>
    </row>
    <row r="234" spans="1:38" ht="15" customHeight="1" x14ac:dyDescent="0.3">
      <c r="A234" s="65" t="s">
        <v>62</v>
      </c>
      <c r="B234" s="583"/>
      <c r="C234" s="583"/>
      <c r="D234" s="582"/>
      <c r="E234" s="583"/>
      <c r="F234" s="445">
        <v>38.9</v>
      </c>
      <c r="G234" s="583"/>
      <c r="H234" s="583"/>
      <c r="I234" s="244"/>
      <c r="J234" s="583"/>
      <c r="K234" s="583"/>
      <c r="L234" s="587"/>
      <c r="M234" s="583"/>
      <c r="N234" s="583"/>
      <c r="O234" s="587"/>
      <c r="P234" s="445">
        <v>40</v>
      </c>
      <c r="Q234" s="244"/>
      <c r="R234" s="582"/>
      <c r="S234" s="583"/>
      <c r="T234" s="337">
        <v>35.520000000000003</v>
      </c>
      <c r="U234" s="583"/>
      <c r="V234" s="582"/>
      <c r="W234" s="597"/>
      <c r="X234" s="597"/>
      <c r="Y234" s="244"/>
      <c r="Z234" s="445">
        <v>40</v>
      </c>
      <c r="AA234" s="583"/>
      <c r="AB234" s="587"/>
      <c r="AC234" s="588"/>
      <c r="AD234" s="242">
        <v>34.43</v>
      </c>
      <c r="AE234" s="583"/>
      <c r="AF234" s="583"/>
      <c r="AG234" s="337">
        <v>38.619999999999997</v>
      </c>
      <c r="AH234" s="583"/>
      <c r="AI234" s="583"/>
      <c r="AJ234" s="244"/>
      <c r="AK234" s="170"/>
      <c r="AL234" s="197"/>
    </row>
    <row r="235" spans="1:38" ht="15" customHeight="1" x14ac:dyDescent="0.35">
      <c r="A235" s="65" t="s">
        <v>61</v>
      </c>
      <c r="B235" s="12">
        <v>40</v>
      </c>
      <c r="C235" s="537"/>
      <c r="D235" s="537"/>
      <c r="E235" s="537"/>
      <c r="F235" s="537"/>
      <c r="G235" s="537"/>
      <c r="H235" s="12">
        <v>40</v>
      </c>
      <c r="I235" s="289"/>
      <c r="J235" s="537"/>
      <c r="K235" s="12">
        <v>40</v>
      </c>
      <c r="L235" s="530"/>
      <c r="M235" s="537"/>
      <c r="N235" s="537"/>
      <c r="O235" s="530"/>
      <c r="P235" s="537"/>
      <c r="Q235" s="289"/>
      <c r="R235" s="12">
        <v>40</v>
      </c>
      <c r="S235" s="537"/>
      <c r="T235" s="12">
        <v>40</v>
      </c>
      <c r="U235" s="537"/>
      <c r="V235" s="131">
        <v>32.69</v>
      </c>
      <c r="W235" s="597"/>
      <c r="X235" s="597"/>
      <c r="Y235" s="289"/>
      <c r="Z235" s="12">
        <v>40</v>
      </c>
      <c r="AA235" s="537"/>
      <c r="AB235" s="530"/>
      <c r="AC235" s="135">
        <v>37.46</v>
      </c>
      <c r="AD235" s="588"/>
      <c r="AE235" s="537"/>
      <c r="AF235" s="537"/>
      <c r="AG235" s="582"/>
      <c r="AH235" s="537"/>
      <c r="AI235" s="537"/>
      <c r="AJ235" s="289"/>
      <c r="AK235" s="255"/>
      <c r="AL235" s="292"/>
    </row>
    <row r="236" spans="1:38" x14ac:dyDescent="0.25">
      <c r="A236" s="66" t="s">
        <v>86</v>
      </c>
      <c r="B236" s="589"/>
      <c r="C236" s="584"/>
      <c r="D236" s="584"/>
      <c r="E236" s="584"/>
      <c r="F236" s="585"/>
      <c r="G236" s="584"/>
      <c r="H236" s="584"/>
      <c r="I236" s="290"/>
      <c r="J236" s="584"/>
      <c r="K236" s="584"/>
      <c r="L236" s="586"/>
      <c r="M236" s="584"/>
      <c r="N236" s="584"/>
      <c r="O236" s="589"/>
      <c r="P236" s="585"/>
      <c r="Q236" s="290"/>
      <c r="R236" s="584"/>
      <c r="S236" s="584"/>
      <c r="T236" s="338">
        <v>33.04</v>
      </c>
      <c r="U236" s="584"/>
      <c r="V236" s="584"/>
      <c r="W236" s="598"/>
      <c r="X236" s="598"/>
      <c r="Y236" s="290"/>
      <c r="Z236" s="584"/>
      <c r="AA236" s="338">
        <v>26.01</v>
      </c>
      <c r="AB236" s="589"/>
      <c r="AC236" s="589"/>
      <c r="AD236" s="586"/>
      <c r="AE236" s="584"/>
      <c r="AF236" s="585"/>
      <c r="AG236" s="367">
        <v>33.299999999999997</v>
      </c>
      <c r="AH236" s="584"/>
      <c r="AI236" s="584"/>
      <c r="AJ236" s="290"/>
      <c r="AK236" s="291"/>
      <c r="AL236" s="204"/>
    </row>
    <row r="237" spans="1:38" x14ac:dyDescent="0.25">
      <c r="A237" s="66" t="s">
        <v>100</v>
      </c>
      <c r="B237" s="589"/>
      <c r="C237" s="589"/>
      <c r="D237" s="589"/>
      <c r="E237" s="584"/>
      <c r="F237" s="584"/>
      <c r="G237" s="584"/>
      <c r="H237" s="584"/>
      <c r="I237" s="290"/>
      <c r="J237" s="585"/>
      <c r="K237" s="584"/>
      <c r="L237" s="589"/>
      <c r="M237" s="584"/>
      <c r="N237" s="584"/>
      <c r="O237" s="589"/>
      <c r="P237" s="584"/>
      <c r="Q237" s="290"/>
      <c r="R237" s="584"/>
      <c r="S237" s="584"/>
      <c r="T237" s="584"/>
      <c r="U237" s="584"/>
      <c r="V237" s="584"/>
      <c r="W237" s="598"/>
      <c r="X237" s="598"/>
      <c r="Y237" s="290"/>
      <c r="Z237" s="584"/>
      <c r="AA237" s="584"/>
      <c r="AB237" s="589"/>
      <c r="AC237" s="589"/>
      <c r="AD237" s="586"/>
      <c r="AE237" s="584"/>
      <c r="AF237" s="584"/>
      <c r="AG237" s="585"/>
      <c r="AH237" s="584"/>
      <c r="AI237" s="764"/>
      <c r="AJ237" s="290"/>
      <c r="AK237" s="46"/>
      <c r="AL237" s="204"/>
    </row>
    <row r="238" spans="1:38" x14ac:dyDescent="0.25">
      <c r="A238" s="66" t="s">
        <v>421</v>
      </c>
      <c r="B238" s="589"/>
      <c r="C238" s="589"/>
      <c r="D238" s="589"/>
      <c r="E238" s="584"/>
      <c r="F238" s="584"/>
      <c r="G238" s="584"/>
      <c r="H238" s="584"/>
      <c r="I238" s="290"/>
      <c r="J238" s="585"/>
      <c r="K238" s="584"/>
      <c r="L238" s="589"/>
      <c r="M238" s="584"/>
      <c r="N238" s="584"/>
      <c r="O238" s="589"/>
      <c r="P238" s="338">
        <v>51.69</v>
      </c>
      <c r="Q238" s="290"/>
      <c r="R238" s="584"/>
      <c r="S238" s="584"/>
      <c r="T238" s="584"/>
      <c r="U238" s="584"/>
      <c r="V238" s="584"/>
      <c r="W238" s="598"/>
      <c r="X238" s="598"/>
      <c r="Y238" s="290"/>
      <c r="Z238" s="584"/>
      <c r="AA238" s="584"/>
      <c r="AB238" s="589"/>
      <c r="AC238" s="589"/>
      <c r="AD238" s="586"/>
      <c r="AE238" s="584"/>
      <c r="AF238" s="584"/>
      <c r="AG238" s="586"/>
      <c r="AH238" s="584"/>
      <c r="AI238" s="764"/>
      <c r="AJ238" s="290"/>
      <c r="AK238" s="46"/>
      <c r="AL238" s="204"/>
    </row>
    <row r="239" spans="1:38" ht="18.75" x14ac:dyDescent="0.3">
      <c r="A239" s="514" t="s">
        <v>22</v>
      </c>
      <c r="B239" s="589"/>
      <c r="C239" s="589"/>
      <c r="D239" s="589"/>
      <c r="E239" s="338">
        <v>25.97</v>
      </c>
      <c r="F239" s="584"/>
      <c r="G239" s="584"/>
      <c r="H239" s="585"/>
      <c r="I239" s="290"/>
      <c r="J239" s="585"/>
      <c r="K239" s="367">
        <v>33.79</v>
      </c>
      <c r="L239" s="589"/>
      <c r="M239" s="584"/>
      <c r="N239" s="338">
        <v>24.79</v>
      </c>
      <c r="O239" s="589"/>
      <c r="P239" s="584"/>
      <c r="Q239" s="290"/>
      <c r="R239" s="584"/>
      <c r="S239" s="584"/>
      <c r="T239" s="584"/>
      <c r="U239" s="338">
        <v>41.21</v>
      </c>
      <c r="V239" s="584"/>
      <c r="W239" s="598"/>
      <c r="X239" s="415">
        <v>17.96</v>
      </c>
      <c r="Y239" s="290"/>
      <c r="Z239" s="584"/>
      <c r="AA239" s="584"/>
      <c r="AB239" s="586"/>
      <c r="AC239" s="367">
        <v>27.84</v>
      </c>
      <c r="AD239" s="586"/>
      <c r="AE239" s="584"/>
      <c r="AF239" s="584"/>
      <c r="AG239" s="584"/>
      <c r="AH239" s="338">
        <v>30.26</v>
      </c>
      <c r="AI239" s="764"/>
      <c r="AJ239" s="290"/>
      <c r="AK239" s="342"/>
      <c r="AL239" s="204"/>
    </row>
    <row r="240" spans="1:38" ht="15" customHeight="1" x14ac:dyDescent="0.3">
      <c r="A240" s="514" t="s">
        <v>418</v>
      </c>
      <c r="B240" s="587"/>
      <c r="C240" s="587"/>
      <c r="D240" s="587"/>
      <c r="E240" s="583"/>
      <c r="F240" s="588"/>
      <c r="G240" s="583"/>
      <c r="H240" s="583"/>
      <c r="I240" s="49"/>
      <c r="J240" s="240">
        <v>38.47</v>
      </c>
      <c r="K240" s="583"/>
      <c r="L240" s="587"/>
      <c r="M240" s="583"/>
      <c r="N240" s="583"/>
      <c r="O240" s="587"/>
      <c r="P240" s="583"/>
      <c r="Q240" s="49"/>
      <c r="R240" s="583"/>
      <c r="S240" s="583"/>
      <c r="T240" s="583"/>
      <c r="U240" s="583"/>
      <c r="V240" s="583"/>
      <c r="W240" s="597"/>
      <c r="X240" s="597"/>
      <c r="Y240" s="49"/>
      <c r="Z240" s="583"/>
      <c r="AA240" s="583"/>
      <c r="AB240" s="587"/>
      <c r="AC240" s="587"/>
      <c r="AD240" s="588"/>
      <c r="AE240" s="583"/>
      <c r="AF240" s="583"/>
      <c r="AG240" s="583"/>
      <c r="AH240" s="583"/>
      <c r="AI240" s="583"/>
      <c r="AJ240" s="49"/>
      <c r="AK240" s="378"/>
      <c r="AL240" s="309"/>
    </row>
    <row r="241" spans="1:38" ht="15" customHeight="1" x14ac:dyDescent="0.3">
      <c r="A241" s="514" t="s">
        <v>38</v>
      </c>
      <c r="B241" s="587"/>
      <c r="C241" s="587"/>
      <c r="D241" s="587"/>
      <c r="E241" s="583"/>
      <c r="F241" s="588"/>
      <c r="G241" s="583"/>
      <c r="H241" s="583"/>
      <c r="I241" s="49"/>
      <c r="J241" s="588"/>
      <c r="K241" s="583"/>
      <c r="L241" s="587"/>
      <c r="M241" s="583"/>
      <c r="N241" s="583"/>
      <c r="O241" s="587"/>
      <c r="P241" s="583"/>
      <c r="Q241" s="49"/>
      <c r="R241" s="583"/>
      <c r="S241" s="583"/>
      <c r="T241" s="583"/>
      <c r="U241" s="588"/>
      <c r="V241" s="583"/>
      <c r="W241" s="597"/>
      <c r="X241" s="597"/>
      <c r="Y241" s="49"/>
      <c r="Z241" s="588"/>
      <c r="AA241" s="583"/>
      <c r="AB241" s="587"/>
      <c r="AC241" s="587"/>
      <c r="AD241" s="587"/>
      <c r="AE241" s="588"/>
      <c r="AF241" s="583"/>
      <c r="AG241" s="583"/>
      <c r="AH241" s="583"/>
      <c r="AI241" s="583"/>
      <c r="AJ241" s="49"/>
      <c r="AK241" s="378"/>
      <c r="AL241" s="309"/>
    </row>
    <row r="242" spans="1:38" x14ac:dyDescent="0.25">
      <c r="A242" s="514" t="s">
        <v>87</v>
      </c>
      <c r="B242" s="587"/>
      <c r="C242" s="583"/>
      <c r="D242" s="242">
        <v>36.72</v>
      </c>
      <c r="E242" s="583"/>
      <c r="F242" s="588"/>
      <c r="G242" s="583"/>
      <c r="H242" s="583"/>
      <c r="I242" s="369"/>
      <c r="J242" s="588"/>
      <c r="K242" s="583"/>
      <c r="L242" s="587"/>
      <c r="M242" s="337">
        <v>39.39</v>
      </c>
      <c r="N242" s="583"/>
      <c r="O242" s="587"/>
      <c r="P242" s="583"/>
      <c r="Q242" s="516"/>
      <c r="R242" s="583"/>
      <c r="S242" s="583"/>
      <c r="T242" s="583"/>
      <c r="U242" s="583"/>
      <c r="V242" s="583"/>
      <c r="W242" s="597"/>
      <c r="X242" s="597"/>
      <c r="Y242" s="516"/>
      <c r="Z242" s="583"/>
      <c r="AA242" s="583"/>
      <c r="AB242" s="587"/>
      <c r="AC242" s="587"/>
      <c r="AD242" s="587"/>
      <c r="AE242" s="583"/>
      <c r="AF242" s="583"/>
      <c r="AG242" s="583"/>
      <c r="AH242" s="583"/>
      <c r="AI242" s="583"/>
      <c r="AJ242" s="516"/>
      <c r="AK242" s="333"/>
      <c r="AL242" s="309"/>
    </row>
    <row r="243" spans="1:38" x14ac:dyDescent="0.25">
      <c r="A243" s="514" t="s">
        <v>21</v>
      </c>
      <c r="B243" s="576"/>
      <c r="C243" s="581"/>
      <c r="D243" s="581"/>
      <c r="E243" s="581"/>
      <c r="F243" s="581"/>
      <c r="G243" s="581"/>
      <c r="H243" s="581"/>
      <c r="I243" s="357"/>
      <c r="J243" s="581"/>
      <c r="K243" s="581"/>
      <c r="L243" s="576"/>
      <c r="M243" s="581"/>
      <c r="N243" s="581"/>
      <c r="O243" s="576"/>
      <c r="P243" s="581"/>
      <c r="Q243" s="357"/>
      <c r="R243" s="581"/>
      <c r="S243" s="581"/>
      <c r="T243" s="581"/>
      <c r="U243" s="581"/>
      <c r="V243" s="581"/>
      <c r="W243" s="598"/>
      <c r="X243" s="598"/>
      <c r="Y243" s="357"/>
      <c r="Z243" s="581"/>
      <c r="AA243" s="581"/>
      <c r="AB243" s="576"/>
      <c r="AC243" s="576"/>
      <c r="AD243" s="576"/>
      <c r="AE243" s="581"/>
      <c r="AF243" s="581"/>
      <c r="AG243" s="581"/>
      <c r="AH243" s="581"/>
      <c r="AI243" s="581"/>
      <c r="AJ243" s="357"/>
      <c r="AK243" s="358"/>
      <c r="AL243" s="359"/>
    </row>
    <row r="244" spans="1:38" ht="15.75" x14ac:dyDescent="0.25">
      <c r="A244" s="514" t="s">
        <v>99</v>
      </c>
      <c r="B244" s="576"/>
      <c r="C244" s="581"/>
      <c r="D244" s="152">
        <v>26.25</v>
      </c>
      <c r="E244" s="581"/>
      <c r="F244" s="581"/>
      <c r="G244" s="581"/>
      <c r="H244" s="581"/>
      <c r="I244" s="357"/>
      <c r="J244" s="581"/>
      <c r="K244" s="581"/>
      <c r="L244" s="576"/>
      <c r="M244" s="581"/>
      <c r="N244" s="581"/>
      <c r="O244" s="576"/>
      <c r="P244" s="581"/>
      <c r="Q244" s="357"/>
      <c r="R244" s="581"/>
      <c r="S244" s="581"/>
      <c r="T244" s="581"/>
      <c r="U244" s="581"/>
      <c r="V244" s="581"/>
      <c r="W244" s="598"/>
      <c r="X244" s="598"/>
      <c r="Y244" s="357"/>
      <c r="Z244" s="581"/>
      <c r="AA244" s="581"/>
      <c r="AB244" s="576"/>
      <c r="AC244" s="576"/>
      <c r="AD244" s="576"/>
      <c r="AE244" s="581"/>
      <c r="AF244" s="581"/>
      <c r="AG244" s="581"/>
      <c r="AH244" s="581"/>
      <c r="AI244" s="581"/>
      <c r="AJ244" s="357"/>
      <c r="AK244" s="117">
        <v>1056.42</v>
      </c>
      <c r="AL244" s="359"/>
    </row>
    <row r="245" spans="1:38" ht="15.75" x14ac:dyDescent="0.25">
      <c r="A245" s="515" t="s">
        <v>91</v>
      </c>
      <c r="B245" s="586"/>
      <c r="C245" s="586"/>
      <c r="D245" s="586"/>
      <c r="E245" s="586"/>
      <c r="F245" s="586"/>
      <c r="G245" s="367">
        <v>35.31</v>
      </c>
      <c r="H245" s="586"/>
      <c r="I245" s="374"/>
      <c r="J245" s="586"/>
      <c r="K245" s="586"/>
      <c r="L245" s="586"/>
      <c r="M245" s="586"/>
      <c r="N245" s="586"/>
      <c r="O245" s="586"/>
      <c r="P245" s="367">
        <v>38.18</v>
      </c>
      <c r="Q245" s="290"/>
      <c r="R245" s="586"/>
      <c r="S245" s="584"/>
      <c r="T245" s="585"/>
      <c r="U245" s="584"/>
      <c r="V245" s="584"/>
      <c r="W245" s="598"/>
      <c r="X245" s="598"/>
      <c r="Y245" s="290"/>
      <c r="Z245" s="338">
        <v>37.42</v>
      </c>
      <c r="AA245" s="584"/>
      <c r="AB245" s="589"/>
      <c r="AC245" s="589"/>
      <c r="AD245" s="589"/>
      <c r="AE245" s="584"/>
      <c r="AF245" s="584"/>
      <c r="AG245" s="584"/>
      <c r="AH245" s="338">
        <v>33.64</v>
      </c>
      <c r="AI245" s="584"/>
      <c r="AJ245" s="290"/>
      <c r="AK245" s="117">
        <v>1384.93</v>
      </c>
      <c r="AL245" s="204"/>
    </row>
    <row r="246" spans="1:38" ht="15.75" x14ac:dyDescent="0.25">
      <c r="A246" s="66" t="s">
        <v>101</v>
      </c>
      <c r="B246" s="588"/>
      <c r="C246" s="588"/>
      <c r="D246" s="588"/>
      <c r="E246" s="588"/>
      <c r="F246" s="588"/>
      <c r="G246" s="588"/>
      <c r="H246" s="588"/>
      <c r="I246" s="409"/>
      <c r="J246" s="242">
        <v>66.69</v>
      </c>
      <c r="K246" s="588"/>
      <c r="L246" s="588"/>
      <c r="M246" s="588"/>
      <c r="N246" s="588"/>
      <c r="O246" s="588"/>
      <c r="P246" s="588"/>
      <c r="Q246" s="410"/>
      <c r="R246" s="588"/>
      <c r="S246" s="582"/>
      <c r="T246" s="583"/>
      <c r="U246" s="583"/>
      <c r="V246" s="583"/>
      <c r="W246" s="597"/>
      <c r="X246" s="597"/>
      <c r="Y246" s="49"/>
      <c r="Z246" s="583"/>
      <c r="AA246" s="582"/>
      <c r="AB246" s="587"/>
      <c r="AC246" s="587"/>
      <c r="AD246" s="587"/>
      <c r="AE246" s="583"/>
      <c r="AF246" s="582"/>
      <c r="AG246" s="583"/>
      <c r="AH246" s="583"/>
      <c r="AI246" s="583"/>
      <c r="AJ246" s="49"/>
      <c r="AK246" s="669">
        <v>1144.47</v>
      </c>
      <c r="AL246" s="197"/>
    </row>
    <row r="247" spans="1:38" ht="15" customHeight="1" thickBot="1" x14ac:dyDescent="0.35">
      <c r="A247" s="66" t="s">
        <v>420</v>
      </c>
      <c r="B247" s="590"/>
      <c r="C247" s="591"/>
      <c r="D247" s="591"/>
      <c r="E247" s="591"/>
      <c r="F247" s="845">
        <v>40</v>
      </c>
      <c r="G247" s="591"/>
      <c r="H247" s="591"/>
      <c r="I247" s="334"/>
      <c r="J247" s="591"/>
      <c r="K247" s="591"/>
      <c r="L247" s="897">
        <v>40.520000000000003</v>
      </c>
      <c r="M247" s="591"/>
      <c r="N247" s="591"/>
      <c r="O247" s="590"/>
      <c r="P247" s="591"/>
      <c r="Q247" s="334"/>
      <c r="R247" s="591"/>
      <c r="S247" s="898">
        <v>40</v>
      </c>
      <c r="T247" s="591"/>
      <c r="U247" s="591"/>
      <c r="V247" s="591"/>
      <c r="W247" s="599"/>
      <c r="X247" s="420">
        <v>40</v>
      </c>
      <c r="Y247" s="334"/>
      <c r="Z247" s="591"/>
      <c r="AA247" s="591"/>
      <c r="AB247" s="590"/>
      <c r="AC247" s="872">
        <v>40</v>
      </c>
      <c r="AD247" s="590"/>
      <c r="AE247" s="591"/>
      <c r="AF247" s="845">
        <v>40</v>
      </c>
      <c r="AG247" s="591"/>
      <c r="AH247" s="591"/>
      <c r="AI247" s="591"/>
      <c r="AJ247" s="334"/>
      <c r="AK247" s="743">
        <v>1813.28</v>
      </c>
      <c r="AL247" s="228"/>
    </row>
    <row r="248" spans="1:38" ht="18.75" x14ac:dyDescent="0.3">
      <c r="A248" s="281" t="s">
        <v>2</v>
      </c>
      <c r="B248" s="241">
        <f t="shared" ref="B248:G248" si="10">SUM(B208:B247)</f>
        <v>100.12</v>
      </c>
      <c r="C248" s="241">
        <f t="shared" si="10"/>
        <v>116.19</v>
      </c>
      <c r="D248" s="241">
        <f t="shared" si="10"/>
        <v>122.89</v>
      </c>
      <c r="E248" s="241">
        <f t="shared" si="10"/>
        <v>161.28</v>
      </c>
      <c r="F248" s="241">
        <f t="shared" si="10"/>
        <v>247.6</v>
      </c>
      <c r="G248" s="241">
        <f t="shared" si="10"/>
        <v>182.08</v>
      </c>
      <c r="H248" s="241">
        <f>SUM(H208:H247)</f>
        <v>126.25999999999999</v>
      </c>
      <c r="I248" s="380">
        <f>SUM(B248:H248)</f>
        <v>1056.42</v>
      </c>
      <c r="J248" s="241">
        <f t="shared" ref="J248:O248" si="11">SUM(J208:J247)</f>
        <v>152.01</v>
      </c>
      <c r="K248" s="241">
        <f t="shared" si="11"/>
        <v>214.85999999999999</v>
      </c>
      <c r="L248" s="241">
        <f t="shared" si="11"/>
        <v>80.52000000000001</v>
      </c>
      <c r="M248" s="241">
        <f t="shared" si="11"/>
        <v>184.08999999999997</v>
      </c>
      <c r="N248" s="241">
        <f t="shared" si="11"/>
        <v>265.69</v>
      </c>
      <c r="O248" s="241">
        <f t="shared" si="11"/>
        <v>117.89</v>
      </c>
      <c r="P248" s="241">
        <f>SUM(P208:P247)</f>
        <v>369.87</v>
      </c>
      <c r="Q248" s="377">
        <f>SUM(J248:P248)</f>
        <v>1384.93</v>
      </c>
      <c r="R248" s="241">
        <f t="shared" ref="R248:W248" si="12">SUM(R208:R247)</f>
        <v>111.5</v>
      </c>
      <c r="S248" s="241">
        <f t="shared" si="12"/>
        <v>160</v>
      </c>
      <c r="T248" s="241">
        <f t="shared" si="12"/>
        <v>215.06</v>
      </c>
      <c r="U248" s="241">
        <f t="shared" si="12"/>
        <v>235.32</v>
      </c>
      <c r="V248" s="241">
        <f t="shared" si="12"/>
        <v>111.66</v>
      </c>
      <c r="W248" s="413">
        <f t="shared" si="12"/>
        <v>143.14999999999998</v>
      </c>
      <c r="X248" s="413">
        <f>SUM(X208:X247)</f>
        <v>167.78</v>
      </c>
      <c r="Y248" s="380">
        <f>SUM(R248:X248)</f>
        <v>1144.47</v>
      </c>
      <c r="Z248" s="241">
        <f t="shared" ref="Z248:AG248" si="13">SUM(Z208:Z247)</f>
        <v>379.28000000000003</v>
      </c>
      <c r="AA248" s="241">
        <f t="shared" si="13"/>
        <v>91.83</v>
      </c>
      <c r="AB248" s="241">
        <f t="shared" si="13"/>
        <v>199.94</v>
      </c>
      <c r="AC248" s="241">
        <f t="shared" si="13"/>
        <v>255.79000000000002</v>
      </c>
      <c r="AD248" s="241">
        <f t="shared" si="13"/>
        <v>124.43</v>
      </c>
      <c r="AE248" s="241">
        <f t="shared" si="13"/>
        <v>0</v>
      </c>
      <c r="AF248" s="241">
        <f t="shared" si="13"/>
        <v>228.19</v>
      </c>
      <c r="AG248" s="241">
        <f t="shared" si="13"/>
        <v>176.86</v>
      </c>
      <c r="AH248" s="241">
        <f>SUM(AH208:AH247)</f>
        <v>183.89999999999998</v>
      </c>
      <c r="AI248" s="761">
        <f>SUM(AI208:AI247)</f>
        <v>173.06</v>
      </c>
      <c r="AJ248" s="380">
        <f>SUM(Z248:AI248)</f>
        <v>1813.2800000000002</v>
      </c>
      <c r="AK248" s="701">
        <f>SUM(AK244:AK247)</f>
        <v>5399.1</v>
      </c>
      <c r="AL248" s="284"/>
    </row>
    <row r="249" spans="1:38" ht="19.5" thickBot="1" x14ac:dyDescent="0.35">
      <c r="A249" s="272"/>
      <c r="B249" s="265" t="s">
        <v>368</v>
      </c>
      <c r="C249" s="265" t="s">
        <v>350</v>
      </c>
      <c r="D249" s="265" t="s">
        <v>350</v>
      </c>
      <c r="E249" s="265" t="s">
        <v>350</v>
      </c>
      <c r="F249" s="265" t="s">
        <v>358</v>
      </c>
      <c r="G249" s="265">
        <v>39.5</v>
      </c>
      <c r="H249" s="265" t="s">
        <v>350</v>
      </c>
      <c r="I249" s="334"/>
      <c r="J249" s="265" t="s">
        <v>350</v>
      </c>
      <c r="K249" s="265" t="s">
        <v>352</v>
      </c>
      <c r="L249" s="265" t="s">
        <v>356</v>
      </c>
      <c r="M249" s="265" t="s">
        <v>342</v>
      </c>
      <c r="N249" s="265" t="s">
        <v>373</v>
      </c>
      <c r="O249" s="265" t="s">
        <v>368</v>
      </c>
      <c r="P249" s="265" t="s">
        <v>417</v>
      </c>
      <c r="Q249" s="334"/>
      <c r="R249" s="265" t="s">
        <v>368</v>
      </c>
      <c r="S249" s="265" t="s">
        <v>350</v>
      </c>
      <c r="T249" s="265" t="s">
        <v>352</v>
      </c>
      <c r="U249" s="265" t="s">
        <v>358</v>
      </c>
      <c r="V249" s="265" t="s">
        <v>368</v>
      </c>
      <c r="W249" s="265" t="s">
        <v>350</v>
      </c>
      <c r="X249" s="265" t="s">
        <v>350</v>
      </c>
      <c r="Y249" s="334"/>
      <c r="Z249" s="265" t="s">
        <v>417</v>
      </c>
      <c r="AA249" s="265" t="s">
        <v>368</v>
      </c>
      <c r="AB249" s="265" t="s">
        <v>350</v>
      </c>
      <c r="AC249" s="265" t="s">
        <v>373</v>
      </c>
      <c r="AD249" s="265" t="s">
        <v>368</v>
      </c>
      <c r="AE249" s="265" t="s">
        <v>424</v>
      </c>
      <c r="AF249" s="265" t="s">
        <v>352</v>
      </c>
      <c r="AG249" s="265" t="s">
        <v>342</v>
      </c>
      <c r="AH249" s="265" t="s">
        <v>342</v>
      </c>
      <c r="AI249" s="265" t="s">
        <v>342</v>
      </c>
      <c r="AJ249" s="334"/>
      <c r="AK249" s="273"/>
      <c r="AL249" s="228"/>
    </row>
    <row r="250" spans="1:38" ht="24" thickBot="1" x14ac:dyDescent="0.4">
      <c r="A250" s="252" t="s">
        <v>153</v>
      </c>
      <c r="B250" s="258"/>
      <c r="C250" s="258"/>
      <c r="D250" s="258"/>
      <c r="E250" s="258"/>
      <c r="F250" s="258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  <c r="AD250" s="254"/>
      <c r="AE250" s="254"/>
      <c r="AF250" s="254"/>
      <c r="AG250" s="254"/>
      <c r="AH250" s="254"/>
      <c r="AI250" s="254"/>
      <c r="AJ250" s="260"/>
      <c r="AK250" s="261"/>
      <c r="AL250" s="260"/>
    </row>
    <row r="251" spans="1:38" ht="16.5" thickBot="1" x14ac:dyDescent="0.3">
      <c r="A251" s="222" t="s">
        <v>2</v>
      </c>
      <c r="B251" s="322">
        <v>1</v>
      </c>
      <c r="C251" s="322">
        <v>2</v>
      </c>
      <c r="D251" s="322">
        <v>3</v>
      </c>
      <c r="E251" s="322">
        <v>4</v>
      </c>
      <c r="F251" s="322">
        <v>5</v>
      </c>
      <c r="G251" s="322">
        <v>6</v>
      </c>
      <c r="H251" s="322">
        <v>7</v>
      </c>
      <c r="I251" s="323" t="s">
        <v>6</v>
      </c>
      <c r="J251" s="322">
        <v>8</v>
      </c>
      <c r="K251" s="322">
        <v>9</v>
      </c>
      <c r="L251" s="322">
        <v>10</v>
      </c>
      <c r="M251" s="322">
        <v>11</v>
      </c>
      <c r="N251" s="322">
        <v>12</v>
      </c>
      <c r="O251" s="322">
        <v>13</v>
      </c>
      <c r="P251" s="322">
        <v>14</v>
      </c>
      <c r="Q251" s="323" t="s">
        <v>6</v>
      </c>
      <c r="R251" s="322">
        <v>15</v>
      </c>
      <c r="S251" s="322">
        <v>16</v>
      </c>
      <c r="T251" s="322">
        <v>17</v>
      </c>
      <c r="U251" s="322">
        <v>18</v>
      </c>
      <c r="V251" s="322">
        <v>19</v>
      </c>
      <c r="W251" s="322">
        <v>20</v>
      </c>
      <c r="X251" s="322">
        <v>21</v>
      </c>
      <c r="Y251" s="323" t="s">
        <v>6</v>
      </c>
      <c r="Z251" s="322">
        <v>22</v>
      </c>
      <c r="AA251" s="322">
        <v>23</v>
      </c>
      <c r="AB251" s="322">
        <v>24</v>
      </c>
      <c r="AC251" s="322">
        <v>25</v>
      </c>
      <c r="AD251" s="322">
        <v>26</v>
      </c>
      <c r="AE251" s="322">
        <v>27</v>
      </c>
      <c r="AF251" s="322">
        <v>28</v>
      </c>
      <c r="AG251" s="322">
        <v>29</v>
      </c>
      <c r="AH251" s="322">
        <v>30</v>
      </c>
      <c r="AI251" s="322">
        <v>31</v>
      </c>
      <c r="AJ251" s="324" t="s">
        <v>6</v>
      </c>
      <c r="AK251" s="325" t="s">
        <v>0</v>
      </c>
      <c r="AL251" s="772" t="s">
        <v>42</v>
      </c>
    </row>
    <row r="252" spans="1:38" ht="15" customHeight="1" x14ac:dyDescent="0.25">
      <c r="A252" s="64" t="s">
        <v>57</v>
      </c>
      <c r="B252" s="1">
        <v>49.75</v>
      </c>
      <c r="C252" s="1">
        <v>50</v>
      </c>
      <c r="D252" s="1">
        <v>50</v>
      </c>
      <c r="E252" s="1">
        <v>50</v>
      </c>
      <c r="F252" s="1">
        <v>50</v>
      </c>
      <c r="G252" s="1">
        <v>47.07</v>
      </c>
      <c r="H252" s="1">
        <v>49.11</v>
      </c>
      <c r="I252" s="36"/>
      <c r="J252" s="1">
        <v>50</v>
      </c>
      <c r="K252" s="1">
        <v>19.149999999999999</v>
      </c>
      <c r="L252" s="1">
        <v>50</v>
      </c>
      <c r="M252" s="1">
        <v>50</v>
      </c>
      <c r="N252" s="1">
        <v>41.18</v>
      </c>
      <c r="O252" s="1">
        <v>42.97</v>
      </c>
      <c r="P252" s="1">
        <v>43.45</v>
      </c>
      <c r="Q252" s="36"/>
      <c r="R252" s="1">
        <v>50</v>
      </c>
      <c r="S252" s="1">
        <v>50</v>
      </c>
      <c r="T252" s="57">
        <v>50</v>
      </c>
      <c r="U252" s="1">
        <v>50</v>
      </c>
      <c r="V252" s="1">
        <v>50</v>
      </c>
      <c r="W252" s="1">
        <v>50</v>
      </c>
      <c r="X252" s="1">
        <v>50</v>
      </c>
      <c r="Y252" s="36"/>
      <c r="Z252" s="1">
        <v>50</v>
      </c>
      <c r="AA252" s="1">
        <v>50</v>
      </c>
      <c r="AB252" s="1">
        <v>50</v>
      </c>
      <c r="AC252" s="1">
        <v>50</v>
      </c>
      <c r="AD252" s="1">
        <v>50</v>
      </c>
      <c r="AE252" s="1">
        <v>44.6</v>
      </c>
      <c r="AF252" s="1">
        <v>36.69</v>
      </c>
      <c r="AG252" s="1">
        <v>50</v>
      </c>
      <c r="AH252" s="1">
        <v>50</v>
      </c>
      <c r="AI252" s="55">
        <v>49.49</v>
      </c>
      <c r="AJ252" s="36"/>
      <c r="AK252" s="648">
        <v>1038.1400000000001</v>
      </c>
      <c r="AL252" s="197"/>
    </row>
    <row r="253" spans="1:38" ht="15" customHeight="1" x14ac:dyDescent="0.25">
      <c r="A253" s="11" t="s">
        <v>58</v>
      </c>
      <c r="B253" s="1">
        <v>50</v>
      </c>
      <c r="C253" s="1">
        <v>50</v>
      </c>
      <c r="D253" s="1">
        <v>50</v>
      </c>
      <c r="E253" s="1">
        <v>50</v>
      </c>
      <c r="F253" s="1">
        <v>50</v>
      </c>
      <c r="G253" s="1">
        <v>46.87</v>
      </c>
      <c r="H253" s="1">
        <v>50</v>
      </c>
      <c r="I253" s="37"/>
      <c r="J253" s="1">
        <v>50</v>
      </c>
      <c r="K253" s="1">
        <v>47.39</v>
      </c>
      <c r="L253" s="1">
        <v>22.76</v>
      </c>
      <c r="M253" s="1">
        <v>50</v>
      </c>
      <c r="N253" s="1">
        <v>43.45</v>
      </c>
      <c r="O253" s="1">
        <v>49.67</v>
      </c>
      <c r="P253" s="1">
        <v>50</v>
      </c>
      <c r="Q253" s="37"/>
      <c r="R253" s="1">
        <v>50</v>
      </c>
      <c r="S253" s="1">
        <v>50</v>
      </c>
      <c r="T253" s="57">
        <v>40.22</v>
      </c>
      <c r="U253" s="1">
        <v>50</v>
      </c>
      <c r="V253" s="1">
        <v>50</v>
      </c>
      <c r="W253" s="1">
        <v>50</v>
      </c>
      <c r="X253" s="1">
        <v>40</v>
      </c>
      <c r="Y253" s="37"/>
      <c r="Z253" s="1">
        <v>50</v>
      </c>
      <c r="AA253" s="1">
        <v>50</v>
      </c>
      <c r="AB253" s="1">
        <v>50</v>
      </c>
      <c r="AC253" s="1">
        <v>50</v>
      </c>
      <c r="AD253" s="118">
        <v>42.58</v>
      </c>
      <c r="AE253" s="1">
        <v>50</v>
      </c>
      <c r="AF253" s="1">
        <v>50</v>
      </c>
      <c r="AG253" s="1">
        <v>50</v>
      </c>
      <c r="AH253" s="118">
        <v>49.33</v>
      </c>
      <c r="AI253" s="564">
        <v>35.409999999999997</v>
      </c>
      <c r="AJ253" s="37"/>
      <c r="AK253" s="652">
        <v>940.97</v>
      </c>
      <c r="AL253" s="197"/>
    </row>
    <row r="254" spans="1:38" ht="15" customHeight="1" x14ac:dyDescent="0.25">
      <c r="A254" s="62" t="s">
        <v>59</v>
      </c>
      <c r="B254" s="123">
        <v>49.77</v>
      </c>
      <c r="C254" s="123">
        <v>50</v>
      </c>
      <c r="D254" s="123">
        <v>45.77</v>
      </c>
      <c r="E254" s="123">
        <v>50</v>
      </c>
      <c r="F254" s="123">
        <v>50</v>
      </c>
      <c r="G254" s="123">
        <v>50</v>
      </c>
      <c r="H254" s="123">
        <v>49.8</v>
      </c>
      <c r="I254" s="43"/>
      <c r="J254" s="178">
        <v>47.59</v>
      </c>
      <c r="K254" s="123">
        <v>50</v>
      </c>
      <c r="L254" s="123">
        <v>50</v>
      </c>
      <c r="M254" s="123">
        <v>33.36</v>
      </c>
      <c r="N254" s="123">
        <v>50</v>
      </c>
      <c r="O254" s="123">
        <v>50</v>
      </c>
      <c r="P254" s="123">
        <v>50</v>
      </c>
      <c r="Q254" s="43"/>
      <c r="R254" s="576"/>
      <c r="S254" s="123">
        <v>50</v>
      </c>
      <c r="T254" s="178">
        <v>50</v>
      </c>
      <c r="U254" s="576"/>
      <c r="V254" s="123">
        <v>50</v>
      </c>
      <c r="W254" s="123">
        <v>50</v>
      </c>
      <c r="X254" s="576"/>
      <c r="Y254" s="43"/>
      <c r="Z254" s="123">
        <v>50</v>
      </c>
      <c r="AA254" s="123">
        <v>49.51</v>
      </c>
      <c r="AB254" s="123">
        <v>50</v>
      </c>
      <c r="AC254" s="123">
        <v>28.61</v>
      </c>
      <c r="AD254" s="123">
        <v>50</v>
      </c>
      <c r="AE254" s="576"/>
      <c r="AF254" s="123">
        <v>41.89</v>
      </c>
      <c r="AG254" s="123">
        <v>47.63</v>
      </c>
      <c r="AH254" s="123">
        <v>31.9</v>
      </c>
      <c r="AI254" s="566">
        <v>50</v>
      </c>
      <c r="AJ254" s="43"/>
      <c r="AK254" s="661">
        <v>880.22</v>
      </c>
      <c r="AL254" s="204"/>
    </row>
    <row r="255" spans="1:38" ht="15" customHeight="1" thickBot="1" x14ac:dyDescent="0.35">
      <c r="A255" s="349"/>
      <c r="B255" s="274"/>
      <c r="C255" s="274"/>
      <c r="D255" s="274"/>
      <c r="E255" s="274"/>
      <c r="F255" s="274"/>
      <c r="G255" s="275"/>
      <c r="H255" s="275"/>
      <c r="I255" s="269"/>
      <c r="J255" s="270"/>
      <c r="K255" s="268"/>
      <c r="L255" s="275"/>
      <c r="M255" s="268"/>
      <c r="N255" s="275"/>
      <c r="O255" s="268"/>
      <c r="P255" s="275"/>
      <c r="Q255" s="269"/>
      <c r="R255" s="153"/>
      <c r="S255" s="275"/>
      <c r="T255" s="239"/>
      <c r="U255" s="268"/>
      <c r="V255" s="275"/>
      <c r="W255" s="275"/>
      <c r="X255" s="268"/>
      <c r="Y255" s="269"/>
      <c r="Z255" s="275"/>
      <c r="AA255" s="153"/>
      <c r="AB255" s="268"/>
      <c r="AC255" s="275"/>
      <c r="AD255" s="268"/>
      <c r="AE255" s="275"/>
      <c r="AF255" s="275"/>
      <c r="AG255" s="429"/>
      <c r="AH255" s="268"/>
      <c r="AI255" s="268"/>
      <c r="AJ255" s="269"/>
      <c r="AK255" s="117">
        <v>1357.64</v>
      </c>
      <c r="AL255" s="204"/>
    </row>
    <row r="256" spans="1:38" ht="18.75" x14ac:dyDescent="0.3">
      <c r="A256" s="281" t="s">
        <v>2</v>
      </c>
      <c r="B256" s="307">
        <f t="shared" ref="B256:G256" si="14">SUM(B252:B255)</f>
        <v>149.52000000000001</v>
      </c>
      <c r="C256" s="307">
        <f t="shared" si="14"/>
        <v>150</v>
      </c>
      <c r="D256" s="307">
        <f t="shared" si="14"/>
        <v>145.77000000000001</v>
      </c>
      <c r="E256" s="307">
        <f t="shared" si="14"/>
        <v>150</v>
      </c>
      <c r="F256" s="307">
        <f t="shared" si="14"/>
        <v>150</v>
      </c>
      <c r="G256" s="307">
        <f t="shared" si="14"/>
        <v>143.94</v>
      </c>
      <c r="H256" s="307">
        <f>SUM(H252:H255)</f>
        <v>148.91</v>
      </c>
      <c r="I256" s="376">
        <f>SUM(B256:H256)</f>
        <v>1038.1400000000001</v>
      </c>
      <c r="J256" s="307">
        <f t="shared" ref="J256:O256" si="15">SUM(J252:J255)</f>
        <v>147.59</v>
      </c>
      <c r="K256" s="307">
        <f t="shared" si="15"/>
        <v>116.53999999999999</v>
      </c>
      <c r="L256" s="307">
        <f t="shared" si="15"/>
        <v>122.76</v>
      </c>
      <c r="M256" s="307">
        <f t="shared" si="15"/>
        <v>133.36000000000001</v>
      </c>
      <c r="N256" s="307">
        <f t="shared" si="15"/>
        <v>134.63</v>
      </c>
      <c r="O256" s="307">
        <f t="shared" si="15"/>
        <v>142.63999999999999</v>
      </c>
      <c r="P256" s="307">
        <f>SUM(P252:P255)</f>
        <v>143.44999999999999</v>
      </c>
      <c r="Q256" s="376">
        <f>SUM(J256:P256)</f>
        <v>940.97</v>
      </c>
      <c r="R256" s="307">
        <f t="shared" ref="R256:W256" si="16">SUM(R252:R255)</f>
        <v>100</v>
      </c>
      <c r="S256" s="307">
        <f t="shared" si="16"/>
        <v>150</v>
      </c>
      <c r="T256" s="163">
        <f t="shared" si="16"/>
        <v>140.22</v>
      </c>
      <c r="U256" s="307">
        <f t="shared" si="16"/>
        <v>100</v>
      </c>
      <c r="V256" s="307">
        <f t="shared" si="16"/>
        <v>150</v>
      </c>
      <c r="W256" s="307">
        <f t="shared" si="16"/>
        <v>150</v>
      </c>
      <c r="X256" s="307">
        <f>SUM(X252:X255)</f>
        <v>90</v>
      </c>
      <c r="Y256" s="376">
        <f>SUM(R256:X256)</f>
        <v>880.22</v>
      </c>
      <c r="Z256" s="307">
        <f t="shared" ref="Z256:AG256" si="17">SUM(Z252:Z255)</f>
        <v>150</v>
      </c>
      <c r="AA256" s="307">
        <f t="shared" si="17"/>
        <v>149.51</v>
      </c>
      <c r="AB256" s="307">
        <f t="shared" si="17"/>
        <v>150</v>
      </c>
      <c r="AC256" s="307">
        <f t="shared" si="17"/>
        <v>128.61000000000001</v>
      </c>
      <c r="AD256" s="307">
        <f t="shared" si="17"/>
        <v>142.57999999999998</v>
      </c>
      <c r="AE256" s="307">
        <f t="shared" si="17"/>
        <v>94.6</v>
      </c>
      <c r="AF256" s="307">
        <f t="shared" si="17"/>
        <v>128.57999999999998</v>
      </c>
      <c r="AG256" s="307">
        <f t="shared" si="17"/>
        <v>147.63</v>
      </c>
      <c r="AH256" s="307">
        <f>SUM(AH252:AH255)</f>
        <v>131.22999999999999</v>
      </c>
      <c r="AI256" s="307">
        <f>SUM(AI252:AI255)</f>
        <v>134.9</v>
      </c>
      <c r="AJ256" s="376">
        <f>SUM(Z256:AI256)</f>
        <v>1357.6400000000003</v>
      </c>
      <c r="AK256" s="766">
        <f>SUM(AK252:AK255)</f>
        <v>4216.97</v>
      </c>
      <c r="AL256" s="284"/>
    </row>
    <row r="257" spans="1:38" ht="15.75" thickBot="1" x14ac:dyDescent="0.3">
      <c r="A257" s="264"/>
      <c r="B257" s="265" t="s">
        <v>285</v>
      </c>
      <c r="C257" s="265" t="s">
        <v>285</v>
      </c>
      <c r="D257" s="265" t="s">
        <v>285</v>
      </c>
      <c r="E257" s="265" t="s">
        <v>285</v>
      </c>
      <c r="F257" s="265" t="s">
        <v>285</v>
      </c>
      <c r="G257" s="265" t="s">
        <v>285</v>
      </c>
      <c r="H257" s="265" t="s">
        <v>285</v>
      </c>
      <c r="I257" s="361"/>
      <c r="J257" s="265" t="s">
        <v>285</v>
      </c>
      <c r="K257" s="265" t="s">
        <v>285</v>
      </c>
      <c r="L257" s="265" t="s">
        <v>285</v>
      </c>
      <c r="M257" s="265" t="s">
        <v>285</v>
      </c>
      <c r="N257" s="265" t="s">
        <v>285</v>
      </c>
      <c r="O257" s="265" t="s">
        <v>285</v>
      </c>
      <c r="P257" s="265" t="s">
        <v>285</v>
      </c>
      <c r="Q257" s="361"/>
      <c r="R257" s="265" t="s">
        <v>331</v>
      </c>
      <c r="S257" s="265" t="s">
        <v>285</v>
      </c>
      <c r="T257" s="265" t="s">
        <v>285</v>
      </c>
      <c r="U257" s="265" t="s">
        <v>285</v>
      </c>
      <c r="V257" s="265" t="s">
        <v>285</v>
      </c>
      <c r="W257" s="265" t="s">
        <v>285</v>
      </c>
      <c r="X257" s="265" t="s">
        <v>285</v>
      </c>
      <c r="Y257" s="361"/>
      <c r="Z257" s="265" t="s">
        <v>285</v>
      </c>
      <c r="AA257" s="265" t="s">
        <v>285</v>
      </c>
      <c r="AB257" s="265" t="s">
        <v>285</v>
      </c>
      <c r="AC257" s="265" t="s">
        <v>285</v>
      </c>
      <c r="AD257" s="265" t="s">
        <v>285</v>
      </c>
      <c r="AE257" s="265" t="s">
        <v>331</v>
      </c>
      <c r="AF257" s="265" t="s">
        <v>285</v>
      </c>
      <c r="AG257" s="265" t="s">
        <v>285</v>
      </c>
      <c r="AH257" s="265" t="s">
        <v>285</v>
      </c>
      <c r="AI257" s="265" t="s">
        <v>285</v>
      </c>
      <c r="AJ257" s="361"/>
      <c r="AK257" s="362"/>
      <c r="AL257" s="363"/>
    </row>
    <row r="258" spans="1:38" ht="24" thickBot="1" x14ac:dyDescent="0.4">
      <c r="A258" s="252" t="s">
        <v>154</v>
      </c>
      <c r="B258" s="258"/>
      <c r="C258" s="258"/>
      <c r="D258" s="258"/>
      <c r="E258" s="258"/>
      <c r="F258" s="258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  <c r="AD258" s="254"/>
      <c r="AE258" s="254"/>
      <c r="AF258" s="254"/>
      <c r="AG258" s="254"/>
      <c r="AH258" s="254"/>
      <c r="AI258" s="254"/>
      <c r="AJ258" s="260"/>
      <c r="AK258" s="261"/>
      <c r="AL258" s="260"/>
    </row>
    <row r="259" spans="1:38" ht="15.75" x14ac:dyDescent="0.25">
      <c r="A259" s="11" t="s">
        <v>54</v>
      </c>
      <c r="B259" s="1">
        <v>39.6</v>
      </c>
      <c r="C259" s="1">
        <v>40</v>
      </c>
      <c r="D259" s="1">
        <v>40</v>
      </c>
      <c r="E259" s="1">
        <v>40</v>
      </c>
      <c r="F259" s="1">
        <v>40</v>
      </c>
      <c r="G259" s="1">
        <v>35.79</v>
      </c>
      <c r="H259" s="1">
        <v>35.11</v>
      </c>
      <c r="I259" s="37"/>
      <c r="J259" s="1">
        <v>40</v>
      </c>
      <c r="K259" s="1">
        <v>40</v>
      </c>
      <c r="L259" s="1">
        <v>40</v>
      </c>
      <c r="M259" s="118">
        <v>37.39</v>
      </c>
      <c r="N259" s="1">
        <v>40</v>
      </c>
      <c r="O259" s="1">
        <v>40</v>
      </c>
      <c r="P259" s="1">
        <v>40</v>
      </c>
      <c r="Q259" s="37"/>
      <c r="R259" s="118">
        <v>39.11</v>
      </c>
      <c r="S259" s="1">
        <v>35.54</v>
      </c>
      <c r="T259" s="1">
        <v>40</v>
      </c>
      <c r="U259" s="1">
        <v>40</v>
      </c>
      <c r="V259" s="1">
        <v>40</v>
      </c>
      <c r="W259" s="1">
        <v>29.09</v>
      </c>
      <c r="X259" s="1">
        <v>40</v>
      </c>
      <c r="Y259" s="37"/>
      <c r="Z259" s="1">
        <v>40</v>
      </c>
      <c r="AA259" s="1">
        <v>39.78</v>
      </c>
      <c r="AB259" s="1">
        <v>40</v>
      </c>
      <c r="AC259" s="1">
        <v>40</v>
      </c>
      <c r="AD259" s="1">
        <v>33.81</v>
      </c>
      <c r="AE259" s="1">
        <v>32.200000000000003</v>
      </c>
      <c r="AF259" s="1">
        <v>26.7</v>
      </c>
      <c r="AG259" s="118">
        <v>31.85</v>
      </c>
      <c r="AH259" s="118">
        <v>35.14</v>
      </c>
      <c r="AI259" s="52">
        <v>40</v>
      </c>
      <c r="AJ259" s="37"/>
      <c r="AK259" s="652">
        <v>771.9</v>
      </c>
      <c r="AL259" s="197"/>
    </row>
    <row r="260" spans="1:38" ht="15.75" x14ac:dyDescent="0.25">
      <c r="A260" s="11" t="s">
        <v>55</v>
      </c>
      <c r="B260" s="1">
        <v>37.94</v>
      </c>
      <c r="C260" s="1">
        <v>39.83</v>
      </c>
      <c r="D260" s="1">
        <v>40</v>
      </c>
      <c r="E260" s="1">
        <v>34.72</v>
      </c>
      <c r="F260" s="1">
        <v>35.97</v>
      </c>
      <c r="G260" s="1">
        <v>34.47</v>
      </c>
      <c r="H260" s="1">
        <v>38.08</v>
      </c>
      <c r="I260" s="37"/>
      <c r="J260" s="1">
        <v>40</v>
      </c>
      <c r="K260" s="1">
        <v>40</v>
      </c>
      <c r="L260" s="1">
        <v>40</v>
      </c>
      <c r="M260" s="118">
        <v>38.71</v>
      </c>
      <c r="N260" s="1">
        <v>40</v>
      </c>
      <c r="O260" s="1">
        <v>40</v>
      </c>
      <c r="P260" s="1">
        <v>40</v>
      </c>
      <c r="Q260" s="37"/>
      <c r="R260" s="1">
        <v>40</v>
      </c>
      <c r="S260" s="1">
        <v>35.43</v>
      </c>
      <c r="T260" s="1">
        <v>40</v>
      </c>
      <c r="U260" s="1">
        <v>18.34</v>
      </c>
      <c r="V260" s="1">
        <v>40</v>
      </c>
      <c r="W260" s="1">
        <v>40</v>
      </c>
      <c r="X260" s="1">
        <v>40</v>
      </c>
      <c r="Y260" s="37"/>
      <c r="Z260" s="1">
        <v>40</v>
      </c>
      <c r="AA260" s="1">
        <v>40</v>
      </c>
      <c r="AB260" s="1">
        <v>37.93</v>
      </c>
      <c r="AC260" s="1">
        <v>29.15</v>
      </c>
      <c r="AD260" s="1">
        <v>40</v>
      </c>
      <c r="AE260" s="118">
        <v>24.27</v>
      </c>
      <c r="AF260" s="118">
        <v>31.34</v>
      </c>
      <c r="AG260" s="118">
        <v>34.86</v>
      </c>
      <c r="AH260" s="118">
        <v>37.770000000000003</v>
      </c>
      <c r="AI260" s="52">
        <v>40</v>
      </c>
      <c r="AJ260" s="37"/>
      <c r="AK260" s="648">
        <v>792.73</v>
      </c>
      <c r="AL260" s="197"/>
    </row>
    <row r="261" spans="1:38" ht="15.75" x14ac:dyDescent="0.25">
      <c r="A261" s="62" t="s">
        <v>56</v>
      </c>
      <c r="B261" s="123">
        <v>27.29</v>
      </c>
      <c r="C261" s="123">
        <v>28.28</v>
      </c>
      <c r="D261" s="123">
        <v>37.590000000000003</v>
      </c>
      <c r="E261" s="123">
        <v>40</v>
      </c>
      <c r="F261" s="123">
        <v>40</v>
      </c>
      <c r="G261" s="123">
        <v>40</v>
      </c>
      <c r="H261" s="123">
        <v>27.23</v>
      </c>
      <c r="I261" s="43"/>
      <c r="J261" s="581"/>
      <c r="K261" s="119">
        <v>39.74</v>
      </c>
      <c r="L261" s="123">
        <v>40</v>
      </c>
      <c r="M261" s="119">
        <v>37.380000000000003</v>
      </c>
      <c r="N261" s="123">
        <v>40</v>
      </c>
      <c r="O261" s="119">
        <v>39.51</v>
      </c>
      <c r="P261" s="123">
        <v>40</v>
      </c>
      <c r="Q261" s="43"/>
      <c r="R261" s="123">
        <v>40</v>
      </c>
      <c r="S261" s="123">
        <v>37.229999999999997</v>
      </c>
      <c r="T261" s="119">
        <v>34.07</v>
      </c>
      <c r="U261" s="123">
        <v>40</v>
      </c>
      <c r="V261" s="123">
        <v>40</v>
      </c>
      <c r="W261" s="123">
        <v>40</v>
      </c>
      <c r="X261" s="123">
        <v>27.25</v>
      </c>
      <c r="Y261" s="43"/>
      <c r="Z261" s="123">
        <v>40</v>
      </c>
      <c r="AA261" s="123">
        <v>39.869999999999997</v>
      </c>
      <c r="AB261" s="123">
        <v>40</v>
      </c>
      <c r="AC261" s="123">
        <v>40</v>
      </c>
      <c r="AD261" s="123">
        <v>40</v>
      </c>
      <c r="AE261" s="119">
        <v>35.43</v>
      </c>
      <c r="AF261" s="119">
        <v>30.96</v>
      </c>
      <c r="AG261" s="119">
        <v>34.44</v>
      </c>
      <c r="AH261" s="119">
        <v>31.74</v>
      </c>
      <c r="AI261" s="243">
        <v>40</v>
      </c>
      <c r="AJ261" s="43"/>
      <c r="AK261" s="661">
        <v>776.06</v>
      </c>
      <c r="AL261" s="204"/>
    </row>
    <row r="262" spans="1:38" ht="15.75" x14ac:dyDescent="0.25">
      <c r="A262" s="67"/>
      <c r="B262" s="124"/>
      <c r="C262" s="124"/>
      <c r="D262" s="124"/>
      <c r="E262" s="124"/>
      <c r="F262" s="124"/>
      <c r="G262" s="124"/>
      <c r="H262" s="124"/>
      <c r="I262" s="47"/>
      <c r="J262" s="124"/>
      <c r="K262" s="124"/>
      <c r="L262" s="124"/>
      <c r="M262" s="124"/>
      <c r="N262" s="124"/>
      <c r="O262" s="124"/>
      <c r="P262" s="124"/>
      <c r="Q262" s="47"/>
      <c r="R262" s="124"/>
      <c r="S262" s="124"/>
      <c r="T262" s="124"/>
      <c r="U262" s="124"/>
      <c r="V262" s="124"/>
      <c r="W262" s="124"/>
      <c r="X262" s="124"/>
      <c r="Y262" s="47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37"/>
      <c r="AK262" s="669">
        <v>1087.24</v>
      </c>
      <c r="AL262" s="197"/>
    </row>
    <row r="263" spans="1:38" ht="18.75" x14ac:dyDescent="0.3">
      <c r="A263" s="402" t="s">
        <v>2</v>
      </c>
      <c r="B263" s="403">
        <f t="shared" ref="B263:G263" si="18">SUM(B259:B262)</f>
        <v>104.82999999999998</v>
      </c>
      <c r="C263" s="403">
        <f t="shared" si="18"/>
        <v>108.11</v>
      </c>
      <c r="D263" s="403">
        <f t="shared" si="18"/>
        <v>117.59</v>
      </c>
      <c r="E263" s="403">
        <f t="shared" si="18"/>
        <v>114.72</v>
      </c>
      <c r="F263" s="403">
        <f t="shared" si="18"/>
        <v>115.97</v>
      </c>
      <c r="G263" s="403">
        <f t="shared" si="18"/>
        <v>110.25999999999999</v>
      </c>
      <c r="H263" s="403">
        <f>SUM(H259:H262)</f>
        <v>100.42</v>
      </c>
      <c r="I263" s="404">
        <f>SUM(B263:H263)</f>
        <v>771.9</v>
      </c>
      <c r="J263" s="403">
        <f t="shared" ref="J263:O263" si="19">SUM(J259:J262)</f>
        <v>80</v>
      </c>
      <c r="K263" s="403">
        <f t="shared" si="19"/>
        <v>119.74000000000001</v>
      </c>
      <c r="L263" s="403">
        <f t="shared" si="19"/>
        <v>120</v>
      </c>
      <c r="M263" s="403">
        <f t="shared" si="19"/>
        <v>113.47999999999999</v>
      </c>
      <c r="N263" s="403">
        <f t="shared" si="19"/>
        <v>120</v>
      </c>
      <c r="O263" s="403">
        <f t="shared" si="19"/>
        <v>119.50999999999999</v>
      </c>
      <c r="P263" s="403">
        <f>SUM(P259:P262)</f>
        <v>120</v>
      </c>
      <c r="Q263" s="404">
        <f>SUM(J263:P263)</f>
        <v>792.73</v>
      </c>
      <c r="R263" s="403">
        <f t="shared" ref="R263:W263" si="20">SUM(R259:R262)</f>
        <v>119.11</v>
      </c>
      <c r="S263" s="403">
        <f t="shared" si="20"/>
        <v>108.19999999999999</v>
      </c>
      <c r="T263" s="403">
        <f t="shared" si="20"/>
        <v>114.07</v>
      </c>
      <c r="U263" s="403">
        <f t="shared" si="20"/>
        <v>98.34</v>
      </c>
      <c r="V263" s="403">
        <f t="shared" si="20"/>
        <v>120</v>
      </c>
      <c r="W263" s="403">
        <f t="shared" si="20"/>
        <v>109.09</v>
      </c>
      <c r="X263" s="403">
        <f>SUM(X259:X262)</f>
        <v>107.25</v>
      </c>
      <c r="Y263" s="404">
        <f>SUM(R263:X263)</f>
        <v>776.06000000000006</v>
      </c>
      <c r="Z263" s="403">
        <f t="shared" ref="Z263:AG263" si="21">SUM(Z259:Z262)</f>
        <v>120</v>
      </c>
      <c r="AA263" s="403">
        <f t="shared" si="21"/>
        <v>119.65</v>
      </c>
      <c r="AB263" s="403">
        <f t="shared" si="21"/>
        <v>117.93</v>
      </c>
      <c r="AC263" s="403">
        <f t="shared" si="21"/>
        <v>109.15</v>
      </c>
      <c r="AD263" s="403">
        <f t="shared" si="21"/>
        <v>113.81</v>
      </c>
      <c r="AE263" s="403">
        <f t="shared" si="21"/>
        <v>91.9</v>
      </c>
      <c r="AF263" s="403">
        <f t="shared" si="21"/>
        <v>89</v>
      </c>
      <c r="AG263" s="405">
        <f t="shared" si="21"/>
        <v>101.15</v>
      </c>
      <c r="AH263" s="405">
        <f>SUM(AH259:AH262)</f>
        <v>104.64999999999999</v>
      </c>
      <c r="AI263" s="403">
        <f>SUM(AI259:AI262)</f>
        <v>120</v>
      </c>
      <c r="AJ263" s="404">
        <f>SUM(Z263:AI263)</f>
        <v>1087.2399999999998</v>
      </c>
      <c r="AK263" s="957">
        <f>SUM(AK259:AK262)</f>
        <v>3427.9300000000003</v>
      </c>
      <c r="AL263" s="408"/>
    </row>
    <row r="264" spans="1:38" ht="15.75" thickBot="1" x14ac:dyDescent="0.3">
      <c r="A264" s="364"/>
      <c r="B264" s="265" t="s">
        <v>285</v>
      </c>
      <c r="C264" s="265" t="s">
        <v>285</v>
      </c>
      <c r="D264" s="265" t="s">
        <v>285</v>
      </c>
      <c r="E264" s="265" t="s">
        <v>285</v>
      </c>
      <c r="F264" s="265" t="s">
        <v>285</v>
      </c>
      <c r="G264" s="265" t="s">
        <v>285</v>
      </c>
      <c r="H264" s="265" t="s">
        <v>285</v>
      </c>
      <c r="I264" s="361"/>
      <c r="J264" s="265" t="s">
        <v>331</v>
      </c>
      <c r="K264" s="265" t="s">
        <v>285</v>
      </c>
      <c r="L264" s="265" t="s">
        <v>285</v>
      </c>
      <c r="M264" s="265" t="s">
        <v>285</v>
      </c>
      <c r="N264" s="265" t="s">
        <v>285</v>
      </c>
      <c r="O264" s="265" t="s">
        <v>285</v>
      </c>
      <c r="P264" s="265" t="s">
        <v>285</v>
      </c>
      <c r="Q264" s="361"/>
      <c r="R264" s="265" t="s">
        <v>285</v>
      </c>
      <c r="S264" s="265" t="s">
        <v>285</v>
      </c>
      <c r="T264" s="265" t="s">
        <v>285</v>
      </c>
      <c r="U264" s="265" t="s">
        <v>285</v>
      </c>
      <c r="V264" s="265" t="s">
        <v>285</v>
      </c>
      <c r="W264" s="265" t="s">
        <v>285</v>
      </c>
      <c r="X264" s="265" t="s">
        <v>285</v>
      </c>
      <c r="Y264" s="361"/>
      <c r="Z264" s="265" t="s">
        <v>285</v>
      </c>
      <c r="AA264" s="265" t="s">
        <v>285</v>
      </c>
      <c r="AB264" s="265" t="s">
        <v>285</v>
      </c>
      <c r="AC264" s="265" t="s">
        <v>285</v>
      </c>
      <c r="AD264" s="265" t="s">
        <v>285</v>
      </c>
      <c r="AE264" s="265" t="s">
        <v>285</v>
      </c>
      <c r="AF264" s="265" t="s">
        <v>285</v>
      </c>
      <c r="AG264" s="265" t="s">
        <v>285</v>
      </c>
      <c r="AH264" s="265" t="s">
        <v>285</v>
      </c>
      <c r="AI264" s="265" t="s">
        <v>285</v>
      </c>
      <c r="AJ264" s="361"/>
      <c r="AK264" s="362"/>
      <c r="AL264" s="363"/>
    </row>
    <row r="265" spans="1:38" ht="24" thickBot="1" x14ac:dyDescent="0.4">
      <c r="A265" s="276" t="s">
        <v>155</v>
      </c>
      <c r="B265" s="258"/>
      <c r="C265" s="258"/>
      <c r="D265" s="258"/>
      <c r="E265" s="258"/>
      <c r="F265" s="258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260"/>
      <c r="AK265" s="261"/>
      <c r="AL265" s="260"/>
    </row>
    <row r="266" spans="1:38" ht="16.5" thickBot="1" x14ac:dyDescent="0.3">
      <c r="A266" s="320" t="s">
        <v>24</v>
      </c>
      <c r="B266" s="322">
        <v>1</v>
      </c>
      <c r="C266" s="322">
        <v>2</v>
      </c>
      <c r="D266" s="322">
        <v>3</v>
      </c>
      <c r="E266" s="322">
        <v>4</v>
      </c>
      <c r="F266" s="322">
        <v>5</v>
      </c>
      <c r="G266" s="322">
        <v>6</v>
      </c>
      <c r="H266" s="322">
        <v>7</v>
      </c>
      <c r="I266" s="323" t="s">
        <v>6</v>
      </c>
      <c r="J266" s="322">
        <v>8</v>
      </c>
      <c r="K266" s="322">
        <v>9</v>
      </c>
      <c r="L266" s="322">
        <v>10</v>
      </c>
      <c r="M266" s="322">
        <v>11</v>
      </c>
      <c r="N266" s="322">
        <v>12</v>
      </c>
      <c r="O266" s="322">
        <v>13</v>
      </c>
      <c r="P266" s="322">
        <v>14</v>
      </c>
      <c r="Q266" s="323" t="s">
        <v>6</v>
      </c>
      <c r="R266" s="322">
        <v>15</v>
      </c>
      <c r="S266" s="322">
        <v>16</v>
      </c>
      <c r="T266" s="322">
        <v>17</v>
      </c>
      <c r="U266" s="322">
        <v>18</v>
      </c>
      <c r="V266" s="322">
        <v>19</v>
      </c>
      <c r="W266" s="322">
        <v>20</v>
      </c>
      <c r="X266" s="322">
        <v>21</v>
      </c>
      <c r="Y266" s="323" t="s">
        <v>6</v>
      </c>
      <c r="Z266" s="322">
        <v>22</v>
      </c>
      <c r="AA266" s="322">
        <v>23</v>
      </c>
      <c r="AB266" s="322">
        <v>24</v>
      </c>
      <c r="AC266" s="322">
        <v>25</v>
      </c>
      <c r="AD266" s="322">
        <v>26</v>
      </c>
      <c r="AE266" s="322">
        <v>27</v>
      </c>
      <c r="AF266" s="322">
        <v>28</v>
      </c>
      <c r="AG266" s="322">
        <v>29</v>
      </c>
      <c r="AH266" s="322">
        <v>30</v>
      </c>
      <c r="AI266" s="322">
        <v>31</v>
      </c>
      <c r="AJ266" s="324" t="s">
        <v>6</v>
      </c>
      <c r="AK266" s="325" t="s">
        <v>0</v>
      </c>
      <c r="AL266" s="772" t="s">
        <v>42</v>
      </c>
    </row>
    <row r="267" spans="1:38" x14ac:dyDescent="0.25">
      <c r="A267" s="64" t="s">
        <v>92</v>
      </c>
      <c r="B267" s="531">
        <v>0</v>
      </c>
      <c r="C267" s="531">
        <v>0</v>
      </c>
      <c r="D267" s="531">
        <v>0</v>
      </c>
      <c r="E267" s="531">
        <v>0</v>
      </c>
      <c r="F267" s="531">
        <v>0</v>
      </c>
      <c r="G267" s="531">
        <v>0</v>
      </c>
      <c r="H267" s="531">
        <v>0</v>
      </c>
      <c r="I267" s="36"/>
      <c r="J267" s="531">
        <v>0</v>
      </c>
      <c r="K267" s="531">
        <v>0</v>
      </c>
      <c r="L267" s="531">
        <v>0</v>
      </c>
      <c r="M267" s="531">
        <v>0</v>
      </c>
      <c r="N267" s="531">
        <v>0</v>
      </c>
      <c r="O267" s="531">
        <v>0</v>
      </c>
      <c r="P267" s="531">
        <v>0</v>
      </c>
      <c r="Q267" s="36"/>
      <c r="R267" s="531">
        <v>0</v>
      </c>
      <c r="S267" s="531">
        <v>0</v>
      </c>
      <c r="T267" s="531">
        <v>0</v>
      </c>
      <c r="U267" s="531">
        <v>0</v>
      </c>
      <c r="V267" s="531">
        <v>0</v>
      </c>
      <c r="W267" s="531">
        <v>0</v>
      </c>
      <c r="X267" s="531">
        <v>0</v>
      </c>
      <c r="Y267" s="36"/>
      <c r="Z267" s="531">
        <v>0</v>
      </c>
      <c r="AA267" s="531">
        <v>0</v>
      </c>
      <c r="AB267" s="531">
        <v>0</v>
      </c>
      <c r="AC267" s="531">
        <v>0</v>
      </c>
      <c r="AD267" s="531">
        <v>0</v>
      </c>
      <c r="AE267" s="531">
        <v>0</v>
      </c>
      <c r="AF267" s="531">
        <v>0</v>
      </c>
      <c r="AG267" s="531">
        <v>0</v>
      </c>
      <c r="AH267" s="531">
        <v>0</v>
      </c>
      <c r="AI267" s="531">
        <v>0</v>
      </c>
      <c r="AJ267" s="36"/>
      <c r="AK267" s="38"/>
      <c r="AL267" s="197"/>
    </row>
    <row r="268" spans="1:38" ht="18.75" x14ac:dyDescent="0.3">
      <c r="A268" s="11" t="s">
        <v>94</v>
      </c>
      <c r="B268" s="537"/>
      <c r="C268" s="537"/>
      <c r="D268" s="537"/>
      <c r="E268" s="537"/>
      <c r="F268" s="537"/>
      <c r="G268" s="161">
        <v>273.69</v>
      </c>
      <c r="H268" s="537"/>
      <c r="I268" s="37"/>
      <c r="J268" s="537"/>
      <c r="K268" s="537"/>
      <c r="L268" s="537"/>
      <c r="M268" s="537"/>
      <c r="N268" s="537"/>
      <c r="O268" s="537"/>
      <c r="P268" s="537"/>
      <c r="Q268" s="37"/>
      <c r="R268" s="537"/>
      <c r="S268" s="537"/>
      <c r="T268" s="537"/>
      <c r="U268" s="537"/>
      <c r="V268" s="537"/>
      <c r="W268" s="537"/>
      <c r="X268" s="537"/>
      <c r="Y268" s="37"/>
      <c r="Z268" s="537"/>
      <c r="AA268" s="537"/>
      <c r="AB268" s="537"/>
      <c r="AC268" s="537"/>
      <c r="AD268" s="537"/>
      <c r="AE268" s="537"/>
      <c r="AF268" s="537"/>
      <c r="AG268" s="537"/>
      <c r="AH268" s="537"/>
      <c r="AI268" s="858"/>
      <c r="AJ268" s="37"/>
      <c r="AK268" s="340"/>
      <c r="AL268" s="197"/>
    </row>
    <row r="269" spans="1:38" ht="18.75" x14ac:dyDescent="0.3">
      <c r="A269" s="11" t="s">
        <v>95</v>
      </c>
      <c r="B269" s="537"/>
      <c r="C269" s="537"/>
      <c r="D269" s="537"/>
      <c r="E269" s="537"/>
      <c r="F269" s="537"/>
      <c r="G269" s="161">
        <v>433.35</v>
      </c>
      <c r="H269" s="537"/>
      <c r="I269" s="37"/>
      <c r="J269" s="537"/>
      <c r="K269" s="537"/>
      <c r="L269" s="537"/>
      <c r="M269" s="537"/>
      <c r="N269" s="537"/>
      <c r="O269" s="537"/>
      <c r="P269" s="537"/>
      <c r="Q269" s="37"/>
      <c r="R269" s="537"/>
      <c r="S269" s="537"/>
      <c r="T269" s="537"/>
      <c r="U269" s="537"/>
      <c r="V269" s="537"/>
      <c r="W269" s="537"/>
      <c r="X269" s="537"/>
      <c r="Y269" s="37"/>
      <c r="Z269" s="537"/>
      <c r="AA269" s="537"/>
      <c r="AB269" s="537"/>
      <c r="AC269" s="537"/>
      <c r="AD269" s="537"/>
      <c r="AE269" s="537"/>
      <c r="AF269" s="537"/>
      <c r="AG269" s="537"/>
      <c r="AH269" s="537"/>
      <c r="AI269" s="858"/>
      <c r="AJ269" s="37"/>
      <c r="AK269" s="340"/>
      <c r="AL269" s="197"/>
    </row>
    <row r="270" spans="1:38" ht="15.75" x14ac:dyDescent="0.25">
      <c r="A270" s="11" t="s">
        <v>96</v>
      </c>
      <c r="B270" s="537"/>
      <c r="C270" s="537"/>
      <c r="D270" s="537"/>
      <c r="E270" s="537"/>
      <c r="F270" s="537"/>
      <c r="G270" s="537"/>
      <c r="H270" s="537"/>
      <c r="I270" s="37"/>
      <c r="J270" s="537"/>
      <c r="K270" s="537"/>
      <c r="L270" s="537"/>
      <c r="M270" s="537"/>
      <c r="N270" s="537"/>
      <c r="O270" s="537"/>
      <c r="P270" s="537"/>
      <c r="Q270" s="37"/>
      <c r="R270" s="537"/>
      <c r="S270" s="537"/>
      <c r="T270" s="537"/>
      <c r="U270" s="537"/>
      <c r="V270" s="537"/>
      <c r="W270" s="537"/>
      <c r="X270" s="537"/>
      <c r="Y270" s="37"/>
      <c r="Z270" s="537"/>
      <c r="AA270" s="537"/>
      <c r="AB270" s="537"/>
      <c r="AC270" s="537"/>
      <c r="AD270" s="537"/>
      <c r="AE270" s="537"/>
      <c r="AF270" s="537"/>
      <c r="AG270" s="537"/>
      <c r="AH270" s="537"/>
      <c r="AI270" s="858"/>
      <c r="AJ270" s="37"/>
      <c r="AK270" s="652">
        <v>2069.4499999999998</v>
      </c>
      <c r="AL270" s="197"/>
    </row>
    <row r="271" spans="1:38" ht="15.75" x14ac:dyDescent="0.25">
      <c r="A271" s="11" t="s">
        <v>97</v>
      </c>
      <c r="B271" s="530"/>
      <c r="C271" s="530"/>
      <c r="D271" s="530"/>
      <c r="E271" s="530"/>
      <c r="F271" s="530"/>
      <c r="G271" s="537"/>
      <c r="H271" s="530"/>
      <c r="I271" s="37"/>
      <c r="J271" s="530"/>
      <c r="K271" s="530"/>
      <c r="L271" s="530"/>
      <c r="M271" s="530"/>
      <c r="N271" s="530"/>
      <c r="O271" s="530"/>
      <c r="P271" s="530"/>
      <c r="Q271" s="37"/>
      <c r="R271" s="530"/>
      <c r="S271" s="530"/>
      <c r="T271" s="530"/>
      <c r="U271" s="530"/>
      <c r="V271" s="530"/>
      <c r="W271" s="530"/>
      <c r="X271" s="530"/>
      <c r="Y271" s="37"/>
      <c r="Z271" s="530"/>
      <c r="AA271" s="530"/>
      <c r="AB271" s="530"/>
      <c r="AC271" s="530"/>
      <c r="AD271" s="530"/>
      <c r="AE271" s="530"/>
      <c r="AF271" s="530"/>
      <c r="AG271" s="530"/>
      <c r="AH271" s="530"/>
      <c r="AI271" s="857"/>
      <c r="AJ271" s="37"/>
      <c r="AK271" s="652">
        <v>0</v>
      </c>
      <c r="AL271" s="197"/>
    </row>
    <row r="272" spans="1:38" ht="16.5" thickBot="1" x14ac:dyDescent="0.3">
      <c r="A272" s="11" t="s">
        <v>93</v>
      </c>
      <c r="B272" s="576"/>
      <c r="C272" s="576"/>
      <c r="D272" s="576"/>
      <c r="E272" s="576"/>
      <c r="F272" s="576"/>
      <c r="G272" s="57">
        <v>475.5</v>
      </c>
      <c r="H272" s="576"/>
      <c r="I272" s="43"/>
      <c r="J272" s="576"/>
      <c r="K272" s="576"/>
      <c r="L272" s="576"/>
      <c r="M272" s="576"/>
      <c r="N272" s="576"/>
      <c r="O272" s="576"/>
      <c r="P272" s="576"/>
      <c r="Q272" s="43"/>
      <c r="R272" s="576"/>
      <c r="S272" s="576"/>
      <c r="T272" s="576"/>
      <c r="U272" s="576"/>
      <c r="V272" s="576"/>
      <c r="W272" s="576"/>
      <c r="X272" s="576"/>
      <c r="Y272" s="43"/>
      <c r="Z272" s="576"/>
      <c r="AA272" s="576"/>
      <c r="AB272" s="576"/>
      <c r="AC272" s="576"/>
      <c r="AD272" s="576"/>
      <c r="AE272" s="576"/>
      <c r="AF272" s="576"/>
      <c r="AG272" s="576"/>
      <c r="AH272" s="576"/>
      <c r="AI272" s="859"/>
      <c r="AJ272" s="43"/>
      <c r="AK272" s="662">
        <v>0</v>
      </c>
      <c r="AL272" s="204"/>
    </row>
    <row r="273" spans="1:40" ht="16.5" thickBot="1" x14ac:dyDescent="0.3">
      <c r="A273" s="11" t="s">
        <v>60</v>
      </c>
      <c r="B273" s="687"/>
      <c r="C273" s="687"/>
      <c r="D273" s="687"/>
      <c r="E273" s="687"/>
      <c r="F273" s="687"/>
      <c r="G273" s="161">
        <v>886.91</v>
      </c>
      <c r="H273" s="687"/>
      <c r="I273" s="375"/>
      <c r="J273" s="687"/>
      <c r="K273" s="687"/>
      <c r="L273" s="687"/>
      <c r="M273" s="687"/>
      <c r="N273" s="687"/>
      <c r="O273" s="687"/>
      <c r="P273" s="687"/>
      <c r="Q273" s="375"/>
      <c r="R273" s="687"/>
      <c r="S273" s="687"/>
      <c r="T273" s="687"/>
      <c r="U273" s="687"/>
      <c r="V273" s="687"/>
      <c r="W273" s="687"/>
      <c r="X273" s="687"/>
      <c r="Y273" s="278"/>
      <c r="Z273" s="687"/>
      <c r="AA273" s="687"/>
      <c r="AB273" s="687"/>
      <c r="AC273" s="687"/>
      <c r="AD273" s="687"/>
      <c r="AE273" s="687"/>
      <c r="AF273" s="687"/>
      <c r="AG273" s="687"/>
      <c r="AH273" s="687"/>
      <c r="AI273" s="860"/>
      <c r="AJ273" s="278"/>
      <c r="AK273" s="956">
        <v>0</v>
      </c>
      <c r="AL273" s="401"/>
    </row>
    <row r="274" spans="1:40" ht="19.5" thickBot="1" x14ac:dyDescent="0.35">
      <c r="A274" s="280" t="s">
        <v>2</v>
      </c>
      <c r="B274" s="277">
        <f t="shared" ref="B274:H274" si="22">SUM(B267:B273)</f>
        <v>0</v>
      </c>
      <c r="C274" s="277">
        <f t="shared" si="22"/>
        <v>0</v>
      </c>
      <c r="D274" s="277">
        <f t="shared" si="22"/>
        <v>0</v>
      </c>
      <c r="E274" s="277">
        <f t="shared" si="22"/>
        <v>0</v>
      </c>
      <c r="F274" s="277">
        <f t="shared" si="22"/>
        <v>0</v>
      </c>
      <c r="G274" s="885">
        <f t="shared" si="22"/>
        <v>2069.4499999999998</v>
      </c>
      <c r="H274" s="277">
        <f t="shared" si="22"/>
        <v>0</v>
      </c>
      <c r="I274" s="375">
        <f>SUM(B274:H274)</f>
        <v>2069.4499999999998</v>
      </c>
      <c r="J274" s="277">
        <f>SUM(J267:J273)</f>
        <v>0</v>
      </c>
      <c r="K274" s="277"/>
      <c r="L274" s="277"/>
      <c r="M274" s="277">
        <f>SUM(M267:M273)</f>
        <v>0</v>
      </c>
      <c r="N274" s="277">
        <f>SUM(N267:N273)</f>
        <v>0</v>
      </c>
      <c r="O274" s="277"/>
      <c r="P274" s="277"/>
      <c r="Q274" s="375">
        <f>SUM(J274:P274)</f>
        <v>0</v>
      </c>
      <c r="R274" s="277">
        <f t="shared" ref="R274:X274" si="23">SUM(R267:R273)</f>
        <v>0</v>
      </c>
      <c r="S274" s="277">
        <f t="shared" si="23"/>
        <v>0</v>
      </c>
      <c r="T274" s="277">
        <f t="shared" si="23"/>
        <v>0</v>
      </c>
      <c r="U274" s="277">
        <f t="shared" si="23"/>
        <v>0</v>
      </c>
      <c r="V274" s="277">
        <f t="shared" si="23"/>
        <v>0</v>
      </c>
      <c r="W274" s="277">
        <f t="shared" si="23"/>
        <v>0</v>
      </c>
      <c r="X274" s="277">
        <f t="shared" si="23"/>
        <v>0</v>
      </c>
      <c r="Y274" s="375">
        <f>SUM(R274:X274)</f>
        <v>0</v>
      </c>
      <c r="Z274" s="277"/>
      <c r="AA274" s="277"/>
      <c r="AB274" s="277"/>
      <c r="AC274" s="277"/>
      <c r="AD274" s="277"/>
      <c r="AE274" s="277"/>
      <c r="AF274" s="277"/>
      <c r="AG274" s="277"/>
      <c r="AH274" s="277"/>
      <c r="AI274" s="423"/>
      <c r="AJ274" s="278"/>
      <c r="AK274" s="769">
        <f>SUM(AK270:AK273)</f>
        <v>2069.4499999999998</v>
      </c>
      <c r="AL274" s="283"/>
    </row>
    <row r="275" spans="1:40" ht="27" thickBot="1" x14ac:dyDescent="0.45">
      <c r="A275" s="311" t="s">
        <v>156</v>
      </c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312"/>
      <c r="AN275" s="196"/>
    </row>
    <row r="276" spans="1:40" ht="16.5" thickBot="1" x14ac:dyDescent="0.3">
      <c r="A276" s="319" t="s">
        <v>8</v>
      </c>
      <c r="B276" s="322">
        <v>1</v>
      </c>
      <c r="C276" s="322">
        <v>2</v>
      </c>
      <c r="D276" s="322">
        <v>3</v>
      </c>
      <c r="E276" s="322">
        <v>4</v>
      </c>
      <c r="F276" s="322">
        <v>5</v>
      </c>
      <c r="G276" s="322">
        <v>6</v>
      </c>
      <c r="H276" s="322">
        <v>7</v>
      </c>
      <c r="I276" s="323" t="s">
        <v>6</v>
      </c>
      <c r="J276" s="322">
        <v>8</v>
      </c>
      <c r="K276" s="322">
        <v>9</v>
      </c>
      <c r="L276" s="322">
        <v>10</v>
      </c>
      <c r="M276" s="322">
        <v>11</v>
      </c>
      <c r="N276" s="322">
        <v>12</v>
      </c>
      <c r="O276" s="322">
        <v>13</v>
      </c>
      <c r="P276" s="322">
        <v>14</v>
      </c>
      <c r="Q276" s="323" t="s">
        <v>6</v>
      </c>
      <c r="R276" s="322">
        <v>15</v>
      </c>
      <c r="S276" s="322">
        <v>16</v>
      </c>
      <c r="T276" s="322">
        <v>17</v>
      </c>
      <c r="U276" s="322">
        <v>18</v>
      </c>
      <c r="V276" s="322">
        <v>19</v>
      </c>
      <c r="W276" s="322">
        <v>20</v>
      </c>
      <c r="X276" s="322">
        <v>21</v>
      </c>
      <c r="Y276" s="323" t="s">
        <v>6</v>
      </c>
      <c r="Z276" s="322">
        <v>22</v>
      </c>
      <c r="AA276" s="322">
        <v>23</v>
      </c>
      <c r="AB276" s="322">
        <v>24</v>
      </c>
      <c r="AC276" s="322">
        <v>25</v>
      </c>
      <c r="AD276" s="322">
        <v>26</v>
      </c>
      <c r="AE276" s="322">
        <v>27</v>
      </c>
      <c r="AF276" s="322">
        <v>28</v>
      </c>
      <c r="AG276" s="322">
        <v>29</v>
      </c>
      <c r="AH276" s="322">
        <v>30</v>
      </c>
      <c r="AI276" s="322">
        <v>31</v>
      </c>
      <c r="AJ276" s="324" t="s">
        <v>6</v>
      </c>
      <c r="AK276" s="325" t="s">
        <v>0</v>
      </c>
      <c r="AL276" s="772" t="s">
        <v>42</v>
      </c>
      <c r="AN276" s="12"/>
    </row>
    <row r="277" spans="1:40" x14ac:dyDescent="0.25">
      <c r="A277" s="61" t="s">
        <v>25</v>
      </c>
      <c r="B277" s="303">
        <v>12782.74</v>
      </c>
      <c r="C277" s="303">
        <v>12055.16</v>
      </c>
      <c r="D277" s="303">
        <v>10785.84</v>
      </c>
      <c r="E277" s="303">
        <v>8962.5499999999993</v>
      </c>
      <c r="F277" s="303">
        <v>11069.85</v>
      </c>
      <c r="G277" s="303">
        <v>12037.63</v>
      </c>
      <c r="H277" s="313">
        <v>10517.92</v>
      </c>
      <c r="I277" s="304"/>
      <c r="J277" s="303">
        <v>12585.2</v>
      </c>
      <c r="K277" s="303">
        <v>11622.95</v>
      </c>
      <c r="L277" s="303">
        <v>12217.52</v>
      </c>
      <c r="M277" s="303">
        <v>9701.61</v>
      </c>
      <c r="N277" s="303">
        <v>11826.36</v>
      </c>
      <c r="O277" s="303">
        <v>11511.94</v>
      </c>
      <c r="P277" s="303">
        <v>12300.07</v>
      </c>
      <c r="Q277" s="305"/>
      <c r="R277" s="303">
        <v>11368.19</v>
      </c>
      <c r="S277" s="303">
        <v>10666.05</v>
      </c>
      <c r="T277" s="303">
        <v>12229.63</v>
      </c>
      <c r="U277" s="303">
        <v>11521.82</v>
      </c>
      <c r="V277" s="303">
        <v>10572.84</v>
      </c>
      <c r="W277" s="303">
        <v>14007.94</v>
      </c>
      <c r="X277" s="303">
        <v>12366.48</v>
      </c>
      <c r="Y277" s="305"/>
      <c r="Z277" s="303">
        <v>10228.719999999999</v>
      </c>
      <c r="AA277" s="303">
        <v>15185.5</v>
      </c>
      <c r="AB277" s="303">
        <v>10624.42</v>
      </c>
      <c r="AC277" s="303">
        <v>9753.86</v>
      </c>
      <c r="AD277" s="303">
        <v>10296.77</v>
      </c>
      <c r="AE277" s="303">
        <v>9365.52</v>
      </c>
      <c r="AF277" s="303">
        <v>7459.48</v>
      </c>
      <c r="AG277" s="303">
        <v>9764.18</v>
      </c>
      <c r="AH277" s="303">
        <v>10346.94</v>
      </c>
      <c r="AI277" s="303">
        <v>10600.4</v>
      </c>
      <c r="AJ277" s="305"/>
      <c r="AK277" s="314"/>
      <c r="AL277" s="315"/>
      <c r="AN277" s="533"/>
    </row>
    <row r="278" spans="1:40" ht="15.75" x14ac:dyDescent="0.25">
      <c r="A278" s="11" t="s">
        <v>36</v>
      </c>
      <c r="B278" s="1">
        <v>6223.77</v>
      </c>
      <c r="C278" s="1">
        <v>6600.12</v>
      </c>
      <c r="D278" s="1">
        <v>6806.74</v>
      </c>
      <c r="E278" s="1">
        <v>4411.47</v>
      </c>
      <c r="F278" s="1">
        <v>5459.19</v>
      </c>
      <c r="G278" s="1">
        <v>6393.88</v>
      </c>
      <c r="H278" s="173">
        <v>5010.54</v>
      </c>
      <c r="I278" s="36"/>
      <c r="J278" s="173">
        <v>5919.04</v>
      </c>
      <c r="K278" s="1">
        <v>5801.13</v>
      </c>
      <c r="L278" s="1">
        <v>6197.12</v>
      </c>
      <c r="M278" s="1">
        <v>5696.02</v>
      </c>
      <c r="N278" s="1">
        <v>5135.42</v>
      </c>
      <c r="O278" s="1">
        <v>6205.98</v>
      </c>
      <c r="P278" s="1">
        <v>6697.95</v>
      </c>
      <c r="Q278" s="37"/>
      <c r="R278" s="1">
        <v>6450.96</v>
      </c>
      <c r="S278" s="1">
        <v>5878.85</v>
      </c>
      <c r="T278" s="1">
        <v>6350.8</v>
      </c>
      <c r="U278" s="1">
        <v>6580.08</v>
      </c>
      <c r="V278" s="118">
        <v>5964.09</v>
      </c>
      <c r="W278" s="1">
        <v>6275.04</v>
      </c>
      <c r="X278" s="1">
        <v>6314.55</v>
      </c>
      <c r="Y278" s="37"/>
      <c r="Z278" s="1">
        <v>5929.61</v>
      </c>
      <c r="AA278" s="1">
        <v>5891.7</v>
      </c>
      <c r="AB278" s="1">
        <v>6086.89</v>
      </c>
      <c r="AC278" s="1">
        <v>5991.22</v>
      </c>
      <c r="AD278" s="1">
        <v>6476.62</v>
      </c>
      <c r="AE278" s="1">
        <v>2608.13</v>
      </c>
      <c r="AF278" s="118">
        <v>5138.8599999999997</v>
      </c>
      <c r="AG278" s="1">
        <v>6169.45</v>
      </c>
      <c r="AH278" s="1">
        <v>6037.95</v>
      </c>
      <c r="AI278" s="1">
        <v>6212.24</v>
      </c>
      <c r="AJ278" s="37"/>
      <c r="AK278" s="236"/>
      <c r="AL278" s="223"/>
      <c r="AN278" s="533"/>
    </row>
    <row r="279" spans="1:40" ht="15.75" x14ac:dyDescent="0.25">
      <c r="A279" s="11" t="s">
        <v>46</v>
      </c>
      <c r="B279" s="531">
        <v>0</v>
      </c>
      <c r="C279" s="531">
        <v>0</v>
      </c>
      <c r="D279" s="531">
        <v>0</v>
      </c>
      <c r="E279" s="531">
        <v>0</v>
      </c>
      <c r="F279" s="531">
        <v>0</v>
      </c>
      <c r="G279" s="531">
        <v>0</v>
      </c>
      <c r="H279" s="531">
        <v>0</v>
      </c>
      <c r="I279" s="36"/>
      <c r="J279" s="531">
        <v>0</v>
      </c>
      <c r="K279" s="531">
        <v>0</v>
      </c>
      <c r="L279" s="531">
        <v>0</v>
      </c>
      <c r="M279" s="531">
        <v>0</v>
      </c>
      <c r="N279" s="531">
        <v>0</v>
      </c>
      <c r="O279" s="531">
        <v>0</v>
      </c>
      <c r="P279" s="531">
        <v>0</v>
      </c>
      <c r="Q279" s="37"/>
      <c r="R279" s="531">
        <v>0</v>
      </c>
      <c r="S279" s="902">
        <v>215.39</v>
      </c>
      <c r="T279" s="531">
        <v>0</v>
      </c>
      <c r="U279" s="531">
        <v>0</v>
      </c>
      <c r="V279" s="531">
        <v>0</v>
      </c>
      <c r="W279" s="531">
        <v>0</v>
      </c>
      <c r="X279" s="531">
        <v>0</v>
      </c>
      <c r="Y279" s="37">
        <v>6267.25</v>
      </c>
      <c r="Z279" s="531">
        <v>0</v>
      </c>
      <c r="AA279" s="531">
        <v>0</v>
      </c>
      <c r="AB279" s="531">
        <v>0</v>
      </c>
      <c r="AC279" s="531">
        <v>0</v>
      </c>
      <c r="AD279" s="531">
        <v>0</v>
      </c>
      <c r="AE279" s="531">
        <v>0</v>
      </c>
      <c r="AF279" s="531">
        <v>0</v>
      </c>
      <c r="AG279" s="531">
        <v>0</v>
      </c>
      <c r="AH279" s="531">
        <v>0</v>
      </c>
      <c r="AI279" s="531">
        <v>0</v>
      </c>
      <c r="AJ279" s="37"/>
      <c r="AK279" s="237"/>
      <c r="AL279" s="223"/>
      <c r="AN279" s="12"/>
    </row>
    <row r="280" spans="1:40" ht="18.75" x14ac:dyDescent="0.3">
      <c r="A280" s="11" t="s">
        <v>47</v>
      </c>
      <c r="B280" s="531">
        <v>0</v>
      </c>
      <c r="C280" s="531">
        <v>0</v>
      </c>
      <c r="D280" s="531">
        <v>0</v>
      </c>
      <c r="E280" s="531">
        <v>0</v>
      </c>
      <c r="F280" s="531">
        <v>0</v>
      </c>
      <c r="G280" s="531">
        <v>0</v>
      </c>
      <c r="H280" s="531">
        <v>0</v>
      </c>
      <c r="I280" s="36"/>
      <c r="J280" s="531">
        <v>0</v>
      </c>
      <c r="K280" s="531">
        <v>0</v>
      </c>
      <c r="L280" s="531">
        <v>0</v>
      </c>
      <c r="M280" s="531">
        <v>0</v>
      </c>
      <c r="N280" s="531">
        <v>0</v>
      </c>
      <c r="O280" s="531">
        <v>0</v>
      </c>
      <c r="P280" s="531">
        <v>0</v>
      </c>
      <c r="Q280" s="37"/>
      <c r="R280" s="531">
        <v>0</v>
      </c>
      <c r="S280" s="531">
        <v>0</v>
      </c>
      <c r="T280" s="531">
        <v>0</v>
      </c>
      <c r="U280" s="531">
        <v>0</v>
      </c>
      <c r="V280" s="531">
        <v>0</v>
      </c>
      <c r="W280" s="531">
        <v>0</v>
      </c>
      <c r="X280" s="531">
        <v>0</v>
      </c>
      <c r="Y280" s="37"/>
      <c r="Z280" s="531">
        <v>0</v>
      </c>
      <c r="AA280" s="531">
        <v>0</v>
      </c>
      <c r="AB280" s="531">
        <v>0</v>
      </c>
      <c r="AC280" s="531">
        <v>0</v>
      </c>
      <c r="AD280" s="531">
        <v>0</v>
      </c>
      <c r="AE280" s="531">
        <v>0</v>
      </c>
      <c r="AF280" s="531">
        <v>0</v>
      </c>
      <c r="AG280" s="531">
        <v>0</v>
      </c>
      <c r="AH280" s="531">
        <v>0</v>
      </c>
      <c r="AI280" s="531">
        <v>0</v>
      </c>
      <c r="AJ280" s="37"/>
      <c r="AK280" s="238"/>
      <c r="AL280" s="223"/>
      <c r="AN280" s="12"/>
    </row>
    <row r="281" spans="1:40" ht="15" customHeight="1" x14ac:dyDescent="0.3">
      <c r="A281" s="11" t="s">
        <v>48</v>
      </c>
      <c r="B281" s="1">
        <v>40</v>
      </c>
      <c r="C281" s="1">
        <v>33.049999999999997</v>
      </c>
      <c r="D281" s="1">
        <v>22.39</v>
      </c>
      <c r="E281" s="1">
        <v>59.53</v>
      </c>
      <c r="F281" s="1">
        <v>48.36</v>
      </c>
      <c r="G281" s="1">
        <v>13.65</v>
      </c>
      <c r="H281" s="173">
        <v>46.11</v>
      </c>
      <c r="I281" s="36"/>
      <c r="J281" s="1">
        <v>0</v>
      </c>
      <c r="K281" s="1">
        <v>39.25</v>
      </c>
      <c r="L281" s="1">
        <v>0</v>
      </c>
      <c r="M281" s="1">
        <v>21.36</v>
      </c>
      <c r="N281" s="1">
        <v>57.21</v>
      </c>
      <c r="O281" s="1">
        <v>0</v>
      </c>
      <c r="P281" s="1">
        <v>65.8</v>
      </c>
      <c r="Q281" s="37"/>
      <c r="R281" s="1">
        <v>0</v>
      </c>
      <c r="S281" s="1">
        <v>65.709999999999994</v>
      </c>
      <c r="T281" s="1">
        <v>0</v>
      </c>
      <c r="U281" s="1">
        <v>27.73</v>
      </c>
      <c r="V281" s="1">
        <v>40</v>
      </c>
      <c r="W281" s="1">
        <v>69.27</v>
      </c>
      <c r="X281" s="1">
        <v>15.16</v>
      </c>
      <c r="Y281" s="37"/>
      <c r="Z281" s="1">
        <v>53.23</v>
      </c>
      <c r="AA281" s="1">
        <v>0</v>
      </c>
      <c r="AB281" s="1">
        <v>25.53</v>
      </c>
      <c r="AC281" s="1">
        <v>18.77</v>
      </c>
      <c r="AD281" s="1">
        <v>0</v>
      </c>
      <c r="AE281" s="1">
        <v>0</v>
      </c>
      <c r="AF281" s="1">
        <v>26.9</v>
      </c>
      <c r="AG281" s="1">
        <v>38.840000000000003</v>
      </c>
      <c r="AH281" s="1">
        <v>70.14</v>
      </c>
      <c r="AI281" s="1">
        <v>27.47</v>
      </c>
      <c r="AJ281" s="37"/>
      <c r="AK281" s="238"/>
      <c r="AL281" s="223"/>
      <c r="AN281" s="12"/>
    </row>
    <row r="282" spans="1:40" ht="15" customHeight="1" x14ac:dyDescent="0.3">
      <c r="A282" s="11" t="s">
        <v>37</v>
      </c>
      <c r="B282" s="1">
        <v>100.12</v>
      </c>
      <c r="C282" s="1">
        <v>116.19</v>
      </c>
      <c r="D282" s="1">
        <v>122.89</v>
      </c>
      <c r="E282" s="1">
        <v>161.28</v>
      </c>
      <c r="F282" s="1">
        <v>247.6</v>
      </c>
      <c r="G282" s="1">
        <v>182.08</v>
      </c>
      <c r="H282" s="173">
        <v>126.26</v>
      </c>
      <c r="I282" s="36"/>
      <c r="J282" s="1">
        <v>152.01</v>
      </c>
      <c r="K282" s="1">
        <v>214.86</v>
      </c>
      <c r="L282" s="1">
        <v>80.52</v>
      </c>
      <c r="M282" s="1">
        <v>184.09</v>
      </c>
      <c r="N282" s="1">
        <v>265.69</v>
      </c>
      <c r="O282" s="1">
        <v>117.89</v>
      </c>
      <c r="P282" s="118">
        <v>369.87</v>
      </c>
      <c r="Q282" s="37"/>
      <c r="R282" s="1">
        <v>111.5</v>
      </c>
      <c r="S282" s="1">
        <v>160</v>
      </c>
      <c r="T282" s="1">
        <v>215.06</v>
      </c>
      <c r="U282" s="1">
        <v>235.32</v>
      </c>
      <c r="V282" s="1">
        <v>111.66</v>
      </c>
      <c r="W282" s="1">
        <v>143.15</v>
      </c>
      <c r="X282" s="1">
        <v>167.78</v>
      </c>
      <c r="Y282" s="37"/>
      <c r="Z282" s="1">
        <v>379.28</v>
      </c>
      <c r="AA282" s="1">
        <v>91.83</v>
      </c>
      <c r="AB282" s="1">
        <v>199.94</v>
      </c>
      <c r="AC282" s="1">
        <v>255.79</v>
      </c>
      <c r="AD282" s="1">
        <v>124.43</v>
      </c>
      <c r="AE282" s="1">
        <v>0</v>
      </c>
      <c r="AF282" s="1">
        <v>228.19</v>
      </c>
      <c r="AG282" s="1">
        <v>176.86</v>
      </c>
      <c r="AH282" s="1">
        <v>183.9</v>
      </c>
      <c r="AI282" s="1">
        <v>173.06</v>
      </c>
      <c r="AJ282" s="37"/>
      <c r="AK282" s="238"/>
      <c r="AL282" s="223"/>
      <c r="AN282" s="12"/>
    </row>
    <row r="283" spans="1:40" ht="15" customHeight="1" x14ac:dyDescent="0.3">
      <c r="A283" s="11" t="s">
        <v>26</v>
      </c>
      <c r="B283" s="1">
        <v>149.52000000000001</v>
      </c>
      <c r="C283" s="1">
        <v>150</v>
      </c>
      <c r="D283" s="1">
        <v>145.77000000000001</v>
      </c>
      <c r="E283" s="1">
        <v>150</v>
      </c>
      <c r="F283" s="1">
        <v>150</v>
      </c>
      <c r="G283" s="118">
        <v>143.94</v>
      </c>
      <c r="H283" s="173">
        <v>148.91</v>
      </c>
      <c r="I283" s="36"/>
      <c r="J283" s="1">
        <v>147.59</v>
      </c>
      <c r="K283" s="1">
        <v>116.54</v>
      </c>
      <c r="L283" s="1">
        <v>122.76</v>
      </c>
      <c r="M283" s="1">
        <v>133.36000000000001</v>
      </c>
      <c r="N283" s="1">
        <v>134.63</v>
      </c>
      <c r="O283" s="1">
        <v>142.63999999999999</v>
      </c>
      <c r="P283" s="1">
        <v>143.44999999999999</v>
      </c>
      <c r="Q283" s="37"/>
      <c r="R283" s="1">
        <v>100</v>
      </c>
      <c r="S283" s="1">
        <v>150</v>
      </c>
      <c r="T283" s="1">
        <v>140.22</v>
      </c>
      <c r="U283" s="1">
        <v>100</v>
      </c>
      <c r="V283" s="1">
        <v>150</v>
      </c>
      <c r="W283" s="1">
        <v>150</v>
      </c>
      <c r="X283" s="1">
        <v>90</v>
      </c>
      <c r="Y283" s="37"/>
      <c r="Z283" s="1">
        <v>150</v>
      </c>
      <c r="AA283" s="1">
        <v>149.51</v>
      </c>
      <c r="AB283" s="1">
        <v>150</v>
      </c>
      <c r="AC283" s="1">
        <v>128.61000000000001</v>
      </c>
      <c r="AD283" s="1">
        <v>142.58000000000001</v>
      </c>
      <c r="AE283" s="1">
        <v>94.6</v>
      </c>
      <c r="AF283" s="1">
        <v>128.58000000000001</v>
      </c>
      <c r="AG283" s="1">
        <v>147.63</v>
      </c>
      <c r="AH283" s="1">
        <v>131.22999999999999</v>
      </c>
      <c r="AI283" s="1">
        <v>134.9</v>
      </c>
      <c r="AJ283" s="37"/>
      <c r="AK283" s="341">
        <v>124316.4</v>
      </c>
      <c r="AL283" s="223"/>
      <c r="AN283" s="25"/>
    </row>
    <row r="284" spans="1:40" ht="15" customHeight="1" x14ac:dyDescent="0.3">
      <c r="A284" s="11" t="s">
        <v>27</v>
      </c>
      <c r="B284" s="1">
        <v>104.83</v>
      </c>
      <c r="C284" s="1">
        <v>108.11</v>
      </c>
      <c r="D284" s="1">
        <v>117.59</v>
      </c>
      <c r="E284" s="1">
        <v>114.72</v>
      </c>
      <c r="F284" s="1">
        <v>115.97</v>
      </c>
      <c r="G284" s="118">
        <v>110.26</v>
      </c>
      <c r="H284" s="211">
        <v>100.42</v>
      </c>
      <c r="I284" s="36"/>
      <c r="J284" s="1">
        <v>80</v>
      </c>
      <c r="K284" s="1">
        <v>119.74</v>
      </c>
      <c r="L284" s="1">
        <v>120</v>
      </c>
      <c r="M284" s="1">
        <v>113.48</v>
      </c>
      <c r="N284" s="1">
        <v>120</v>
      </c>
      <c r="O284" s="1">
        <v>119.51</v>
      </c>
      <c r="P284" s="1">
        <v>120</v>
      </c>
      <c r="Q284" s="37"/>
      <c r="R284" s="118">
        <v>119.11</v>
      </c>
      <c r="S284" s="1">
        <v>108.2</v>
      </c>
      <c r="T284" s="118">
        <v>114.07</v>
      </c>
      <c r="U284" s="1">
        <v>98.34</v>
      </c>
      <c r="V284" s="1">
        <v>120</v>
      </c>
      <c r="W284" s="1">
        <v>109.09</v>
      </c>
      <c r="X284" s="1">
        <v>107.25</v>
      </c>
      <c r="Y284" s="37"/>
      <c r="Z284" s="1">
        <v>120</v>
      </c>
      <c r="AA284" s="1">
        <v>119.65</v>
      </c>
      <c r="AB284" s="1">
        <v>117.93</v>
      </c>
      <c r="AC284" s="1">
        <v>109.15</v>
      </c>
      <c r="AD284" s="1">
        <v>113.81</v>
      </c>
      <c r="AE284" s="1">
        <v>91.9</v>
      </c>
      <c r="AF284" s="1">
        <v>89</v>
      </c>
      <c r="AG284" s="1">
        <v>101.15</v>
      </c>
      <c r="AH284" s="1">
        <v>104.65</v>
      </c>
      <c r="AI284" s="1">
        <v>120</v>
      </c>
      <c r="AJ284" s="37"/>
      <c r="AK284" s="341">
        <v>126720.56</v>
      </c>
      <c r="AL284" s="223"/>
      <c r="AN284" s="821"/>
    </row>
    <row r="285" spans="1:40" ht="18.75" x14ac:dyDescent="0.3">
      <c r="A285" s="62" t="s">
        <v>89</v>
      </c>
      <c r="B285" s="531">
        <v>0</v>
      </c>
      <c r="C285" s="531">
        <v>0</v>
      </c>
      <c r="D285" s="531">
        <v>0</v>
      </c>
      <c r="E285" s="531">
        <v>0</v>
      </c>
      <c r="F285" s="531">
        <v>0</v>
      </c>
      <c r="G285" s="531">
        <v>0</v>
      </c>
      <c r="H285" s="531">
        <v>0</v>
      </c>
      <c r="I285" s="126"/>
      <c r="J285" s="531">
        <v>0</v>
      </c>
      <c r="K285" s="531">
        <v>0</v>
      </c>
      <c r="L285" s="531">
        <v>0</v>
      </c>
      <c r="M285" s="531">
        <v>0</v>
      </c>
      <c r="N285" s="531">
        <v>0</v>
      </c>
      <c r="O285" s="531">
        <v>0</v>
      </c>
      <c r="P285" s="531">
        <v>0</v>
      </c>
      <c r="Q285" s="43"/>
      <c r="R285" s="531">
        <v>0</v>
      </c>
      <c r="S285" s="531">
        <v>0</v>
      </c>
      <c r="T285" s="531">
        <v>0</v>
      </c>
      <c r="U285" s="531">
        <v>0</v>
      </c>
      <c r="V285" s="531">
        <v>0</v>
      </c>
      <c r="W285" s="531">
        <v>0</v>
      </c>
      <c r="X285" s="531">
        <v>0</v>
      </c>
      <c r="Y285" s="43"/>
      <c r="Z285" s="531">
        <v>0</v>
      </c>
      <c r="AA285" s="531">
        <v>0</v>
      </c>
      <c r="AB285" s="531">
        <v>0</v>
      </c>
      <c r="AC285" s="531">
        <v>0</v>
      </c>
      <c r="AD285" s="531">
        <v>0</v>
      </c>
      <c r="AE285" s="531">
        <v>0</v>
      </c>
      <c r="AF285" s="531">
        <v>0</v>
      </c>
      <c r="AG285" s="531">
        <v>0</v>
      </c>
      <c r="AH285" s="531">
        <v>0</v>
      </c>
      <c r="AI285" s="531">
        <v>0</v>
      </c>
      <c r="AJ285" s="43"/>
      <c r="AK285" s="421">
        <v>129781.33</v>
      </c>
      <c r="AL285" s="229"/>
      <c r="AN285" s="821"/>
    </row>
    <row r="286" spans="1:40" ht="15" customHeight="1" thickBot="1" x14ac:dyDescent="0.35">
      <c r="A286" s="62" t="s">
        <v>28</v>
      </c>
      <c r="B286" s="531">
        <v>0</v>
      </c>
      <c r="C286" s="531">
        <v>0</v>
      </c>
      <c r="D286" s="531">
        <v>0</v>
      </c>
      <c r="E286" s="531">
        <v>0</v>
      </c>
      <c r="F286" s="531">
        <v>0</v>
      </c>
      <c r="G286" s="567">
        <v>2069.4499999999998</v>
      </c>
      <c r="H286" s="531">
        <v>0</v>
      </c>
      <c r="I286" s="126"/>
      <c r="J286" s="531">
        <v>0</v>
      </c>
      <c r="K286" s="531">
        <v>0</v>
      </c>
      <c r="L286" s="531">
        <v>0</v>
      </c>
      <c r="M286" s="531">
        <v>0</v>
      </c>
      <c r="N286" s="531">
        <v>0</v>
      </c>
      <c r="O286" s="531">
        <v>0</v>
      </c>
      <c r="P286" s="531">
        <v>0</v>
      </c>
      <c r="Q286" s="43"/>
      <c r="R286" s="531">
        <v>0</v>
      </c>
      <c r="S286" s="531">
        <v>0</v>
      </c>
      <c r="T286" s="531">
        <v>0</v>
      </c>
      <c r="U286" s="531">
        <v>0</v>
      </c>
      <c r="V286" s="531">
        <v>0</v>
      </c>
      <c r="W286" s="531">
        <v>0</v>
      </c>
      <c r="X286" s="531">
        <v>0</v>
      </c>
      <c r="Y286" s="43"/>
      <c r="Z286" s="531">
        <v>0</v>
      </c>
      <c r="AA286" s="531">
        <v>0</v>
      </c>
      <c r="AB286" s="531">
        <v>0</v>
      </c>
      <c r="AC286" s="531">
        <v>0</v>
      </c>
      <c r="AD286" s="531">
        <v>0</v>
      </c>
      <c r="AE286" s="531">
        <v>0</v>
      </c>
      <c r="AF286" s="531">
        <v>0</v>
      </c>
      <c r="AG286" s="531">
        <v>0</v>
      </c>
      <c r="AH286" s="531">
        <v>0</v>
      </c>
      <c r="AI286" s="531">
        <v>0</v>
      </c>
      <c r="AJ286" s="43"/>
      <c r="AK286" s="421">
        <v>164687.5</v>
      </c>
      <c r="AL286" s="229"/>
      <c r="AN286" s="13"/>
    </row>
    <row r="287" spans="1:40" ht="18.75" x14ac:dyDescent="0.3">
      <c r="A287" s="230" t="s">
        <v>2</v>
      </c>
      <c r="B287" s="232">
        <f t="shared" ref="B287:G287" si="24">SUM(B277:B286)</f>
        <v>19400.980000000003</v>
      </c>
      <c r="C287" s="232">
        <f t="shared" si="24"/>
        <v>19062.629999999997</v>
      </c>
      <c r="D287" s="232">
        <f t="shared" si="24"/>
        <v>18001.22</v>
      </c>
      <c r="E287" s="232">
        <f t="shared" si="24"/>
        <v>13859.550000000001</v>
      </c>
      <c r="F287" s="232">
        <f t="shared" si="24"/>
        <v>17090.97</v>
      </c>
      <c r="G287" s="232">
        <f t="shared" si="24"/>
        <v>20950.89</v>
      </c>
      <c r="H287" s="248">
        <f>SUM(H277:H286)</f>
        <v>15950.16</v>
      </c>
      <c r="I287" s="249">
        <f>SUM(B287:H287)</f>
        <v>124316.40000000001</v>
      </c>
      <c r="J287" s="232">
        <f t="shared" ref="J287:O287" si="25">SUM(J277:J286)</f>
        <v>18883.84</v>
      </c>
      <c r="K287" s="232">
        <f t="shared" si="25"/>
        <v>17914.470000000005</v>
      </c>
      <c r="L287" s="232">
        <f t="shared" si="25"/>
        <v>18737.919999999998</v>
      </c>
      <c r="M287" s="232">
        <f t="shared" si="25"/>
        <v>15849.920000000002</v>
      </c>
      <c r="N287" s="232">
        <f t="shared" si="25"/>
        <v>17539.309999999998</v>
      </c>
      <c r="O287" s="232">
        <f t="shared" si="25"/>
        <v>18097.959999999995</v>
      </c>
      <c r="P287" s="232">
        <f>SUM(P277:P286)</f>
        <v>19697.14</v>
      </c>
      <c r="Q287" s="249">
        <f>SUM(J287:P287)</f>
        <v>126720.56</v>
      </c>
      <c r="R287" s="233">
        <f t="shared" ref="R287:W287" si="26">SUM(R277:R286)</f>
        <v>18149.760000000002</v>
      </c>
      <c r="S287" s="233">
        <f t="shared" si="26"/>
        <v>17244.2</v>
      </c>
      <c r="T287" s="233">
        <f t="shared" si="26"/>
        <v>19049.780000000002</v>
      </c>
      <c r="U287" s="233">
        <f t="shared" si="26"/>
        <v>18563.29</v>
      </c>
      <c r="V287" s="233">
        <f t="shared" si="26"/>
        <v>16958.59</v>
      </c>
      <c r="W287" s="233">
        <f t="shared" si="26"/>
        <v>20754.490000000002</v>
      </c>
      <c r="X287" s="233">
        <f>SUM(X277:X286)</f>
        <v>19061.219999999998</v>
      </c>
      <c r="Y287" s="249">
        <f>SUM(R287:X287)</f>
        <v>129781.33</v>
      </c>
      <c r="Z287" s="233">
        <f t="shared" ref="Z287:AG287" si="27">SUM(Z277:Z286)</f>
        <v>16860.839999999997</v>
      </c>
      <c r="AA287" s="233">
        <f t="shared" si="27"/>
        <v>21438.190000000002</v>
      </c>
      <c r="AB287" s="233">
        <f t="shared" si="27"/>
        <v>17204.71</v>
      </c>
      <c r="AC287" s="233">
        <f t="shared" si="27"/>
        <v>16257.400000000003</v>
      </c>
      <c r="AD287" s="233">
        <f t="shared" si="27"/>
        <v>17154.210000000003</v>
      </c>
      <c r="AE287" s="233">
        <f t="shared" si="27"/>
        <v>12160.150000000001</v>
      </c>
      <c r="AF287" s="233">
        <f t="shared" si="27"/>
        <v>13071.01</v>
      </c>
      <c r="AG287" s="233">
        <f t="shared" si="27"/>
        <v>16398.11</v>
      </c>
      <c r="AH287" s="233">
        <f>SUM(AH277:AH286)</f>
        <v>16874.810000000001</v>
      </c>
      <c r="AI287" s="233">
        <f>SUM(AI277:AI286)</f>
        <v>17268.070000000003</v>
      </c>
      <c r="AJ287" s="249">
        <f>SUM(Z287:AI287)</f>
        <v>164687.5</v>
      </c>
      <c r="AK287" s="955">
        <f>SUM(AK283:AK286)</f>
        <v>545505.79</v>
      </c>
      <c r="AL287" s="235"/>
    </row>
    <row r="288" spans="1:40" ht="15.75" thickBot="1" x14ac:dyDescent="0.3">
      <c r="A288" s="224"/>
      <c r="B288" s="335"/>
      <c r="C288" s="225"/>
      <c r="D288" s="225"/>
      <c r="E288" s="225"/>
      <c r="F288" s="225"/>
      <c r="G288" s="225"/>
      <c r="H288" s="225"/>
      <c r="I288" s="56"/>
      <c r="J288" s="225"/>
      <c r="K288" s="225"/>
      <c r="L288" s="225"/>
      <c r="M288" s="225"/>
      <c r="N288" s="225"/>
      <c r="O288" s="225"/>
      <c r="P288" s="225"/>
      <c r="Q288" s="56"/>
      <c r="R288" s="225"/>
      <c r="S288" s="225"/>
      <c r="T288" s="225"/>
      <c r="U288" s="225"/>
      <c r="V288" s="225"/>
      <c r="W288" s="225"/>
      <c r="X288" s="225"/>
      <c r="Y288" s="56"/>
      <c r="Z288" s="226"/>
      <c r="AA288" s="225"/>
      <c r="AB288" s="227"/>
      <c r="AC288" s="225"/>
      <c r="AD288" s="225"/>
      <c r="AE288" s="225"/>
      <c r="AF288" s="225"/>
      <c r="AG288" s="225"/>
      <c r="AH288" s="225"/>
      <c r="AI288" s="225"/>
      <c r="AJ288" s="56"/>
      <c r="AK288" s="225"/>
      <c r="AL288" s="228"/>
    </row>
    <row r="289" spans="1:40" ht="27" thickBot="1" x14ac:dyDescent="0.45">
      <c r="A289" s="311" t="s">
        <v>396</v>
      </c>
      <c r="B289" s="219"/>
      <c r="C289" s="219"/>
      <c r="D289" s="219"/>
      <c r="E289" s="219"/>
      <c r="F289" s="219"/>
      <c r="G289" s="219"/>
      <c r="H289" s="782"/>
      <c r="I289" s="784"/>
      <c r="J289" s="785"/>
      <c r="K289" s="785"/>
      <c r="L289" s="785"/>
      <c r="M289" s="785"/>
      <c r="N289" s="785"/>
      <c r="O289" s="785"/>
      <c r="P289" s="785"/>
      <c r="Q289" s="785"/>
      <c r="R289" s="785"/>
      <c r="S289" s="785"/>
      <c r="T289" s="785"/>
      <c r="U289" s="785"/>
      <c r="V289" s="785"/>
      <c r="W289" s="785"/>
      <c r="X289" s="785"/>
      <c r="Y289" s="785"/>
      <c r="Z289" s="785"/>
      <c r="AA289" s="785"/>
      <c r="AB289" s="785"/>
      <c r="AC289" s="785"/>
      <c r="AD289" s="785"/>
      <c r="AE289" s="785"/>
      <c r="AF289" s="785"/>
      <c r="AG289" s="785"/>
      <c r="AH289" s="785"/>
      <c r="AI289" s="785"/>
      <c r="AJ289" s="785"/>
      <c r="AK289" s="785"/>
      <c r="AL289" s="786"/>
    </row>
    <row r="290" spans="1:40" ht="16.5" thickBot="1" x14ac:dyDescent="0.3">
      <c r="A290" s="706" t="s">
        <v>397</v>
      </c>
      <c r="B290" s="707">
        <v>1</v>
      </c>
      <c r="C290" s="328">
        <v>2</v>
      </c>
      <c r="D290" s="328">
        <v>3</v>
      </c>
      <c r="E290" s="328">
        <v>4</v>
      </c>
      <c r="F290" s="328">
        <v>5</v>
      </c>
      <c r="G290" s="328">
        <v>6</v>
      </c>
      <c r="H290" s="705">
        <v>7</v>
      </c>
      <c r="I290" s="779" t="s">
        <v>6</v>
      </c>
      <c r="J290" s="322">
        <v>8</v>
      </c>
      <c r="K290" s="322">
        <v>9</v>
      </c>
      <c r="L290" s="322">
        <v>10</v>
      </c>
      <c r="M290" s="322">
        <v>11</v>
      </c>
      <c r="N290" s="322">
        <v>12</v>
      </c>
      <c r="O290" s="322">
        <v>13</v>
      </c>
      <c r="P290" s="322">
        <v>14</v>
      </c>
      <c r="Q290" s="323" t="s">
        <v>6</v>
      </c>
      <c r="R290" s="322">
        <v>15</v>
      </c>
      <c r="S290" s="322">
        <v>16</v>
      </c>
      <c r="T290" s="322">
        <v>17</v>
      </c>
      <c r="U290" s="322">
        <v>18</v>
      </c>
      <c r="V290" s="322">
        <v>19</v>
      </c>
      <c r="W290" s="322">
        <v>20</v>
      </c>
      <c r="X290" s="322">
        <v>21</v>
      </c>
      <c r="Y290" s="323" t="s">
        <v>6</v>
      </c>
      <c r="Z290" s="322">
        <v>22</v>
      </c>
      <c r="AA290" s="322">
        <v>23</v>
      </c>
      <c r="AB290" s="322">
        <v>24</v>
      </c>
      <c r="AC290" s="322">
        <v>25</v>
      </c>
      <c r="AD290" s="322">
        <v>26</v>
      </c>
      <c r="AE290" s="322">
        <v>27</v>
      </c>
      <c r="AF290" s="322">
        <v>28</v>
      </c>
      <c r="AG290" s="322">
        <v>29</v>
      </c>
      <c r="AH290" s="322">
        <v>30</v>
      </c>
      <c r="AI290" s="322">
        <v>31</v>
      </c>
      <c r="AJ290" s="324" t="s">
        <v>6</v>
      </c>
      <c r="AK290" s="325" t="s">
        <v>0</v>
      </c>
      <c r="AL290" s="783" t="s">
        <v>42</v>
      </c>
    </row>
    <row r="291" spans="1:40" ht="15.75" thickBot="1" x14ac:dyDescent="0.3">
      <c r="A291" s="797" t="s">
        <v>399</v>
      </c>
      <c r="B291" s="837">
        <v>0</v>
      </c>
      <c r="C291" s="837">
        <v>16078</v>
      </c>
      <c r="D291" s="411">
        <v>16078</v>
      </c>
      <c r="E291" s="411">
        <v>14443</v>
      </c>
      <c r="F291" s="411">
        <v>14409</v>
      </c>
      <c r="G291" s="411">
        <v>10548</v>
      </c>
      <c r="H291" s="314">
        <v>16059</v>
      </c>
      <c r="I291" s="304"/>
      <c r="J291" s="314">
        <v>16071</v>
      </c>
      <c r="K291" s="790">
        <v>16059</v>
      </c>
      <c r="L291" s="790">
        <v>8845</v>
      </c>
      <c r="M291" s="790">
        <v>556</v>
      </c>
      <c r="N291" s="790">
        <v>0</v>
      </c>
      <c r="O291" s="790">
        <v>15995</v>
      </c>
      <c r="P291" s="790">
        <v>9988</v>
      </c>
      <c r="Q291" s="305"/>
      <c r="R291" s="790">
        <v>1809</v>
      </c>
      <c r="S291" s="790">
        <v>16006</v>
      </c>
      <c r="T291" s="790">
        <v>6309</v>
      </c>
      <c r="U291" s="790">
        <v>0</v>
      </c>
      <c r="V291" s="790">
        <v>15957</v>
      </c>
      <c r="W291" s="790">
        <v>13262</v>
      </c>
      <c r="X291" s="790">
        <v>8527</v>
      </c>
      <c r="Y291" s="305"/>
      <c r="Z291" s="790">
        <v>529</v>
      </c>
      <c r="AA291" s="790">
        <v>16021</v>
      </c>
      <c r="AB291" s="790">
        <v>828</v>
      </c>
      <c r="AC291" s="790">
        <v>828</v>
      </c>
      <c r="AD291" s="790">
        <v>16756</v>
      </c>
      <c r="AE291" s="790">
        <v>8501</v>
      </c>
      <c r="AF291" s="790">
        <v>16551</v>
      </c>
      <c r="AG291" s="790">
        <v>16544</v>
      </c>
      <c r="AH291" s="790">
        <v>16040</v>
      </c>
      <c r="AI291" s="790">
        <v>7971</v>
      </c>
      <c r="AJ291" s="305"/>
      <c r="AK291" s="314"/>
      <c r="AL291" s="903"/>
      <c r="AN291" s="25"/>
    </row>
    <row r="292" spans="1:40" ht="16.5" thickBot="1" x14ac:dyDescent="0.3">
      <c r="A292" s="797" t="s">
        <v>400</v>
      </c>
      <c r="B292" s="837">
        <v>13364</v>
      </c>
      <c r="C292" s="837">
        <v>8292</v>
      </c>
      <c r="D292" s="57">
        <v>15734</v>
      </c>
      <c r="E292" s="57">
        <v>15760</v>
      </c>
      <c r="F292" s="57">
        <v>15719</v>
      </c>
      <c r="G292" s="57">
        <v>15726</v>
      </c>
      <c r="H292" s="242">
        <v>8652</v>
      </c>
      <c r="I292" s="36"/>
      <c r="J292" s="445">
        <v>12255</v>
      </c>
      <c r="K292" s="12">
        <v>12240</v>
      </c>
      <c r="L292" s="12">
        <v>12240</v>
      </c>
      <c r="M292" s="12">
        <v>8417</v>
      </c>
      <c r="N292" s="12">
        <v>435</v>
      </c>
      <c r="O292" s="12">
        <v>15995</v>
      </c>
      <c r="P292" s="12">
        <v>16002</v>
      </c>
      <c r="Q292" s="37"/>
      <c r="R292" s="12">
        <v>13508</v>
      </c>
      <c r="S292" s="12">
        <v>15915</v>
      </c>
      <c r="T292" s="12">
        <v>15912</v>
      </c>
      <c r="U292" s="12">
        <v>11165</v>
      </c>
      <c r="V292" s="12">
        <v>6555</v>
      </c>
      <c r="W292" s="12">
        <v>0</v>
      </c>
      <c r="X292" s="12">
        <v>15919</v>
      </c>
      <c r="Y292" s="37"/>
      <c r="Z292" s="12">
        <v>14822</v>
      </c>
      <c r="AA292" s="12">
        <v>14632</v>
      </c>
      <c r="AB292" s="12">
        <v>14629</v>
      </c>
      <c r="AC292" s="12">
        <v>14625</v>
      </c>
      <c r="AD292" s="12">
        <v>11339</v>
      </c>
      <c r="AE292" s="12">
        <v>11328</v>
      </c>
      <c r="AF292" s="12">
        <v>10087</v>
      </c>
      <c r="AG292" s="12">
        <v>1135</v>
      </c>
      <c r="AH292" s="12">
        <v>15904</v>
      </c>
      <c r="AI292" s="12">
        <v>15908</v>
      </c>
      <c r="AJ292" s="37"/>
      <c r="AK292" s="236"/>
      <c r="AL292" s="223"/>
      <c r="AN292" s="25"/>
    </row>
    <row r="293" spans="1:40" ht="16.5" thickBot="1" x14ac:dyDescent="0.3">
      <c r="A293" s="797" t="s">
        <v>401</v>
      </c>
      <c r="B293" s="837">
        <v>2509</v>
      </c>
      <c r="C293" s="837">
        <v>6578</v>
      </c>
      <c r="D293" s="57">
        <v>14519</v>
      </c>
      <c r="E293" s="57">
        <v>14534</v>
      </c>
      <c r="F293" s="57">
        <v>14504</v>
      </c>
      <c r="G293" s="57">
        <v>14507</v>
      </c>
      <c r="H293" s="135">
        <v>13179</v>
      </c>
      <c r="I293" s="36"/>
      <c r="J293" s="12">
        <v>15738</v>
      </c>
      <c r="K293" s="12">
        <v>15719</v>
      </c>
      <c r="L293" s="135">
        <v>12952</v>
      </c>
      <c r="M293" s="12">
        <v>6434</v>
      </c>
      <c r="N293" s="12">
        <v>802</v>
      </c>
      <c r="O293" s="12">
        <v>8020</v>
      </c>
      <c r="P293" s="12">
        <v>14208</v>
      </c>
      <c r="Q293" s="37"/>
      <c r="R293" s="12">
        <v>12910</v>
      </c>
      <c r="S293" s="12">
        <v>15344</v>
      </c>
      <c r="T293" s="12">
        <v>15336</v>
      </c>
      <c r="U293" s="12">
        <v>15336</v>
      </c>
      <c r="V293" s="12">
        <v>11116</v>
      </c>
      <c r="W293" s="12">
        <v>5155</v>
      </c>
      <c r="X293" s="12">
        <v>15908</v>
      </c>
      <c r="Y293" s="37"/>
      <c r="Z293" s="12">
        <v>15908</v>
      </c>
      <c r="AA293" s="12">
        <v>15893</v>
      </c>
      <c r="AB293" s="12">
        <v>9629</v>
      </c>
      <c r="AC293" s="12">
        <v>3043</v>
      </c>
      <c r="AD293" s="12">
        <v>15897</v>
      </c>
      <c r="AE293" s="12">
        <v>15881</v>
      </c>
      <c r="AF293" s="12">
        <v>13084</v>
      </c>
      <c r="AG293" s="12">
        <v>7467</v>
      </c>
      <c r="AH293" s="12">
        <v>9795</v>
      </c>
      <c r="AI293" s="12">
        <v>9795</v>
      </c>
      <c r="AJ293" s="37"/>
      <c r="AK293" s="237"/>
      <c r="AL293" s="223"/>
      <c r="AN293" s="904"/>
    </row>
    <row r="294" spans="1:40" ht="16.5" customHeight="1" thickBot="1" x14ac:dyDescent="0.35">
      <c r="A294" s="797" t="s">
        <v>402</v>
      </c>
      <c r="B294" s="837">
        <v>13826</v>
      </c>
      <c r="C294" s="837">
        <v>9659</v>
      </c>
      <c r="D294" s="791">
        <v>10579</v>
      </c>
      <c r="E294" s="791">
        <v>11309</v>
      </c>
      <c r="F294" s="791">
        <v>11267</v>
      </c>
      <c r="G294" s="791">
        <v>11275</v>
      </c>
      <c r="H294" s="791">
        <v>11286</v>
      </c>
      <c r="I294" s="249"/>
      <c r="J294" s="791">
        <v>11271</v>
      </c>
      <c r="K294" s="791">
        <v>4965</v>
      </c>
      <c r="L294" s="791">
        <v>9364</v>
      </c>
      <c r="M294" s="791">
        <v>9383</v>
      </c>
      <c r="N294" s="791">
        <v>9367</v>
      </c>
      <c r="O294" s="791">
        <v>9367</v>
      </c>
      <c r="P294" s="791">
        <v>15927</v>
      </c>
      <c r="Q294" s="249"/>
      <c r="R294" s="12">
        <v>15912</v>
      </c>
      <c r="S294" s="792">
        <v>15666</v>
      </c>
      <c r="T294" s="792">
        <v>9068</v>
      </c>
      <c r="U294" s="792">
        <v>2819</v>
      </c>
      <c r="V294" s="792">
        <v>15070</v>
      </c>
      <c r="W294" s="792">
        <v>15897</v>
      </c>
      <c r="X294" s="792">
        <v>14269</v>
      </c>
      <c r="Y294" s="249"/>
      <c r="Z294" s="792">
        <v>7657</v>
      </c>
      <c r="AA294" s="792">
        <v>15068</v>
      </c>
      <c r="AB294" s="792">
        <v>15064</v>
      </c>
      <c r="AC294" s="792">
        <v>15056</v>
      </c>
      <c r="AD294" s="792">
        <v>11616</v>
      </c>
      <c r="AE294" s="792">
        <v>4753</v>
      </c>
      <c r="AF294" s="792">
        <v>12706</v>
      </c>
      <c r="AG294" s="792">
        <v>12710</v>
      </c>
      <c r="AH294" s="792">
        <v>12180</v>
      </c>
      <c r="AI294" s="792">
        <v>5654</v>
      </c>
      <c r="AJ294" s="249"/>
      <c r="AK294" s="795"/>
      <c r="AL294" s="796"/>
      <c r="AN294" s="904"/>
    </row>
    <row r="295" spans="1:40" ht="15.75" thickBot="1" x14ac:dyDescent="0.3">
      <c r="A295" s="797" t="s">
        <v>398</v>
      </c>
      <c r="B295" s="882">
        <v>0</v>
      </c>
      <c r="C295" s="882">
        <v>0</v>
      </c>
      <c r="D295" s="882">
        <v>0</v>
      </c>
      <c r="E295" s="807">
        <v>14833</v>
      </c>
      <c r="F295" s="807">
        <v>10329</v>
      </c>
      <c r="G295" s="807">
        <v>4311</v>
      </c>
      <c r="H295" s="807">
        <v>10560</v>
      </c>
      <c r="I295" s="56"/>
      <c r="J295" s="807">
        <v>10567</v>
      </c>
      <c r="K295" s="807">
        <v>10556</v>
      </c>
      <c r="L295" s="807">
        <v>10556</v>
      </c>
      <c r="M295" s="807">
        <v>10571</v>
      </c>
      <c r="N295" s="807">
        <v>10560</v>
      </c>
      <c r="O295" s="807">
        <v>10560</v>
      </c>
      <c r="P295" s="807">
        <v>10442</v>
      </c>
      <c r="Q295" s="56"/>
      <c r="R295" s="807">
        <v>4299</v>
      </c>
      <c r="S295" s="807">
        <v>4299</v>
      </c>
      <c r="T295" s="807">
        <v>4295</v>
      </c>
      <c r="U295" s="807">
        <v>4299</v>
      </c>
      <c r="V295" s="807">
        <v>4299</v>
      </c>
      <c r="W295" s="807">
        <v>4307</v>
      </c>
      <c r="X295" s="807">
        <v>325</v>
      </c>
      <c r="Y295" s="56"/>
      <c r="Z295" s="807">
        <v>0</v>
      </c>
      <c r="AA295" s="807">
        <v>0</v>
      </c>
      <c r="AB295" s="807">
        <v>0</v>
      </c>
      <c r="AC295" s="807">
        <v>0</v>
      </c>
      <c r="AD295" s="807">
        <v>0</v>
      </c>
      <c r="AE295" s="807">
        <v>0</v>
      </c>
      <c r="AF295" s="807">
        <v>0</v>
      </c>
      <c r="AG295" s="807">
        <v>0</v>
      </c>
      <c r="AH295" s="807">
        <v>0</v>
      </c>
      <c r="AI295" s="807">
        <v>0</v>
      </c>
      <c r="AJ295" s="780"/>
      <c r="AK295" s="789"/>
      <c r="AL295" s="781"/>
      <c r="AN295" s="904"/>
    </row>
    <row r="296" spans="1:40" ht="15.75" thickBot="1" x14ac:dyDescent="0.3">
      <c r="A296" s="797" t="s">
        <v>403</v>
      </c>
      <c r="B296" s="837">
        <v>4394</v>
      </c>
      <c r="C296" s="837">
        <v>13701</v>
      </c>
      <c r="D296" s="837">
        <v>17562</v>
      </c>
      <c r="E296" s="837">
        <v>17921</v>
      </c>
      <c r="F296" s="837">
        <v>8769</v>
      </c>
      <c r="G296" s="837">
        <v>2380</v>
      </c>
      <c r="H296" s="135">
        <v>18285</v>
      </c>
      <c r="I296" s="56"/>
      <c r="J296" s="135">
        <v>17759</v>
      </c>
      <c r="K296" s="837">
        <v>6457</v>
      </c>
      <c r="L296" s="793">
        <v>19329</v>
      </c>
      <c r="M296" s="793">
        <v>19345</v>
      </c>
      <c r="N296" s="793">
        <v>17831</v>
      </c>
      <c r="O296" s="793">
        <v>2733</v>
      </c>
      <c r="P296" s="793">
        <v>16055</v>
      </c>
      <c r="Q296" s="56"/>
      <c r="R296" s="837">
        <v>16037</v>
      </c>
      <c r="S296" s="793">
        <v>16033</v>
      </c>
      <c r="T296" s="837">
        <v>16021</v>
      </c>
      <c r="U296" s="793">
        <v>16025</v>
      </c>
      <c r="V296" s="793">
        <v>16025</v>
      </c>
      <c r="W296" s="793">
        <v>16037</v>
      </c>
      <c r="X296" s="793">
        <v>16055</v>
      </c>
      <c r="Y296" s="56"/>
      <c r="Z296" s="793">
        <v>16037</v>
      </c>
      <c r="AA296" s="793">
        <v>16018</v>
      </c>
      <c r="AB296" s="793">
        <v>16006</v>
      </c>
      <c r="AC296" s="793">
        <v>5579</v>
      </c>
      <c r="AD296" s="793">
        <v>7619</v>
      </c>
      <c r="AE296" s="793">
        <v>7604</v>
      </c>
      <c r="AF296" s="793">
        <v>0</v>
      </c>
      <c r="AG296" s="793">
        <v>7607</v>
      </c>
      <c r="AH296" s="793">
        <v>15571</v>
      </c>
      <c r="AI296" s="793">
        <v>15567</v>
      </c>
      <c r="AJ296" s="780"/>
      <c r="AK296" s="789"/>
      <c r="AL296" s="781"/>
      <c r="AN296" s="25"/>
    </row>
    <row r="297" spans="1:40" ht="15.75" thickBot="1" x14ac:dyDescent="0.3">
      <c r="A297" s="797" t="s">
        <v>404</v>
      </c>
      <c r="B297" s="883">
        <v>0</v>
      </c>
      <c r="C297" s="883">
        <v>0</v>
      </c>
      <c r="D297" s="883">
        <v>0</v>
      </c>
      <c r="E297" s="883">
        <v>0</v>
      </c>
      <c r="F297" s="883">
        <v>0</v>
      </c>
      <c r="G297" s="883">
        <v>0</v>
      </c>
      <c r="H297" s="883">
        <v>0</v>
      </c>
      <c r="I297" s="56"/>
      <c r="J297" s="883">
        <v>0</v>
      </c>
      <c r="K297" s="883">
        <v>0</v>
      </c>
      <c r="L297" s="883">
        <v>0</v>
      </c>
      <c r="M297" s="883">
        <v>0</v>
      </c>
      <c r="N297" s="883">
        <v>0</v>
      </c>
      <c r="O297" s="883">
        <v>0</v>
      </c>
      <c r="P297" s="883">
        <v>0</v>
      </c>
      <c r="Q297" s="56"/>
      <c r="R297" s="883">
        <v>0</v>
      </c>
      <c r="S297" s="883">
        <v>0</v>
      </c>
      <c r="T297" s="883">
        <v>0</v>
      </c>
      <c r="U297" s="883">
        <v>0</v>
      </c>
      <c r="V297" s="883">
        <v>0</v>
      </c>
      <c r="W297" s="883">
        <v>0</v>
      </c>
      <c r="X297" s="883">
        <v>0</v>
      </c>
      <c r="Y297" s="56"/>
      <c r="Z297" s="883">
        <v>0</v>
      </c>
      <c r="AA297" s="883">
        <v>0</v>
      </c>
      <c r="AB297" s="883">
        <v>0</v>
      </c>
      <c r="AC297" s="883">
        <v>0</v>
      </c>
      <c r="AD297" s="883">
        <v>0</v>
      </c>
      <c r="AE297" s="883">
        <v>0</v>
      </c>
      <c r="AF297" s="883">
        <v>0</v>
      </c>
      <c r="AG297" s="883">
        <v>0</v>
      </c>
      <c r="AH297" s="883">
        <v>0</v>
      </c>
      <c r="AI297" s="883">
        <v>0</v>
      </c>
      <c r="AJ297" s="780"/>
      <c r="AK297" s="789"/>
      <c r="AL297" s="781"/>
    </row>
    <row r="298" spans="1:40" ht="15.75" thickBot="1" x14ac:dyDescent="0.3">
      <c r="A298" s="62" t="s">
        <v>405</v>
      </c>
      <c r="B298" s="596">
        <v>0</v>
      </c>
      <c r="C298" s="596">
        <v>0</v>
      </c>
      <c r="D298" s="596">
        <v>0</v>
      </c>
      <c r="E298" s="596">
        <v>0</v>
      </c>
      <c r="F298" s="596">
        <v>0</v>
      </c>
      <c r="G298" s="596">
        <v>0</v>
      </c>
      <c r="H298" s="596">
        <v>0</v>
      </c>
      <c r="I298" s="56"/>
      <c r="J298" s="596">
        <v>0</v>
      </c>
      <c r="K298" s="596">
        <v>0</v>
      </c>
      <c r="L298" s="596">
        <v>0</v>
      </c>
      <c r="M298" s="596">
        <v>0</v>
      </c>
      <c r="N298" s="596">
        <v>0</v>
      </c>
      <c r="O298" s="596">
        <v>0</v>
      </c>
      <c r="P298" s="596">
        <v>0</v>
      </c>
      <c r="Q298" s="56"/>
      <c r="R298" s="596">
        <v>0</v>
      </c>
      <c r="S298" s="596">
        <v>0</v>
      </c>
      <c r="T298" s="596">
        <v>0</v>
      </c>
      <c r="U298" s="596">
        <v>0</v>
      </c>
      <c r="V298" s="596">
        <v>0</v>
      </c>
      <c r="W298" s="596">
        <v>0</v>
      </c>
      <c r="X298" s="596">
        <v>0</v>
      </c>
      <c r="Y298" s="56"/>
      <c r="Z298" s="596">
        <v>0</v>
      </c>
      <c r="AA298" s="596">
        <v>0</v>
      </c>
      <c r="AB298" s="596">
        <v>0</v>
      </c>
      <c r="AC298" s="596">
        <v>0</v>
      </c>
      <c r="AD298" s="596">
        <v>0</v>
      </c>
      <c r="AE298" s="596">
        <v>0</v>
      </c>
      <c r="AF298" s="596">
        <v>0</v>
      </c>
      <c r="AG298" s="596">
        <v>0</v>
      </c>
      <c r="AH298" s="596">
        <v>0</v>
      </c>
      <c r="AI298" s="596">
        <v>0</v>
      </c>
      <c r="AJ298" s="780"/>
      <c r="AK298" s="789"/>
      <c r="AL298" s="781"/>
    </row>
    <row r="299" spans="1:40" ht="15.75" thickBot="1" x14ac:dyDescent="0.3">
      <c r="A299" s="67" t="s">
        <v>413</v>
      </c>
      <c r="B299" s="830">
        <v>40000</v>
      </c>
      <c r="C299" s="830">
        <v>32000</v>
      </c>
      <c r="D299" s="815">
        <v>32000</v>
      </c>
      <c r="E299" s="837"/>
      <c r="F299" s="809"/>
      <c r="G299" s="815">
        <v>40000</v>
      </c>
      <c r="H299" s="815">
        <v>24000</v>
      </c>
      <c r="I299" s="56"/>
      <c r="J299" s="837"/>
      <c r="K299" s="815">
        <v>24000</v>
      </c>
      <c r="L299" s="815"/>
      <c r="M299" s="789"/>
      <c r="N299" s="815">
        <v>40000</v>
      </c>
      <c r="O299" s="815">
        <v>40000</v>
      </c>
      <c r="P299" s="815"/>
      <c r="Q299" s="56"/>
      <c r="R299" s="815">
        <v>40000</v>
      </c>
      <c r="S299" s="793"/>
      <c r="T299" s="815"/>
      <c r="U299" s="815">
        <v>40000</v>
      </c>
      <c r="V299" s="815"/>
      <c r="W299" s="815">
        <v>40000</v>
      </c>
      <c r="X299" s="837"/>
      <c r="Y299" s="56"/>
      <c r="Z299" s="815">
        <v>40000</v>
      </c>
      <c r="AA299" s="815"/>
      <c r="AB299" s="815"/>
      <c r="AC299" s="815">
        <v>40000</v>
      </c>
      <c r="AD299" s="789"/>
      <c r="AE299" s="815"/>
      <c r="AF299" s="815"/>
      <c r="AG299" s="815">
        <v>40000</v>
      </c>
      <c r="AH299" s="789"/>
      <c r="AI299" s="815">
        <v>40000</v>
      </c>
      <c r="AJ299" s="780"/>
      <c r="AK299" s="789"/>
      <c r="AL299" s="781"/>
      <c r="AN299" s="166"/>
    </row>
    <row r="300" spans="1:40" ht="15.75" thickBot="1" x14ac:dyDescent="0.3">
      <c r="A300" s="67" t="s">
        <v>407</v>
      </c>
      <c r="B300" s="837">
        <f t="shared" ref="B300:F300" si="28">SUM(B291:B299)</f>
        <v>74093</v>
      </c>
      <c r="C300" s="837">
        <f t="shared" si="28"/>
        <v>86308</v>
      </c>
      <c r="D300" s="837">
        <f t="shared" si="28"/>
        <v>106472</v>
      </c>
      <c r="E300" s="837">
        <f t="shared" si="28"/>
        <v>88800</v>
      </c>
      <c r="F300" s="837">
        <f t="shared" si="28"/>
        <v>74997</v>
      </c>
      <c r="G300" s="837">
        <f>SUM(G291:G299)</f>
        <v>98747</v>
      </c>
      <c r="H300" s="837">
        <f>SUM(H291:H299)</f>
        <v>102021</v>
      </c>
      <c r="I300" s="56"/>
      <c r="J300" s="793">
        <f t="shared" ref="J300:O300" si="29">SUM(J291:J299)</f>
        <v>83661</v>
      </c>
      <c r="K300" s="793">
        <f t="shared" si="29"/>
        <v>89996</v>
      </c>
      <c r="L300" s="837">
        <f t="shared" si="29"/>
        <v>73286</v>
      </c>
      <c r="M300" s="793">
        <f t="shared" si="29"/>
        <v>54706</v>
      </c>
      <c r="N300" s="793">
        <f t="shared" si="29"/>
        <v>78995</v>
      </c>
      <c r="O300" s="793">
        <f t="shared" si="29"/>
        <v>102670</v>
      </c>
      <c r="P300" s="793">
        <f>SUM(P291:P299)</f>
        <v>82622</v>
      </c>
      <c r="Q300" s="56"/>
      <c r="R300" s="793">
        <f t="shared" ref="R300:W300" si="30">SUM(R291:R299)</f>
        <v>104475</v>
      </c>
      <c r="S300" s="793">
        <f t="shared" si="30"/>
        <v>83263</v>
      </c>
      <c r="T300" s="793">
        <f t="shared" si="30"/>
        <v>66941</v>
      </c>
      <c r="U300" s="793">
        <f t="shared" si="30"/>
        <v>89644</v>
      </c>
      <c r="V300" s="793">
        <f t="shared" si="30"/>
        <v>69022</v>
      </c>
      <c r="W300" s="793">
        <f t="shared" si="30"/>
        <v>94658</v>
      </c>
      <c r="X300" s="793">
        <f>SUM(X291:X299)</f>
        <v>71003</v>
      </c>
      <c r="Y300" s="56"/>
      <c r="Z300" s="793">
        <f t="shared" ref="Z300:AF300" si="31">SUM(Z291:Z299)</f>
        <v>94953</v>
      </c>
      <c r="AA300" s="793">
        <f t="shared" si="31"/>
        <v>77632</v>
      </c>
      <c r="AB300" s="793">
        <f t="shared" si="31"/>
        <v>56156</v>
      </c>
      <c r="AC300" s="793">
        <f t="shared" si="31"/>
        <v>79131</v>
      </c>
      <c r="AD300" s="793">
        <f t="shared" si="31"/>
        <v>63227</v>
      </c>
      <c r="AE300" s="793">
        <f t="shared" si="31"/>
        <v>48067</v>
      </c>
      <c r="AF300" s="793">
        <f t="shared" si="31"/>
        <v>52428</v>
      </c>
      <c r="AG300" s="793">
        <f>SUM(AG291:AG299)</f>
        <v>85463</v>
      </c>
      <c r="AH300" s="793">
        <f>SUM(AH291:AH299)</f>
        <v>69490</v>
      </c>
      <c r="AI300" s="793">
        <f>SUM(AI291:AI299)</f>
        <v>94895</v>
      </c>
      <c r="AJ300" s="780"/>
      <c r="AK300" s="789"/>
      <c r="AL300" s="781"/>
      <c r="AN300" s="167"/>
    </row>
    <row r="301" spans="1:40" ht="15.75" thickBot="1" x14ac:dyDescent="0.3">
      <c r="A301" s="797" t="s">
        <v>408</v>
      </c>
      <c r="B301" s="798">
        <f t="shared" ref="B301:G301" si="32">SUM(B300)</f>
        <v>74093</v>
      </c>
      <c r="C301" s="798">
        <f t="shared" si="32"/>
        <v>86308</v>
      </c>
      <c r="D301" s="896">
        <f t="shared" si="32"/>
        <v>106472</v>
      </c>
      <c r="E301" s="896">
        <f t="shared" si="32"/>
        <v>88800</v>
      </c>
      <c r="F301" s="896">
        <f t="shared" si="32"/>
        <v>74997</v>
      </c>
      <c r="G301" s="896">
        <f t="shared" si="32"/>
        <v>98747</v>
      </c>
      <c r="H301" s="896">
        <f>SUM(H300)</f>
        <v>102021</v>
      </c>
      <c r="I301" s="839"/>
      <c r="J301" s="798">
        <f t="shared" ref="J301:O301" si="33">SUM(J300)</f>
        <v>83661</v>
      </c>
      <c r="K301" s="798">
        <f t="shared" si="33"/>
        <v>89996</v>
      </c>
      <c r="L301" s="798">
        <f t="shared" si="33"/>
        <v>73286</v>
      </c>
      <c r="M301" s="798">
        <f t="shared" si="33"/>
        <v>54706</v>
      </c>
      <c r="N301" s="798">
        <f t="shared" si="33"/>
        <v>78995</v>
      </c>
      <c r="O301" s="798">
        <f t="shared" si="33"/>
        <v>102670</v>
      </c>
      <c r="P301" s="798">
        <f>SUM(P300)</f>
        <v>82622</v>
      </c>
      <c r="Q301" s="56"/>
      <c r="R301" s="798">
        <f t="shared" ref="R301:W301" si="34">SUM(R300)</f>
        <v>104475</v>
      </c>
      <c r="S301" s="798">
        <f t="shared" si="34"/>
        <v>83263</v>
      </c>
      <c r="T301" s="798">
        <f t="shared" si="34"/>
        <v>66941</v>
      </c>
      <c r="U301" s="798">
        <f t="shared" si="34"/>
        <v>89644</v>
      </c>
      <c r="V301" s="798">
        <f t="shared" si="34"/>
        <v>69022</v>
      </c>
      <c r="W301" s="798">
        <f t="shared" si="34"/>
        <v>94658</v>
      </c>
      <c r="X301" s="798">
        <f>SUM(X300)</f>
        <v>71003</v>
      </c>
      <c r="Y301" s="56"/>
      <c r="Z301" s="798">
        <f t="shared" ref="Z301:AG301" si="35">SUM(Z300)</f>
        <v>94953</v>
      </c>
      <c r="AA301" s="798">
        <f t="shared" si="35"/>
        <v>77632</v>
      </c>
      <c r="AB301" s="798">
        <f t="shared" si="35"/>
        <v>56156</v>
      </c>
      <c r="AC301" s="798">
        <f t="shared" si="35"/>
        <v>79131</v>
      </c>
      <c r="AD301" s="798">
        <f t="shared" si="35"/>
        <v>63227</v>
      </c>
      <c r="AE301" s="798">
        <f t="shared" si="35"/>
        <v>48067</v>
      </c>
      <c r="AF301" s="798">
        <f t="shared" si="35"/>
        <v>52428</v>
      </c>
      <c r="AG301" s="798">
        <f t="shared" si="35"/>
        <v>85463</v>
      </c>
      <c r="AH301" s="798">
        <f>SUM(AH300)</f>
        <v>69490</v>
      </c>
      <c r="AI301" s="798">
        <f>SUM(AI300)</f>
        <v>94895</v>
      </c>
      <c r="AJ301" s="780"/>
      <c r="AK301" s="789"/>
      <c r="AL301" s="781"/>
    </row>
    <row r="302" spans="1:40" ht="15.75" thickBot="1" x14ac:dyDescent="0.3">
      <c r="A302" s="797" t="s">
        <v>409</v>
      </c>
      <c r="B302" s="855">
        <v>19400.98</v>
      </c>
      <c r="C302" s="855">
        <v>19062.63</v>
      </c>
      <c r="D302" s="884">
        <v>18001.22</v>
      </c>
      <c r="E302" s="884">
        <v>13859.55</v>
      </c>
      <c r="F302" s="884">
        <v>17090.97</v>
      </c>
      <c r="G302" s="884">
        <v>20950.89</v>
      </c>
      <c r="H302" s="884">
        <v>15950.16</v>
      </c>
      <c r="I302" s="840">
        <f>SUM(B302:H302)</f>
        <v>124316.40000000001</v>
      </c>
      <c r="J302" s="894">
        <v>18883.84</v>
      </c>
      <c r="K302" s="894">
        <v>17914.47</v>
      </c>
      <c r="L302" s="894">
        <v>18737.919999999998</v>
      </c>
      <c r="M302" s="894">
        <v>15849.92</v>
      </c>
      <c r="N302" s="894">
        <v>17539.310000000001</v>
      </c>
      <c r="O302" s="894">
        <v>18097.96</v>
      </c>
      <c r="P302" s="894">
        <v>19697.14</v>
      </c>
      <c r="Q302" s="865">
        <f>SUM(J302:P302)</f>
        <v>126720.55999999998</v>
      </c>
      <c r="R302" s="855">
        <v>18149.759999999998</v>
      </c>
      <c r="S302" s="855">
        <v>17244.2</v>
      </c>
      <c r="T302" s="894">
        <v>19049.78</v>
      </c>
      <c r="U302" s="894">
        <v>18563.29</v>
      </c>
      <c r="V302" s="894">
        <v>16958.59</v>
      </c>
      <c r="W302" s="894">
        <v>20754.490000000002</v>
      </c>
      <c r="X302" s="894">
        <v>19061.22</v>
      </c>
      <c r="Y302" s="839">
        <f>SUM(R302:X302)</f>
        <v>129781.33</v>
      </c>
      <c r="Z302" s="855">
        <v>16860.84</v>
      </c>
      <c r="AA302" s="894">
        <v>21438.19</v>
      </c>
      <c r="AB302" s="855">
        <v>17204.71</v>
      </c>
      <c r="AC302" s="855">
        <v>16257.4</v>
      </c>
      <c r="AD302" s="894">
        <v>17154.21</v>
      </c>
      <c r="AE302" s="894">
        <v>12160.15</v>
      </c>
      <c r="AF302" s="894">
        <v>13071.01</v>
      </c>
      <c r="AG302" s="894">
        <v>16398.11</v>
      </c>
      <c r="AH302" s="855">
        <v>16874.810000000001</v>
      </c>
      <c r="AI302" s="894">
        <v>17268.07</v>
      </c>
      <c r="AJ302" s="874">
        <f>SUM(Z302:AI302)</f>
        <v>164687.5</v>
      </c>
      <c r="AK302" s="789"/>
      <c r="AL302" s="781"/>
    </row>
    <row r="303" spans="1:40" ht="15.75" thickBot="1" x14ac:dyDescent="0.3">
      <c r="A303" s="797" t="s">
        <v>410</v>
      </c>
      <c r="B303" s="813">
        <v>54692.02</v>
      </c>
      <c r="C303" s="807">
        <v>67245.37</v>
      </c>
      <c r="D303" s="712">
        <v>88470.78</v>
      </c>
      <c r="E303" s="712">
        <v>74941.45</v>
      </c>
      <c r="F303" s="712">
        <v>57906.03</v>
      </c>
      <c r="G303" s="712">
        <v>77796.11</v>
      </c>
      <c r="H303" s="712">
        <v>86070.84</v>
      </c>
      <c r="I303" s="840"/>
      <c r="J303" s="793">
        <v>64777.16</v>
      </c>
      <c r="K303" s="788">
        <v>72081.53</v>
      </c>
      <c r="L303" s="788">
        <v>54548.08</v>
      </c>
      <c r="M303" s="788">
        <v>38856.080000000002</v>
      </c>
      <c r="N303" s="793">
        <v>61455.69</v>
      </c>
      <c r="O303" s="788">
        <v>84572.04</v>
      </c>
      <c r="P303" s="809">
        <v>62924.86</v>
      </c>
      <c r="Q303" s="56"/>
      <c r="R303" s="788">
        <v>86325.24</v>
      </c>
      <c r="S303" s="793">
        <v>66018.8</v>
      </c>
      <c r="T303" s="788">
        <v>47891.22</v>
      </c>
      <c r="U303" s="788">
        <v>71080.710000000006</v>
      </c>
      <c r="V303" s="788">
        <v>52063.41</v>
      </c>
      <c r="W303" s="788">
        <v>73903.509999999995</v>
      </c>
      <c r="X303" s="788">
        <v>51941.78</v>
      </c>
      <c r="Y303" s="56"/>
      <c r="Z303" s="793">
        <v>78092.460000000006</v>
      </c>
      <c r="AA303" s="788">
        <v>56193.81</v>
      </c>
      <c r="AB303" s="793">
        <v>38951.29</v>
      </c>
      <c r="AC303" s="793">
        <v>62873.599999999999</v>
      </c>
      <c r="AD303" s="788">
        <v>46072.79</v>
      </c>
      <c r="AE303" s="788">
        <v>35906.85</v>
      </c>
      <c r="AF303" s="788">
        <v>39357.99</v>
      </c>
      <c r="AG303" s="788">
        <v>69148.53</v>
      </c>
      <c r="AH303" s="837">
        <v>52615.19</v>
      </c>
      <c r="AI303" s="788">
        <v>77626.929999999993</v>
      </c>
      <c r="AJ303" s="780"/>
      <c r="AK303" s="789"/>
      <c r="AL303" s="781"/>
    </row>
    <row r="304" spans="1:40" ht="16.5" thickBot="1" x14ac:dyDescent="0.3">
      <c r="A304" s="797"/>
      <c r="B304" s="815">
        <v>40000</v>
      </c>
      <c r="C304" s="815">
        <v>32000</v>
      </c>
      <c r="D304" s="815">
        <v>32000</v>
      </c>
      <c r="E304" s="837"/>
      <c r="F304" s="837"/>
      <c r="G304" s="837"/>
      <c r="H304" s="837"/>
      <c r="I304" s="839"/>
      <c r="J304" s="815"/>
      <c r="K304" s="815"/>
      <c r="L304" s="789"/>
      <c r="M304" s="815"/>
      <c r="N304" s="815"/>
      <c r="O304" s="846"/>
      <c r="P304" s="815"/>
      <c r="Q304" s="56"/>
      <c r="R304" s="815"/>
      <c r="S304" s="789"/>
      <c r="T304" s="815"/>
      <c r="U304" s="789"/>
      <c r="V304" s="815"/>
      <c r="W304" s="815"/>
      <c r="X304" s="789"/>
      <c r="Y304" s="56"/>
      <c r="Z304" s="815"/>
      <c r="AA304" s="815"/>
      <c r="AB304" s="815"/>
      <c r="AC304" s="789"/>
      <c r="AD304" s="789"/>
      <c r="AE304" s="815"/>
      <c r="AF304" s="815"/>
      <c r="AG304" s="789"/>
      <c r="AH304" s="789"/>
      <c r="AI304" s="789"/>
      <c r="AJ304" s="780"/>
      <c r="AK304" s="889">
        <v>124316.4</v>
      </c>
      <c r="AL304" s="781"/>
    </row>
    <row r="305" spans="1:38" ht="16.5" thickBot="1" x14ac:dyDescent="0.3">
      <c r="A305" s="797"/>
      <c r="B305" s="837"/>
      <c r="C305" s="837"/>
      <c r="D305" s="809"/>
      <c r="E305" s="837"/>
      <c r="F305" s="837"/>
      <c r="G305" s="837"/>
      <c r="H305" s="837"/>
      <c r="I305" s="56"/>
      <c r="J305" s="815"/>
      <c r="K305" s="815"/>
      <c r="L305" s="789"/>
      <c r="M305" s="815"/>
      <c r="N305" s="793"/>
      <c r="O305" s="789"/>
      <c r="P305" s="815"/>
      <c r="Q305" s="56"/>
      <c r="R305" s="815"/>
      <c r="S305" s="789"/>
      <c r="T305" s="789"/>
      <c r="U305" s="789"/>
      <c r="V305" s="815"/>
      <c r="W305" s="815"/>
      <c r="X305" s="789"/>
      <c r="Y305" s="56"/>
      <c r="Z305" s="815"/>
      <c r="AA305" s="815"/>
      <c r="AB305" s="794"/>
      <c r="AC305" s="789"/>
      <c r="AD305" s="789"/>
      <c r="AE305" s="815"/>
      <c r="AF305" s="789"/>
      <c r="AG305" s="789"/>
      <c r="AH305" s="789"/>
      <c r="AI305" s="789"/>
      <c r="AJ305" s="780"/>
      <c r="AK305" s="899">
        <v>126720.56</v>
      </c>
      <c r="AL305" s="781"/>
    </row>
    <row r="306" spans="1:38" ht="16.5" thickBot="1" x14ac:dyDescent="0.3">
      <c r="A306" s="797"/>
      <c r="B306" s="837"/>
      <c r="C306" s="837"/>
      <c r="D306" s="809"/>
      <c r="E306" s="837"/>
      <c r="F306" s="837"/>
      <c r="G306" s="837"/>
      <c r="H306" s="837"/>
      <c r="I306" s="56"/>
      <c r="J306" s="789"/>
      <c r="K306" s="793"/>
      <c r="L306" s="789"/>
      <c r="M306" s="793"/>
      <c r="N306" s="793"/>
      <c r="O306" s="789"/>
      <c r="P306" s="793"/>
      <c r="Q306" s="56"/>
      <c r="R306" s="793"/>
      <c r="S306" s="789"/>
      <c r="T306" s="793"/>
      <c r="U306" s="789"/>
      <c r="V306" s="793"/>
      <c r="W306" s="793"/>
      <c r="X306" s="789"/>
      <c r="Y306" s="56"/>
      <c r="Z306" s="793"/>
      <c r="AA306" s="793"/>
      <c r="AB306" s="793"/>
      <c r="AC306" s="789"/>
      <c r="AD306" s="789"/>
      <c r="AE306" s="789"/>
      <c r="AF306" s="789"/>
      <c r="AG306" s="789"/>
      <c r="AH306" s="789"/>
      <c r="AI306" s="789"/>
      <c r="AJ306" s="780"/>
      <c r="AK306" s="899">
        <v>129781.33</v>
      </c>
      <c r="AL306" s="781"/>
    </row>
    <row r="307" spans="1:38" ht="16.5" thickBot="1" x14ac:dyDescent="0.3">
      <c r="A307" s="797"/>
      <c r="B307" s="813"/>
      <c r="C307" s="837"/>
      <c r="D307" s="808"/>
      <c r="E307" s="837"/>
      <c r="F307" s="808"/>
      <c r="G307" s="807"/>
      <c r="H307" s="807"/>
      <c r="I307" s="43"/>
      <c r="J307" s="801"/>
      <c r="K307" s="771"/>
      <c r="L307" s="801"/>
      <c r="M307" s="802"/>
      <c r="N307" s="802"/>
      <c r="O307" s="801"/>
      <c r="P307" s="802"/>
      <c r="Q307" s="43"/>
      <c r="R307" s="801"/>
      <c r="S307" s="801"/>
      <c r="T307" s="801"/>
      <c r="U307" s="801"/>
      <c r="V307" s="801"/>
      <c r="W307" s="801"/>
      <c r="X307" s="801"/>
      <c r="Y307" s="43"/>
      <c r="Z307" s="153"/>
      <c r="AA307" s="801"/>
      <c r="AB307" s="802"/>
      <c r="AC307" s="801"/>
      <c r="AD307" s="801"/>
      <c r="AE307" s="801"/>
      <c r="AF307" s="801"/>
      <c r="AG307" s="801"/>
      <c r="AH307" s="801"/>
      <c r="AI307" s="801"/>
      <c r="AJ307" s="104"/>
      <c r="AK307" s="748">
        <v>164687.5</v>
      </c>
      <c r="AL307" s="803"/>
    </row>
    <row r="308" spans="1:38" x14ac:dyDescent="0.25">
      <c r="A308" s="67" t="s">
        <v>419</v>
      </c>
      <c r="B308" s="892">
        <v>296.02</v>
      </c>
      <c r="C308" s="891"/>
      <c r="D308" s="893">
        <v>329.22</v>
      </c>
      <c r="E308" s="893">
        <v>55.55</v>
      </c>
      <c r="F308" s="893">
        <v>840.97</v>
      </c>
      <c r="G308" s="892">
        <v>224.89</v>
      </c>
      <c r="H308" s="892">
        <v>2409.84</v>
      </c>
      <c r="I308" s="37"/>
      <c r="J308" s="895">
        <v>1218.8399999999999</v>
      </c>
      <c r="K308" s="893">
        <v>1204.47</v>
      </c>
      <c r="L308" s="893">
        <v>158.91999999999999</v>
      </c>
      <c r="M308" s="893">
        <v>167.92</v>
      </c>
      <c r="N308" s="895">
        <v>1215.31</v>
      </c>
      <c r="O308" s="895">
        <v>1950.04</v>
      </c>
      <c r="P308" s="844"/>
      <c r="Q308" s="37"/>
      <c r="R308" s="844">
        <v>3062.24</v>
      </c>
      <c r="S308" s="867">
        <v>922.2</v>
      </c>
      <c r="T308" s="844">
        <v>1752.78</v>
      </c>
      <c r="U308" s="844">
        <v>2058.71</v>
      </c>
      <c r="V308" s="844">
        <v>2594.59</v>
      </c>
      <c r="W308" s="844">
        <v>2906.51</v>
      </c>
      <c r="X308" s="844">
        <v>3011.22</v>
      </c>
      <c r="Y308" s="37"/>
      <c r="Z308" s="867">
        <v>461.16</v>
      </c>
      <c r="AA308" s="844">
        <v>37.81</v>
      </c>
      <c r="AB308" s="844">
        <v>179.71</v>
      </c>
      <c r="AC308" s="867">
        <v>353.4</v>
      </c>
      <c r="AD308" s="844">
        <v>1994.21</v>
      </c>
      <c r="AE308" s="844"/>
      <c r="AF308" s="867"/>
      <c r="AG308" s="844"/>
      <c r="AH308" s="105"/>
      <c r="AI308" s="105"/>
      <c r="AJ308" s="105"/>
      <c r="AK308" s="105"/>
      <c r="AL308" s="105"/>
    </row>
    <row r="309" spans="1:38" ht="15.75" x14ac:dyDescent="0.25">
      <c r="A309" s="63"/>
      <c r="B309" s="835"/>
      <c r="C309" s="835"/>
      <c r="D309" s="835"/>
      <c r="E309" s="835"/>
      <c r="F309" s="835"/>
      <c r="G309" s="836"/>
      <c r="H309" s="835"/>
      <c r="I309" s="890"/>
      <c r="J309" s="836"/>
      <c r="K309" s="836"/>
      <c r="L309" s="104"/>
      <c r="M309" s="835"/>
      <c r="N309" s="835"/>
      <c r="O309" s="104"/>
      <c r="P309" s="835"/>
      <c r="Q309" s="866"/>
      <c r="R309" s="104"/>
      <c r="S309" s="104"/>
      <c r="T309" s="104"/>
      <c r="U309" s="104"/>
      <c r="V309" s="104"/>
      <c r="W309" s="104"/>
      <c r="X309" s="104"/>
      <c r="Y309" s="43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954">
        <f>SUM(AK304:AK308)</f>
        <v>545505.79</v>
      </c>
      <c r="AL309" s="104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13"/>
  <sheetViews>
    <sheetView topLeftCell="A154" workbookViewId="0">
      <selection activeCell="AK289" sqref="AK289"/>
    </sheetView>
  </sheetViews>
  <sheetFormatPr defaultRowHeight="15" x14ac:dyDescent="0.25"/>
  <cols>
    <col min="1" max="1" width="19.28515625" customWidth="1"/>
    <col min="2" max="4" width="1.140625" customWidth="1"/>
    <col min="5" max="5" width="1.28515625" customWidth="1"/>
    <col min="6" max="6" width="1" customWidth="1"/>
    <col min="7" max="7" width="1.28515625" customWidth="1"/>
    <col min="8" max="8" width="1" customWidth="1"/>
    <col min="9" max="9" width="10.5703125" customWidth="1"/>
    <col min="10" max="10" width="1.28515625" customWidth="1"/>
    <col min="11" max="11" width="1.140625" customWidth="1"/>
    <col min="12" max="12" width="1.42578125" customWidth="1"/>
    <col min="13" max="13" width="0.7109375" customWidth="1"/>
    <col min="14" max="14" width="1.5703125" customWidth="1"/>
    <col min="15" max="15" width="1.42578125" customWidth="1"/>
    <col min="16" max="16" width="1.140625" customWidth="1"/>
    <col min="17" max="17" width="10.5703125" customWidth="1"/>
    <col min="18" max="18" width="1.28515625" customWidth="1"/>
    <col min="19" max="19" width="1.140625" customWidth="1"/>
    <col min="20" max="21" width="1.28515625" customWidth="1"/>
    <col min="22" max="22" width="1.140625" customWidth="1"/>
    <col min="23" max="23" width="1.28515625" customWidth="1"/>
    <col min="24" max="24" width="1" customWidth="1"/>
    <col min="25" max="25" width="10.5703125" customWidth="1"/>
    <col min="26" max="34" width="9.28515625" customWidth="1"/>
    <col min="35" max="35" width="0.42578125" customWidth="1"/>
    <col min="36" max="36" width="10.5703125" customWidth="1"/>
    <col min="37" max="37" width="15.28515625" customWidth="1"/>
    <col min="38" max="38" width="0.140625" hidden="1" customWidth="1"/>
    <col min="39" max="39" width="22" customWidth="1"/>
  </cols>
  <sheetData>
    <row r="1" spans="1:39" ht="24.75" customHeight="1" thickBot="1" x14ac:dyDescent="0.4">
      <c r="A1" s="256" t="s">
        <v>157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  <c r="AM1" s="217"/>
    </row>
    <row r="2" spans="1:39" ht="15.75" x14ac:dyDescent="0.25">
      <c r="A2" s="321" t="s">
        <v>3</v>
      </c>
      <c r="B2" s="322">
        <v>1</v>
      </c>
      <c r="C2" s="322">
        <v>2</v>
      </c>
      <c r="D2" s="322">
        <v>3</v>
      </c>
      <c r="E2" s="322">
        <v>4</v>
      </c>
      <c r="F2" s="322">
        <v>5</v>
      </c>
      <c r="G2" s="322">
        <v>6</v>
      </c>
      <c r="H2" s="322">
        <v>7</v>
      </c>
      <c r="I2" s="323" t="s">
        <v>6</v>
      </c>
      <c r="J2" s="322">
        <v>8</v>
      </c>
      <c r="K2" s="322">
        <v>9</v>
      </c>
      <c r="L2" s="322">
        <v>10</v>
      </c>
      <c r="M2" s="322">
        <v>11</v>
      </c>
      <c r="N2" s="322">
        <v>12</v>
      </c>
      <c r="O2" s="322">
        <v>13</v>
      </c>
      <c r="P2" s="322">
        <v>14</v>
      </c>
      <c r="Q2" s="323" t="s">
        <v>6</v>
      </c>
      <c r="R2" s="322">
        <v>15</v>
      </c>
      <c r="S2" s="322">
        <v>16</v>
      </c>
      <c r="T2" s="322">
        <v>17</v>
      </c>
      <c r="U2" s="322">
        <v>18</v>
      </c>
      <c r="V2" s="322">
        <v>19</v>
      </c>
      <c r="W2" s="322">
        <v>20</v>
      </c>
      <c r="X2" s="322">
        <v>21</v>
      </c>
      <c r="Y2" s="323" t="s">
        <v>6</v>
      </c>
      <c r="Z2" s="322">
        <v>22</v>
      </c>
      <c r="AA2" s="322">
        <v>23</v>
      </c>
      <c r="AB2" s="322">
        <v>24</v>
      </c>
      <c r="AC2" s="322">
        <v>25</v>
      </c>
      <c r="AD2" s="322">
        <v>26</v>
      </c>
      <c r="AE2" s="322">
        <v>27</v>
      </c>
      <c r="AF2" s="322">
        <v>28</v>
      </c>
      <c r="AG2" s="322">
        <v>29</v>
      </c>
      <c r="AH2" s="322">
        <v>30</v>
      </c>
      <c r="AI2" s="322">
        <v>31</v>
      </c>
      <c r="AJ2" s="324" t="s">
        <v>6</v>
      </c>
      <c r="AK2" s="905" t="s">
        <v>0</v>
      </c>
      <c r="AL2" s="395" t="s">
        <v>42</v>
      </c>
      <c r="AM2" s="395" t="s">
        <v>42</v>
      </c>
    </row>
    <row r="3" spans="1:39" x14ac:dyDescent="0.25">
      <c r="A3" s="11">
        <v>1</v>
      </c>
      <c r="B3" s="106" t="s">
        <v>289</v>
      </c>
      <c r="C3" s="106">
        <v>250</v>
      </c>
      <c r="D3" s="106">
        <v>410.25</v>
      </c>
      <c r="E3" s="106">
        <v>401.06</v>
      </c>
      <c r="F3" s="106">
        <v>355.31</v>
      </c>
      <c r="G3" s="106">
        <v>299.83999999999997</v>
      </c>
      <c r="H3" s="106">
        <v>400.21</v>
      </c>
      <c r="I3" s="157"/>
      <c r="J3" s="106">
        <v>199.97</v>
      </c>
      <c r="K3" s="106">
        <v>300.48</v>
      </c>
      <c r="L3" s="106">
        <v>400.1</v>
      </c>
      <c r="M3" s="106">
        <v>350.44</v>
      </c>
      <c r="N3" s="106">
        <v>350.26</v>
      </c>
      <c r="O3" s="106">
        <v>307.39</v>
      </c>
      <c r="P3" s="106">
        <v>400.1</v>
      </c>
      <c r="Q3" s="35"/>
      <c r="R3" s="106">
        <v>255.59</v>
      </c>
      <c r="S3" s="106">
        <v>300.24</v>
      </c>
      <c r="T3" s="106">
        <v>400.49</v>
      </c>
      <c r="U3" s="106">
        <v>300.48</v>
      </c>
      <c r="V3" s="106">
        <v>400.15</v>
      </c>
      <c r="W3" s="106">
        <v>300.19</v>
      </c>
      <c r="X3" s="106">
        <v>301.42</v>
      </c>
      <c r="Y3" s="36"/>
      <c r="Z3" s="106">
        <v>400.27</v>
      </c>
      <c r="AA3" s="106">
        <v>272.42</v>
      </c>
      <c r="AB3" s="106">
        <v>450.41</v>
      </c>
      <c r="AC3" s="106">
        <v>299.75</v>
      </c>
      <c r="AD3" s="106">
        <v>400.66</v>
      </c>
      <c r="AE3" s="106">
        <v>300.66000000000003</v>
      </c>
      <c r="AF3" s="106">
        <v>350.26</v>
      </c>
      <c r="AG3" s="106">
        <v>250.74</v>
      </c>
      <c r="AH3" s="106">
        <v>299.85000000000002</v>
      </c>
      <c r="AI3" s="106"/>
      <c r="AJ3" s="36"/>
      <c r="AK3" s="790"/>
      <c r="AL3" s="203"/>
      <c r="AM3" s="729"/>
    </row>
    <row r="4" spans="1:39" x14ac:dyDescent="0.25">
      <c r="A4" s="11">
        <v>2</v>
      </c>
      <c r="B4" s="106">
        <v>299.64</v>
      </c>
      <c r="C4" s="106">
        <v>350</v>
      </c>
      <c r="D4" s="106">
        <v>400.18</v>
      </c>
      <c r="E4" s="106">
        <v>351.14</v>
      </c>
      <c r="F4" s="106">
        <v>436.3</v>
      </c>
      <c r="G4" s="106">
        <v>399.85</v>
      </c>
      <c r="H4" s="106">
        <v>350.22</v>
      </c>
      <c r="I4" s="37"/>
      <c r="J4" s="106">
        <v>400.09</v>
      </c>
      <c r="K4" s="106">
        <v>337.72</v>
      </c>
      <c r="L4" s="106">
        <v>400.09</v>
      </c>
      <c r="M4" s="106">
        <v>400.27</v>
      </c>
      <c r="N4" s="106">
        <v>350.33</v>
      </c>
      <c r="O4" s="106">
        <v>353.86</v>
      </c>
      <c r="P4" s="106">
        <v>400.37</v>
      </c>
      <c r="Q4" s="37"/>
      <c r="R4" s="106">
        <v>350.57</v>
      </c>
      <c r="S4" s="106">
        <v>400.13</v>
      </c>
      <c r="T4" s="106">
        <v>400.34</v>
      </c>
      <c r="U4" s="106">
        <v>350.43</v>
      </c>
      <c r="V4" s="106">
        <v>400.06</v>
      </c>
      <c r="W4" s="106">
        <v>400.16</v>
      </c>
      <c r="X4" s="106">
        <v>326.23</v>
      </c>
      <c r="Y4" s="37"/>
      <c r="Z4" s="106">
        <v>400.35</v>
      </c>
      <c r="AA4" s="106">
        <v>401.12</v>
      </c>
      <c r="AB4" s="106">
        <v>350.11</v>
      </c>
      <c r="AC4" s="106">
        <v>400.13</v>
      </c>
      <c r="AD4" s="106">
        <v>350.51</v>
      </c>
      <c r="AE4" s="106">
        <v>400.05</v>
      </c>
      <c r="AF4" s="106">
        <v>351.58</v>
      </c>
      <c r="AG4" s="106">
        <v>300.07</v>
      </c>
      <c r="AH4" s="106">
        <v>400.14</v>
      </c>
      <c r="AI4" s="106"/>
      <c r="AJ4" s="37"/>
      <c r="AK4" s="112"/>
      <c r="AL4" s="154"/>
      <c r="AM4" s="154" t="s">
        <v>379</v>
      </c>
    </row>
    <row r="5" spans="1:39" x14ac:dyDescent="0.25">
      <c r="A5" s="11">
        <v>3</v>
      </c>
      <c r="B5" s="106" t="s">
        <v>289</v>
      </c>
      <c r="C5" s="106" t="s">
        <v>289</v>
      </c>
      <c r="D5" s="106" t="s">
        <v>289</v>
      </c>
      <c r="E5" s="106" t="s">
        <v>289</v>
      </c>
      <c r="F5" s="106" t="s">
        <v>289</v>
      </c>
      <c r="G5" s="106" t="s">
        <v>289</v>
      </c>
      <c r="H5" s="106" t="s">
        <v>289</v>
      </c>
      <c r="I5" s="37"/>
      <c r="J5" s="106" t="s">
        <v>289</v>
      </c>
      <c r="K5" s="106" t="s">
        <v>289</v>
      </c>
      <c r="L5" s="106" t="s">
        <v>289</v>
      </c>
      <c r="M5" s="106" t="s">
        <v>289</v>
      </c>
      <c r="N5" s="106" t="s">
        <v>289</v>
      </c>
      <c r="O5" s="106" t="s">
        <v>289</v>
      </c>
      <c r="P5" s="106" t="s">
        <v>289</v>
      </c>
      <c r="Q5" s="37"/>
      <c r="R5" s="106" t="s">
        <v>289</v>
      </c>
      <c r="S5" s="106" t="s">
        <v>289</v>
      </c>
      <c r="T5" s="106" t="s">
        <v>289</v>
      </c>
      <c r="U5" s="106" t="s">
        <v>289</v>
      </c>
      <c r="V5" s="106" t="s">
        <v>289</v>
      </c>
      <c r="W5" s="106" t="s">
        <v>289</v>
      </c>
      <c r="X5" s="106" t="s">
        <v>289</v>
      </c>
      <c r="Y5" s="37"/>
      <c r="Z5" s="106" t="s">
        <v>289</v>
      </c>
      <c r="AA5" s="106" t="s">
        <v>289</v>
      </c>
      <c r="AB5" s="106" t="s">
        <v>289</v>
      </c>
      <c r="AC5" s="106" t="s">
        <v>289</v>
      </c>
      <c r="AD5" s="106" t="s">
        <v>289</v>
      </c>
      <c r="AE5" s="106" t="s">
        <v>289</v>
      </c>
      <c r="AF5" s="106" t="s">
        <v>289</v>
      </c>
      <c r="AG5" s="106" t="s">
        <v>289</v>
      </c>
      <c r="AH5" s="106" t="s">
        <v>289</v>
      </c>
      <c r="AI5" s="106"/>
      <c r="AJ5" s="37"/>
      <c r="AK5" s="131"/>
      <c r="AL5" s="176"/>
      <c r="AM5" s="176" t="s">
        <v>395</v>
      </c>
    </row>
    <row r="6" spans="1:39" x14ac:dyDescent="0.25">
      <c r="A6" s="11">
        <v>4</v>
      </c>
      <c r="B6" s="106">
        <v>505.63</v>
      </c>
      <c r="C6" s="106">
        <v>470.43</v>
      </c>
      <c r="D6" s="106">
        <v>500.38</v>
      </c>
      <c r="E6" s="106">
        <v>400.65</v>
      </c>
      <c r="F6" s="106">
        <v>486.13</v>
      </c>
      <c r="G6" s="106">
        <v>500.05</v>
      </c>
      <c r="H6" s="106">
        <v>400.15</v>
      </c>
      <c r="I6" s="37"/>
      <c r="J6" s="106">
        <v>450.15</v>
      </c>
      <c r="K6" s="106">
        <v>499.9</v>
      </c>
      <c r="L6" s="106">
        <v>500.17</v>
      </c>
      <c r="M6" s="106">
        <v>450.05</v>
      </c>
      <c r="N6" s="106">
        <v>500.23</v>
      </c>
      <c r="O6" s="106">
        <v>400.89</v>
      </c>
      <c r="P6" s="106">
        <v>500.62</v>
      </c>
      <c r="Q6" s="37"/>
      <c r="R6" s="106">
        <v>450.81</v>
      </c>
      <c r="S6" s="106">
        <v>400.22</v>
      </c>
      <c r="T6" s="106">
        <v>499.92</v>
      </c>
      <c r="U6" s="106">
        <v>500.29</v>
      </c>
      <c r="V6" s="106">
        <v>450.11</v>
      </c>
      <c r="W6" s="106">
        <v>400.44</v>
      </c>
      <c r="X6" s="106">
        <v>517.91</v>
      </c>
      <c r="Y6" s="37"/>
      <c r="Z6" s="106">
        <v>500</v>
      </c>
      <c r="AA6" s="106">
        <v>400.16</v>
      </c>
      <c r="AB6" s="106">
        <v>449.45</v>
      </c>
      <c r="AC6" s="106">
        <v>499.25</v>
      </c>
      <c r="AD6" s="106">
        <v>400.35</v>
      </c>
      <c r="AE6" s="106">
        <v>500.21</v>
      </c>
      <c r="AF6" s="106">
        <v>499.97</v>
      </c>
      <c r="AG6" s="106">
        <v>400.47</v>
      </c>
      <c r="AH6" s="106">
        <v>500.62</v>
      </c>
      <c r="AI6" s="106"/>
      <c r="AJ6" s="37"/>
      <c r="AK6" s="131"/>
      <c r="AL6" s="176"/>
      <c r="AM6" s="176"/>
    </row>
    <row r="7" spans="1:39" x14ac:dyDescent="0.25">
      <c r="A7" s="11">
        <v>5</v>
      </c>
      <c r="B7" s="106" t="s">
        <v>289</v>
      </c>
      <c r="C7" s="106" t="s">
        <v>289</v>
      </c>
      <c r="D7" s="106" t="s">
        <v>289</v>
      </c>
      <c r="E7" s="106" t="s">
        <v>289</v>
      </c>
      <c r="F7" s="106" t="s">
        <v>289</v>
      </c>
      <c r="G7" s="106" t="s">
        <v>289</v>
      </c>
      <c r="H7" s="106" t="s">
        <v>289</v>
      </c>
      <c r="I7" s="37"/>
      <c r="J7" s="106" t="s">
        <v>289</v>
      </c>
      <c r="K7" s="106" t="s">
        <v>289</v>
      </c>
      <c r="L7" s="106" t="s">
        <v>289</v>
      </c>
      <c r="M7" s="106" t="s">
        <v>289</v>
      </c>
      <c r="N7" s="106" t="s">
        <v>289</v>
      </c>
      <c r="O7" s="106" t="s">
        <v>289</v>
      </c>
      <c r="P7" s="106" t="s">
        <v>289</v>
      </c>
      <c r="Q7" s="37"/>
      <c r="R7" s="106" t="s">
        <v>289</v>
      </c>
      <c r="S7" s="106" t="s">
        <v>289</v>
      </c>
      <c r="T7" s="106" t="s">
        <v>289</v>
      </c>
      <c r="U7" s="106" t="s">
        <v>289</v>
      </c>
      <c r="V7" s="106" t="s">
        <v>289</v>
      </c>
      <c r="W7" s="106" t="s">
        <v>289</v>
      </c>
      <c r="X7" s="106" t="s">
        <v>289</v>
      </c>
      <c r="Y7" s="37"/>
      <c r="Z7" s="106" t="s">
        <v>289</v>
      </c>
      <c r="AA7" s="106" t="s">
        <v>289</v>
      </c>
      <c r="AB7" s="106" t="s">
        <v>289</v>
      </c>
      <c r="AC7" s="106" t="s">
        <v>289</v>
      </c>
      <c r="AD7" s="106" t="s">
        <v>289</v>
      </c>
      <c r="AE7" s="106" t="s">
        <v>289</v>
      </c>
      <c r="AF7" s="106" t="s">
        <v>289</v>
      </c>
      <c r="AG7" s="106" t="s">
        <v>289</v>
      </c>
      <c r="AH7" s="106" t="s">
        <v>289</v>
      </c>
      <c r="AI7" s="106"/>
      <c r="AJ7" s="37"/>
      <c r="AK7" s="131"/>
      <c r="AL7" s="176"/>
      <c r="AM7" s="176" t="s">
        <v>381</v>
      </c>
    </row>
    <row r="8" spans="1:39" x14ac:dyDescent="0.25">
      <c r="A8" s="11">
        <v>6</v>
      </c>
      <c r="B8" s="106">
        <v>301.52</v>
      </c>
      <c r="C8" s="106">
        <v>350</v>
      </c>
      <c r="D8" s="106">
        <v>270.04000000000002</v>
      </c>
      <c r="E8" s="106">
        <v>303.64</v>
      </c>
      <c r="F8" s="106">
        <v>310.42</v>
      </c>
      <c r="G8" s="106">
        <v>399.99</v>
      </c>
      <c r="H8" s="106">
        <v>300.23</v>
      </c>
      <c r="I8" s="37"/>
      <c r="J8" s="106">
        <v>149.97999999999999</v>
      </c>
      <c r="K8" s="106">
        <v>249.99</v>
      </c>
      <c r="L8" s="106">
        <v>400.44</v>
      </c>
      <c r="M8" s="106">
        <v>149.16</v>
      </c>
      <c r="N8" s="106">
        <v>150.32</v>
      </c>
      <c r="O8" s="106" t="s">
        <v>289</v>
      </c>
      <c r="P8" s="106">
        <v>270.57</v>
      </c>
      <c r="Q8" s="37"/>
      <c r="R8" s="106">
        <v>400.36</v>
      </c>
      <c r="S8" s="106">
        <v>200.34</v>
      </c>
      <c r="T8" s="106">
        <v>352.22</v>
      </c>
      <c r="U8" s="106">
        <v>288.20999999999998</v>
      </c>
      <c r="V8" s="106">
        <v>400.08</v>
      </c>
      <c r="W8" s="106">
        <v>350.53</v>
      </c>
      <c r="X8" s="106">
        <v>350.31</v>
      </c>
      <c r="Y8" s="37"/>
      <c r="Z8" s="106">
        <v>350.3</v>
      </c>
      <c r="AA8" s="106">
        <v>350.79</v>
      </c>
      <c r="AB8" s="106">
        <v>350.53</v>
      </c>
      <c r="AC8" s="106">
        <v>200.07</v>
      </c>
      <c r="AD8" s="106">
        <v>350.66</v>
      </c>
      <c r="AE8" s="106">
        <v>350.41</v>
      </c>
      <c r="AF8" s="106">
        <v>400.07</v>
      </c>
      <c r="AG8" s="106">
        <v>251.31</v>
      </c>
      <c r="AH8" s="106">
        <v>400.23</v>
      </c>
      <c r="AI8" s="106"/>
      <c r="AJ8" s="37"/>
      <c r="AK8" s="131"/>
      <c r="AL8" s="176"/>
      <c r="AM8" s="176" t="s">
        <v>382</v>
      </c>
    </row>
    <row r="9" spans="1:39" x14ac:dyDescent="0.25">
      <c r="A9" s="11">
        <v>7</v>
      </c>
      <c r="B9" s="587"/>
      <c r="C9" s="587"/>
      <c r="D9" s="587"/>
      <c r="E9" s="587"/>
      <c r="F9" s="587"/>
      <c r="G9" s="587"/>
      <c r="H9" s="587"/>
      <c r="I9" s="182" t="s">
        <v>290</v>
      </c>
      <c r="J9" s="587"/>
      <c r="K9" s="587"/>
      <c r="L9" s="587"/>
      <c r="M9" s="587"/>
      <c r="N9" s="587"/>
      <c r="O9" s="587"/>
      <c r="P9" s="587"/>
      <c r="Q9" s="182" t="s">
        <v>290</v>
      </c>
      <c r="R9" s="587"/>
      <c r="S9" s="587"/>
      <c r="T9" s="587"/>
      <c r="U9" s="587"/>
      <c r="V9" s="587"/>
      <c r="W9" s="587"/>
      <c r="X9" s="587"/>
      <c r="Y9" s="182" t="s">
        <v>290</v>
      </c>
      <c r="Z9" s="587"/>
      <c r="AA9" s="587"/>
      <c r="AB9" s="587"/>
      <c r="AC9" s="587"/>
      <c r="AD9" s="587"/>
      <c r="AE9" s="587"/>
      <c r="AF9" s="587"/>
      <c r="AG9" s="587"/>
      <c r="AH9" s="587"/>
      <c r="AI9" s="587"/>
      <c r="AJ9" s="182" t="s">
        <v>290</v>
      </c>
      <c r="AK9" s="573"/>
      <c r="AL9" s="197"/>
      <c r="AM9" s="197"/>
    </row>
    <row r="10" spans="1:39" x14ac:dyDescent="0.25">
      <c r="A10" s="11">
        <v>8</v>
      </c>
      <c r="B10" s="106">
        <v>400.56</v>
      </c>
      <c r="C10" s="106">
        <v>344.71</v>
      </c>
      <c r="D10" s="106">
        <v>449.99</v>
      </c>
      <c r="E10" s="106">
        <v>361.62</v>
      </c>
      <c r="F10" s="106">
        <v>432.63</v>
      </c>
      <c r="G10" s="106">
        <v>350.37</v>
      </c>
      <c r="H10" s="106">
        <v>400.55</v>
      </c>
      <c r="I10" s="37"/>
      <c r="J10" s="106">
        <v>201.31</v>
      </c>
      <c r="K10" s="106" t="s">
        <v>289</v>
      </c>
      <c r="L10" s="106">
        <v>300.52999999999997</v>
      </c>
      <c r="M10" s="106">
        <v>400.47</v>
      </c>
      <c r="N10" s="106">
        <v>450.27</v>
      </c>
      <c r="O10" s="106">
        <v>400.55</v>
      </c>
      <c r="P10" s="106">
        <v>354.76</v>
      </c>
      <c r="Q10" s="37"/>
      <c r="R10" s="106">
        <v>386.71</v>
      </c>
      <c r="S10" s="106">
        <v>399.97</v>
      </c>
      <c r="T10" s="106">
        <v>307.37</v>
      </c>
      <c r="U10" s="106">
        <v>400.32</v>
      </c>
      <c r="V10" s="106">
        <v>260.39999999999998</v>
      </c>
      <c r="W10" s="106">
        <v>399.63</v>
      </c>
      <c r="X10" s="106">
        <v>420.22</v>
      </c>
      <c r="Y10" s="37"/>
      <c r="Z10" s="106">
        <v>450.52</v>
      </c>
      <c r="AA10" s="106">
        <v>350.01</v>
      </c>
      <c r="AB10" s="106">
        <v>500.55</v>
      </c>
      <c r="AC10" s="106">
        <v>349.87</v>
      </c>
      <c r="AD10" s="106">
        <v>412.66</v>
      </c>
      <c r="AE10" s="106">
        <v>400.38</v>
      </c>
      <c r="AF10" s="106">
        <v>418.29</v>
      </c>
      <c r="AG10" s="106">
        <v>398.94</v>
      </c>
      <c r="AH10" s="106">
        <v>400.33</v>
      </c>
      <c r="AI10" s="106"/>
      <c r="AJ10" s="37"/>
      <c r="AK10" s="131"/>
      <c r="AL10" s="176"/>
      <c r="AM10" s="176" t="s">
        <v>383</v>
      </c>
    </row>
    <row r="11" spans="1:39" x14ac:dyDescent="0.25">
      <c r="A11" s="11">
        <v>9</v>
      </c>
      <c r="B11" s="106" t="s">
        <v>289</v>
      </c>
      <c r="C11" s="106" t="s">
        <v>289</v>
      </c>
      <c r="D11" s="106" t="s">
        <v>289</v>
      </c>
      <c r="E11" s="106" t="s">
        <v>289</v>
      </c>
      <c r="F11" s="106" t="s">
        <v>289</v>
      </c>
      <c r="G11" s="106" t="s">
        <v>289</v>
      </c>
      <c r="H11" s="106" t="s">
        <v>289</v>
      </c>
      <c r="I11" s="37"/>
      <c r="J11" s="106" t="s">
        <v>289</v>
      </c>
      <c r="K11" s="106" t="s">
        <v>289</v>
      </c>
      <c r="L11" s="106" t="s">
        <v>289</v>
      </c>
      <c r="M11" s="106" t="s">
        <v>289</v>
      </c>
      <c r="N11" s="106" t="s">
        <v>289</v>
      </c>
      <c r="O11" s="106" t="s">
        <v>289</v>
      </c>
      <c r="P11" s="106" t="s">
        <v>289</v>
      </c>
      <c r="Q11" s="37"/>
      <c r="R11" s="106" t="s">
        <v>289</v>
      </c>
      <c r="S11" s="106" t="s">
        <v>289</v>
      </c>
      <c r="T11" s="106" t="s">
        <v>289</v>
      </c>
      <c r="U11" s="106" t="s">
        <v>289</v>
      </c>
      <c r="V11" s="106" t="s">
        <v>289</v>
      </c>
      <c r="W11" s="106" t="s">
        <v>289</v>
      </c>
      <c r="X11" s="106" t="s">
        <v>289</v>
      </c>
      <c r="Y11" s="37"/>
      <c r="Z11" s="106" t="s">
        <v>289</v>
      </c>
      <c r="AA11" s="106" t="s">
        <v>289</v>
      </c>
      <c r="AB11" s="106" t="s">
        <v>289</v>
      </c>
      <c r="AC11" s="106" t="s">
        <v>289</v>
      </c>
      <c r="AD11" s="106" t="s">
        <v>289</v>
      </c>
      <c r="AE11" s="106" t="s">
        <v>289</v>
      </c>
      <c r="AF11" s="106" t="s">
        <v>289</v>
      </c>
      <c r="AG11" s="106" t="s">
        <v>289</v>
      </c>
      <c r="AH11" s="106" t="s">
        <v>289</v>
      </c>
      <c r="AI11" s="106"/>
      <c r="AJ11" s="37"/>
      <c r="AK11" s="131"/>
      <c r="AL11" s="176"/>
      <c r="AM11" s="176" t="s">
        <v>387</v>
      </c>
    </row>
    <row r="12" spans="1:39" x14ac:dyDescent="0.25">
      <c r="A12" s="11">
        <v>10</v>
      </c>
      <c r="B12" s="106">
        <v>500.07</v>
      </c>
      <c r="C12" s="106">
        <v>450.04</v>
      </c>
      <c r="D12" s="106">
        <v>400.17</v>
      </c>
      <c r="E12" s="106">
        <v>500.17</v>
      </c>
      <c r="F12" s="106">
        <v>500.72</v>
      </c>
      <c r="G12" s="106">
        <v>499.88</v>
      </c>
      <c r="H12" s="106">
        <v>400.09</v>
      </c>
      <c r="I12" s="37"/>
      <c r="J12" s="106">
        <v>450.21</v>
      </c>
      <c r="K12" s="106">
        <v>400.82</v>
      </c>
      <c r="L12" s="106">
        <v>500.12</v>
      </c>
      <c r="M12" s="106">
        <v>500.36</v>
      </c>
      <c r="N12" s="106">
        <v>500.13</v>
      </c>
      <c r="O12" s="106">
        <v>500.51</v>
      </c>
      <c r="P12" s="106">
        <v>450.23</v>
      </c>
      <c r="Q12" s="37"/>
      <c r="R12" s="106">
        <v>450.21</v>
      </c>
      <c r="S12" s="106">
        <v>400.33</v>
      </c>
      <c r="T12" s="106">
        <v>500.02</v>
      </c>
      <c r="U12" s="106">
        <v>400.08</v>
      </c>
      <c r="V12" s="106">
        <v>500.61</v>
      </c>
      <c r="W12" s="106">
        <v>500.68</v>
      </c>
      <c r="X12" s="106">
        <v>500.8</v>
      </c>
      <c r="Y12" s="37"/>
      <c r="Z12" s="106">
        <v>400.1</v>
      </c>
      <c r="AA12" s="106">
        <v>500.16</v>
      </c>
      <c r="AB12" s="106">
        <v>500.22</v>
      </c>
      <c r="AC12" s="106">
        <v>400.2</v>
      </c>
      <c r="AD12" s="106">
        <v>502.68</v>
      </c>
      <c r="AE12" s="106">
        <v>500.23</v>
      </c>
      <c r="AF12" s="106">
        <v>500.1</v>
      </c>
      <c r="AG12" s="106">
        <v>300.61</v>
      </c>
      <c r="AH12" s="106">
        <v>400.5</v>
      </c>
      <c r="AI12" s="106"/>
      <c r="AJ12" s="37"/>
      <c r="AK12" s="131"/>
      <c r="AL12" s="176"/>
      <c r="AM12" s="176"/>
    </row>
    <row r="13" spans="1:39" x14ac:dyDescent="0.25">
      <c r="A13" s="11">
        <v>11</v>
      </c>
      <c r="B13" s="106">
        <v>400.23</v>
      </c>
      <c r="C13" s="106">
        <v>499.41</v>
      </c>
      <c r="D13" s="106">
        <v>400.19</v>
      </c>
      <c r="E13" s="106">
        <v>500.51</v>
      </c>
      <c r="F13" s="106">
        <v>500.52</v>
      </c>
      <c r="G13" s="106">
        <v>400.01</v>
      </c>
      <c r="H13" s="106">
        <v>265.70999999999998</v>
      </c>
      <c r="I13" s="37"/>
      <c r="J13" s="106" t="s">
        <v>289</v>
      </c>
      <c r="K13" s="106">
        <v>331.44</v>
      </c>
      <c r="L13" s="106">
        <v>500.19</v>
      </c>
      <c r="M13" s="106">
        <v>500.15</v>
      </c>
      <c r="N13" s="106">
        <v>500.08</v>
      </c>
      <c r="O13" s="106">
        <v>500.31</v>
      </c>
      <c r="P13" s="106">
        <v>470.21</v>
      </c>
      <c r="Q13" s="37"/>
      <c r="R13" s="106">
        <v>400.34</v>
      </c>
      <c r="S13" s="106">
        <v>400.09</v>
      </c>
      <c r="T13" s="106">
        <v>500.96</v>
      </c>
      <c r="U13" s="106">
        <v>500.19</v>
      </c>
      <c r="V13" s="106">
        <v>500.09</v>
      </c>
      <c r="W13" s="106">
        <v>450.06</v>
      </c>
      <c r="X13" s="106">
        <v>500.03</v>
      </c>
      <c r="Y13" s="37"/>
      <c r="Z13" s="106">
        <v>500.73</v>
      </c>
      <c r="AA13" s="106">
        <v>499.84</v>
      </c>
      <c r="AB13" s="106">
        <v>500.81</v>
      </c>
      <c r="AC13" s="106">
        <v>500.05</v>
      </c>
      <c r="AD13" s="106">
        <v>500.41</v>
      </c>
      <c r="AE13" s="106">
        <v>500.27</v>
      </c>
      <c r="AF13" s="106">
        <v>500.57</v>
      </c>
      <c r="AG13" s="106">
        <v>499.95</v>
      </c>
      <c r="AH13" s="106">
        <v>500.41</v>
      </c>
      <c r="AI13" s="106"/>
      <c r="AJ13" s="37"/>
      <c r="AK13" s="131"/>
      <c r="AL13" s="197"/>
      <c r="AM13" s="176" t="s">
        <v>384</v>
      </c>
    </row>
    <row r="14" spans="1:39" x14ac:dyDescent="0.25">
      <c r="A14" s="11">
        <v>12</v>
      </c>
      <c r="B14" s="106" t="s">
        <v>289</v>
      </c>
      <c r="C14" s="106" t="s">
        <v>289</v>
      </c>
      <c r="D14" s="106" t="s">
        <v>289</v>
      </c>
      <c r="E14" s="106" t="s">
        <v>289</v>
      </c>
      <c r="F14" s="106" t="s">
        <v>289</v>
      </c>
      <c r="G14" s="106" t="s">
        <v>289</v>
      </c>
      <c r="H14" s="106" t="s">
        <v>289</v>
      </c>
      <c r="I14" s="37"/>
      <c r="J14" s="106" t="s">
        <v>289</v>
      </c>
      <c r="K14" s="106" t="s">
        <v>289</v>
      </c>
      <c r="L14" s="106" t="s">
        <v>289</v>
      </c>
      <c r="M14" s="106" t="s">
        <v>289</v>
      </c>
      <c r="N14" s="106" t="s">
        <v>289</v>
      </c>
      <c r="O14" s="106" t="s">
        <v>289</v>
      </c>
      <c r="P14" s="106" t="s">
        <v>289</v>
      </c>
      <c r="Q14" s="37"/>
      <c r="R14" s="106" t="s">
        <v>289</v>
      </c>
      <c r="S14" s="106" t="s">
        <v>289</v>
      </c>
      <c r="T14" s="106" t="s">
        <v>289</v>
      </c>
      <c r="U14" s="106" t="s">
        <v>289</v>
      </c>
      <c r="V14" s="106" t="s">
        <v>289</v>
      </c>
      <c r="W14" s="106" t="s">
        <v>289</v>
      </c>
      <c r="X14" s="106" t="s">
        <v>289</v>
      </c>
      <c r="Y14" s="37"/>
      <c r="Z14" s="106" t="s">
        <v>289</v>
      </c>
      <c r="AA14" s="106" t="s">
        <v>289</v>
      </c>
      <c r="AB14" s="106" t="s">
        <v>289</v>
      </c>
      <c r="AC14" s="106" t="s">
        <v>289</v>
      </c>
      <c r="AD14" s="106" t="s">
        <v>289</v>
      </c>
      <c r="AE14" s="106" t="s">
        <v>289</v>
      </c>
      <c r="AF14" s="106" t="s">
        <v>289</v>
      </c>
      <c r="AG14" s="106" t="s">
        <v>289</v>
      </c>
      <c r="AH14" s="106" t="s">
        <v>289</v>
      </c>
      <c r="AI14" s="106"/>
      <c r="AJ14" s="37"/>
      <c r="AK14" s="131"/>
      <c r="AL14" s="197"/>
      <c r="AM14" s="176" t="s">
        <v>385</v>
      </c>
    </row>
    <row r="15" spans="1:39" x14ac:dyDescent="0.25">
      <c r="A15" s="11">
        <v>13</v>
      </c>
      <c r="B15" s="106">
        <v>399.71</v>
      </c>
      <c r="C15" s="106">
        <v>501.49</v>
      </c>
      <c r="D15" s="106">
        <v>500.28</v>
      </c>
      <c r="E15" s="106">
        <v>500.45</v>
      </c>
      <c r="F15" s="106">
        <v>415.33</v>
      </c>
      <c r="G15" s="106">
        <v>399.85</v>
      </c>
      <c r="H15" s="106">
        <v>400.4</v>
      </c>
      <c r="I15" s="37"/>
      <c r="J15" s="106">
        <v>457.89</v>
      </c>
      <c r="K15" s="106">
        <v>372.57</v>
      </c>
      <c r="L15" s="106">
        <v>454.62</v>
      </c>
      <c r="M15" s="106">
        <v>400.39</v>
      </c>
      <c r="N15" s="106">
        <v>500.25</v>
      </c>
      <c r="O15" s="106">
        <v>497.85</v>
      </c>
      <c r="P15" s="106">
        <v>462.09</v>
      </c>
      <c r="Q15" s="37"/>
      <c r="R15" s="106">
        <v>457.14</v>
      </c>
      <c r="S15" s="106">
        <v>400.12</v>
      </c>
      <c r="T15" s="106">
        <v>499.69</v>
      </c>
      <c r="U15" s="106">
        <v>400.11</v>
      </c>
      <c r="V15" s="106">
        <v>500.49</v>
      </c>
      <c r="W15" s="106">
        <v>499.98</v>
      </c>
      <c r="X15" s="106">
        <v>498.8</v>
      </c>
      <c r="Y15" s="37"/>
      <c r="Z15" s="106">
        <v>432.69</v>
      </c>
      <c r="AA15" s="106">
        <v>465.73</v>
      </c>
      <c r="AB15" s="106">
        <v>451.69</v>
      </c>
      <c r="AC15" s="106">
        <v>499.91</v>
      </c>
      <c r="AD15" s="106">
        <v>494.9</v>
      </c>
      <c r="AE15" s="106">
        <v>400.16</v>
      </c>
      <c r="AF15" s="106" t="s">
        <v>289</v>
      </c>
      <c r="AG15" s="106">
        <v>500.56</v>
      </c>
      <c r="AH15" s="106">
        <v>498.26</v>
      </c>
      <c r="AI15" s="106"/>
      <c r="AJ15" s="37"/>
      <c r="AK15" s="131"/>
      <c r="AL15" s="197"/>
      <c r="AM15" s="176" t="s">
        <v>386</v>
      </c>
    </row>
    <row r="16" spans="1:39" x14ac:dyDescent="0.25">
      <c r="A16" s="11">
        <v>14</v>
      </c>
      <c r="B16" s="106">
        <v>450.81</v>
      </c>
      <c r="C16" s="106">
        <v>403.52</v>
      </c>
      <c r="D16" s="106">
        <v>450.9</v>
      </c>
      <c r="E16" s="106">
        <v>355.16</v>
      </c>
      <c r="F16" s="106">
        <v>483.87</v>
      </c>
      <c r="G16" s="106">
        <v>500.17</v>
      </c>
      <c r="H16" s="106">
        <v>350.48</v>
      </c>
      <c r="I16" s="37"/>
      <c r="J16" s="106">
        <v>350.32</v>
      </c>
      <c r="K16" s="106">
        <v>353.28</v>
      </c>
      <c r="L16" s="106">
        <v>300.45999999999998</v>
      </c>
      <c r="M16" s="106">
        <v>205.25</v>
      </c>
      <c r="N16" s="106">
        <v>500.08</v>
      </c>
      <c r="O16" s="106">
        <v>463.8</v>
      </c>
      <c r="P16" s="106">
        <v>480.25</v>
      </c>
      <c r="Q16" s="37"/>
      <c r="R16" s="106">
        <v>400.36</v>
      </c>
      <c r="S16" s="106">
        <v>400.75</v>
      </c>
      <c r="T16" s="106">
        <v>450.36</v>
      </c>
      <c r="U16" s="106">
        <v>399.85</v>
      </c>
      <c r="V16" s="106">
        <v>400.47</v>
      </c>
      <c r="W16" s="106">
        <v>500.19</v>
      </c>
      <c r="X16" s="106">
        <v>499.97</v>
      </c>
      <c r="Y16" s="37"/>
      <c r="Z16" s="106">
        <v>500.15</v>
      </c>
      <c r="AA16" s="106">
        <v>500.06</v>
      </c>
      <c r="AB16" s="106">
        <v>500.33</v>
      </c>
      <c r="AC16" s="106">
        <v>499.61</v>
      </c>
      <c r="AD16" s="106">
        <v>500.6</v>
      </c>
      <c r="AE16" s="106">
        <v>500.34</v>
      </c>
      <c r="AF16" s="106">
        <v>500.18</v>
      </c>
      <c r="AG16" s="106">
        <v>477.14</v>
      </c>
      <c r="AH16" s="106">
        <v>500.13</v>
      </c>
      <c r="AI16" s="106"/>
      <c r="AJ16" s="37"/>
      <c r="AK16" s="573"/>
      <c r="AL16" s="197"/>
      <c r="AM16" s="197"/>
    </row>
    <row r="17" spans="1:39" x14ac:dyDescent="0.25">
      <c r="A17" s="11">
        <v>15</v>
      </c>
      <c r="B17" s="106">
        <v>57.69</v>
      </c>
      <c r="C17" s="106">
        <v>67.25</v>
      </c>
      <c r="D17" s="106">
        <v>418.37</v>
      </c>
      <c r="E17" s="106">
        <v>293.43</v>
      </c>
      <c r="F17" s="106">
        <v>490.71</v>
      </c>
      <c r="G17" s="106">
        <v>399.99</v>
      </c>
      <c r="H17" s="106">
        <v>352.83</v>
      </c>
      <c r="I17" s="37"/>
      <c r="J17" s="106">
        <v>200.39</v>
      </c>
      <c r="K17" s="106">
        <v>232.41</v>
      </c>
      <c r="L17" s="106">
        <v>35.71</v>
      </c>
      <c r="M17" s="106">
        <v>50.04</v>
      </c>
      <c r="N17" s="106">
        <v>89.06</v>
      </c>
      <c r="O17" s="106">
        <v>412.37</v>
      </c>
      <c r="P17" s="106">
        <v>334.29</v>
      </c>
      <c r="Q17" s="37"/>
      <c r="R17" s="106">
        <v>502.21</v>
      </c>
      <c r="S17" s="106">
        <v>400.31</v>
      </c>
      <c r="T17" s="106">
        <v>434.69</v>
      </c>
      <c r="U17" s="106">
        <v>355.1</v>
      </c>
      <c r="V17" s="106">
        <v>267.25</v>
      </c>
      <c r="W17" s="106">
        <v>209.37</v>
      </c>
      <c r="X17" s="106">
        <v>500.42</v>
      </c>
      <c r="Y17" s="37"/>
      <c r="Z17" s="106">
        <v>268.41000000000003</v>
      </c>
      <c r="AA17" s="106" t="s">
        <v>289</v>
      </c>
      <c r="AB17" s="106">
        <v>173.75</v>
      </c>
      <c r="AC17" s="106">
        <v>486.51</v>
      </c>
      <c r="AD17" s="106">
        <v>400.4</v>
      </c>
      <c r="AE17" s="106">
        <v>68.680000000000007</v>
      </c>
      <c r="AF17" s="106">
        <v>400.04</v>
      </c>
      <c r="AG17" s="106">
        <v>65.22</v>
      </c>
      <c r="AH17" s="106">
        <v>16.899999999999999</v>
      </c>
      <c r="AI17" s="106"/>
      <c r="AJ17" s="37"/>
      <c r="AK17" s="573"/>
      <c r="AL17" s="197"/>
      <c r="AM17" s="197"/>
    </row>
    <row r="18" spans="1:39" x14ac:dyDescent="0.25">
      <c r="A18" s="11">
        <v>16</v>
      </c>
      <c r="B18" s="109"/>
      <c r="C18" s="109"/>
      <c r="D18" s="109"/>
      <c r="E18" s="109"/>
      <c r="F18" s="109"/>
      <c r="G18" s="109"/>
      <c r="H18" s="109"/>
      <c r="I18" s="39" t="s">
        <v>291</v>
      </c>
      <c r="J18" s="109"/>
      <c r="K18" s="109"/>
      <c r="L18" s="109"/>
      <c r="M18" s="109"/>
      <c r="N18" s="109"/>
      <c r="O18" s="109"/>
      <c r="P18" s="109"/>
      <c r="Q18" s="39" t="s">
        <v>291</v>
      </c>
      <c r="R18" s="109"/>
      <c r="S18" s="109"/>
      <c r="T18" s="109"/>
      <c r="U18" s="109"/>
      <c r="V18" s="109"/>
      <c r="W18" s="109"/>
      <c r="X18" s="109"/>
      <c r="Y18" s="39" t="s">
        <v>291</v>
      </c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39" t="s">
        <v>291</v>
      </c>
      <c r="AK18" s="18"/>
      <c r="AL18" s="202"/>
      <c r="AM18" s="202"/>
    </row>
    <row r="19" spans="1:39" x14ac:dyDescent="0.25">
      <c r="A19" s="11">
        <v>17</v>
      </c>
      <c r="B19" s="106" t="s">
        <v>289</v>
      </c>
      <c r="C19" s="106">
        <v>71.760000000000005</v>
      </c>
      <c r="D19" s="106">
        <v>380.46</v>
      </c>
      <c r="E19" s="106">
        <v>323.93</v>
      </c>
      <c r="F19" s="106">
        <v>391.29</v>
      </c>
      <c r="G19" s="106">
        <v>400.18</v>
      </c>
      <c r="H19" s="106">
        <v>400.26</v>
      </c>
      <c r="I19" s="37"/>
      <c r="J19" s="106">
        <v>500.16</v>
      </c>
      <c r="K19" s="106">
        <v>270.49</v>
      </c>
      <c r="L19" s="106">
        <v>450.2</v>
      </c>
      <c r="M19" s="106">
        <v>500.34</v>
      </c>
      <c r="N19" s="106">
        <v>400.09</v>
      </c>
      <c r="O19" s="106">
        <v>400.84</v>
      </c>
      <c r="P19" s="106">
        <v>283.81</v>
      </c>
      <c r="Q19" s="37"/>
      <c r="R19" s="106">
        <v>350.19</v>
      </c>
      <c r="S19" s="106">
        <v>350.43</v>
      </c>
      <c r="T19" s="106">
        <v>119.49</v>
      </c>
      <c r="U19" s="106">
        <v>500.19</v>
      </c>
      <c r="V19" s="106">
        <v>400.51</v>
      </c>
      <c r="W19" s="106">
        <v>400.23</v>
      </c>
      <c r="X19" s="106">
        <v>419.57</v>
      </c>
      <c r="Y19" s="37"/>
      <c r="Z19" s="106">
        <v>300.5</v>
      </c>
      <c r="AA19" s="106">
        <v>312.27</v>
      </c>
      <c r="AB19" s="106">
        <v>450.83</v>
      </c>
      <c r="AC19" s="106">
        <v>369.96</v>
      </c>
      <c r="AD19" s="106">
        <v>400.19</v>
      </c>
      <c r="AE19" s="106">
        <v>399.92</v>
      </c>
      <c r="AF19" s="106">
        <v>400.22</v>
      </c>
      <c r="AG19" s="106">
        <v>299.92</v>
      </c>
      <c r="AH19" s="106">
        <v>450.55</v>
      </c>
      <c r="AI19" s="106"/>
      <c r="AJ19" s="37"/>
      <c r="AK19" s="573"/>
      <c r="AL19" s="197"/>
      <c r="AM19" s="197"/>
    </row>
    <row r="20" spans="1:39" x14ac:dyDescent="0.25">
      <c r="A20" s="11">
        <v>18</v>
      </c>
      <c r="B20" s="106" t="s">
        <v>289</v>
      </c>
      <c r="C20" s="106" t="s">
        <v>289</v>
      </c>
      <c r="D20" s="106" t="s">
        <v>289</v>
      </c>
      <c r="E20" s="106" t="s">
        <v>289</v>
      </c>
      <c r="F20" s="106" t="s">
        <v>289</v>
      </c>
      <c r="G20" s="106" t="s">
        <v>289</v>
      </c>
      <c r="H20" s="106" t="s">
        <v>289</v>
      </c>
      <c r="I20" s="37"/>
      <c r="J20" s="106" t="s">
        <v>289</v>
      </c>
      <c r="K20" s="106" t="s">
        <v>289</v>
      </c>
      <c r="L20" s="106" t="s">
        <v>289</v>
      </c>
      <c r="M20" s="106" t="s">
        <v>289</v>
      </c>
      <c r="N20" s="106" t="s">
        <v>289</v>
      </c>
      <c r="O20" s="106" t="s">
        <v>289</v>
      </c>
      <c r="P20" s="106" t="s">
        <v>289</v>
      </c>
      <c r="Q20" s="37"/>
      <c r="R20" s="106" t="s">
        <v>289</v>
      </c>
      <c r="S20" s="106" t="s">
        <v>289</v>
      </c>
      <c r="T20" s="106" t="s">
        <v>289</v>
      </c>
      <c r="U20" s="106" t="s">
        <v>289</v>
      </c>
      <c r="V20" s="106" t="s">
        <v>289</v>
      </c>
      <c r="W20" s="106" t="s">
        <v>289</v>
      </c>
      <c r="X20" s="106" t="s">
        <v>289</v>
      </c>
      <c r="Y20" s="37"/>
      <c r="Z20" s="106" t="s">
        <v>289</v>
      </c>
      <c r="AA20" s="106" t="s">
        <v>289</v>
      </c>
      <c r="AB20" s="106" t="s">
        <v>289</v>
      </c>
      <c r="AC20" s="106" t="s">
        <v>289</v>
      </c>
      <c r="AD20" s="106" t="s">
        <v>289</v>
      </c>
      <c r="AE20" s="106" t="s">
        <v>289</v>
      </c>
      <c r="AF20" s="106" t="s">
        <v>289</v>
      </c>
      <c r="AG20" s="106" t="s">
        <v>289</v>
      </c>
      <c r="AH20" s="106" t="s">
        <v>289</v>
      </c>
      <c r="AI20" s="106"/>
      <c r="AJ20" s="37"/>
      <c r="AK20" s="573"/>
      <c r="AL20" s="197"/>
      <c r="AM20" s="197"/>
    </row>
    <row r="21" spans="1:39" x14ac:dyDescent="0.25">
      <c r="A21" s="11">
        <v>19</v>
      </c>
      <c r="B21" s="106" t="s">
        <v>289</v>
      </c>
      <c r="C21" s="106" t="s">
        <v>289</v>
      </c>
      <c r="D21" s="106" t="s">
        <v>289</v>
      </c>
      <c r="E21" s="106" t="s">
        <v>289</v>
      </c>
      <c r="F21" s="106" t="s">
        <v>289</v>
      </c>
      <c r="G21" s="106" t="s">
        <v>289</v>
      </c>
      <c r="H21" s="106" t="s">
        <v>289</v>
      </c>
      <c r="I21" s="37"/>
      <c r="J21" s="106" t="s">
        <v>289</v>
      </c>
      <c r="K21" s="106" t="s">
        <v>289</v>
      </c>
      <c r="L21" s="106" t="s">
        <v>289</v>
      </c>
      <c r="M21" s="106" t="s">
        <v>289</v>
      </c>
      <c r="N21" s="106" t="s">
        <v>289</v>
      </c>
      <c r="O21" s="106" t="s">
        <v>289</v>
      </c>
      <c r="P21" s="106" t="s">
        <v>289</v>
      </c>
      <c r="Q21" s="37"/>
      <c r="R21" s="106" t="s">
        <v>289</v>
      </c>
      <c r="S21" s="106" t="s">
        <v>289</v>
      </c>
      <c r="T21" s="106" t="s">
        <v>289</v>
      </c>
      <c r="U21" s="106" t="s">
        <v>289</v>
      </c>
      <c r="V21" s="106" t="s">
        <v>289</v>
      </c>
      <c r="W21" s="106" t="s">
        <v>289</v>
      </c>
      <c r="X21" s="106" t="s">
        <v>289</v>
      </c>
      <c r="Y21" s="37"/>
      <c r="Z21" s="106" t="s">
        <v>289</v>
      </c>
      <c r="AA21" s="106" t="s">
        <v>289</v>
      </c>
      <c r="AB21" s="106" t="s">
        <v>289</v>
      </c>
      <c r="AC21" s="106" t="s">
        <v>289</v>
      </c>
      <c r="AD21" s="106" t="s">
        <v>289</v>
      </c>
      <c r="AE21" s="106" t="s">
        <v>289</v>
      </c>
      <c r="AF21" s="106" t="s">
        <v>289</v>
      </c>
      <c r="AG21" s="106" t="s">
        <v>289</v>
      </c>
      <c r="AH21" s="106" t="s">
        <v>289</v>
      </c>
      <c r="AI21" s="106"/>
      <c r="AJ21" s="37"/>
      <c r="AK21" s="573"/>
      <c r="AL21" s="197"/>
      <c r="AM21" s="197"/>
    </row>
    <row r="22" spans="1:39" x14ac:dyDescent="0.25">
      <c r="A22" s="11">
        <v>20</v>
      </c>
      <c r="B22" s="106" t="s">
        <v>289</v>
      </c>
      <c r="C22" s="106" t="s">
        <v>289</v>
      </c>
      <c r="D22" s="106">
        <v>270.61</v>
      </c>
      <c r="E22" s="106">
        <v>269.87</v>
      </c>
      <c r="F22" s="106" t="s">
        <v>289</v>
      </c>
      <c r="G22" s="106">
        <v>500.18</v>
      </c>
      <c r="H22" s="106" t="s">
        <v>289</v>
      </c>
      <c r="I22" s="37"/>
      <c r="J22" s="106" t="s">
        <v>289</v>
      </c>
      <c r="K22" s="106">
        <v>121.42</v>
      </c>
      <c r="L22" s="106" t="s">
        <v>289</v>
      </c>
      <c r="M22" s="106">
        <v>370.62</v>
      </c>
      <c r="N22" s="106">
        <v>350.25</v>
      </c>
      <c r="O22" s="106">
        <v>400.69</v>
      </c>
      <c r="P22" s="106">
        <v>500.12</v>
      </c>
      <c r="Q22" s="37"/>
      <c r="R22" s="106">
        <v>200.62</v>
      </c>
      <c r="S22" s="106" t="s">
        <v>289</v>
      </c>
      <c r="T22" s="106">
        <v>452.92</v>
      </c>
      <c r="U22" s="106">
        <v>399.94</v>
      </c>
      <c r="V22" s="106">
        <v>400</v>
      </c>
      <c r="W22" s="106">
        <v>499.94</v>
      </c>
      <c r="X22" s="106">
        <v>415.63</v>
      </c>
      <c r="Y22" s="37"/>
      <c r="Z22" s="106">
        <v>500.27</v>
      </c>
      <c r="AA22" s="106">
        <v>251.18</v>
      </c>
      <c r="AB22" s="106" t="s">
        <v>289</v>
      </c>
      <c r="AC22" s="106">
        <v>400.3</v>
      </c>
      <c r="AD22" s="106">
        <v>400.09</v>
      </c>
      <c r="AE22" s="106">
        <v>400.13</v>
      </c>
      <c r="AF22" s="106">
        <v>400.14</v>
      </c>
      <c r="AG22" s="106">
        <v>499.62</v>
      </c>
      <c r="AH22" s="106" t="s">
        <v>289</v>
      </c>
      <c r="AI22" s="106"/>
      <c r="AJ22" s="37"/>
      <c r="AK22" s="573"/>
      <c r="AL22" s="197"/>
      <c r="AM22" s="197"/>
    </row>
    <row r="23" spans="1:39" x14ac:dyDescent="0.25">
      <c r="A23" s="11">
        <v>21</v>
      </c>
      <c r="B23" s="962"/>
      <c r="C23" s="962"/>
      <c r="D23" s="962"/>
      <c r="E23" s="962"/>
      <c r="F23" s="962"/>
      <c r="G23" s="962"/>
      <c r="H23" s="962"/>
      <c r="I23" s="182" t="s">
        <v>422</v>
      </c>
      <c r="J23" s="962"/>
      <c r="K23" s="962"/>
      <c r="L23" s="962"/>
      <c r="M23" s="962"/>
      <c r="N23" s="962"/>
      <c r="O23" s="962"/>
      <c r="P23" s="962"/>
      <c r="Q23" s="182" t="s">
        <v>422</v>
      </c>
      <c r="R23" s="900"/>
      <c r="S23" s="900"/>
      <c r="T23" s="900"/>
      <c r="U23" s="900"/>
      <c r="V23" s="900"/>
      <c r="W23" s="900"/>
      <c r="X23" s="900"/>
      <c r="Y23" s="182" t="s">
        <v>422</v>
      </c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182" t="s">
        <v>422</v>
      </c>
      <c r="AK23" s="573"/>
      <c r="AL23" s="197"/>
      <c r="AM23" s="197"/>
    </row>
    <row r="24" spans="1:39" x14ac:dyDescent="0.25">
      <c r="A24" s="11">
        <v>22</v>
      </c>
      <c r="B24" s="106" t="s">
        <v>289</v>
      </c>
      <c r="C24" s="106" t="s">
        <v>289</v>
      </c>
      <c r="D24" s="106" t="s">
        <v>289</v>
      </c>
      <c r="E24" s="106" t="s">
        <v>289</v>
      </c>
      <c r="F24" s="106" t="s">
        <v>289</v>
      </c>
      <c r="G24" s="106" t="s">
        <v>289</v>
      </c>
      <c r="H24" s="106" t="s">
        <v>289</v>
      </c>
      <c r="I24" s="37"/>
      <c r="J24" s="106" t="s">
        <v>289</v>
      </c>
      <c r="K24" s="106" t="s">
        <v>289</v>
      </c>
      <c r="L24" s="106" t="s">
        <v>289</v>
      </c>
      <c r="M24" s="106" t="s">
        <v>289</v>
      </c>
      <c r="N24" s="106" t="s">
        <v>289</v>
      </c>
      <c r="O24" s="106" t="s">
        <v>289</v>
      </c>
      <c r="P24" s="106" t="s">
        <v>289</v>
      </c>
      <c r="Q24" s="37"/>
      <c r="R24" s="106" t="s">
        <v>289</v>
      </c>
      <c r="S24" s="106" t="s">
        <v>289</v>
      </c>
      <c r="T24" s="106" t="s">
        <v>289</v>
      </c>
      <c r="U24" s="106" t="s">
        <v>289</v>
      </c>
      <c r="V24" s="106" t="s">
        <v>289</v>
      </c>
      <c r="W24" s="106" t="s">
        <v>289</v>
      </c>
      <c r="X24" s="106" t="s">
        <v>289</v>
      </c>
      <c r="Y24" s="37"/>
      <c r="Z24" s="106" t="s">
        <v>289</v>
      </c>
      <c r="AA24" s="106" t="s">
        <v>289</v>
      </c>
      <c r="AB24" s="106" t="s">
        <v>289</v>
      </c>
      <c r="AC24" s="106" t="s">
        <v>289</v>
      </c>
      <c r="AD24" s="106" t="s">
        <v>289</v>
      </c>
      <c r="AE24" s="106" t="s">
        <v>289</v>
      </c>
      <c r="AF24" s="106" t="s">
        <v>289</v>
      </c>
      <c r="AG24" s="106" t="s">
        <v>289</v>
      </c>
      <c r="AH24" s="106" t="s">
        <v>289</v>
      </c>
      <c r="AI24" s="106"/>
      <c r="AJ24" s="37"/>
      <c r="AK24" s="573"/>
      <c r="AL24" s="197"/>
      <c r="AM24" s="197"/>
    </row>
    <row r="25" spans="1:39" x14ac:dyDescent="0.25">
      <c r="A25" s="11">
        <v>23</v>
      </c>
      <c r="B25" s="962"/>
      <c r="C25" s="962"/>
      <c r="D25" s="962"/>
      <c r="E25" s="962"/>
      <c r="F25" s="962"/>
      <c r="G25" s="962"/>
      <c r="H25" s="962"/>
      <c r="I25" s="182" t="s">
        <v>422</v>
      </c>
      <c r="J25" s="962"/>
      <c r="K25" s="962"/>
      <c r="L25" s="962"/>
      <c r="M25" s="962"/>
      <c r="N25" s="962"/>
      <c r="O25" s="962"/>
      <c r="P25" s="962"/>
      <c r="Q25" s="182" t="s">
        <v>422</v>
      </c>
      <c r="R25" s="900"/>
      <c r="S25" s="900"/>
      <c r="T25" s="900"/>
      <c r="U25" s="900"/>
      <c r="V25" s="900"/>
      <c r="W25" s="900"/>
      <c r="X25" s="900"/>
      <c r="Y25" s="182" t="s">
        <v>422</v>
      </c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182" t="s">
        <v>422</v>
      </c>
      <c r="AK25" s="573"/>
      <c r="AL25" s="197"/>
      <c r="AM25" s="197"/>
    </row>
    <row r="26" spans="1:39" x14ac:dyDescent="0.25">
      <c r="A26" s="11">
        <v>24</v>
      </c>
      <c r="B26" s="962"/>
      <c r="C26" s="962"/>
      <c r="D26" s="962"/>
      <c r="E26" s="962"/>
      <c r="F26" s="962"/>
      <c r="G26" s="962"/>
      <c r="H26" s="962"/>
      <c r="I26" s="182" t="s">
        <v>422</v>
      </c>
      <c r="J26" s="962"/>
      <c r="K26" s="962"/>
      <c r="L26" s="962"/>
      <c r="M26" s="962"/>
      <c r="N26" s="962"/>
      <c r="O26" s="962"/>
      <c r="P26" s="962"/>
      <c r="Q26" s="182" t="s">
        <v>422</v>
      </c>
      <c r="R26" s="900"/>
      <c r="S26" s="900"/>
      <c r="T26" s="900"/>
      <c r="U26" s="900"/>
      <c r="V26" s="900"/>
      <c r="W26" s="900"/>
      <c r="X26" s="900"/>
      <c r="Y26" s="182" t="s">
        <v>422</v>
      </c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182" t="s">
        <v>422</v>
      </c>
      <c r="AK26" s="573"/>
      <c r="AL26" s="197"/>
      <c r="AM26" s="197"/>
    </row>
    <row r="27" spans="1:39" x14ac:dyDescent="0.25">
      <c r="A27" s="11">
        <v>25</v>
      </c>
      <c r="B27" s="962"/>
      <c r="C27" s="962"/>
      <c r="D27" s="962"/>
      <c r="E27" s="962"/>
      <c r="F27" s="962"/>
      <c r="G27" s="962"/>
      <c r="H27" s="962"/>
      <c r="I27" s="182" t="s">
        <v>422</v>
      </c>
      <c r="J27" s="962"/>
      <c r="K27" s="962"/>
      <c r="L27" s="962"/>
      <c r="M27" s="962"/>
      <c r="N27" s="962"/>
      <c r="O27" s="962"/>
      <c r="P27" s="962"/>
      <c r="Q27" s="182" t="s">
        <v>422</v>
      </c>
      <c r="R27" s="900"/>
      <c r="S27" s="900"/>
      <c r="T27" s="900"/>
      <c r="U27" s="900"/>
      <c r="V27" s="900"/>
      <c r="W27" s="900"/>
      <c r="X27" s="900"/>
      <c r="Y27" s="182" t="s">
        <v>422</v>
      </c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182" t="s">
        <v>422</v>
      </c>
      <c r="AK27" s="573"/>
      <c r="AL27" s="197"/>
      <c r="AM27" s="197"/>
    </row>
    <row r="28" spans="1:39" x14ac:dyDescent="0.25">
      <c r="A28" s="11">
        <v>26</v>
      </c>
      <c r="B28" s="587"/>
      <c r="C28" s="587"/>
      <c r="D28" s="587"/>
      <c r="E28" s="587"/>
      <c r="F28" s="587"/>
      <c r="G28" s="587"/>
      <c r="H28" s="587"/>
      <c r="I28" s="182" t="s">
        <v>290</v>
      </c>
      <c r="J28" s="587"/>
      <c r="K28" s="587"/>
      <c r="L28" s="587"/>
      <c r="M28" s="587"/>
      <c r="N28" s="587"/>
      <c r="O28" s="587"/>
      <c r="P28" s="587"/>
      <c r="Q28" s="182" t="s">
        <v>290</v>
      </c>
      <c r="R28" s="587"/>
      <c r="S28" s="587"/>
      <c r="T28" s="587"/>
      <c r="U28" s="587"/>
      <c r="V28" s="587"/>
      <c r="W28" s="587"/>
      <c r="X28" s="587"/>
      <c r="Y28" s="182" t="s">
        <v>290</v>
      </c>
      <c r="Z28" s="587"/>
      <c r="AA28" s="587"/>
      <c r="AB28" s="587"/>
      <c r="AC28" s="587"/>
      <c r="AD28" s="587"/>
      <c r="AE28" s="587"/>
      <c r="AF28" s="587"/>
      <c r="AG28" s="587"/>
      <c r="AH28" s="587"/>
      <c r="AI28" s="587"/>
      <c r="AJ28" s="182" t="s">
        <v>290</v>
      </c>
      <c r="AK28" s="573"/>
      <c r="AL28" s="197"/>
      <c r="AM28" s="197"/>
    </row>
    <row r="29" spans="1:39" x14ac:dyDescent="0.25">
      <c r="A29" s="11">
        <v>27</v>
      </c>
      <c r="B29" s="106">
        <v>400.2</v>
      </c>
      <c r="C29" s="106">
        <v>349.9</v>
      </c>
      <c r="D29" s="106">
        <v>350.19</v>
      </c>
      <c r="E29" s="106">
        <v>250.85</v>
      </c>
      <c r="F29" s="106">
        <v>208.67</v>
      </c>
      <c r="G29" s="106">
        <v>400.18</v>
      </c>
      <c r="H29" s="106">
        <v>300.18</v>
      </c>
      <c r="I29" s="37"/>
      <c r="J29" s="106">
        <v>200.26</v>
      </c>
      <c r="K29" s="106" t="s">
        <v>289</v>
      </c>
      <c r="L29" s="106">
        <v>400.24</v>
      </c>
      <c r="M29" s="106">
        <v>250.51</v>
      </c>
      <c r="N29" s="106">
        <v>200.37</v>
      </c>
      <c r="O29" s="106">
        <v>300.61</v>
      </c>
      <c r="P29" s="106">
        <v>303.08999999999997</v>
      </c>
      <c r="Q29" s="37"/>
      <c r="R29" s="106">
        <v>200.63</v>
      </c>
      <c r="S29" s="106">
        <v>207.86</v>
      </c>
      <c r="T29" s="106">
        <v>270.83999999999997</v>
      </c>
      <c r="U29" s="106">
        <v>200.49</v>
      </c>
      <c r="V29" s="106">
        <v>250.35</v>
      </c>
      <c r="W29" s="106">
        <v>250.56</v>
      </c>
      <c r="X29" s="106">
        <v>357.35</v>
      </c>
      <c r="Y29" s="37"/>
      <c r="Z29" s="106">
        <v>300.05</v>
      </c>
      <c r="AA29" s="106">
        <v>200.82</v>
      </c>
      <c r="AB29" s="106">
        <v>249.94</v>
      </c>
      <c r="AC29" s="106">
        <v>250.78</v>
      </c>
      <c r="AD29" s="106">
        <v>250.78</v>
      </c>
      <c r="AE29" s="106">
        <v>250.52</v>
      </c>
      <c r="AF29" s="106">
        <v>250.13</v>
      </c>
      <c r="AG29" s="106">
        <v>305.44</v>
      </c>
      <c r="AH29" s="106">
        <v>251.46</v>
      </c>
      <c r="AI29" s="106"/>
      <c r="AJ29" s="37"/>
      <c r="AK29" s="573"/>
      <c r="AL29" s="197"/>
      <c r="AM29" s="197"/>
    </row>
    <row r="30" spans="1:39" x14ac:dyDescent="0.25">
      <c r="A30" s="11">
        <v>28</v>
      </c>
      <c r="B30" s="106" t="s">
        <v>289</v>
      </c>
      <c r="C30" s="106">
        <v>299.55</v>
      </c>
      <c r="D30" s="106">
        <v>299.87</v>
      </c>
      <c r="E30" s="106">
        <v>200.89</v>
      </c>
      <c r="F30" s="106">
        <v>386.22</v>
      </c>
      <c r="G30" s="106">
        <v>350.1</v>
      </c>
      <c r="H30" s="106">
        <v>350.18</v>
      </c>
      <c r="I30" s="37"/>
      <c r="J30" s="106">
        <v>120.23</v>
      </c>
      <c r="K30" s="106">
        <v>250.17</v>
      </c>
      <c r="L30" s="106">
        <v>250.3</v>
      </c>
      <c r="M30" s="106">
        <v>300.12</v>
      </c>
      <c r="N30" s="106">
        <v>200.35</v>
      </c>
      <c r="O30" s="106">
        <v>300.77999999999997</v>
      </c>
      <c r="P30" s="106">
        <v>300.39999999999998</v>
      </c>
      <c r="Q30" s="37"/>
      <c r="R30" s="106">
        <v>199.94</v>
      </c>
      <c r="S30" s="106">
        <v>200.21</v>
      </c>
      <c r="T30" s="106">
        <v>351.86</v>
      </c>
      <c r="U30" s="106">
        <v>200.18</v>
      </c>
      <c r="V30" s="106">
        <v>250.57</v>
      </c>
      <c r="W30" s="106" t="s">
        <v>289</v>
      </c>
      <c r="X30" s="106">
        <v>451.09</v>
      </c>
      <c r="Y30" s="37"/>
      <c r="Z30" s="106">
        <v>400.43</v>
      </c>
      <c r="AA30" s="106">
        <v>300.20999999999998</v>
      </c>
      <c r="AB30" s="106">
        <v>250.98</v>
      </c>
      <c r="AC30" s="106">
        <v>165.78</v>
      </c>
      <c r="AD30" s="106">
        <v>200.43</v>
      </c>
      <c r="AE30" s="106">
        <v>250.06</v>
      </c>
      <c r="AF30" s="106">
        <v>350.33</v>
      </c>
      <c r="AG30" s="106">
        <v>199.76</v>
      </c>
      <c r="AH30" s="106">
        <v>200.35</v>
      </c>
      <c r="AI30" s="106"/>
      <c r="AJ30" s="37"/>
      <c r="AK30" s="573"/>
      <c r="AL30" s="197"/>
      <c r="AM30" s="197"/>
    </row>
    <row r="31" spans="1:39" x14ac:dyDescent="0.25">
      <c r="A31" s="11">
        <v>29</v>
      </c>
      <c r="B31" s="587"/>
      <c r="C31" s="587"/>
      <c r="D31" s="587"/>
      <c r="E31" s="587"/>
      <c r="F31" s="587"/>
      <c r="G31" s="587"/>
      <c r="H31" s="587"/>
      <c r="I31" s="182" t="s">
        <v>290</v>
      </c>
      <c r="J31" s="587"/>
      <c r="K31" s="587"/>
      <c r="L31" s="587"/>
      <c r="M31" s="587"/>
      <c r="N31" s="587"/>
      <c r="O31" s="587"/>
      <c r="P31" s="587"/>
      <c r="Q31" s="182" t="s">
        <v>290</v>
      </c>
      <c r="R31" s="587"/>
      <c r="S31" s="587"/>
      <c r="T31" s="587"/>
      <c r="U31" s="587"/>
      <c r="V31" s="587"/>
      <c r="W31" s="587"/>
      <c r="X31" s="587"/>
      <c r="Y31" s="182" t="s">
        <v>290</v>
      </c>
      <c r="Z31" s="587"/>
      <c r="AA31" s="587"/>
      <c r="AB31" s="587"/>
      <c r="AC31" s="587"/>
      <c r="AD31" s="587"/>
      <c r="AE31" s="587"/>
      <c r="AF31" s="587"/>
      <c r="AG31" s="589"/>
      <c r="AH31" s="589"/>
      <c r="AI31" s="589"/>
      <c r="AJ31" s="182" t="s">
        <v>290</v>
      </c>
      <c r="AK31" s="573"/>
      <c r="AL31" s="197"/>
      <c r="AM31" s="197"/>
    </row>
    <row r="32" spans="1:39" x14ac:dyDescent="0.25">
      <c r="A32" s="11">
        <v>30</v>
      </c>
      <c r="B32" s="106">
        <v>300.48</v>
      </c>
      <c r="C32" s="106">
        <v>300.05</v>
      </c>
      <c r="D32" s="106">
        <v>250.28</v>
      </c>
      <c r="E32" s="106">
        <v>266.16000000000003</v>
      </c>
      <c r="F32" s="106">
        <v>306.31</v>
      </c>
      <c r="G32" s="106">
        <v>350.1</v>
      </c>
      <c r="H32" s="106">
        <v>250.35</v>
      </c>
      <c r="I32" s="37"/>
      <c r="J32" s="106">
        <v>250.35</v>
      </c>
      <c r="K32" s="106">
        <v>150.76</v>
      </c>
      <c r="L32" s="106">
        <v>250.16</v>
      </c>
      <c r="M32" s="106">
        <v>350.34</v>
      </c>
      <c r="N32" s="106">
        <v>200.83</v>
      </c>
      <c r="O32" s="106">
        <v>300.81</v>
      </c>
      <c r="P32" s="106">
        <v>350.33</v>
      </c>
      <c r="Q32" s="37"/>
      <c r="R32" s="106">
        <v>292.91000000000003</v>
      </c>
      <c r="S32" s="106">
        <v>200.11</v>
      </c>
      <c r="T32" s="106">
        <v>351.09</v>
      </c>
      <c r="U32" s="106">
        <v>200.68</v>
      </c>
      <c r="V32" s="106">
        <v>400.18</v>
      </c>
      <c r="W32" s="106">
        <v>250.27</v>
      </c>
      <c r="X32" s="106">
        <v>320.17</v>
      </c>
      <c r="Y32" s="37"/>
      <c r="Z32" s="106">
        <v>300</v>
      </c>
      <c r="AA32" s="106">
        <v>299.95999999999998</v>
      </c>
      <c r="AB32" s="106">
        <v>352.12</v>
      </c>
      <c r="AC32" s="106">
        <v>349.98</v>
      </c>
      <c r="AD32" s="106">
        <v>400.14</v>
      </c>
      <c r="AE32" s="106">
        <v>200.44</v>
      </c>
      <c r="AF32" s="106">
        <v>250.64</v>
      </c>
      <c r="AG32" s="106">
        <v>299.74</v>
      </c>
      <c r="AH32" s="106">
        <v>300.58999999999997</v>
      </c>
      <c r="AI32" s="106"/>
      <c r="AJ32" s="37"/>
      <c r="AK32" s="573"/>
      <c r="AL32" s="197"/>
      <c r="AM32" s="197"/>
    </row>
    <row r="33" spans="1:39" x14ac:dyDescent="0.25">
      <c r="A33" s="11">
        <v>31</v>
      </c>
      <c r="B33" s="106">
        <v>299.87</v>
      </c>
      <c r="C33" s="106">
        <v>300.08</v>
      </c>
      <c r="D33" s="106">
        <v>299.94</v>
      </c>
      <c r="E33" s="106">
        <v>200.94</v>
      </c>
      <c r="F33" s="106">
        <v>278.18</v>
      </c>
      <c r="G33" s="106">
        <v>399.99</v>
      </c>
      <c r="H33" s="106">
        <v>349.98</v>
      </c>
      <c r="I33" s="37"/>
      <c r="J33" s="106">
        <v>300.01</v>
      </c>
      <c r="K33" s="106">
        <v>299.93</v>
      </c>
      <c r="L33" s="106">
        <v>300.19</v>
      </c>
      <c r="M33" s="106">
        <v>300.17</v>
      </c>
      <c r="N33" s="106">
        <v>300.08</v>
      </c>
      <c r="O33" s="106">
        <v>300.14999999999998</v>
      </c>
      <c r="P33" s="106">
        <v>250.24</v>
      </c>
      <c r="Q33" s="37"/>
      <c r="R33" s="106">
        <v>187.27</v>
      </c>
      <c r="S33" s="106">
        <v>112.21</v>
      </c>
      <c r="T33" s="106">
        <v>79.38</v>
      </c>
      <c r="U33" s="106">
        <v>300.33</v>
      </c>
      <c r="V33" s="106">
        <v>319.98</v>
      </c>
      <c r="W33" s="106">
        <v>250.05</v>
      </c>
      <c r="X33" s="106">
        <v>357.35</v>
      </c>
      <c r="Y33" s="37"/>
      <c r="Z33" s="106">
        <v>250.13</v>
      </c>
      <c r="AA33" s="106">
        <v>402.92</v>
      </c>
      <c r="AB33" s="106">
        <v>200.36</v>
      </c>
      <c r="AC33" s="106">
        <v>93.11</v>
      </c>
      <c r="AD33" s="106">
        <v>400.1</v>
      </c>
      <c r="AE33" s="106">
        <v>106.41</v>
      </c>
      <c r="AF33" s="106" t="s">
        <v>289</v>
      </c>
      <c r="AG33" s="106">
        <v>199.52</v>
      </c>
      <c r="AH33" s="106">
        <v>333.21</v>
      </c>
      <c r="AI33" s="106"/>
      <c r="AJ33" s="37"/>
      <c r="AK33" s="573"/>
      <c r="AL33" s="197"/>
      <c r="AM33" s="197"/>
    </row>
    <row r="34" spans="1:39" x14ac:dyDescent="0.25">
      <c r="A34" s="11">
        <v>32</v>
      </c>
      <c r="B34" s="106">
        <v>199.93</v>
      </c>
      <c r="C34" s="106">
        <v>300.06</v>
      </c>
      <c r="D34" s="106">
        <v>300.13</v>
      </c>
      <c r="E34" s="106">
        <v>250.74</v>
      </c>
      <c r="F34" s="106">
        <v>209.7</v>
      </c>
      <c r="G34" s="106" t="s">
        <v>289</v>
      </c>
      <c r="H34" s="106">
        <v>400.05</v>
      </c>
      <c r="I34" s="37"/>
      <c r="J34" s="106">
        <v>150.38</v>
      </c>
      <c r="K34" s="106">
        <v>299.91000000000003</v>
      </c>
      <c r="L34" s="106">
        <v>500.35</v>
      </c>
      <c r="M34" s="106">
        <v>400.54</v>
      </c>
      <c r="N34" s="106">
        <v>150.28</v>
      </c>
      <c r="O34" s="106">
        <v>350.97</v>
      </c>
      <c r="P34" s="106">
        <v>250.73</v>
      </c>
      <c r="Q34" s="37"/>
      <c r="R34" s="106" t="s">
        <v>289</v>
      </c>
      <c r="S34" s="106">
        <v>300.16000000000003</v>
      </c>
      <c r="T34" s="106">
        <v>351.43</v>
      </c>
      <c r="U34" s="106">
        <v>250.39</v>
      </c>
      <c r="V34" s="106">
        <v>350.34</v>
      </c>
      <c r="W34" s="106">
        <v>250.14</v>
      </c>
      <c r="X34" s="106">
        <v>248.77</v>
      </c>
      <c r="Y34" s="37"/>
      <c r="Z34" s="106">
        <v>400.83</v>
      </c>
      <c r="AA34" s="106">
        <v>214.45</v>
      </c>
      <c r="AB34" s="106">
        <v>200.19</v>
      </c>
      <c r="AC34" s="106">
        <v>299.79000000000002</v>
      </c>
      <c r="AD34" s="106">
        <v>250.34</v>
      </c>
      <c r="AE34" s="106">
        <v>250.55</v>
      </c>
      <c r="AF34" s="106">
        <v>250.42</v>
      </c>
      <c r="AG34" s="106">
        <v>249.51</v>
      </c>
      <c r="AH34" s="106">
        <v>251.06</v>
      </c>
      <c r="AI34" s="106"/>
      <c r="AJ34" s="37"/>
      <c r="AK34" s="573"/>
      <c r="AL34" s="197"/>
      <c r="AM34" s="197"/>
    </row>
    <row r="35" spans="1:39" x14ac:dyDescent="0.25">
      <c r="A35" s="11">
        <v>33</v>
      </c>
      <c r="B35" s="106" t="s">
        <v>289</v>
      </c>
      <c r="C35" s="106" t="s">
        <v>289</v>
      </c>
      <c r="D35" s="106" t="s">
        <v>289</v>
      </c>
      <c r="E35" s="106">
        <v>500.51</v>
      </c>
      <c r="F35" s="106">
        <v>338.26</v>
      </c>
      <c r="G35" s="106">
        <v>400.01</v>
      </c>
      <c r="H35" s="106">
        <v>400.09</v>
      </c>
      <c r="I35" s="37"/>
      <c r="J35" s="106">
        <v>200.59</v>
      </c>
      <c r="K35" s="106">
        <v>269.98</v>
      </c>
      <c r="L35" s="106">
        <v>239.05</v>
      </c>
      <c r="M35" s="106">
        <v>240.66</v>
      </c>
      <c r="N35" s="106">
        <v>100.47</v>
      </c>
      <c r="O35" s="106">
        <v>150.27000000000001</v>
      </c>
      <c r="P35" s="106">
        <v>249.33</v>
      </c>
      <c r="Q35" s="37"/>
      <c r="R35" s="106">
        <v>264.13</v>
      </c>
      <c r="S35" s="106">
        <v>161.54</v>
      </c>
      <c r="T35" s="106">
        <v>329.41</v>
      </c>
      <c r="U35" s="106">
        <v>150.26</v>
      </c>
      <c r="V35" s="106">
        <v>250.55</v>
      </c>
      <c r="W35" s="106" t="s">
        <v>289</v>
      </c>
      <c r="X35" s="106">
        <v>359.62</v>
      </c>
      <c r="Y35" s="37"/>
      <c r="Z35" s="106">
        <v>250.5</v>
      </c>
      <c r="AA35" s="106">
        <v>402.85</v>
      </c>
      <c r="AB35" s="106">
        <v>300.33</v>
      </c>
      <c r="AC35" s="106">
        <v>277.27999999999997</v>
      </c>
      <c r="AD35" s="106">
        <v>400.24</v>
      </c>
      <c r="AE35" s="106">
        <v>237.32</v>
      </c>
      <c r="AF35" s="106">
        <v>400.65</v>
      </c>
      <c r="AG35" s="106">
        <v>385.22</v>
      </c>
      <c r="AH35" s="106">
        <v>156.16999999999999</v>
      </c>
      <c r="AI35" s="106"/>
      <c r="AJ35" s="37"/>
      <c r="AK35" s="573"/>
      <c r="AL35" s="197"/>
      <c r="AM35" s="197"/>
    </row>
    <row r="36" spans="1:39" x14ac:dyDescent="0.25">
      <c r="A36" s="11">
        <v>34</v>
      </c>
      <c r="B36" s="106">
        <v>323.06</v>
      </c>
      <c r="C36" s="106">
        <v>299.98</v>
      </c>
      <c r="D36" s="106">
        <v>200.74</v>
      </c>
      <c r="E36" s="106">
        <v>192.08</v>
      </c>
      <c r="F36" s="106">
        <v>226.39</v>
      </c>
      <c r="G36" s="106">
        <v>399.85</v>
      </c>
      <c r="H36" s="106">
        <v>350.18</v>
      </c>
      <c r="I36" s="37"/>
      <c r="J36" s="106">
        <v>200.39</v>
      </c>
      <c r="K36" s="106">
        <v>251.86</v>
      </c>
      <c r="L36" s="106">
        <v>250.32</v>
      </c>
      <c r="M36" s="106">
        <v>249.98</v>
      </c>
      <c r="N36" s="106">
        <v>200.22</v>
      </c>
      <c r="O36" s="106">
        <v>200.91</v>
      </c>
      <c r="P36" s="106">
        <v>251.15</v>
      </c>
      <c r="Q36" s="37"/>
      <c r="R36" s="106">
        <v>250.31</v>
      </c>
      <c r="S36" s="106">
        <v>250.23</v>
      </c>
      <c r="T36" s="106">
        <v>250.46</v>
      </c>
      <c r="U36" s="106">
        <v>200.29</v>
      </c>
      <c r="V36" s="106">
        <v>300.44</v>
      </c>
      <c r="W36" s="106">
        <v>150.65</v>
      </c>
      <c r="X36" s="106">
        <v>249.94</v>
      </c>
      <c r="Y36" s="37"/>
      <c r="Z36" s="106">
        <v>250.37</v>
      </c>
      <c r="AA36" s="106">
        <v>200.14</v>
      </c>
      <c r="AB36" s="106">
        <v>150.69</v>
      </c>
      <c r="AC36" s="106">
        <v>250.55</v>
      </c>
      <c r="AD36" s="106">
        <v>250.14</v>
      </c>
      <c r="AE36" s="106">
        <v>250.46</v>
      </c>
      <c r="AF36" s="106">
        <v>200.51</v>
      </c>
      <c r="AG36" s="106">
        <v>199.78</v>
      </c>
      <c r="AH36" s="106">
        <v>300.39</v>
      </c>
      <c r="AI36" s="106"/>
      <c r="AJ36" s="37"/>
      <c r="AK36" s="573"/>
      <c r="AL36" s="197"/>
      <c r="AM36" s="197"/>
    </row>
    <row r="37" spans="1:39" x14ac:dyDescent="0.25">
      <c r="A37" s="11">
        <v>35</v>
      </c>
      <c r="B37" s="106" t="s">
        <v>289</v>
      </c>
      <c r="C37" s="106" t="s">
        <v>289</v>
      </c>
      <c r="D37" s="106" t="s">
        <v>289</v>
      </c>
      <c r="E37" s="106" t="s">
        <v>289</v>
      </c>
      <c r="F37" s="106" t="s">
        <v>289</v>
      </c>
      <c r="G37" s="106" t="s">
        <v>289</v>
      </c>
      <c r="H37" s="106" t="s">
        <v>289</v>
      </c>
      <c r="I37" s="37"/>
      <c r="J37" s="106" t="s">
        <v>289</v>
      </c>
      <c r="K37" s="106" t="s">
        <v>289</v>
      </c>
      <c r="L37" s="106" t="s">
        <v>289</v>
      </c>
      <c r="M37" s="106" t="s">
        <v>289</v>
      </c>
      <c r="N37" s="106" t="s">
        <v>289</v>
      </c>
      <c r="O37" s="106" t="s">
        <v>289</v>
      </c>
      <c r="P37" s="106" t="s">
        <v>289</v>
      </c>
      <c r="Q37" s="37"/>
      <c r="R37" s="106" t="s">
        <v>289</v>
      </c>
      <c r="S37" s="106" t="s">
        <v>289</v>
      </c>
      <c r="T37" s="106" t="s">
        <v>289</v>
      </c>
      <c r="U37" s="106" t="s">
        <v>289</v>
      </c>
      <c r="V37" s="106" t="s">
        <v>289</v>
      </c>
      <c r="W37" s="106" t="s">
        <v>289</v>
      </c>
      <c r="X37" s="106" t="s">
        <v>289</v>
      </c>
      <c r="Y37" s="37"/>
      <c r="Z37" s="106" t="s">
        <v>289</v>
      </c>
      <c r="AA37" s="106" t="s">
        <v>289</v>
      </c>
      <c r="AB37" s="106" t="s">
        <v>289</v>
      </c>
      <c r="AC37" s="106" t="s">
        <v>289</v>
      </c>
      <c r="AD37" s="106" t="s">
        <v>289</v>
      </c>
      <c r="AE37" s="106" t="s">
        <v>289</v>
      </c>
      <c r="AF37" s="106" t="s">
        <v>289</v>
      </c>
      <c r="AG37" s="106" t="s">
        <v>289</v>
      </c>
      <c r="AH37" s="106" t="s">
        <v>289</v>
      </c>
      <c r="AI37" s="106"/>
      <c r="AJ37" s="37"/>
      <c r="AK37" s="573"/>
      <c r="AL37" s="197"/>
      <c r="AM37" s="197"/>
    </row>
    <row r="38" spans="1:39" x14ac:dyDescent="0.25">
      <c r="A38" s="11">
        <v>36</v>
      </c>
      <c r="B38" s="587"/>
      <c r="C38" s="587"/>
      <c r="D38" s="587"/>
      <c r="E38" s="587"/>
      <c r="F38" s="587"/>
      <c r="G38" s="587"/>
      <c r="H38" s="587"/>
      <c r="I38" s="182" t="s">
        <v>290</v>
      </c>
      <c r="J38" s="587"/>
      <c r="K38" s="587"/>
      <c r="L38" s="587"/>
      <c r="M38" s="587"/>
      <c r="N38" s="587"/>
      <c r="O38" s="587"/>
      <c r="P38" s="587"/>
      <c r="Q38" s="182" t="s">
        <v>290</v>
      </c>
      <c r="R38" s="587"/>
      <c r="S38" s="587"/>
      <c r="T38" s="587"/>
      <c r="U38" s="587"/>
      <c r="V38" s="587"/>
      <c r="W38" s="587"/>
      <c r="X38" s="587"/>
      <c r="Y38" s="182" t="s">
        <v>290</v>
      </c>
      <c r="Z38" s="587"/>
      <c r="AA38" s="587"/>
      <c r="AB38" s="587"/>
      <c r="AC38" s="587"/>
      <c r="AD38" s="587"/>
      <c r="AE38" s="587"/>
      <c r="AF38" s="587"/>
      <c r="AG38" s="589"/>
      <c r="AH38" s="589"/>
      <c r="AI38" s="589"/>
      <c r="AJ38" s="182" t="s">
        <v>290</v>
      </c>
      <c r="AK38" s="573"/>
      <c r="AL38" s="197"/>
      <c r="AM38" s="197"/>
    </row>
    <row r="39" spans="1:39" x14ac:dyDescent="0.25">
      <c r="A39" s="11">
        <v>37</v>
      </c>
      <c r="B39" s="106">
        <v>299.88</v>
      </c>
      <c r="C39" s="106">
        <v>230.78</v>
      </c>
      <c r="D39" s="106">
        <v>333.84</v>
      </c>
      <c r="E39" s="106">
        <v>278.99</v>
      </c>
      <c r="F39" s="106">
        <v>89.87</v>
      </c>
      <c r="G39" s="106">
        <v>401.11</v>
      </c>
      <c r="H39" s="106" t="s">
        <v>289</v>
      </c>
      <c r="I39" s="37"/>
      <c r="J39" s="106" t="s">
        <v>289</v>
      </c>
      <c r="K39" s="106">
        <v>10.83</v>
      </c>
      <c r="L39" s="106" t="s">
        <v>289</v>
      </c>
      <c r="M39" s="106" t="s">
        <v>289</v>
      </c>
      <c r="N39" s="106" t="s">
        <v>289</v>
      </c>
      <c r="O39" s="106" t="s">
        <v>289</v>
      </c>
      <c r="P39" s="106" t="s">
        <v>289</v>
      </c>
      <c r="Q39" s="37"/>
      <c r="R39" s="106" t="s">
        <v>289</v>
      </c>
      <c r="S39" s="106" t="s">
        <v>289</v>
      </c>
      <c r="T39" s="106" t="s">
        <v>289</v>
      </c>
      <c r="U39" s="106" t="s">
        <v>289</v>
      </c>
      <c r="V39" s="106" t="s">
        <v>289</v>
      </c>
      <c r="W39" s="106" t="s">
        <v>289</v>
      </c>
      <c r="X39" s="106" t="s">
        <v>289</v>
      </c>
      <c r="Y39" s="37"/>
      <c r="Z39" s="106" t="s">
        <v>289</v>
      </c>
      <c r="AA39" s="106">
        <v>299.97000000000003</v>
      </c>
      <c r="AB39" s="106">
        <v>301.29000000000002</v>
      </c>
      <c r="AC39" s="106">
        <v>258.14999999999998</v>
      </c>
      <c r="AD39" s="106">
        <v>400.22</v>
      </c>
      <c r="AE39" s="106">
        <v>117.26</v>
      </c>
      <c r="AF39" s="106">
        <v>300.13</v>
      </c>
      <c r="AG39" s="106" t="s">
        <v>289</v>
      </c>
      <c r="AH39" s="106" t="s">
        <v>289</v>
      </c>
      <c r="AI39" s="106"/>
      <c r="AJ39" s="37"/>
      <c r="AK39" s="573"/>
      <c r="AL39" s="197"/>
      <c r="AM39" s="197"/>
    </row>
    <row r="40" spans="1:39" x14ac:dyDescent="0.25">
      <c r="A40" s="11">
        <v>38</v>
      </c>
      <c r="B40" s="106" t="s">
        <v>289</v>
      </c>
      <c r="C40" s="106" t="s">
        <v>289</v>
      </c>
      <c r="D40" s="106" t="s">
        <v>289</v>
      </c>
      <c r="E40" s="106" t="s">
        <v>289</v>
      </c>
      <c r="F40" s="106" t="s">
        <v>289</v>
      </c>
      <c r="G40" s="106" t="s">
        <v>289</v>
      </c>
      <c r="H40" s="106" t="s">
        <v>289</v>
      </c>
      <c r="I40" s="37"/>
      <c r="J40" s="106" t="s">
        <v>289</v>
      </c>
      <c r="K40" s="106" t="s">
        <v>289</v>
      </c>
      <c r="L40" s="106" t="s">
        <v>289</v>
      </c>
      <c r="M40" s="106" t="s">
        <v>289</v>
      </c>
      <c r="N40" s="106" t="s">
        <v>289</v>
      </c>
      <c r="O40" s="106" t="s">
        <v>289</v>
      </c>
      <c r="P40" s="106" t="s">
        <v>289</v>
      </c>
      <c r="Q40" s="37"/>
      <c r="R40" s="106" t="s">
        <v>289</v>
      </c>
      <c r="S40" s="106" t="s">
        <v>289</v>
      </c>
      <c r="T40" s="106" t="s">
        <v>289</v>
      </c>
      <c r="U40" s="106" t="s">
        <v>289</v>
      </c>
      <c r="V40" s="106" t="s">
        <v>289</v>
      </c>
      <c r="W40" s="106" t="s">
        <v>289</v>
      </c>
      <c r="X40" s="106" t="s">
        <v>289</v>
      </c>
      <c r="Y40" s="37"/>
      <c r="Z40" s="106" t="s">
        <v>289</v>
      </c>
      <c r="AA40" s="106" t="s">
        <v>289</v>
      </c>
      <c r="AB40" s="106" t="s">
        <v>289</v>
      </c>
      <c r="AC40" s="106" t="s">
        <v>289</v>
      </c>
      <c r="AD40" s="106" t="s">
        <v>289</v>
      </c>
      <c r="AE40" s="106" t="s">
        <v>289</v>
      </c>
      <c r="AF40" s="106" t="s">
        <v>289</v>
      </c>
      <c r="AG40" s="106" t="s">
        <v>289</v>
      </c>
      <c r="AH40" s="106" t="s">
        <v>289</v>
      </c>
      <c r="AI40" s="106"/>
      <c r="AJ40" s="37"/>
      <c r="AK40" s="573"/>
      <c r="AL40" s="197"/>
      <c r="AM40" s="197"/>
    </row>
    <row r="41" spans="1:39" x14ac:dyDescent="0.25">
      <c r="A41" s="11">
        <v>39</v>
      </c>
      <c r="B41" s="106" t="s">
        <v>289</v>
      </c>
      <c r="C41" s="106" t="s">
        <v>289</v>
      </c>
      <c r="D41" s="106" t="s">
        <v>289</v>
      </c>
      <c r="E41" s="106">
        <v>300.33999999999997</v>
      </c>
      <c r="F41" s="106" t="s">
        <v>289</v>
      </c>
      <c r="G41" s="106" t="s">
        <v>289</v>
      </c>
      <c r="H41" s="106" t="s">
        <v>289</v>
      </c>
      <c r="I41" s="37"/>
      <c r="J41" s="116" t="s">
        <v>289</v>
      </c>
      <c r="K41" s="116">
        <v>350.81</v>
      </c>
      <c r="L41" s="106">
        <v>350.48</v>
      </c>
      <c r="M41" s="106">
        <v>269.22000000000003</v>
      </c>
      <c r="N41" s="106" t="s">
        <v>289</v>
      </c>
      <c r="O41" s="106" t="s">
        <v>289</v>
      </c>
      <c r="P41" s="106" t="s">
        <v>289</v>
      </c>
      <c r="Q41" s="37"/>
      <c r="R41" s="106" t="s">
        <v>289</v>
      </c>
      <c r="S41" s="106" t="s">
        <v>289</v>
      </c>
      <c r="T41" s="106" t="s">
        <v>289</v>
      </c>
      <c r="U41" s="106" t="s">
        <v>289</v>
      </c>
      <c r="V41" s="106" t="s">
        <v>289</v>
      </c>
      <c r="W41" s="106" t="s">
        <v>289</v>
      </c>
      <c r="X41" s="106" t="s">
        <v>289</v>
      </c>
      <c r="Y41" s="37"/>
      <c r="Z41" s="106" t="s">
        <v>289</v>
      </c>
      <c r="AA41" s="106" t="s">
        <v>289</v>
      </c>
      <c r="AB41" s="106" t="s">
        <v>289</v>
      </c>
      <c r="AC41" s="106" t="s">
        <v>289</v>
      </c>
      <c r="AD41" s="106" t="s">
        <v>289</v>
      </c>
      <c r="AE41" s="106" t="s">
        <v>289</v>
      </c>
      <c r="AF41" s="106" t="s">
        <v>289</v>
      </c>
      <c r="AG41" s="106" t="s">
        <v>289</v>
      </c>
      <c r="AH41" s="106" t="s">
        <v>289</v>
      </c>
      <c r="AI41" s="106"/>
      <c r="AJ41" s="37"/>
      <c r="AK41" s="573"/>
      <c r="AL41" s="197"/>
      <c r="AM41" s="197"/>
    </row>
    <row r="42" spans="1:39" x14ac:dyDescent="0.25">
      <c r="A42" s="11">
        <v>40</v>
      </c>
      <c r="B42" s="106" t="s">
        <v>289</v>
      </c>
      <c r="C42" s="106" t="s">
        <v>289</v>
      </c>
      <c r="D42" s="106">
        <v>299.94</v>
      </c>
      <c r="E42" s="106" t="s">
        <v>289</v>
      </c>
      <c r="F42" s="106" t="s">
        <v>289</v>
      </c>
      <c r="G42" s="106" t="s">
        <v>289</v>
      </c>
      <c r="H42" s="106" t="s">
        <v>289</v>
      </c>
      <c r="I42" s="37"/>
      <c r="J42" s="106" t="s">
        <v>289</v>
      </c>
      <c r="K42" s="106">
        <v>250.88</v>
      </c>
      <c r="L42" s="106">
        <v>400.21</v>
      </c>
      <c r="M42" s="106">
        <v>300.58</v>
      </c>
      <c r="N42" s="106">
        <v>268.81</v>
      </c>
      <c r="O42" s="106">
        <v>310.58</v>
      </c>
      <c r="P42" s="106">
        <v>380.46</v>
      </c>
      <c r="Q42" s="37"/>
      <c r="R42" s="106">
        <v>199.95</v>
      </c>
      <c r="S42" s="106">
        <v>300.86</v>
      </c>
      <c r="T42" s="106">
        <v>168.72</v>
      </c>
      <c r="U42" s="106" t="s">
        <v>289</v>
      </c>
      <c r="V42" s="106">
        <v>250.01</v>
      </c>
      <c r="W42" s="106" t="s">
        <v>289</v>
      </c>
      <c r="X42" s="106">
        <v>352.67</v>
      </c>
      <c r="Y42" s="37"/>
      <c r="Z42" s="106">
        <v>150.62</v>
      </c>
      <c r="AA42" s="106" t="s">
        <v>289</v>
      </c>
      <c r="AB42" s="106" t="s">
        <v>289</v>
      </c>
      <c r="AC42" s="106" t="s">
        <v>289</v>
      </c>
      <c r="AD42" s="106">
        <v>300.10000000000002</v>
      </c>
      <c r="AE42" s="106">
        <v>100.01</v>
      </c>
      <c r="AF42" s="106" t="s">
        <v>289</v>
      </c>
      <c r="AG42" s="106" t="s">
        <v>289</v>
      </c>
      <c r="AH42" s="106">
        <v>400.46</v>
      </c>
      <c r="AI42" s="106"/>
      <c r="AJ42" s="37"/>
      <c r="AK42" s="573"/>
      <c r="AL42" s="197"/>
      <c r="AM42" s="197"/>
    </row>
    <row r="43" spans="1:39" x14ac:dyDescent="0.25">
      <c r="A43" s="11">
        <v>41</v>
      </c>
      <c r="B43" s="106">
        <v>400.79</v>
      </c>
      <c r="C43" s="106">
        <v>131.06</v>
      </c>
      <c r="D43" s="106">
        <v>320.69</v>
      </c>
      <c r="E43" s="106">
        <v>456.08</v>
      </c>
      <c r="F43" s="106" t="s">
        <v>289</v>
      </c>
      <c r="G43" s="106">
        <v>400.14</v>
      </c>
      <c r="H43" s="106">
        <v>350.22</v>
      </c>
      <c r="I43" s="37"/>
      <c r="J43" s="106">
        <v>450.36</v>
      </c>
      <c r="K43" s="106">
        <v>400.6</v>
      </c>
      <c r="L43" s="106">
        <v>500.23</v>
      </c>
      <c r="M43" s="106">
        <v>400.54</v>
      </c>
      <c r="N43" s="106">
        <v>350.67</v>
      </c>
      <c r="O43" s="106">
        <v>300.70999999999998</v>
      </c>
      <c r="P43" s="106">
        <v>503.25</v>
      </c>
      <c r="Q43" s="37"/>
      <c r="R43" s="106">
        <v>300.24</v>
      </c>
      <c r="S43" s="106">
        <v>300.19</v>
      </c>
      <c r="T43" s="106">
        <v>273.45</v>
      </c>
      <c r="U43" s="106">
        <v>300.07</v>
      </c>
      <c r="V43" s="106">
        <v>350.33</v>
      </c>
      <c r="W43" s="106">
        <v>350.34</v>
      </c>
      <c r="X43" s="106">
        <v>300.13</v>
      </c>
      <c r="Y43" s="37"/>
      <c r="Z43" s="106">
        <v>200.21</v>
      </c>
      <c r="AA43" s="106">
        <v>351.07</v>
      </c>
      <c r="AB43" s="106">
        <v>350.46</v>
      </c>
      <c r="AC43" s="106">
        <v>400.06</v>
      </c>
      <c r="AD43" s="106">
        <v>400.1</v>
      </c>
      <c r="AE43" s="106">
        <v>350.22</v>
      </c>
      <c r="AF43" s="106">
        <v>350.2</v>
      </c>
      <c r="AG43" s="106">
        <v>300.37</v>
      </c>
      <c r="AH43" s="106">
        <v>300.25</v>
      </c>
      <c r="AI43" s="106"/>
      <c r="AJ43" s="37"/>
      <c r="AK43" s="573"/>
      <c r="AL43" s="197"/>
      <c r="AM43" s="197"/>
    </row>
    <row r="44" spans="1:39" x14ac:dyDescent="0.25">
      <c r="A44" s="11">
        <v>42</v>
      </c>
      <c r="B44" s="587"/>
      <c r="C44" s="587"/>
      <c r="D44" s="587"/>
      <c r="E44" s="587"/>
      <c r="F44" s="587"/>
      <c r="G44" s="587"/>
      <c r="H44" s="587"/>
      <c r="I44" s="182" t="s">
        <v>290</v>
      </c>
      <c r="J44" s="587"/>
      <c r="K44" s="587"/>
      <c r="L44" s="587"/>
      <c r="M44" s="587"/>
      <c r="N44" s="587"/>
      <c r="O44" s="587"/>
      <c r="P44" s="587"/>
      <c r="Q44" s="182" t="s">
        <v>290</v>
      </c>
      <c r="R44" s="587"/>
      <c r="S44" s="587"/>
      <c r="T44" s="587"/>
      <c r="U44" s="587"/>
      <c r="V44" s="587"/>
      <c r="W44" s="587"/>
      <c r="X44" s="587"/>
      <c r="Y44" s="182" t="s">
        <v>290</v>
      </c>
      <c r="Z44" s="587"/>
      <c r="AA44" s="587"/>
      <c r="AB44" s="587"/>
      <c r="AC44" s="587"/>
      <c r="AD44" s="587"/>
      <c r="AE44" s="587"/>
      <c r="AF44" s="587"/>
      <c r="AG44" s="589"/>
      <c r="AH44" s="589"/>
      <c r="AI44" s="589"/>
      <c r="AJ44" s="182" t="s">
        <v>290</v>
      </c>
      <c r="AK44" s="573"/>
      <c r="AL44" s="197"/>
      <c r="AM44" s="197"/>
    </row>
    <row r="45" spans="1:39" x14ac:dyDescent="0.25">
      <c r="A45" s="11">
        <v>43</v>
      </c>
      <c r="B45" s="106">
        <v>400.2</v>
      </c>
      <c r="C45" s="106">
        <v>379.81</v>
      </c>
      <c r="D45" s="106">
        <v>420.92</v>
      </c>
      <c r="E45" s="106">
        <v>351.52</v>
      </c>
      <c r="F45" s="106">
        <v>352.22</v>
      </c>
      <c r="G45" s="106">
        <v>400.01</v>
      </c>
      <c r="H45" s="106">
        <v>400.05</v>
      </c>
      <c r="I45" s="37"/>
      <c r="J45" s="106">
        <v>250.02</v>
      </c>
      <c r="K45" s="106" t="s">
        <v>289</v>
      </c>
      <c r="L45" s="106">
        <v>150.26</v>
      </c>
      <c r="M45" s="106" t="s">
        <v>289</v>
      </c>
      <c r="N45" s="106">
        <v>349.92</v>
      </c>
      <c r="O45" s="106" t="s">
        <v>289</v>
      </c>
      <c r="P45" s="106">
        <v>250.26</v>
      </c>
      <c r="Q45" s="37"/>
      <c r="R45" s="106" t="s">
        <v>289</v>
      </c>
      <c r="S45" s="106" t="s">
        <v>289</v>
      </c>
      <c r="T45" s="106">
        <v>97.07</v>
      </c>
      <c r="U45" s="106">
        <v>130.06</v>
      </c>
      <c r="V45" s="106">
        <v>500.18</v>
      </c>
      <c r="W45" s="106">
        <v>500.02</v>
      </c>
      <c r="X45" s="106">
        <v>400.39</v>
      </c>
      <c r="Y45" s="37"/>
      <c r="Z45" s="106">
        <v>400.48</v>
      </c>
      <c r="AA45" s="106">
        <v>500.53</v>
      </c>
      <c r="AB45" s="106">
        <v>500.25</v>
      </c>
      <c r="AC45" s="106">
        <v>399.51</v>
      </c>
      <c r="AD45" s="106">
        <v>500.23</v>
      </c>
      <c r="AE45" s="106">
        <v>500.47</v>
      </c>
      <c r="AF45" s="106">
        <v>365.65</v>
      </c>
      <c r="AG45" s="106">
        <v>334</v>
      </c>
      <c r="AH45" s="106">
        <v>500.65</v>
      </c>
      <c r="AI45" s="106"/>
      <c r="AJ45" s="37"/>
      <c r="AK45" s="573"/>
      <c r="AL45" s="197"/>
      <c r="AM45" s="197"/>
    </row>
    <row r="46" spans="1:39" x14ac:dyDescent="0.25">
      <c r="A46" s="11">
        <v>44</v>
      </c>
      <c r="B46" s="106" t="s">
        <v>289</v>
      </c>
      <c r="C46" s="106" t="s">
        <v>289</v>
      </c>
      <c r="D46" s="106" t="s">
        <v>289</v>
      </c>
      <c r="E46" s="106" t="s">
        <v>289</v>
      </c>
      <c r="F46" s="106" t="s">
        <v>289</v>
      </c>
      <c r="G46" s="106" t="s">
        <v>289</v>
      </c>
      <c r="H46" s="106" t="s">
        <v>289</v>
      </c>
      <c r="I46" s="37"/>
      <c r="J46" s="106" t="s">
        <v>289</v>
      </c>
      <c r="K46" s="106" t="s">
        <v>289</v>
      </c>
      <c r="L46" s="106" t="s">
        <v>289</v>
      </c>
      <c r="M46" s="106" t="s">
        <v>289</v>
      </c>
      <c r="N46" s="106" t="s">
        <v>289</v>
      </c>
      <c r="O46" s="106" t="s">
        <v>289</v>
      </c>
      <c r="P46" s="106" t="s">
        <v>289</v>
      </c>
      <c r="Q46" s="37"/>
      <c r="R46" s="106" t="s">
        <v>289</v>
      </c>
      <c r="S46" s="106" t="s">
        <v>289</v>
      </c>
      <c r="T46" s="106" t="s">
        <v>289</v>
      </c>
      <c r="U46" s="106" t="s">
        <v>289</v>
      </c>
      <c r="V46" s="106" t="s">
        <v>289</v>
      </c>
      <c r="W46" s="106" t="s">
        <v>289</v>
      </c>
      <c r="X46" s="106" t="s">
        <v>289</v>
      </c>
      <c r="Y46" s="37"/>
      <c r="Z46" s="106" t="s">
        <v>289</v>
      </c>
      <c r="AA46" s="106" t="s">
        <v>289</v>
      </c>
      <c r="AB46" s="106" t="s">
        <v>289</v>
      </c>
      <c r="AC46" s="106" t="s">
        <v>289</v>
      </c>
      <c r="AD46" s="106" t="s">
        <v>289</v>
      </c>
      <c r="AE46" s="106" t="s">
        <v>289</v>
      </c>
      <c r="AF46" s="106" t="s">
        <v>289</v>
      </c>
      <c r="AG46" s="106" t="s">
        <v>289</v>
      </c>
      <c r="AH46" s="106" t="s">
        <v>289</v>
      </c>
      <c r="AI46" s="106"/>
      <c r="AJ46" s="37"/>
      <c r="AK46" s="573"/>
      <c r="AL46" s="197"/>
      <c r="AM46" s="197"/>
    </row>
    <row r="47" spans="1:39" x14ac:dyDescent="0.25">
      <c r="A47" s="11">
        <v>45</v>
      </c>
      <c r="B47" s="106">
        <v>323.06</v>
      </c>
      <c r="C47" s="106">
        <v>227.24</v>
      </c>
      <c r="D47" s="106">
        <v>321.27999999999997</v>
      </c>
      <c r="E47" s="106">
        <v>300.49</v>
      </c>
      <c r="F47" s="106">
        <v>417.27</v>
      </c>
      <c r="G47" s="106">
        <v>252.97</v>
      </c>
      <c r="H47" s="106">
        <v>217.63</v>
      </c>
      <c r="I47" s="37"/>
      <c r="J47" s="106">
        <v>227.02</v>
      </c>
      <c r="K47" s="106">
        <v>300.31</v>
      </c>
      <c r="L47" s="106">
        <v>328.04</v>
      </c>
      <c r="M47" s="106">
        <v>334.07</v>
      </c>
      <c r="N47" s="106">
        <v>337.05</v>
      </c>
      <c r="O47" s="106">
        <v>306.72000000000003</v>
      </c>
      <c r="P47" s="106">
        <v>377.9</v>
      </c>
      <c r="Q47" s="37"/>
      <c r="R47" s="106">
        <v>374.38</v>
      </c>
      <c r="S47" s="106">
        <v>258.52999999999997</v>
      </c>
      <c r="T47" s="106">
        <v>308.14999999999998</v>
      </c>
      <c r="U47" s="106">
        <v>339.92</v>
      </c>
      <c r="V47" s="106">
        <v>350.48</v>
      </c>
      <c r="W47" s="106">
        <v>322.14999999999998</v>
      </c>
      <c r="X47" s="106">
        <v>345.03</v>
      </c>
      <c r="Y47" s="37"/>
      <c r="Z47" s="106">
        <v>300.22000000000003</v>
      </c>
      <c r="AA47" s="106">
        <v>316.54000000000002</v>
      </c>
      <c r="AB47" s="106">
        <v>54.58</v>
      </c>
      <c r="AC47" s="106">
        <v>284.87</v>
      </c>
      <c r="AD47" s="106">
        <v>352.01</v>
      </c>
      <c r="AE47" s="106">
        <v>300.02</v>
      </c>
      <c r="AF47" s="106">
        <v>350.27</v>
      </c>
      <c r="AG47" s="106">
        <v>249.3</v>
      </c>
      <c r="AH47" s="106">
        <v>88.29</v>
      </c>
      <c r="AI47" s="106"/>
      <c r="AJ47" s="37"/>
      <c r="AK47" s="573"/>
      <c r="AL47" s="197"/>
      <c r="AM47" s="197"/>
    </row>
    <row r="48" spans="1:39" x14ac:dyDescent="0.25">
      <c r="A48" s="11">
        <v>46</v>
      </c>
      <c r="B48" s="106">
        <v>269.19</v>
      </c>
      <c r="C48" s="106">
        <v>261.76</v>
      </c>
      <c r="D48" s="106">
        <v>190.88</v>
      </c>
      <c r="E48" s="106">
        <v>273.66000000000003</v>
      </c>
      <c r="F48" s="106">
        <v>281.89</v>
      </c>
      <c r="G48" s="106">
        <v>255.39</v>
      </c>
      <c r="H48" s="106">
        <v>272.27999999999997</v>
      </c>
      <c r="I48" s="37"/>
      <c r="J48" s="106">
        <v>247.13</v>
      </c>
      <c r="K48" s="106">
        <v>256.05</v>
      </c>
      <c r="L48" s="106">
        <v>260.52999999999997</v>
      </c>
      <c r="M48" s="106">
        <v>255.44</v>
      </c>
      <c r="N48" s="106">
        <v>244.99</v>
      </c>
      <c r="O48" s="106">
        <v>283.95999999999998</v>
      </c>
      <c r="P48" s="106">
        <v>243.27</v>
      </c>
      <c r="Q48" s="37"/>
      <c r="R48" s="106">
        <v>243.42</v>
      </c>
      <c r="S48" s="106">
        <v>272.97000000000003</v>
      </c>
      <c r="T48" s="106">
        <v>273.68</v>
      </c>
      <c r="U48" s="106">
        <v>251.9</v>
      </c>
      <c r="V48" s="106">
        <v>269.94</v>
      </c>
      <c r="W48" s="106">
        <v>257.13</v>
      </c>
      <c r="X48" s="106">
        <v>241.13</v>
      </c>
      <c r="Y48" s="37"/>
      <c r="Z48" s="106">
        <v>400.37</v>
      </c>
      <c r="AA48" s="106">
        <v>269.33</v>
      </c>
      <c r="AB48" s="106">
        <v>250.07</v>
      </c>
      <c r="AC48" s="106">
        <v>285.47000000000003</v>
      </c>
      <c r="AD48" s="106">
        <v>271.12</v>
      </c>
      <c r="AE48" s="106">
        <v>248.97</v>
      </c>
      <c r="AF48" s="106">
        <v>249.99</v>
      </c>
      <c r="AG48" s="106">
        <v>266.39999999999998</v>
      </c>
      <c r="AH48" s="106">
        <v>280.49</v>
      </c>
      <c r="AI48" s="106"/>
      <c r="AJ48" s="37"/>
      <c r="AK48" s="573"/>
      <c r="AL48" s="197"/>
      <c r="AM48" s="197"/>
    </row>
    <row r="49" spans="1:39" x14ac:dyDescent="0.25">
      <c r="A49" s="11">
        <v>47</v>
      </c>
      <c r="B49" s="106">
        <v>329.28</v>
      </c>
      <c r="C49" s="106">
        <v>299.99</v>
      </c>
      <c r="D49" s="106">
        <v>267.64999999999998</v>
      </c>
      <c r="E49" s="106">
        <v>300.54000000000002</v>
      </c>
      <c r="F49" s="106" t="s">
        <v>289</v>
      </c>
      <c r="G49" s="106" t="s">
        <v>289</v>
      </c>
      <c r="H49" s="106" t="s">
        <v>289</v>
      </c>
      <c r="I49" s="37"/>
      <c r="J49" s="106" t="s">
        <v>289</v>
      </c>
      <c r="K49" s="106" t="s">
        <v>289</v>
      </c>
      <c r="L49" s="106" t="s">
        <v>289</v>
      </c>
      <c r="M49" s="106" t="s">
        <v>289</v>
      </c>
      <c r="N49" s="106" t="s">
        <v>289</v>
      </c>
      <c r="O49" s="106" t="s">
        <v>289</v>
      </c>
      <c r="P49" s="106" t="s">
        <v>289</v>
      </c>
      <c r="Q49" s="37"/>
      <c r="R49" s="106" t="s">
        <v>289</v>
      </c>
      <c r="S49" s="106" t="s">
        <v>289</v>
      </c>
      <c r="T49" s="106" t="s">
        <v>289</v>
      </c>
      <c r="U49" s="106" t="s">
        <v>289</v>
      </c>
      <c r="V49" s="106">
        <v>471.6</v>
      </c>
      <c r="W49" s="106">
        <v>202.95</v>
      </c>
      <c r="X49" s="106">
        <v>268.66000000000003</v>
      </c>
      <c r="Y49" s="37"/>
      <c r="Z49" s="106">
        <v>400.5</v>
      </c>
      <c r="AA49" s="106">
        <v>327.97</v>
      </c>
      <c r="AB49" s="106">
        <v>218.34</v>
      </c>
      <c r="AC49" s="106">
        <v>280.29000000000002</v>
      </c>
      <c r="AD49" s="106">
        <v>250.07</v>
      </c>
      <c r="AE49" s="106">
        <v>250.22</v>
      </c>
      <c r="AF49" s="106">
        <v>399.98</v>
      </c>
      <c r="AG49" s="106">
        <v>242.84</v>
      </c>
      <c r="AH49" s="106">
        <v>309.72000000000003</v>
      </c>
      <c r="AI49" s="106"/>
      <c r="AJ49" s="37"/>
      <c r="AK49" s="573"/>
      <c r="AL49" s="197"/>
      <c r="AM49" s="197"/>
    </row>
    <row r="50" spans="1:39" x14ac:dyDescent="0.25">
      <c r="A50" s="11">
        <v>48</v>
      </c>
      <c r="B50" s="106" t="s">
        <v>289</v>
      </c>
      <c r="C50" s="106" t="s">
        <v>289</v>
      </c>
      <c r="D50" s="106" t="s">
        <v>289</v>
      </c>
      <c r="E50" s="106">
        <v>263.45</v>
      </c>
      <c r="F50" s="106">
        <v>293.16000000000003</v>
      </c>
      <c r="G50" s="106">
        <v>350.37</v>
      </c>
      <c r="H50" s="106">
        <v>300.75</v>
      </c>
      <c r="I50" s="37"/>
      <c r="J50" s="106">
        <v>300.02</v>
      </c>
      <c r="K50" s="106">
        <v>300.64999999999998</v>
      </c>
      <c r="L50" s="106">
        <v>381.17</v>
      </c>
      <c r="M50" s="106">
        <v>274.23</v>
      </c>
      <c r="N50" s="106">
        <v>300.95</v>
      </c>
      <c r="O50" s="106">
        <v>310.58999999999997</v>
      </c>
      <c r="P50" s="106">
        <v>239.48</v>
      </c>
      <c r="Q50" s="37"/>
      <c r="R50" s="106">
        <v>318.33999999999997</v>
      </c>
      <c r="S50" s="106">
        <v>300.27</v>
      </c>
      <c r="T50" s="106">
        <v>287.58999999999997</v>
      </c>
      <c r="U50" s="106">
        <v>235.38</v>
      </c>
      <c r="V50" s="106">
        <v>299.88</v>
      </c>
      <c r="W50" s="106">
        <v>313.83</v>
      </c>
      <c r="X50" s="106">
        <v>301.01</v>
      </c>
      <c r="Y50" s="37"/>
      <c r="Z50" s="106">
        <v>295.99</v>
      </c>
      <c r="AA50" s="106">
        <v>283.18</v>
      </c>
      <c r="AB50" s="106">
        <v>250.45</v>
      </c>
      <c r="AC50" s="106">
        <v>391.6</v>
      </c>
      <c r="AD50" s="106">
        <v>269.42</v>
      </c>
      <c r="AE50" s="106">
        <v>297.83999999999997</v>
      </c>
      <c r="AF50" s="106">
        <v>246.25</v>
      </c>
      <c r="AG50" s="106">
        <v>236.3</v>
      </c>
      <c r="AH50" s="106">
        <v>282.39999999999998</v>
      </c>
      <c r="AI50" s="106"/>
      <c r="AJ50" s="37"/>
      <c r="AK50" s="573"/>
      <c r="AL50" s="197"/>
      <c r="AM50" s="197"/>
    </row>
    <row r="51" spans="1:39" x14ac:dyDescent="0.25">
      <c r="A51" s="11">
        <v>49</v>
      </c>
      <c r="B51" s="106">
        <v>15.24</v>
      </c>
      <c r="C51" s="106">
        <v>170.95</v>
      </c>
      <c r="D51" s="106">
        <v>300.06</v>
      </c>
      <c r="E51" s="106">
        <v>299.89999999999998</v>
      </c>
      <c r="F51" s="106">
        <v>271.39</v>
      </c>
      <c r="G51" s="106">
        <v>200.33</v>
      </c>
      <c r="H51" s="106">
        <v>300.39</v>
      </c>
      <c r="I51" s="37"/>
      <c r="J51" s="106">
        <v>275.77</v>
      </c>
      <c r="K51" s="106">
        <v>350.84</v>
      </c>
      <c r="L51" s="106">
        <v>316.31</v>
      </c>
      <c r="M51" s="106">
        <v>250.32</v>
      </c>
      <c r="N51" s="106">
        <v>300.76</v>
      </c>
      <c r="O51" s="106">
        <v>317.45999999999998</v>
      </c>
      <c r="P51" s="106">
        <v>296.89999999999998</v>
      </c>
      <c r="Q51" s="37"/>
      <c r="R51" s="106">
        <v>279.43</v>
      </c>
      <c r="S51" s="106">
        <v>262.75</v>
      </c>
      <c r="T51" s="106">
        <v>303.69</v>
      </c>
      <c r="U51" s="106">
        <v>299.91000000000003</v>
      </c>
      <c r="V51" s="106">
        <v>320.74</v>
      </c>
      <c r="W51" s="106">
        <v>300.12</v>
      </c>
      <c r="X51" s="106">
        <v>300.24</v>
      </c>
      <c r="Y51" s="37"/>
      <c r="Z51" s="106" t="s">
        <v>289</v>
      </c>
      <c r="AA51" s="106" t="s">
        <v>289</v>
      </c>
      <c r="AB51" s="106" t="s">
        <v>289</v>
      </c>
      <c r="AC51" s="106" t="s">
        <v>289</v>
      </c>
      <c r="AD51" s="106" t="s">
        <v>289</v>
      </c>
      <c r="AE51" s="106" t="s">
        <v>289</v>
      </c>
      <c r="AF51" s="106" t="s">
        <v>289</v>
      </c>
      <c r="AG51" s="106" t="s">
        <v>289</v>
      </c>
      <c r="AH51" s="106">
        <v>499.41</v>
      </c>
      <c r="AI51" s="106"/>
      <c r="AJ51" s="37"/>
      <c r="AK51" s="573"/>
      <c r="AL51" s="197"/>
      <c r="AM51" s="197"/>
    </row>
    <row r="52" spans="1:39" x14ac:dyDescent="0.25">
      <c r="A52" s="11">
        <v>50</v>
      </c>
      <c r="B52" s="106">
        <v>289.32</v>
      </c>
      <c r="C52" s="106">
        <v>301.93</v>
      </c>
      <c r="D52" s="106">
        <v>299.5</v>
      </c>
      <c r="E52" s="106">
        <v>299.89999999999998</v>
      </c>
      <c r="F52" s="106">
        <v>300.29000000000002</v>
      </c>
      <c r="G52" s="106">
        <v>400.89</v>
      </c>
      <c r="H52" s="106">
        <v>300</v>
      </c>
      <c r="I52" s="37"/>
      <c r="J52" s="106">
        <v>300.01</v>
      </c>
      <c r="K52" s="106" t="s">
        <v>289</v>
      </c>
      <c r="L52" s="106" t="s">
        <v>289</v>
      </c>
      <c r="M52" s="106" t="s">
        <v>289</v>
      </c>
      <c r="N52" s="106" t="s">
        <v>289</v>
      </c>
      <c r="O52" s="106" t="s">
        <v>289</v>
      </c>
      <c r="P52" s="106" t="s">
        <v>289</v>
      </c>
      <c r="Q52" s="37"/>
      <c r="R52" s="106" t="s">
        <v>289</v>
      </c>
      <c r="S52" s="106" t="s">
        <v>289</v>
      </c>
      <c r="T52" s="106" t="s">
        <v>289</v>
      </c>
      <c r="U52" s="106" t="s">
        <v>289</v>
      </c>
      <c r="V52" s="106" t="s">
        <v>289</v>
      </c>
      <c r="W52" s="106" t="s">
        <v>289</v>
      </c>
      <c r="X52" s="106" t="s">
        <v>289</v>
      </c>
      <c r="Y52" s="37"/>
      <c r="Z52" s="106" t="s">
        <v>289</v>
      </c>
      <c r="AA52" s="106" t="s">
        <v>289</v>
      </c>
      <c r="AB52" s="106" t="s">
        <v>289</v>
      </c>
      <c r="AC52" s="106" t="s">
        <v>289</v>
      </c>
      <c r="AD52" s="106" t="s">
        <v>289</v>
      </c>
      <c r="AE52" s="106" t="s">
        <v>289</v>
      </c>
      <c r="AF52" s="106">
        <v>356.96</v>
      </c>
      <c r="AG52" s="106">
        <v>132.87</v>
      </c>
      <c r="AH52" s="106">
        <v>282.61</v>
      </c>
      <c r="AI52" s="106"/>
      <c r="AJ52" s="37"/>
      <c r="AK52" s="573"/>
      <c r="AL52" s="197"/>
      <c r="AM52" s="197"/>
    </row>
    <row r="53" spans="1:39" x14ac:dyDescent="0.25">
      <c r="A53" s="11">
        <v>51</v>
      </c>
      <c r="B53" s="106">
        <v>300.25</v>
      </c>
      <c r="C53" s="106">
        <v>250.14</v>
      </c>
      <c r="D53" s="106">
        <v>450.23</v>
      </c>
      <c r="E53" s="106">
        <v>300.44</v>
      </c>
      <c r="F53" s="106">
        <v>298.89999999999998</v>
      </c>
      <c r="G53" s="106">
        <v>300.20999999999998</v>
      </c>
      <c r="H53" s="106">
        <v>300.27999999999997</v>
      </c>
      <c r="I53" s="37"/>
      <c r="J53" s="106">
        <v>300.20999999999998</v>
      </c>
      <c r="K53" s="106">
        <v>150.94</v>
      </c>
      <c r="L53" s="106">
        <v>400.57</v>
      </c>
      <c r="M53" s="106">
        <v>300.44</v>
      </c>
      <c r="N53" s="106">
        <v>201.26</v>
      </c>
      <c r="O53" s="106">
        <v>300.62</v>
      </c>
      <c r="P53" s="106">
        <v>300.44</v>
      </c>
      <c r="Q53" s="37"/>
      <c r="R53" s="106">
        <v>250.18</v>
      </c>
      <c r="S53" s="106">
        <v>300.26</v>
      </c>
      <c r="T53" s="106">
        <v>352.34</v>
      </c>
      <c r="U53" s="106">
        <v>300.52</v>
      </c>
      <c r="V53" s="106">
        <v>286.77999999999997</v>
      </c>
      <c r="W53" s="106">
        <v>300.24</v>
      </c>
      <c r="X53" s="106">
        <v>312.18</v>
      </c>
      <c r="Y53" s="37"/>
      <c r="Z53" s="106">
        <v>400</v>
      </c>
      <c r="AA53" s="106">
        <v>302.08999999999997</v>
      </c>
      <c r="AB53" s="106">
        <v>399.93</v>
      </c>
      <c r="AC53" s="106">
        <v>300.55</v>
      </c>
      <c r="AD53" s="106">
        <v>299.77999999999997</v>
      </c>
      <c r="AE53" s="106">
        <v>400.03</v>
      </c>
      <c r="AF53" s="106">
        <v>350.33</v>
      </c>
      <c r="AG53" s="106">
        <v>300.14999999999998</v>
      </c>
      <c r="AH53" s="106">
        <v>300.23</v>
      </c>
      <c r="AI53" s="106"/>
      <c r="AJ53" s="37"/>
      <c r="AK53" s="573"/>
      <c r="AL53" s="197"/>
      <c r="AM53" s="197"/>
    </row>
    <row r="54" spans="1:39" x14ac:dyDescent="0.25">
      <c r="A54" s="11">
        <v>52</v>
      </c>
      <c r="B54" s="106">
        <v>200.34</v>
      </c>
      <c r="C54" s="106">
        <v>350</v>
      </c>
      <c r="D54" s="106">
        <v>200.46</v>
      </c>
      <c r="E54" s="106">
        <v>200.9</v>
      </c>
      <c r="F54" s="116">
        <v>200.17</v>
      </c>
      <c r="G54" s="116">
        <v>300.02999999999997</v>
      </c>
      <c r="H54" s="116">
        <v>200.52</v>
      </c>
      <c r="I54" s="37"/>
      <c r="J54" s="116">
        <v>200.53</v>
      </c>
      <c r="K54" s="106">
        <v>250.42</v>
      </c>
      <c r="L54" s="106">
        <v>200.34</v>
      </c>
      <c r="M54" s="106">
        <v>200.49</v>
      </c>
      <c r="N54" s="106">
        <v>200.52</v>
      </c>
      <c r="O54" s="106">
        <v>200.26</v>
      </c>
      <c r="P54" s="106">
        <v>151.08000000000001</v>
      </c>
      <c r="Q54" s="37"/>
      <c r="R54" s="106">
        <v>200.66</v>
      </c>
      <c r="S54" s="106" t="s">
        <v>289</v>
      </c>
      <c r="T54" s="106">
        <v>207.88</v>
      </c>
      <c r="U54" s="106">
        <v>200.96</v>
      </c>
      <c r="V54" s="106">
        <v>200.32</v>
      </c>
      <c r="W54" s="106">
        <v>200.88</v>
      </c>
      <c r="X54" s="106">
        <v>265.64999999999998</v>
      </c>
      <c r="Y54" s="37"/>
      <c r="Z54" s="106">
        <v>208.85</v>
      </c>
      <c r="AA54" s="106">
        <v>200.3</v>
      </c>
      <c r="AB54" s="106">
        <v>200.22</v>
      </c>
      <c r="AC54" s="106">
        <v>199.99</v>
      </c>
      <c r="AD54" s="106">
        <v>200.35</v>
      </c>
      <c r="AE54" s="106">
        <v>200.36</v>
      </c>
      <c r="AF54" s="106">
        <v>149.93</v>
      </c>
      <c r="AG54" s="106">
        <v>200.27</v>
      </c>
      <c r="AH54" s="106">
        <v>238.26</v>
      </c>
      <c r="AI54" s="106"/>
      <c r="AJ54" s="37"/>
      <c r="AK54" s="573"/>
      <c r="AL54" s="197"/>
      <c r="AM54" s="197"/>
    </row>
    <row r="55" spans="1:39" x14ac:dyDescent="0.25">
      <c r="A55" s="11">
        <v>53</v>
      </c>
      <c r="B55" s="106">
        <v>189.48</v>
      </c>
      <c r="C55" s="106">
        <v>250.2</v>
      </c>
      <c r="D55" s="106">
        <v>300.20999999999998</v>
      </c>
      <c r="E55" s="106">
        <v>250.28</v>
      </c>
      <c r="F55" s="106">
        <v>242.01</v>
      </c>
      <c r="G55" s="106">
        <v>201.12</v>
      </c>
      <c r="H55" s="106">
        <v>200.21</v>
      </c>
      <c r="I55" s="37"/>
      <c r="J55" s="106">
        <v>150.63</v>
      </c>
      <c r="K55" s="106">
        <v>200.16</v>
      </c>
      <c r="L55" s="106">
        <v>250.5</v>
      </c>
      <c r="M55" s="106">
        <v>200.42</v>
      </c>
      <c r="N55" s="106">
        <v>150.47</v>
      </c>
      <c r="O55" s="106">
        <v>200.39</v>
      </c>
      <c r="P55" s="106">
        <v>200.19</v>
      </c>
      <c r="Q55" s="37"/>
      <c r="R55" s="106">
        <v>199.58</v>
      </c>
      <c r="S55" s="106">
        <v>250.47</v>
      </c>
      <c r="T55" s="106">
        <v>200.46</v>
      </c>
      <c r="U55" s="106">
        <v>200.22</v>
      </c>
      <c r="V55" s="106">
        <v>200.48</v>
      </c>
      <c r="W55" s="106">
        <v>250.29</v>
      </c>
      <c r="X55" s="106">
        <v>320.17</v>
      </c>
      <c r="Y55" s="37"/>
      <c r="Z55" s="106">
        <v>250.36</v>
      </c>
      <c r="AA55" s="106">
        <v>250.91</v>
      </c>
      <c r="AB55" s="106">
        <v>250.68</v>
      </c>
      <c r="AC55" s="106">
        <v>200.46</v>
      </c>
      <c r="AD55" s="106">
        <v>250.4</v>
      </c>
      <c r="AE55" s="106">
        <v>300.66000000000003</v>
      </c>
      <c r="AF55" s="106">
        <v>200.53</v>
      </c>
      <c r="AG55" s="106" t="s">
        <v>289</v>
      </c>
      <c r="AH55" s="106">
        <v>250.31</v>
      </c>
      <c r="AI55" s="106"/>
      <c r="AJ55" s="37"/>
      <c r="AK55" s="573"/>
      <c r="AL55" s="197"/>
      <c r="AM55" s="197"/>
    </row>
    <row r="56" spans="1:39" x14ac:dyDescent="0.25">
      <c r="A56" s="11">
        <v>54</v>
      </c>
      <c r="B56" s="106">
        <v>200.46</v>
      </c>
      <c r="C56" s="106">
        <v>149.94999999999999</v>
      </c>
      <c r="D56" s="106">
        <v>200.14</v>
      </c>
      <c r="E56" s="106">
        <v>250.99</v>
      </c>
      <c r="F56" s="106">
        <v>251.25</v>
      </c>
      <c r="G56" s="106">
        <v>200.2</v>
      </c>
      <c r="H56" s="106">
        <v>200.3</v>
      </c>
      <c r="I56" s="37"/>
      <c r="J56" s="106">
        <v>250.86</v>
      </c>
      <c r="K56" s="106">
        <v>200.32</v>
      </c>
      <c r="L56" s="106">
        <v>300.37</v>
      </c>
      <c r="M56" s="106">
        <v>250.19</v>
      </c>
      <c r="N56" s="106">
        <v>100.38</v>
      </c>
      <c r="O56" s="106">
        <v>245.49</v>
      </c>
      <c r="P56" s="106">
        <v>200.8</v>
      </c>
      <c r="Q56" s="37"/>
      <c r="R56" s="106">
        <v>200.18</v>
      </c>
      <c r="S56" s="106">
        <v>211.39</v>
      </c>
      <c r="T56" s="106">
        <v>299.54000000000002</v>
      </c>
      <c r="U56" s="106">
        <v>200.18</v>
      </c>
      <c r="V56" s="106">
        <v>201.06</v>
      </c>
      <c r="W56" s="106">
        <v>300.26</v>
      </c>
      <c r="X56" s="106">
        <v>200.05</v>
      </c>
      <c r="Y56" s="37"/>
      <c r="Z56" s="106">
        <v>250.26</v>
      </c>
      <c r="AA56" s="106">
        <v>200.26</v>
      </c>
      <c r="AB56" s="106">
        <v>250.27</v>
      </c>
      <c r="AC56" s="106">
        <v>200.22</v>
      </c>
      <c r="AD56" s="106">
        <v>250.26</v>
      </c>
      <c r="AE56" s="106">
        <v>250.44</v>
      </c>
      <c r="AF56" s="106">
        <v>247.65</v>
      </c>
      <c r="AG56" s="106">
        <v>200.73</v>
      </c>
      <c r="AH56" s="106">
        <v>200.35</v>
      </c>
      <c r="AI56" s="106"/>
      <c r="AJ56" s="37"/>
      <c r="AK56" s="573"/>
      <c r="AL56" s="197"/>
      <c r="AM56" s="197"/>
    </row>
    <row r="57" spans="1:39" x14ac:dyDescent="0.25">
      <c r="A57" s="11">
        <v>55</v>
      </c>
      <c r="B57" s="106">
        <v>160.44999999999999</v>
      </c>
      <c r="C57" s="106">
        <v>101.31</v>
      </c>
      <c r="D57" s="106">
        <v>250.39</v>
      </c>
      <c r="E57" s="106">
        <v>200.29</v>
      </c>
      <c r="F57" s="106">
        <v>248.85</v>
      </c>
      <c r="G57" s="106">
        <v>250.32</v>
      </c>
      <c r="H57" s="106">
        <v>350.14</v>
      </c>
      <c r="I57" s="37"/>
      <c r="J57" s="106">
        <v>100.09</v>
      </c>
      <c r="K57" s="106">
        <v>200.49</v>
      </c>
      <c r="L57" s="106">
        <v>200.64</v>
      </c>
      <c r="M57" s="106">
        <v>200.49</v>
      </c>
      <c r="N57" s="106">
        <v>250.38</v>
      </c>
      <c r="O57" s="106">
        <v>200.6</v>
      </c>
      <c r="P57" s="106">
        <v>300.58</v>
      </c>
      <c r="Q57" s="37"/>
      <c r="R57" s="106">
        <v>200.41</v>
      </c>
      <c r="S57" s="106">
        <v>300.01</v>
      </c>
      <c r="T57" s="106">
        <v>235.89</v>
      </c>
      <c r="U57" s="106">
        <v>150.72</v>
      </c>
      <c r="V57" s="106" t="s">
        <v>289</v>
      </c>
      <c r="W57" s="106">
        <v>200.41</v>
      </c>
      <c r="X57" s="106">
        <v>200.43</v>
      </c>
      <c r="Y57" s="37"/>
      <c r="Z57" s="106">
        <v>250.14</v>
      </c>
      <c r="AA57" s="106">
        <v>251.1</v>
      </c>
      <c r="AB57" s="106">
        <v>251.38</v>
      </c>
      <c r="AC57" s="106">
        <v>250.41</v>
      </c>
      <c r="AD57" s="106">
        <v>200.2</v>
      </c>
      <c r="AE57" s="106">
        <v>251.27</v>
      </c>
      <c r="AF57" s="106">
        <v>250.44</v>
      </c>
      <c r="AG57" s="106">
        <v>130.35</v>
      </c>
      <c r="AH57" s="106">
        <v>250.5</v>
      </c>
      <c r="AI57" s="106"/>
      <c r="AJ57" s="37"/>
      <c r="AK57" s="573"/>
      <c r="AL57" s="197"/>
      <c r="AM57" s="197"/>
    </row>
    <row r="58" spans="1:39" x14ac:dyDescent="0.25">
      <c r="A58" s="11">
        <v>56</v>
      </c>
      <c r="B58" s="106">
        <v>250.53</v>
      </c>
      <c r="C58" s="106">
        <v>150.08000000000001</v>
      </c>
      <c r="D58" s="106">
        <v>250.09</v>
      </c>
      <c r="E58" s="106">
        <v>250.3</v>
      </c>
      <c r="F58" s="106">
        <v>300.45</v>
      </c>
      <c r="G58" s="106">
        <v>250.49</v>
      </c>
      <c r="H58" s="106">
        <v>200.45</v>
      </c>
      <c r="I58" s="37"/>
      <c r="J58" s="106">
        <v>251.09</v>
      </c>
      <c r="K58" s="106">
        <v>250.76</v>
      </c>
      <c r="L58" s="106">
        <v>200.29</v>
      </c>
      <c r="M58" s="106">
        <v>200.12</v>
      </c>
      <c r="N58" s="106">
        <v>200.13</v>
      </c>
      <c r="O58" s="106">
        <v>200.59</v>
      </c>
      <c r="P58" s="106">
        <v>249.99</v>
      </c>
      <c r="Q58" s="37"/>
      <c r="R58" s="106">
        <v>203.48</v>
      </c>
      <c r="S58" s="106">
        <v>300.12</v>
      </c>
      <c r="T58" s="106">
        <v>200</v>
      </c>
      <c r="U58" s="106">
        <v>250.67</v>
      </c>
      <c r="V58" s="106">
        <v>250.4</v>
      </c>
      <c r="W58" s="106">
        <v>350.26</v>
      </c>
      <c r="X58" s="106">
        <v>200.24</v>
      </c>
      <c r="Y58" s="37"/>
      <c r="Z58" s="106">
        <v>250.33</v>
      </c>
      <c r="AA58" s="106">
        <v>199.5</v>
      </c>
      <c r="AB58" s="106">
        <v>250.71</v>
      </c>
      <c r="AC58" s="106">
        <v>200.25</v>
      </c>
      <c r="AD58" s="106">
        <v>250.5</v>
      </c>
      <c r="AE58" s="106">
        <v>200.51</v>
      </c>
      <c r="AF58" s="106">
        <v>150.41</v>
      </c>
      <c r="AG58" s="106" t="s">
        <v>289</v>
      </c>
      <c r="AH58" s="106">
        <v>250.9</v>
      </c>
      <c r="AI58" s="106"/>
      <c r="AJ58" s="37"/>
      <c r="AK58" s="936"/>
      <c r="AL58" s="197"/>
      <c r="AM58" s="888"/>
    </row>
    <row r="59" spans="1:39" x14ac:dyDescent="0.25">
      <c r="A59" s="11">
        <v>57</v>
      </c>
      <c r="B59" s="106">
        <v>254.05</v>
      </c>
      <c r="C59" s="106">
        <v>250.44</v>
      </c>
      <c r="D59" s="106">
        <v>299.86</v>
      </c>
      <c r="E59" s="106">
        <v>250.79</v>
      </c>
      <c r="F59" s="106">
        <v>296.47000000000003</v>
      </c>
      <c r="G59" s="106">
        <v>300.12</v>
      </c>
      <c r="H59" s="106">
        <v>200.3</v>
      </c>
      <c r="I59" s="37"/>
      <c r="J59" s="106">
        <v>211.77</v>
      </c>
      <c r="K59" s="106">
        <v>300.05</v>
      </c>
      <c r="L59" s="106">
        <v>200.33</v>
      </c>
      <c r="M59" s="106">
        <v>250.25</v>
      </c>
      <c r="N59" s="106">
        <v>250.4</v>
      </c>
      <c r="O59" s="106">
        <v>201.7</v>
      </c>
      <c r="P59" s="106">
        <v>350.8</v>
      </c>
      <c r="Q59" s="37"/>
      <c r="R59" s="106">
        <v>200.44</v>
      </c>
      <c r="S59" s="106">
        <v>200.28</v>
      </c>
      <c r="T59" s="106">
        <v>248.76</v>
      </c>
      <c r="U59" s="106">
        <v>200.21</v>
      </c>
      <c r="V59" s="106">
        <v>251.36</v>
      </c>
      <c r="W59" s="106">
        <v>300.12</v>
      </c>
      <c r="X59" s="106">
        <v>251</v>
      </c>
      <c r="Y59" s="37"/>
      <c r="Z59" s="106">
        <v>200.18</v>
      </c>
      <c r="AA59" s="106">
        <v>199.79</v>
      </c>
      <c r="AB59" s="106">
        <v>299.76</v>
      </c>
      <c r="AC59" s="106">
        <v>200.39</v>
      </c>
      <c r="AD59" s="106">
        <v>300.13</v>
      </c>
      <c r="AE59" s="106">
        <v>250.21</v>
      </c>
      <c r="AF59" s="106">
        <v>250.51</v>
      </c>
      <c r="AG59" s="106">
        <v>200.26</v>
      </c>
      <c r="AH59" s="106">
        <v>250.35</v>
      </c>
      <c r="AI59" s="106"/>
      <c r="AJ59" s="37"/>
      <c r="AK59" s="936"/>
      <c r="AL59" s="197"/>
      <c r="AM59" s="888"/>
    </row>
    <row r="60" spans="1:39" x14ac:dyDescent="0.25">
      <c r="A60" s="11">
        <v>58</v>
      </c>
      <c r="B60" s="106">
        <v>150.16</v>
      </c>
      <c r="C60" s="106">
        <v>99.82</v>
      </c>
      <c r="D60" s="106">
        <v>146</v>
      </c>
      <c r="E60" s="106">
        <v>100.63</v>
      </c>
      <c r="F60" s="106" t="s">
        <v>289</v>
      </c>
      <c r="G60" s="106">
        <v>199.68</v>
      </c>
      <c r="H60" s="106">
        <v>200.35</v>
      </c>
      <c r="I60" s="37"/>
      <c r="J60" s="106">
        <v>250.31</v>
      </c>
      <c r="K60" s="106">
        <v>200.22</v>
      </c>
      <c r="L60" s="106">
        <v>200.19</v>
      </c>
      <c r="M60" s="106">
        <v>250.56</v>
      </c>
      <c r="N60" s="106">
        <v>200.27</v>
      </c>
      <c r="O60" s="106">
        <v>201.22</v>
      </c>
      <c r="P60" s="106">
        <v>250.7</v>
      </c>
      <c r="Q60" s="37"/>
      <c r="R60" s="106">
        <v>200.39</v>
      </c>
      <c r="S60" s="106">
        <v>200.48</v>
      </c>
      <c r="T60" s="106">
        <v>249.98</v>
      </c>
      <c r="U60" s="106">
        <v>200.2</v>
      </c>
      <c r="V60" s="106">
        <v>250.12</v>
      </c>
      <c r="W60" s="106">
        <v>250.24</v>
      </c>
      <c r="X60" s="106">
        <v>250.95</v>
      </c>
      <c r="Y60" s="37"/>
      <c r="Z60" s="106">
        <v>250.37</v>
      </c>
      <c r="AA60" s="106">
        <v>199.71</v>
      </c>
      <c r="AB60" s="106">
        <v>200.43</v>
      </c>
      <c r="AC60" s="106">
        <v>201.39</v>
      </c>
      <c r="AD60" s="106">
        <v>250.03</v>
      </c>
      <c r="AE60" s="106">
        <v>250.8</v>
      </c>
      <c r="AF60" s="106">
        <v>200.15</v>
      </c>
      <c r="AG60" s="106">
        <v>250.14</v>
      </c>
      <c r="AH60" s="106">
        <v>301.02999999999997</v>
      </c>
      <c r="AI60" s="106"/>
      <c r="AJ60" s="37"/>
      <c r="AK60" s="936"/>
      <c r="AL60" s="197"/>
      <c r="AM60" s="888"/>
    </row>
    <row r="61" spans="1:39" ht="15.75" x14ac:dyDescent="0.25">
      <c r="A61" s="11">
        <v>59</v>
      </c>
      <c r="B61" s="106">
        <v>250.23</v>
      </c>
      <c r="C61" s="106">
        <v>200.98</v>
      </c>
      <c r="D61" s="106">
        <v>250.49</v>
      </c>
      <c r="E61" s="106">
        <v>200.9</v>
      </c>
      <c r="F61" s="106">
        <v>147.13</v>
      </c>
      <c r="G61" s="106">
        <v>299.7</v>
      </c>
      <c r="H61" s="106">
        <v>200.4</v>
      </c>
      <c r="I61" s="37"/>
      <c r="J61" s="106">
        <v>200.24</v>
      </c>
      <c r="K61" s="106">
        <v>250.18</v>
      </c>
      <c r="L61" s="106">
        <v>249.98</v>
      </c>
      <c r="M61" s="106">
        <v>200.3</v>
      </c>
      <c r="N61" s="106">
        <v>200.27</v>
      </c>
      <c r="O61" s="106">
        <v>199.6</v>
      </c>
      <c r="P61" s="106">
        <v>250.89</v>
      </c>
      <c r="Q61" s="37"/>
      <c r="R61" s="106">
        <v>250.24</v>
      </c>
      <c r="S61" s="106">
        <v>250.15</v>
      </c>
      <c r="T61" s="106">
        <v>201.15</v>
      </c>
      <c r="U61" s="106">
        <v>200.39</v>
      </c>
      <c r="V61" s="106">
        <v>200.49</v>
      </c>
      <c r="W61" s="106">
        <v>250.22</v>
      </c>
      <c r="X61" s="106">
        <v>200.05</v>
      </c>
      <c r="Y61" s="37"/>
      <c r="Z61" s="106">
        <v>250.44</v>
      </c>
      <c r="AA61" s="106">
        <v>249.88</v>
      </c>
      <c r="AB61" s="106">
        <v>235.46</v>
      </c>
      <c r="AC61" s="106">
        <v>200.59</v>
      </c>
      <c r="AD61" s="106">
        <v>250.55</v>
      </c>
      <c r="AE61" s="106">
        <v>250.5</v>
      </c>
      <c r="AF61" s="106">
        <v>300.13</v>
      </c>
      <c r="AG61" s="106">
        <v>199.73</v>
      </c>
      <c r="AH61" s="106">
        <v>250.52</v>
      </c>
      <c r="AI61" s="106"/>
      <c r="AJ61" s="37"/>
      <c r="AK61" s="981">
        <v>80253.119999999995</v>
      </c>
      <c r="AL61" s="197"/>
      <c r="AM61" s="888"/>
    </row>
    <row r="62" spans="1:39" ht="15.75" x14ac:dyDescent="0.25">
      <c r="A62" s="11">
        <v>60</v>
      </c>
      <c r="B62" s="106">
        <v>321.22000000000003</v>
      </c>
      <c r="C62" s="106">
        <v>150.02000000000001</v>
      </c>
      <c r="D62" s="106">
        <v>201.08</v>
      </c>
      <c r="E62" s="106">
        <v>250.28</v>
      </c>
      <c r="F62" s="106">
        <v>250.85</v>
      </c>
      <c r="G62" s="106">
        <v>300.04000000000002</v>
      </c>
      <c r="H62" s="106">
        <v>200.64</v>
      </c>
      <c r="I62" s="37"/>
      <c r="J62" s="106">
        <v>200.65</v>
      </c>
      <c r="K62" s="106">
        <v>250.15</v>
      </c>
      <c r="L62" s="106">
        <v>300.36</v>
      </c>
      <c r="M62" s="106">
        <v>200.26</v>
      </c>
      <c r="N62" s="106">
        <v>250.35</v>
      </c>
      <c r="O62" s="106">
        <v>200.41</v>
      </c>
      <c r="P62" s="106">
        <v>350.57</v>
      </c>
      <c r="Q62" s="37"/>
      <c r="R62" s="106">
        <v>200.28</v>
      </c>
      <c r="S62" s="106">
        <v>250.27</v>
      </c>
      <c r="T62" s="106">
        <v>250.01</v>
      </c>
      <c r="U62" s="106">
        <v>250.31</v>
      </c>
      <c r="V62" s="106">
        <v>250.28</v>
      </c>
      <c r="W62" s="106">
        <v>200.65</v>
      </c>
      <c r="X62" s="106">
        <v>200.14</v>
      </c>
      <c r="Y62" s="37"/>
      <c r="Z62" s="106">
        <v>300.33999999999997</v>
      </c>
      <c r="AA62" s="106">
        <v>203.09</v>
      </c>
      <c r="AB62" s="106">
        <v>299.89999999999998</v>
      </c>
      <c r="AC62" s="106">
        <v>250.34</v>
      </c>
      <c r="AD62" s="106">
        <v>250.47</v>
      </c>
      <c r="AE62" s="106">
        <v>250.94</v>
      </c>
      <c r="AF62" s="106">
        <v>350.33</v>
      </c>
      <c r="AG62" s="106">
        <v>300.3</v>
      </c>
      <c r="AH62" s="106">
        <v>250.16</v>
      </c>
      <c r="AI62" s="106"/>
      <c r="AJ62" s="37"/>
      <c r="AK62" s="981">
        <v>76580.27</v>
      </c>
      <c r="AL62" s="197"/>
      <c r="AM62" s="888"/>
    </row>
    <row r="63" spans="1:39" ht="15.75" x14ac:dyDescent="0.25">
      <c r="A63" s="11">
        <v>61</v>
      </c>
      <c r="B63" s="106">
        <v>250.12</v>
      </c>
      <c r="C63" s="106">
        <v>200.09</v>
      </c>
      <c r="D63" s="106">
        <v>200.03</v>
      </c>
      <c r="E63" s="106">
        <v>199.84</v>
      </c>
      <c r="F63" s="106">
        <v>247.99</v>
      </c>
      <c r="G63" s="106">
        <v>199.95</v>
      </c>
      <c r="H63" s="106">
        <v>200.62</v>
      </c>
      <c r="I63" s="37"/>
      <c r="J63" s="106">
        <v>250.28</v>
      </c>
      <c r="K63" s="106">
        <v>300.23</v>
      </c>
      <c r="L63" s="106">
        <v>250.55</v>
      </c>
      <c r="M63" s="106">
        <v>254.25</v>
      </c>
      <c r="N63" s="106">
        <v>200.19</v>
      </c>
      <c r="O63" s="106">
        <v>250.45</v>
      </c>
      <c r="P63" s="106">
        <v>300</v>
      </c>
      <c r="Q63" s="37"/>
      <c r="R63" s="106">
        <v>249.97</v>
      </c>
      <c r="S63" s="106">
        <v>200.17</v>
      </c>
      <c r="T63" s="106">
        <v>300.24</v>
      </c>
      <c r="U63" s="106">
        <v>200.16</v>
      </c>
      <c r="V63" s="106">
        <v>300.77</v>
      </c>
      <c r="W63" s="106">
        <v>250.56</v>
      </c>
      <c r="X63" s="106">
        <v>250.95</v>
      </c>
      <c r="Y63" s="37"/>
      <c r="Z63" s="106">
        <v>200.57</v>
      </c>
      <c r="AA63" s="106">
        <v>200.48</v>
      </c>
      <c r="AB63" s="106">
        <v>199.99</v>
      </c>
      <c r="AC63" s="106">
        <v>200.18</v>
      </c>
      <c r="AD63" s="106">
        <v>250.38</v>
      </c>
      <c r="AE63" s="106">
        <v>300.01</v>
      </c>
      <c r="AF63" s="106">
        <v>200.35</v>
      </c>
      <c r="AG63" s="106">
        <v>200.21</v>
      </c>
      <c r="AH63" s="106">
        <v>251.63</v>
      </c>
      <c r="AI63" s="106"/>
      <c r="AJ63" s="37"/>
      <c r="AK63" s="981">
        <v>79268.83</v>
      </c>
      <c r="AL63" s="197"/>
      <c r="AM63" s="888"/>
    </row>
    <row r="64" spans="1:39" ht="15.75" x14ac:dyDescent="0.25">
      <c r="A64" s="11">
        <v>62</v>
      </c>
      <c r="B64" s="106">
        <v>202.24</v>
      </c>
      <c r="C64" s="106">
        <v>199.91</v>
      </c>
      <c r="D64" s="106">
        <v>250.86</v>
      </c>
      <c r="E64" s="106">
        <v>250.3</v>
      </c>
      <c r="F64" s="106">
        <v>251.22</v>
      </c>
      <c r="G64" s="106">
        <v>300.20999999999998</v>
      </c>
      <c r="H64" s="106">
        <v>200.48</v>
      </c>
      <c r="I64" s="37"/>
      <c r="J64" s="106">
        <v>200.31</v>
      </c>
      <c r="K64" s="106">
        <v>200.2</v>
      </c>
      <c r="L64" s="106">
        <v>300.20999999999998</v>
      </c>
      <c r="M64" s="106">
        <v>200.18</v>
      </c>
      <c r="N64" s="106">
        <v>250.14</v>
      </c>
      <c r="O64" s="106">
        <v>137.68</v>
      </c>
      <c r="P64" s="106">
        <v>300.35599999999999</v>
      </c>
      <c r="Q64" s="37"/>
      <c r="R64" s="106">
        <v>200.58</v>
      </c>
      <c r="S64" s="106">
        <v>250.31</v>
      </c>
      <c r="T64" s="106">
        <v>199.75</v>
      </c>
      <c r="U64" s="106">
        <v>200.53</v>
      </c>
      <c r="V64" s="106">
        <v>250.48</v>
      </c>
      <c r="W64" s="106">
        <v>299.85000000000002</v>
      </c>
      <c r="X64" s="106">
        <v>451.65</v>
      </c>
      <c r="Y64" s="37"/>
      <c r="Z64" s="106">
        <v>300.19</v>
      </c>
      <c r="AA64" s="106">
        <v>200.76</v>
      </c>
      <c r="AB64" s="106">
        <v>250.72</v>
      </c>
      <c r="AC64" s="106">
        <v>200.51</v>
      </c>
      <c r="AD64" s="106">
        <v>250.43</v>
      </c>
      <c r="AE64" s="106">
        <v>200.42</v>
      </c>
      <c r="AF64" s="106">
        <v>200.33</v>
      </c>
      <c r="AG64" s="106">
        <v>200.13</v>
      </c>
      <c r="AH64" s="106">
        <v>200.25</v>
      </c>
      <c r="AI64" s="106"/>
      <c r="AJ64" s="37"/>
      <c r="AK64" s="997">
        <v>105218.66</v>
      </c>
      <c r="AL64" s="197"/>
      <c r="AM64" s="197"/>
    </row>
    <row r="65" spans="1:40" ht="16.5" thickBot="1" x14ac:dyDescent="0.3">
      <c r="A65" s="62">
        <v>63</v>
      </c>
      <c r="B65" s="589"/>
      <c r="C65" s="589"/>
      <c r="D65" s="589"/>
      <c r="E65" s="589"/>
      <c r="F65" s="589"/>
      <c r="G65" s="589"/>
      <c r="H65" s="589"/>
      <c r="I65" s="773" t="s">
        <v>290</v>
      </c>
      <c r="J65" s="589"/>
      <c r="K65" s="589"/>
      <c r="L65" s="589"/>
      <c r="M65" s="589"/>
      <c r="N65" s="589"/>
      <c r="O65" s="589"/>
      <c r="P65" s="589"/>
      <c r="Q65" s="182" t="s">
        <v>290</v>
      </c>
      <c r="R65" s="589"/>
      <c r="S65" s="589"/>
      <c r="T65" s="589"/>
      <c r="U65" s="589"/>
      <c r="V65" s="589"/>
      <c r="W65" s="589"/>
      <c r="X65" s="589"/>
      <c r="Y65" s="182" t="s">
        <v>290</v>
      </c>
      <c r="Z65" s="589"/>
      <c r="AA65" s="589"/>
      <c r="AB65" s="589"/>
      <c r="AC65" s="589"/>
      <c r="AD65" s="589"/>
      <c r="AE65" s="589"/>
      <c r="AF65" s="589"/>
      <c r="AG65" s="589"/>
      <c r="AH65" s="589"/>
      <c r="AI65" s="589"/>
      <c r="AJ65" s="182" t="s">
        <v>290</v>
      </c>
      <c r="AK65" s="982"/>
      <c r="AL65" s="204"/>
      <c r="AM65" s="204"/>
    </row>
    <row r="66" spans="1:40" ht="18.75" x14ac:dyDescent="0.3">
      <c r="A66" s="281" t="s">
        <v>2</v>
      </c>
      <c r="B66" s="163">
        <f>SUM(B4:B65)</f>
        <v>9895.89</v>
      </c>
      <c r="C66" s="163">
        <f t="shared" ref="C66:H66" si="0">SUM(C3:C65)</f>
        <v>9964.6900000000041</v>
      </c>
      <c r="D66" s="163">
        <f t="shared" si="0"/>
        <v>12307.569999999994</v>
      </c>
      <c r="E66" s="163">
        <f t="shared" si="0"/>
        <v>12254.61</v>
      </c>
      <c r="F66" s="163">
        <f t="shared" si="0"/>
        <v>11498.340000000002</v>
      </c>
      <c r="G66" s="163">
        <f t="shared" si="0"/>
        <v>13113.870000000004</v>
      </c>
      <c r="H66" s="163">
        <f t="shared" si="0"/>
        <v>11218.150000000001</v>
      </c>
      <c r="I66" s="158">
        <f>SUM(B66:H66)</f>
        <v>80253.119999999995</v>
      </c>
      <c r="J66" s="163">
        <f t="shared" ref="J66:P66" si="1">SUM(J3:J65)</f>
        <v>9399.9800000000014</v>
      </c>
      <c r="K66" s="163">
        <f t="shared" si="1"/>
        <v>9968.2199999999993</v>
      </c>
      <c r="L66" s="163">
        <f t="shared" si="1"/>
        <v>12174.8</v>
      </c>
      <c r="M66" s="163">
        <f t="shared" si="1"/>
        <v>11162.21</v>
      </c>
      <c r="N66" s="163">
        <f t="shared" si="1"/>
        <v>10601.859999999999</v>
      </c>
      <c r="O66" s="163">
        <f t="shared" si="1"/>
        <v>10912.590000000002</v>
      </c>
      <c r="P66" s="163">
        <f t="shared" si="1"/>
        <v>12360.605999999998</v>
      </c>
      <c r="Q66" s="221">
        <f>SUM(J66:P66)</f>
        <v>76580.266000000003</v>
      </c>
      <c r="R66" s="163">
        <f t="shared" ref="R66:X66" si="2">SUM(R3:R65)</f>
        <v>10272.450000000001</v>
      </c>
      <c r="S66" s="163">
        <f t="shared" si="2"/>
        <v>9894.73</v>
      </c>
      <c r="T66" s="163">
        <f t="shared" si="2"/>
        <v>11561.289999999999</v>
      </c>
      <c r="U66" s="163">
        <f t="shared" si="2"/>
        <v>10410.119999999997</v>
      </c>
      <c r="V66" s="163">
        <f t="shared" si="2"/>
        <v>12458.330000000002</v>
      </c>
      <c r="W66" s="163">
        <f t="shared" si="2"/>
        <v>11463.59</v>
      </c>
      <c r="X66" s="163">
        <f t="shared" si="2"/>
        <v>13208.32</v>
      </c>
      <c r="Y66" s="221">
        <f>SUM(R66:X66)</f>
        <v>79268.829999999987</v>
      </c>
      <c r="Z66" s="163">
        <f t="shared" ref="Z66:AH66" si="3">SUM(Z3:Z65)</f>
        <v>12417.020000000002</v>
      </c>
      <c r="AA66" s="163">
        <f t="shared" si="3"/>
        <v>11331.55</v>
      </c>
      <c r="AB66" s="163">
        <f t="shared" si="3"/>
        <v>11398.179999999995</v>
      </c>
      <c r="AC66" s="163">
        <f t="shared" si="3"/>
        <v>11498.109999999997</v>
      </c>
      <c r="AD66" s="163">
        <f t="shared" si="3"/>
        <v>13013.03</v>
      </c>
      <c r="AE66" s="163">
        <f t="shared" si="3"/>
        <v>11538.360000000002</v>
      </c>
      <c r="AF66" s="163">
        <f t="shared" si="3"/>
        <v>11894.619999999999</v>
      </c>
      <c r="AG66" s="163">
        <f t="shared" si="3"/>
        <v>10027.869999999995</v>
      </c>
      <c r="AH66" s="163">
        <f t="shared" si="3"/>
        <v>12099.920000000002</v>
      </c>
      <c r="AI66" s="163"/>
      <c r="AJ66" s="158">
        <f>SUM(Z66:AI66)</f>
        <v>105218.65999999997</v>
      </c>
      <c r="AK66" s="990">
        <f>SUM(AK61:AK65)</f>
        <v>341320.88</v>
      </c>
      <c r="AL66" s="285"/>
      <c r="AM66" s="266"/>
    </row>
    <row r="67" spans="1:40" ht="15.75" thickBot="1" x14ac:dyDescent="0.3">
      <c r="A67" s="264"/>
      <c r="B67" s="265" t="s">
        <v>426</v>
      </c>
      <c r="C67" s="265" t="s">
        <v>292</v>
      </c>
      <c r="D67" s="265" t="s">
        <v>265</v>
      </c>
      <c r="E67" s="265" t="s">
        <v>262</v>
      </c>
      <c r="F67" s="265" t="s">
        <v>292</v>
      </c>
      <c r="G67" s="265" t="s">
        <v>260</v>
      </c>
      <c r="H67" s="265" t="s">
        <v>259</v>
      </c>
      <c r="I67" s="56"/>
      <c r="J67" s="265" t="s">
        <v>292</v>
      </c>
      <c r="K67" s="265" t="s">
        <v>292</v>
      </c>
      <c r="L67" s="265" t="s">
        <v>260</v>
      </c>
      <c r="M67" s="265" t="s">
        <v>260</v>
      </c>
      <c r="N67" s="265" t="s">
        <v>260</v>
      </c>
      <c r="O67" s="265" t="s">
        <v>292</v>
      </c>
      <c r="P67" s="265" t="s">
        <v>260</v>
      </c>
      <c r="Q67" s="56"/>
      <c r="R67" s="265" t="s">
        <v>265</v>
      </c>
      <c r="S67" s="265" t="s">
        <v>264</v>
      </c>
      <c r="T67" s="265" t="s">
        <v>259</v>
      </c>
      <c r="U67" s="265" t="s">
        <v>259</v>
      </c>
      <c r="V67" s="265" t="s">
        <v>260</v>
      </c>
      <c r="W67" s="265" t="s">
        <v>292</v>
      </c>
      <c r="X67" s="265" t="s">
        <v>265</v>
      </c>
      <c r="Y67" s="56"/>
      <c r="Z67" s="265" t="s">
        <v>260</v>
      </c>
      <c r="AA67" s="265" t="s">
        <v>292</v>
      </c>
      <c r="AB67" s="265" t="s">
        <v>259</v>
      </c>
      <c r="AC67" s="265" t="s">
        <v>260</v>
      </c>
      <c r="AD67" s="265" t="s">
        <v>265</v>
      </c>
      <c r="AE67" s="265" t="s">
        <v>265</v>
      </c>
      <c r="AF67" s="265" t="s">
        <v>265</v>
      </c>
      <c r="AG67" s="265" t="s">
        <v>292</v>
      </c>
      <c r="AH67" s="265" t="s">
        <v>265</v>
      </c>
      <c r="AI67" s="265"/>
      <c r="AJ67" s="56"/>
      <c r="AK67" s="225"/>
      <c r="AL67" s="228"/>
      <c r="AM67" s="225"/>
    </row>
    <row r="68" spans="1:40" ht="24" thickBot="1" x14ac:dyDescent="0.4">
      <c r="A68" s="252" t="s">
        <v>158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60"/>
      <c r="AM68" s="217"/>
    </row>
    <row r="69" spans="1:40" ht="16.5" thickBot="1" x14ac:dyDescent="0.3">
      <c r="A69" s="321" t="s">
        <v>7</v>
      </c>
      <c r="B69" s="322">
        <v>1</v>
      </c>
      <c r="C69" s="322">
        <v>2</v>
      </c>
      <c r="D69" s="322">
        <v>3</v>
      </c>
      <c r="E69" s="322">
        <v>4</v>
      </c>
      <c r="F69" s="322">
        <v>5</v>
      </c>
      <c r="G69" s="322">
        <v>6</v>
      </c>
      <c r="H69" s="322">
        <v>7</v>
      </c>
      <c r="I69" s="323" t="s">
        <v>6</v>
      </c>
      <c r="J69" s="322">
        <v>8</v>
      </c>
      <c r="K69" s="322">
        <v>9</v>
      </c>
      <c r="L69" s="322">
        <v>10</v>
      </c>
      <c r="M69" s="322">
        <v>11</v>
      </c>
      <c r="N69" s="322">
        <v>12</v>
      </c>
      <c r="O69" s="322">
        <v>13</v>
      </c>
      <c r="P69" s="322">
        <v>14</v>
      </c>
      <c r="Q69" s="323" t="s">
        <v>6</v>
      </c>
      <c r="R69" s="322">
        <v>15</v>
      </c>
      <c r="S69" s="322">
        <v>16</v>
      </c>
      <c r="T69" s="322">
        <v>17</v>
      </c>
      <c r="U69" s="322">
        <v>18</v>
      </c>
      <c r="V69" s="322">
        <v>19</v>
      </c>
      <c r="W69" s="322">
        <v>20</v>
      </c>
      <c r="X69" s="322">
        <v>21</v>
      </c>
      <c r="Y69" s="323" t="s">
        <v>6</v>
      </c>
      <c r="Z69" s="322">
        <v>22</v>
      </c>
      <c r="AA69" s="322">
        <v>23</v>
      </c>
      <c r="AB69" s="322">
        <v>24</v>
      </c>
      <c r="AC69" s="322">
        <v>25</v>
      </c>
      <c r="AD69" s="322">
        <v>26</v>
      </c>
      <c r="AE69" s="322">
        <v>27</v>
      </c>
      <c r="AF69" s="322">
        <v>28</v>
      </c>
      <c r="AG69" s="322">
        <v>29</v>
      </c>
      <c r="AH69" s="322">
        <v>30</v>
      </c>
      <c r="AI69" s="322">
        <v>31</v>
      </c>
      <c r="AJ69" s="324" t="s">
        <v>6</v>
      </c>
      <c r="AK69" s="905" t="s">
        <v>0</v>
      </c>
      <c r="AL69" s="169"/>
      <c r="AM69" s="395" t="s">
        <v>42</v>
      </c>
    </row>
    <row r="70" spans="1:40" x14ac:dyDescent="0.25">
      <c r="A70" s="394">
        <v>23</v>
      </c>
      <c r="B70" s="530"/>
      <c r="C70" s="530"/>
      <c r="D70" s="530"/>
      <c r="E70" s="530"/>
      <c r="F70" s="530"/>
      <c r="G70" s="530"/>
      <c r="H70" s="530"/>
      <c r="I70" s="773" t="s">
        <v>290</v>
      </c>
      <c r="J70" s="530"/>
      <c r="K70" s="530"/>
      <c r="L70" s="531"/>
      <c r="M70" s="531"/>
      <c r="N70" s="530"/>
      <c r="O70" s="530"/>
      <c r="P70" s="530"/>
      <c r="Q70" s="773" t="s">
        <v>290</v>
      </c>
      <c r="R70" s="530"/>
      <c r="S70" s="530"/>
      <c r="T70" s="530"/>
      <c r="U70" s="530"/>
      <c r="V70" s="530"/>
      <c r="W70" s="530"/>
      <c r="X70" s="530"/>
      <c r="Y70" s="773" t="s">
        <v>290</v>
      </c>
      <c r="Z70" s="530"/>
      <c r="AA70" s="530"/>
      <c r="AB70" s="530"/>
      <c r="AC70" s="530"/>
      <c r="AD70" s="530"/>
      <c r="AE70" s="530"/>
      <c r="AF70" s="530"/>
      <c r="AG70" s="530"/>
      <c r="AH70" s="530"/>
      <c r="AI70" s="530"/>
      <c r="AJ70" s="773" t="s">
        <v>290</v>
      </c>
      <c r="AK70" s="2"/>
      <c r="AL70" s="172"/>
      <c r="AM70" s="635" t="s">
        <v>234</v>
      </c>
      <c r="AN70" s="187"/>
    </row>
    <row r="71" spans="1:40" x14ac:dyDescent="0.25">
      <c r="A71" s="381">
        <v>83</v>
      </c>
      <c r="B71" s="530"/>
      <c r="C71" s="530"/>
      <c r="D71" s="530"/>
      <c r="E71" s="530"/>
      <c r="F71" s="530"/>
      <c r="G71" s="530"/>
      <c r="H71" s="530"/>
      <c r="I71" s="773" t="s">
        <v>290</v>
      </c>
      <c r="J71" s="530"/>
      <c r="K71" s="530"/>
      <c r="L71" s="531"/>
      <c r="M71" s="531"/>
      <c r="N71" s="530"/>
      <c r="O71" s="537"/>
      <c r="P71" s="537"/>
      <c r="Q71" s="773" t="s">
        <v>290</v>
      </c>
      <c r="R71" s="530"/>
      <c r="S71" s="537"/>
      <c r="T71" s="537"/>
      <c r="U71" s="530"/>
      <c r="V71" s="537"/>
      <c r="W71" s="530"/>
      <c r="X71" s="530"/>
      <c r="Y71" s="773" t="s">
        <v>290</v>
      </c>
      <c r="Z71" s="530"/>
      <c r="AA71" s="537"/>
      <c r="AB71" s="530"/>
      <c r="AC71" s="530"/>
      <c r="AD71" s="530"/>
      <c r="AE71" s="537"/>
      <c r="AF71" s="537"/>
      <c r="AG71" s="537"/>
      <c r="AH71" s="537"/>
      <c r="AI71" s="118"/>
      <c r="AJ71" s="773" t="s">
        <v>290</v>
      </c>
      <c r="AK71" s="2"/>
      <c r="AL71" s="176"/>
      <c r="AM71" s="448" t="s">
        <v>235</v>
      </c>
      <c r="AN71" s="187"/>
    </row>
    <row r="72" spans="1:40" x14ac:dyDescent="0.25">
      <c r="A72" s="381">
        <v>90</v>
      </c>
      <c r="B72" s="530"/>
      <c r="C72" s="530"/>
      <c r="D72" s="530"/>
      <c r="E72" s="537"/>
      <c r="F72" s="537"/>
      <c r="G72" s="537"/>
      <c r="H72" s="537"/>
      <c r="I72" s="773" t="s">
        <v>290</v>
      </c>
      <c r="J72" s="537"/>
      <c r="K72" s="537"/>
      <c r="L72" s="594"/>
      <c r="M72" s="594"/>
      <c r="N72" s="537"/>
      <c r="O72" s="537"/>
      <c r="P72" s="537"/>
      <c r="Q72" s="773" t="s">
        <v>290</v>
      </c>
      <c r="R72" s="537"/>
      <c r="S72" s="537"/>
      <c r="T72" s="537"/>
      <c r="U72" s="537"/>
      <c r="V72" s="537"/>
      <c r="W72" s="530"/>
      <c r="X72" s="530"/>
      <c r="Y72" s="773" t="s">
        <v>290</v>
      </c>
      <c r="Z72" s="530"/>
      <c r="AA72" s="530"/>
      <c r="AB72" s="530"/>
      <c r="AC72" s="530"/>
      <c r="AD72" s="530"/>
      <c r="AE72" s="530"/>
      <c r="AF72" s="530"/>
      <c r="AG72" s="530"/>
      <c r="AH72" s="530"/>
      <c r="AI72" s="530"/>
      <c r="AJ72" s="773" t="s">
        <v>290</v>
      </c>
      <c r="AK72" s="2"/>
      <c r="AL72" s="176"/>
      <c r="AM72" s="448"/>
      <c r="AN72" s="187"/>
    </row>
    <row r="73" spans="1:40" x14ac:dyDescent="0.25">
      <c r="A73" s="381">
        <v>93</v>
      </c>
      <c r="B73" s="537"/>
      <c r="C73" s="537"/>
      <c r="D73" s="537"/>
      <c r="E73" s="537"/>
      <c r="F73" s="537"/>
      <c r="G73" s="537"/>
      <c r="H73" s="537"/>
      <c r="I73" s="773" t="s">
        <v>290</v>
      </c>
      <c r="J73" s="530"/>
      <c r="K73" s="530"/>
      <c r="L73" s="531"/>
      <c r="M73" s="594"/>
      <c r="N73" s="537"/>
      <c r="O73" s="537"/>
      <c r="P73" s="537"/>
      <c r="Q73" s="773" t="s">
        <v>290</v>
      </c>
      <c r="R73" s="530"/>
      <c r="S73" s="537"/>
      <c r="T73" s="537"/>
      <c r="U73" s="530"/>
      <c r="V73" s="530"/>
      <c r="W73" s="530"/>
      <c r="X73" s="530"/>
      <c r="Y73" s="773" t="s">
        <v>290</v>
      </c>
      <c r="Z73" s="537"/>
      <c r="AA73" s="530"/>
      <c r="AB73" s="530"/>
      <c r="AC73" s="530"/>
      <c r="AD73" s="530"/>
      <c r="AE73" s="537"/>
      <c r="AF73" s="530"/>
      <c r="AG73" s="537"/>
      <c r="AH73" s="537"/>
      <c r="AI73" s="131"/>
      <c r="AJ73" s="773" t="s">
        <v>290</v>
      </c>
      <c r="AK73" s="2"/>
      <c r="AL73" s="202"/>
      <c r="AM73" s="449" t="s">
        <v>236</v>
      </c>
      <c r="AN73" s="187"/>
    </row>
    <row r="74" spans="1:40" x14ac:dyDescent="0.25">
      <c r="A74" s="381">
        <v>95</v>
      </c>
      <c r="B74" s="131">
        <v>109.42</v>
      </c>
      <c r="C74" s="135">
        <v>91.66</v>
      </c>
      <c r="D74" s="131">
        <v>70.13</v>
      </c>
      <c r="E74" s="135">
        <v>103.25</v>
      </c>
      <c r="F74" s="135">
        <v>71.8</v>
      </c>
      <c r="G74" s="135">
        <v>109.43</v>
      </c>
      <c r="H74" s="135">
        <v>107.39</v>
      </c>
      <c r="I74" s="37"/>
      <c r="J74" s="530"/>
      <c r="K74" s="530"/>
      <c r="L74" s="155">
        <v>68.319999999999993</v>
      </c>
      <c r="M74" s="135">
        <v>106.23</v>
      </c>
      <c r="N74" s="135">
        <v>25.76</v>
      </c>
      <c r="O74" s="135">
        <v>84.46</v>
      </c>
      <c r="P74" s="135">
        <v>88</v>
      </c>
      <c r="Q74" s="37"/>
      <c r="R74" s="532">
        <v>136.4</v>
      </c>
      <c r="S74" s="131">
        <v>98.86</v>
      </c>
      <c r="T74" s="131">
        <v>103.51</v>
      </c>
      <c r="U74" s="12">
        <v>103.58</v>
      </c>
      <c r="V74" s="12">
        <v>100.03</v>
      </c>
      <c r="W74" s="135">
        <v>98.34</v>
      </c>
      <c r="X74" s="135">
        <v>50.88</v>
      </c>
      <c r="Y74" s="37"/>
      <c r="Z74" s="131">
        <v>93.57</v>
      </c>
      <c r="AA74" s="131">
        <v>72.39</v>
      </c>
      <c r="AB74" s="12">
        <v>89.62</v>
      </c>
      <c r="AC74" s="12">
        <v>109.66</v>
      </c>
      <c r="AD74" s="12">
        <v>99.85</v>
      </c>
      <c r="AE74" s="530"/>
      <c r="AF74" s="12">
        <v>88.28</v>
      </c>
      <c r="AG74" s="12">
        <v>77.64</v>
      </c>
      <c r="AH74" s="532">
        <v>134.47</v>
      </c>
      <c r="AI74" s="131"/>
      <c r="AJ74" s="37"/>
      <c r="AK74" s="2"/>
      <c r="AL74" s="176"/>
      <c r="AM74" s="448" t="s">
        <v>237</v>
      </c>
      <c r="AN74" s="187"/>
    </row>
    <row r="75" spans="1:40" x14ac:dyDescent="0.25">
      <c r="A75" s="381">
        <v>98</v>
      </c>
      <c r="B75" s="537"/>
      <c r="C75" s="537"/>
      <c r="D75" s="537"/>
      <c r="E75" s="537"/>
      <c r="F75" s="537"/>
      <c r="G75" s="537"/>
      <c r="H75" s="537"/>
      <c r="I75" s="773" t="s">
        <v>290</v>
      </c>
      <c r="J75" s="537"/>
      <c r="K75" s="537"/>
      <c r="L75" s="594"/>
      <c r="M75" s="594"/>
      <c r="N75" s="537"/>
      <c r="O75" s="537"/>
      <c r="P75" s="537"/>
      <c r="Q75" s="773" t="s">
        <v>290</v>
      </c>
      <c r="R75" s="537"/>
      <c r="S75" s="537"/>
      <c r="T75" s="537"/>
      <c r="U75" s="537"/>
      <c r="V75" s="537"/>
      <c r="W75" s="530"/>
      <c r="X75" s="530"/>
      <c r="Y75" s="773" t="s">
        <v>290</v>
      </c>
      <c r="Z75" s="530"/>
      <c r="AA75" s="530"/>
      <c r="AB75" s="530"/>
      <c r="AC75" s="530"/>
      <c r="AD75" s="530"/>
      <c r="AE75" s="530"/>
      <c r="AF75" s="530"/>
      <c r="AG75" s="530"/>
      <c r="AH75" s="530"/>
      <c r="AI75" s="530"/>
      <c r="AJ75" s="773" t="s">
        <v>290</v>
      </c>
      <c r="AK75" s="2"/>
      <c r="AL75" s="176"/>
      <c r="AM75" s="448" t="s">
        <v>238</v>
      </c>
      <c r="AN75" s="187"/>
    </row>
    <row r="76" spans="1:40" x14ac:dyDescent="0.25">
      <c r="A76" s="381">
        <v>104</v>
      </c>
      <c r="B76" s="537"/>
      <c r="C76" s="530"/>
      <c r="D76" s="537"/>
      <c r="E76" s="530"/>
      <c r="F76" s="530"/>
      <c r="G76" s="530"/>
      <c r="H76" s="530"/>
      <c r="I76" s="773" t="s">
        <v>290</v>
      </c>
      <c r="J76" s="530"/>
      <c r="K76" s="530"/>
      <c r="L76" s="531"/>
      <c r="M76" s="531"/>
      <c r="N76" s="537"/>
      <c r="O76" s="530"/>
      <c r="P76" s="537"/>
      <c r="Q76" s="773" t="s">
        <v>290</v>
      </c>
      <c r="R76" s="530"/>
      <c r="S76" s="537"/>
      <c r="T76" s="537"/>
      <c r="U76" s="530"/>
      <c r="V76" s="537"/>
      <c r="W76" s="530"/>
      <c r="X76" s="530"/>
      <c r="Y76" s="773" t="s">
        <v>290</v>
      </c>
      <c r="Z76" s="530"/>
      <c r="AA76" s="537"/>
      <c r="AB76" s="530"/>
      <c r="AC76" s="530"/>
      <c r="AD76" s="530"/>
      <c r="AE76" s="530"/>
      <c r="AF76" s="537"/>
      <c r="AG76" s="537"/>
      <c r="AH76" s="537"/>
      <c r="AI76" s="131"/>
      <c r="AJ76" s="773" t="s">
        <v>290</v>
      </c>
      <c r="AK76" s="2"/>
      <c r="AL76" s="176"/>
      <c r="AM76" s="448"/>
      <c r="AN76" s="187"/>
    </row>
    <row r="77" spans="1:40" x14ac:dyDescent="0.25">
      <c r="A77" s="393">
        <v>118</v>
      </c>
      <c r="B77" s="537"/>
      <c r="C77" s="537"/>
      <c r="D77" s="537"/>
      <c r="E77" s="537"/>
      <c r="F77" s="537"/>
      <c r="G77" s="537"/>
      <c r="H77" s="537"/>
      <c r="I77" s="773" t="s">
        <v>290</v>
      </c>
      <c r="J77" s="537"/>
      <c r="K77" s="537"/>
      <c r="L77" s="594"/>
      <c r="M77" s="594"/>
      <c r="N77" s="537"/>
      <c r="O77" s="537"/>
      <c r="P77" s="537"/>
      <c r="Q77" s="773" t="s">
        <v>290</v>
      </c>
      <c r="R77" s="537"/>
      <c r="S77" s="537"/>
      <c r="T77" s="548">
        <v>137.32</v>
      </c>
      <c r="U77" s="537"/>
      <c r="V77" s="537"/>
      <c r="W77" s="537"/>
      <c r="X77" s="537"/>
      <c r="Y77" s="37"/>
      <c r="Z77" s="530"/>
      <c r="AA77" s="530"/>
      <c r="AB77" s="530"/>
      <c r="AC77" s="530"/>
      <c r="AD77" s="530"/>
      <c r="AE77" s="530"/>
      <c r="AF77" s="530"/>
      <c r="AG77" s="537"/>
      <c r="AH77" s="537"/>
      <c r="AI77" s="131"/>
      <c r="AJ77" s="773" t="s">
        <v>290</v>
      </c>
      <c r="AK77" s="2"/>
      <c r="AL77" s="154"/>
      <c r="AM77" s="112" t="s">
        <v>239</v>
      </c>
      <c r="AN77" s="187"/>
    </row>
    <row r="78" spans="1:40" x14ac:dyDescent="0.25">
      <c r="A78" s="382">
        <v>128</v>
      </c>
      <c r="B78" s="131">
        <v>79.17</v>
      </c>
      <c r="C78" s="12">
        <v>78.64</v>
      </c>
      <c r="D78" s="131">
        <v>84.42</v>
      </c>
      <c r="E78" s="135">
        <v>83.47</v>
      </c>
      <c r="F78" s="135">
        <v>74.39</v>
      </c>
      <c r="G78" s="135">
        <v>80.959999999999994</v>
      </c>
      <c r="H78" s="131">
        <v>97.68</v>
      </c>
      <c r="I78" s="37"/>
      <c r="J78" s="131">
        <v>64.03</v>
      </c>
      <c r="K78" s="135">
        <v>75.569999999999993</v>
      </c>
      <c r="L78" s="135">
        <v>82.89</v>
      </c>
      <c r="M78" s="135">
        <v>92.25</v>
      </c>
      <c r="N78" s="135">
        <v>78.67</v>
      </c>
      <c r="O78" s="135">
        <v>79.34</v>
      </c>
      <c r="P78" s="135">
        <v>94.82</v>
      </c>
      <c r="Q78" s="37"/>
      <c r="R78" s="131">
        <v>89.03</v>
      </c>
      <c r="S78" s="131">
        <v>101.35</v>
      </c>
      <c r="T78" s="131">
        <v>104.65</v>
      </c>
      <c r="U78" s="12">
        <v>80.209999999999994</v>
      </c>
      <c r="V78" s="131">
        <v>88.76</v>
      </c>
      <c r="W78" s="530"/>
      <c r="X78" s="530"/>
      <c r="Y78" s="37"/>
      <c r="Z78" s="530"/>
      <c r="AA78" s="131">
        <v>71.13</v>
      </c>
      <c r="AB78" s="12">
        <v>89.84</v>
      </c>
      <c r="AC78" s="12">
        <v>73.14</v>
      </c>
      <c r="AD78" s="12">
        <v>90.3</v>
      </c>
      <c r="AE78" s="131">
        <v>72.16</v>
      </c>
      <c r="AF78" s="131">
        <v>88.83</v>
      </c>
      <c r="AG78" s="131">
        <v>80.41</v>
      </c>
      <c r="AH78" s="131">
        <v>92.42</v>
      </c>
      <c r="AI78" s="131"/>
      <c r="AJ78" s="37"/>
      <c r="AK78" s="2"/>
      <c r="AL78" s="176"/>
      <c r="AM78" s="450" t="s">
        <v>240</v>
      </c>
      <c r="AN78" s="189"/>
    </row>
    <row r="79" spans="1:40" x14ac:dyDescent="0.25">
      <c r="A79" s="382">
        <v>131</v>
      </c>
      <c r="B79" s="155">
        <v>65.89</v>
      </c>
      <c r="C79" s="135">
        <v>69.72</v>
      </c>
      <c r="D79" s="155">
        <v>66.680000000000007</v>
      </c>
      <c r="E79" s="135">
        <v>72.75</v>
      </c>
      <c r="F79" s="131">
        <v>62.51</v>
      </c>
      <c r="G79" s="135">
        <v>70.319999999999993</v>
      </c>
      <c r="H79" s="131">
        <v>83.78</v>
      </c>
      <c r="I79" s="37"/>
      <c r="J79" s="135">
        <v>77.62</v>
      </c>
      <c r="K79" s="131">
        <v>56.13</v>
      </c>
      <c r="L79" s="135">
        <v>66.98</v>
      </c>
      <c r="M79" s="135">
        <v>88.02</v>
      </c>
      <c r="N79" s="135">
        <v>66.37</v>
      </c>
      <c r="O79" s="135">
        <v>77.989999999999995</v>
      </c>
      <c r="P79" s="135">
        <v>75.3</v>
      </c>
      <c r="Q79" s="37"/>
      <c r="R79" s="131">
        <v>79.73</v>
      </c>
      <c r="S79" s="131">
        <v>85.07</v>
      </c>
      <c r="T79" s="12">
        <v>66.099999999999994</v>
      </c>
      <c r="U79" s="12">
        <v>81.97</v>
      </c>
      <c r="V79" s="131">
        <v>63.24</v>
      </c>
      <c r="W79" s="135">
        <v>82.97</v>
      </c>
      <c r="X79" s="135">
        <v>77.09</v>
      </c>
      <c r="Y79" s="37"/>
      <c r="Z79" s="131">
        <v>91.75</v>
      </c>
      <c r="AA79" s="131">
        <v>79.790000000000006</v>
      </c>
      <c r="AB79" s="12">
        <v>92.49</v>
      </c>
      <c r="AC79" s="12">
        <v>73.459999999999994</v>
      </c>
      <c r="AD79" s="135">
        <v>108.49</v>
      </c>
      <c r="AE79" s="155">
        <v>103.14</v>
      </c>
      <c r="AF79" s="131">
        <v>92.46</v>
      </c>
      <c r="AG79" s="131">
        <v>48.62</v>
      </c>
      <c r="AH79" s="131">
        <v>88.27</v>
      </c>
      <c r="AI79" s="131"/>
      <c r="AJ79" s="37"/>
      <c r="AK79" s="2"/>
      <c r="AL79" s="176"/>
      <c r="AM79" s="450" t="s">
        <v>241</v>
      </c>
      <c r="AN79" s="187"/>
    </row>
    <row r="80" spans="1:40" x14ac:dyDescent="0.25">
      <c r="A80" s="382">
        <v>132</v>
      </c>
      <c r="B80" s="12">
        <v>89.25</v>
      </c>
      <c r="C80" s="530"/>
      <c r="D80" s="532">
        <v>147.51</v>
      </c>
      <c r="E80" s="131">
        <v>70.92</v>
      </c>
      <c r="F80" s="135">
        <v>83.18</v>
      </c>
      <c r="G80" s="135">
        <v>63.87</v>
      </c>
      <c r="H80" s="135">
        <v>93.92</v>
      </c>
      <c r="I80" s="37"/>
      <c r="J80" s="131">
        <v>62.43</v>
      </c>
      <c r="K80" s="135">
        <v>75.349999999999994</v>
      </c>
      <c r="L80" s="135">
        <v>60.6</v>
      </c>
      <c r="M80" s="135">
        <v>86.53</v>
      </c>
      <c r="N80" s="135">
        <v>72.290000000000006</v>
      </c>
      <c r="O80" s="135">
        <v>98.38</v>
      </c>
      <c r="P80" s="135">
        <v>76.53</v>
      </c>
      <c r="Q80" s="37"/>
      <c r="R80" s="131">
        <v>95.59</v>
      </c>
      <c r="S80" s="131">
        <v>89.32</v>
      </c>
      <c r="T80" s="131">
        <v>63.84</v>
      </c>
      <c r="U80" s="12">
        <v>72.22</v>
      </c>
      <c r="V80" s="12">
        <v>70.61</v>
      </c>
      <c r="W80" s="135">
        <v>68.91</v>
      </c>
      <c r="X80" s="135">
        <v>79.680000000000007</v>
      </c>
      <c r="Y80" s="37"/>
      <c r="Z80" s="131">
        <v>88.22</v>
      </c>
      <c r="AA80" s="12">
        <v>85.66</v>
      </c>
      <c r="AB80" s="12">
        <v>73.84</v>
      </c>
      <c r="AC80" s="12">
        <v>80.03</v>
      </c>
      <c r="AD80" s="530"/>
      <c r="AE80" s="135">
        <v>84.78</v>
      </c>
      <c r="AF80" s="131">
        <v>92.75</v>
      </c>
      <c r="AG80" s="131">
        <v>60.81</v>
      </c>
      <c r="AH80" s="131">
        <v>81.08</v>
      </c>
      <c r="AI80" s="131"/>
      <c r="AJ80" s="37"/>
      <c r="AK80" s="2"/>
      <c r="AL80" s="176"/>
      <c r="AM80" s="450"/>
      <c r="AN80" s="187"/>
    </row>
    <row r="81" spans="1:40" x14ac:dyDescent="0.25">
      <c r="A81" s="382">
        <v>133</v>
      </c>
      <c r="B81" s="131">
        <v>78.989999999999995</v>
      </c>
      <c r="C81" s="131">
        <v>78.989999999999995</v>
      </c>
      <c r="D81" s="131">
        <v>64.39</v>
      </c>
      <c r="E81" s="135">
        <v>105.05</v>
      </c>
      <c r="F81" s="131">
        <v>86.22</v>
      </c>
      <c r="G81" s="131">
        <v>83.68</v>
      </c>
      <c r="H81" s="12">
        <v>107.81</v>
      </c>
      <c r="I81" s="37"/>
      <c r="J81" s="135">
        <v>58.66</v>
      </c>
      <c r="K81" s="131">
        <v>82.64</v>
      </c>
      <c r="L81" s="135">
        <v>70.989999999999995</v>
      </c>
      <c r="M81" s="135">
        <v>73.94</v>
      </c>
      <c r="N81" s="155">
        <v>100.04</v>
      </c>
      <c r="O81" s="135">
        <v>69.400000000000006</v>
      </c>
      <c r="P81" s="135">
        <v>76.05</v>
      </c>
      <c r="Q81" s="37"/>
      <c r="R81" s="131">
        <v>101.61</v>
      </c>
      <c r="S81" s="12">
        <v>71.2</v>
      </c>
      <c r="T81" s="131">
        <v>110.72</v>
      </c>
      <c r="U81" s="12">
        <v>80.2</v>
      </c>
      <c r="V81" s="131">
        <v>73.489999999999995</v>
      </c>
      <c r="W81" s="135">
        <v>99.71</v>
      </c>
      <c r="X81" s="135">
        <v>80.69</v>
      </c>
      <c r="Y81" s="37"/>
      <c r="Z81" s="131">
        <v>119.94</v>
      </c>
      <c r="AA81" s="131">
        <v>77.09</v>
      </c>
      <c r="AB81" s="530"/>
      <c r="AC81" s="12">
        <v>77.87</v>
      </c>
      <c r="AD81" s="12">
        <v>96.62</v>
      </c>
      <c r="AE81" s="135">
        <v>114.82</v>
      </c>
      <c r="AF81" s="155">
        <v>117.07</v>
      </c>
      <c r="AG81" s="131">
        <v>60.91</v>
      </c>
      <c r="AH81" s="131">
        <v>102.82</v>
      </c>
      <c r="AI81" s="131"/>
      <c r="AJ81" s="37"/>
      <c r="AK81" s="2"/>
      <c r="AL81" s="154"/>
      <c r="AM81" s="689" t="s">
        <v>242</v>
      </c>
      <c r="AN81" s="187"/>
    </row>
    <row r="82" spans="1:40" x14ac:dyDescent="0.25">
      <c r="A82" s="382">
        <v>134</v>
      </c>
      <c r="B82" s="155">
        <v>110.23</v>
      </c>
      <c r="C82" s="131">
        <v>94.25</v>
      </c>
      <c r="D82" s="155">
        <v>23.23</v>
      </c>
      <c r="E82" s="135">
        <v>78.5</v>
      </c>
      <c r="F82" s="131">
        <v>100.68</v>
      </c>
      <c r="G82" s="135">
        <v>62.78</v>
      </c>
      <c r="H82" s="131">
        <v>89.48</v>
      </c>
      <c r="I82" s="37"/>
      <c r="J82" s="131">
        <v>77.349999999999994</v>
      </c>
      <c r="K82" s="131">
        <v>88.52</v>
      </c>
      <c r="L82" s="135">
        <v>95.13</v>
      </c>
      <c r="M82" s="135">
        <v>102.15</v>
      </c>
      <c r="N82" s="135">
        <v>100.1</v>
      </c>
      <c r="O82" s="135">
        <v>76.09</v>
      </c>
      <c r="P82" s="135">
        <v>99.2</v>
      </c>
      <c r="Q82" s="37"/>
      <c r="R82" s="131">
        <v>112.17</v>
      </c>
      <c r="S82" s="131">
        <v>90.67</v>
      </c>
      <c r="T82" s="131">
        <v>82.95</v>
      </c>
      <c r="U82" s="12">
        <v>105.57</v>
      </c>
      <c r="V82" s="131">
        <v>85.01</v>
      </c>
      <c r="W82" s="135">
        <v>86.31</v>
      </c>
      <c r="X82" s="135">
        <v>101.83</v>
      </c>
      <c r="Y82" s="37"/>
      <c r="Z82" s="131">
        <v>86.67</v>
      </c>
      <c r="AA82" s="131">
        <v>73.16</v>
      </c>
      <c r="AB82" s="530"/>
      <c r="AC82" s="530"/>
      <c r="AD82" s="12">
        <v>78.47</v>
      </c>
      <c r="AE82" s="131">
        <v>78.61</v>
      </c>
      <c r="AF82" s="131">
        <v>68.95</v>
      </c>
      <c r="AG82" s="131">
        <v>81.53</v>
      </c>
      <c r="AH82" s="131">
        <v>93.07</v>
      </c>
      <c r="AI82" s="131"/>
      <c r="AJ82" s="37"/>
      <c r="AK82" s="2"/>
      <c r="AL82" s="176"/>
      <c r="AM82" s="452" t="s">
        <v>243</v>
      </c>
      <c r="AN82" s="187"/>
    </row>
    <row r="83" spans="1:40" x14ac:dyDescent="0.25">
      <c r="A83" s="382">
        <v>135</v>
      </c>
      <c r="B83" s="131">
        <v>97.85</v>
      </c>
      <c r="C83" s="155">
        <v>96.28</v>
      </c>
      <c r="D83" s="131">
        <v>85.24</v>
      </c>
      <c r="E83" s="12">
        <v>84.06</v>
      </c>
      <c r="F83" s="131">
        <v>46.22</v>
      </c>
      <c r="G83" s="135">
        <v>54.7</v>
      </c>
      <c r="H83" s="135">
        <v>88</v>
      </c>
      <c r="I83" s="37"/>
      <c r="J83" s="135">
        <v>73.47</v>
      </c>
      <c r="K83" s="135">
        <v>95.05</v>
      </c>
      <c r="L83" s="135">
        <v>86.32</v>
      </c>
      <c r="M83" s="135">
        <v>94.94</v>
      </c>
      <c r="N83" s="135">
        <v>84.38</v>
      </c>
      <c r="O83" s="135">
        <v>78.040000000000006</v>
      </c>
      <c r="P83" s="135">
        <v>77.989999999999995</v>
      </c>
      <c r="Q83" s="37"/>
      <c r="R83" s="131">
        <v>74.510000000000005</v>
      </c>
      <c r="S83" s="131">
        <v>90.88</v>
      </c>
      <c r="T83" s="131">
        <v>86.13</v>
      </c>
      <c r="U83" s="12">
        <v>87.62</v>
      </c>
      <c r="V83" s="131">
        <v>104.7</v>
      </c>
      <c r="W83" s="135">
        <v>75.89</v>
      </c>
      <c r="X83" s="135">
        <v>81.94</v>
      </c>
      <c r="Y83" s="37"/>
      <c r="Z83" s="131">
        <v>87.49</v>
      </c>
      <c r="AA83" s="12">
        <v>112</v>
      </c>
      <c r="AB83" s="12">
        <v>87.68</v>
      </c>
      <c r="AC83" s="12">
        <v>93.7</v>
      </c>
      <c r="AD83" s="12">
        <v>73.55</v>
      </c>
      <c r="AE83" s="445">
        <v>57.28</v>
      </c>
      <c r="AF83" s="12">
        <v>103.7</v>
      </c>
      <c r="AG83" s="131">
        <v>89.39</v>
      </c>
      <c r="AH83" s="131">
        <v>83.15</v>
      </c>
      <c r="AI83" s="131"/>
      <c r="AJ83" s="37"/>
      <c r="AK83" s="2"/>
      <c r="AL83" s="176"/>
      <c r="AM83" s="452" t="s">
        <v>244</v>
      </c>
      <c r="AN83" s="187"/>
    </row>
    <row r="84" spans="1:40" x14ac:dyDescent="0.25">
      <c r="A84" s="382">
        <v>136</v>
      </c>
      <c r="B84" s="131">
        <v>83.69</v>
      </c>
      <c r="C84" s="135">
        <v>77.52</v>
      </c>
      <c r="D84" s="131">
        <v>72.94</v>
      </c>
      <c r="E84" s="12">
        <v>81.88</v>
      </c>
      <c r="F84" s="131">
        <v>92.15</v>
      </c>
      <c r="G84" s="135">
        <v>75.05</v>
      </c>
      <c r="H84" s="135">
        <v>79.7</v>
      </c>
      <c r="I84" s="37"/>
      <c r="J84" s="135">
        <v>75.180000000000007</v>
      </c>
      <c r="K84" s="135">
        <v>81.91</v>
      </c>
      <c r="L84" s="155">
        <v>76.569999999999993</v>
      </c>
      <c r="M84" s="155">
        <v>74.98</v>
      </c>
      <c r="N84" s="155">
        <v>52.46</v>
      </c>
      <c r="O84" s="135">
        <v>80.17</v>
      </c>
      <c r="P84" s="135">
        <v>64.75</v>
      </c>
      <c r="Q84" s="37"/>
      <c r="R84" s="131">
        <v>91.34</v>
      </c>
      <c r="S84" s="131">
        <v>81.11</v>
      </c>
      <c r="T84" s="12">
        <v>83.38</v>
      </c>
      <c r="U84" s="12">
        <v>75.040000000000006</v>
      </c>
      <c r="V84" s="131">
        <v>85.26</v>
      </c>
      <c r="W84" s="135">
        <v>72.78</v>
      </c>
      <c r="X84" s="135">
        <v>77.69</v>
      </c>
      <c r="Y84" s="37"/>
      <c r="Z84" s="12">
        <v>83.09</v>
      </c>
      <c r="AA84" s="135">
        <v>83.97</v>
      </c>
      <c r="AB84" s="12">
        <v>68.510000000000005</v>
      </c>
      <c r="AC84" s="12">
        <v>80.239999999999995</v>
      </c>
      <c r="AD84" s="12">
        <v>87.23</v>
      </c>
      <c r="AE84" s="131">
        <v>70.459999999999994</v>
      </c>
      <c r="AF84" s="445">
        <v>85.58</v>
      </c>
      <c r="AG84" s="131">
        <v>73.97</v>
      </c>
      <c r="AH84" s="131">
        <v>78.67</v>
      </c>
      <c r="AI84" s="131"/>
      <c r="AJ84" s="37"/>
      <c r="AK84" s="2"/>
      <c r="AL84" s="176"/>
      <c r="AM84" s="452" t="s">
        <v>245</v>
      </c>
      <c r="AN84" s="187"/>
    </row>
    <row r="85" spans="1:40" x14ac:dyDescent="0.25">
      <c r="A85" s="382">
        <v>137</v>
      </c>
      <c r="B85" s="131">
        <v>84.28</v>
      </c>
      <c r="C85" s="135">
        <v>90.5</v>
      </c>
      <c r="D85" s="537"/>
      <c r="E85" s="135">
        <v>91.55</v>
      </c>
      <c r="F85" s="135">
        <v>87.61</v>
      </c>
      <c r="G85" s="135">
        <v>61.45</v>
      </c>
      <c r="H85" s="135">
        <v>92.95</v>
      </c>
      <c r="I85" s="37"/>
      <c r="J85" s="135">
        <v>65.260000000000005</v>
      </c>
      <c r="K85" s="131">
        <v>107.61</v>
      </c>
      <c r="L85" s="135">
        <v>106.4</v>
      </c>
      <c r="M85" s="135">
        <v>74.569999999999993</v>
      </c>
      <c r="N85" s="135">
        <v>87.76</v>
      </c>
      <c r="O85" s="135">
        <v>89.21</v>
      </c>
      <c r="P85" s="135">
        <v>85.08</v>
      </c>
      <c r="Q85" s="37"/>
      <c r="R85" s="135">
        <v>81.2</v>
      </c>
      <c r="S85" s="12">
        <v>96.58</v>
      </c>
      <c r="T85" s="12">
        <v>97.36</v>
      </c>
      <c r="U85" s="12">
        <v>106.18</v>
      </c>
      <c r="V85" s="131">
        <v>71.930000000000007</v>
      </c>
      <c r="W85" s="135">
        <v>90.31</v>
      </c>
      <c r="X85" s="537"/>
      <c r="Y85" s="37"/>
      <c r="Z85" s="537"/>
      <c r="AA85" s="532">
        <v>150.41</v>
      </c>
      <c r="AB85" s="12">
        <v>78.819999999999993</v>
      </c>
      <c r="AC85" s="12">
        <v>89.92</v>
      </c>
      <c r="AD85" s="12">
        <v>114.13</v>
      </c>
      <c r="AE85" s="12">
        <v>58</v>
      </c>
      <c r="AF85" s="12">
        <v>87.75</v>
      </c>
      <c r="AG85" s="131">
        <v>86.64</v>
      </c>
      <c r="AH85" s="131">
        <v>101.31</v>
      </c>
      <c r="AI85" s="131"/>
      <c r="AJ85" s="37"/>
      <c r="AK85" s="2"/>
      <c r="AL85" s="176"/>
      <c r="AM85" s="452" t="s">
        <v>246</v>
      </c>
      <c r="AN85" s="187"/>
    </row>
    <row r="86" spans="1:40" x14ac:dyDescent="0.25">
      <c r="A86" s="382">
        <v>138</v>
      </c>
      <c r="B86" s="12">
        <v>82.4</v>
      </c>
      <c r="C86" s="135">
        <v>77.930000000000007</v>
      </c>
      <c r="D86" s="12">
        <v>80.819999999999993</v>
      </c>
      <c r="E86" s="12">
        <v>74.099999999999994</v>
      </c>
      <c r="F86" s="12">
        <v>74.3</v>
      </c>
      <c r="G86" s="135">
        <v>73.75</v>
      </c>
      <c r="H86" s="12">
        <v>78.94</v>
      </c>
      <c r="I86" s="37"/>
      <c r="J86" s="135">
        <v>73.849999999999994</v>
      </c>
      <c r="K86" s="135">
        <v>85.28</v>
      </c>
      <c r="L86" s="135">
        <v>80.53</v>
      </c>
      <c r="M86" s="135">
        <v>89.55</v>
      </c>
      <c r="N86" s="135">
        <v>80.53</v>
      </c>
      <c r="O86" s="135">
        <v>86.75</v>
      </c>
      <c r="P86" s="135">
        <v>65.849999999999994</v>
      </c>
      <c r="Q86" s="37"/>
      <c r="R86" s="537"/>
      <c r="S86" s="131">
        <v>112.99</v>
      </c>
      <c r="T86" s="131">
        <v>75.569999999999993</v>
      </c>
      <c r="U86" s="131">
        <v>67.319999999999993</v>
      </c>
      <c r="V86" s="131">
        <v>93.74</v>
      </c>
      <c r="W86" s="131">
        <v>67.260000000000005</v>
      </c>
      <c r="X86" s="131">
        <v>86.53</v>
      </c>
      <c r="Y86" s="37"/>
      <c r="Z86" s="135">
        <v>72.84</v>
      </c>
      <c r="AA86" s="135">
        <v>81.37</v>
      </c>
      <c r="AB86" s="135">
        <v>91.93</v>
      </c>
      <c r="AC86" s="135">
        <v>49</v>
      </c>
      <c r="AD86" s="135">
        <v>70.63</v>
      </c>
      <c r="AE86" s="135">
        <v>95.76</v>
      </c>
      <c r="AF86" s="135">
        <v>94.38</v>
      </c>
      <c r="AG86" s="135">
        <v>72.48</v>
      </c>
      <c r="AH86" s="135">
        <v>87.11</v>
      </c>
      <c r="AI86" s="135"/>
      <c r="AJ86" s="37"/>
      <c r="AK86" s="2"/>
      <c r="AL86" s="176"/>
      <c r="AM86" s="452" t="s">
        <v>247</v>
      </c>
      <c r="AN86" s="187"/>
    </row>
    <row r="87" spans="1:40" x14ac:dyDescent="0.25">
      <c r="A87" s="382">
        <v>139</v>
      </c>
      <c r="B87" s="12">
        <v>69.5</v>
      </c>
      <c r="C87" s="135">
        <v>74.53</v>
      </c>
      <c r="D87" s="12">
        <v>69.739999999999995</v>
      </c>
      <c r="E87" s="131">
        <v>79.11</v>
      </c>
      <c r="F87" s="131">
        <v>65.53</v>
      </c>
      <c r="G87" s="135">
        <v>63.1</v>
      </c>
      <c r="H87" s="131">
        <v>75.12</v>
      </c>
      <c r="I87" s="37"/>
      <c r="J87" s="131">
        <v>59.27</v>
      </c>
      <c r="K87" s="131">
        <v>84.68</v>
      </c>
      <c r="L87" s="135">
        <v>71.099999999999994</v>
      </c>
      <c r="M87" s="135">
        <v>84.36</v>
      </c>
      <c r="N87" s="135">
        <v>73.77</v>
      </c>
      <c r="O87" s="135">
        <v>83.65</v>
      </c>
      <c r="P87" s="135">
        <v>61.41</v>
      </c>
      <c r="Q87" s="37"/>
      <c r="R87" s="537"/>
      <c r="S87" s="131">
        <v>43.01</v>
      </c>
      <c r="T87" s="131">
        <v>87.73</v>
      </c>
      <c r="U87" s="12">
        <v>63.01</v>
      </c>
      <c r="V87" s="131">
        <v>86.39</v>
      </c>
      <c r="W87" s="135">
        <v>67.7</v>
      </c>
      <c r="X87" s="135">
        <v>76.430000000000007</v>
      </c>
      <c r="Y87" s="37"/>
      <c r="Z87" s="131">
        <v>91.72</v>
      </c>
      <c r="AA87" s="131">
        <v>61.44</v>
      </c>
      <c r="AB87" s="12">
        <v>83.19</v>
      </c>
      <c r="AC87" s="12">
        <v>91.69</v>
      </c>
      <c r="AD87" s="12">
        <v>78.459999999999994</v>
      </c>
      <c r="AE87" s="131">
        <v>62.68</v>
      </c>
      <c r="AF87" s="12">
        <v>102.45</v>
      </c>
      <c r="AG87" s="131">
        <v>65.290000000000006</v>
      </c>
      <c r="AH87" s="131">
        <v>74.510000000000005</v>
      </c>
      <c r="AI87" s="131"/>
      <c r="AJ87" s="37"/>
      <c r="AK87" s="2"/>
      <c r="AL87" s="176"/>
      <c r="AM87" s="450"/>
      <c r="AN87" s="187"/>
    </row>
    <row r="88" spans="1:40" x14ac:dyDescent="0.25">
      <c r="A88" s="382">
        <v>140</v>
      </c>
      <c r="B88" s="155">
        <v>73.66</v>
      </c>
      <c r="C88" s="131">
        <v>56.95</v>
      </c>
      <c r="D88" s="135">
        <v>57.2</v>
      </c>
      <c r="E88" s="131">
        <v>63.32</v>
      </c>
      <c r="F88" s="135">
        <v>75.760000000000005</v>
      </c>
      <c r="G88" s="135">
        <v>93.19</v>
      </c>
      <c r="H88" s="12">
        <v>94.1</v>
      </c>
      <c r="I88" s="37"/>
      <c r="J88" s="131">
        <v>45.77</v>
      </c>
      <c r="K88" s="131">
        <v>90.19</v>
      </c>
      <c r="L88" s="155">
        <v>88.84</v>
      </c>
      <c r="M88" s="155">
        <v>80.47</v>
      </c>
      <c r="N88" s="155">
        <v>78.52</v>
      </c>
      <c r="O88" s="135">
        <v>69.41</v>
      </c>
      <c r="P88" s="135">
        <v>75.45</v>
      </c>
      <c r="Q88" s="37"/>
      <c r="R88" s="131">
        <v>88.27</v>
      </c>
      <c r="S88" s="131">
        <v>96.61</v>
      </c>
      <c r="T88" s="537"/>
      <c r="U88" s="12">
        <v>93.55</v>
      </c>
      <c r="V88" s="12">
        <v>86.2</v>
      </c>
      <c r="W88" s="135">
        <v>68.930000000000007</v>
      </c>
      <c r="X88" s="135">
        <v>99.04</v>
      </c>
      <c r="Y88" s="37"/>
      <c r="Z88" s="131">
        <v>100.15</v>
      </c>
      <c r="AA88" s="131">
        <v>103.81</v>
      </c>
      <c r="AB88" s="12">
        <v>80.739999999999995</v>
      </c>
      <c r="AC88" s="12">
        <v>76.73</v>
      </c>
      <c r="AD88" s="12">
        <v>89.65</v>
      </c>
      <c r="AE88" s="131">
        <v>89.08</v>
      </c>
      <c r="AF88" s="12">
        <v>105.83</v>
      </c>
      <c r="AG88" s="131">
        <v>83.11</v>
      </c>
      <c r="AH88" s="131">
        <v>105.86</v>
      </c>
      <c r="AI88" s="131"/>
      <c r="AJ88" s="37"/>
      <c r="AK88" s="2"/>
      <c r="AL88" s="172"/>
      <c r="AM88" s="452" t="s">
        <v>248</v>
      </c>
      <c r="AN88" s="187"/>
    </row>
    <row r="89" spans="1:40" x14ac:dyDescent="0.25">
      <c r="A89" s="382">
        <v>141</v>
      </c>
      <c r="B89" s="155">
        <v>99.58</v>
      </c>
      <c r="C89" s="155">
        <v>90.09</v>
      </c>
      <c r="D89" s="155">
        <v>98.19</v>
      </c>
      <c r="E89" s="135">
        <v>55.97</v>
      </c>
      <c r="F89" s="135">
        <v>76.98</v>
      </c>
      <c r="G89" s="135">
        <v>78.959999999999994</v>
      </c>
      <c r="H89" s="135">
        <v>106.11</v>
      </c>
      <c r="I89" s="37"/>
      <c r="J89" s="530"/>
      <c r="K89" s="530"/>
      <c r="L89" s="135">
        <v>110.37</v>
      </c>
      <c r="M89" s="135">
        <v>109.73</v>
      </c>
      <c r="N89" s="135">
        <v>89.31</v>
      </c>
      <c r="O89" s="135">
        <v>69.14</v>
      </c>
      <c r="P89" s="135">
        <v>83.31</v>
      </c>
      <c r="Q89" s="37"/>
      <c r="R89" s="131">
        <v>101.08</v>
      </c>
      <c r="S89" s="131">
        <v>96.73</v>
      </c>
      <c r="T89" s="131">
        <v>96.43</v>
      </c>
      <c r="U89" s="12">
        <v>92.85</v>
      </c>
      <c r="V89" s="12">
        <v>93.72</v>
      </c>
      <c r="W89" s="135">
        <v>99.19</v>
      </c>
      <c r="X89" s="135">
        <v>84.05</v>
      </c>
      <c r="Y89" s="37"/>
      <c r="Z89" s="12">
        <v>101.55</v>
      </c>
      <c r="AA89" s="131">
        <v>105.54</v>
      </c>
      <c r="AB89" s="12">
        <v>97.02</v>
      </c>
      <c r="AC89" s="12">
        <v>102.3</v>
      </c>
      <c r="AD89" s="12">
        <v>90.48</v>
      </c>
      <c r="AE89" s="131">
        <v>92.22</v>
      </c>
      <c r="AF89" s="131">
        <v>103.79</v>
      </c>
      <c r="AG89" s="131">
        <v>63.36</v>
      </c>
      <c r="AH89" s="131">
        <v>89.92</v>
      </c>
      <c r="AI89" s="131"/>
      <c r="AJ89" s="37"/>
      <c r="AK89" s="2"/>
      <c r="AL89" s="176"/>
      <c r="AM89" s="450"/>
      <c r="AN89" s="187"/>
    </row>
    <row r="90" spans="1:40" x14ac:dyDescent="0.25">
      <c r="A90" s="382">
        <v>142</v>
      </c>
      <c r="B90" s="12">
        <v>57.6</v>
      </c>
      <c r="C90" s="131">
        <v>81.11</v>
      </c>
      <c r="D90" s="12">
        <v>62.92</v>
      </c>
      <c r="E90" s="131">
        <v>81.36</v>
      </c>
      <c r="F90" s="131">
        <v>82.47</v>
      </c>
      <c r="G90" s="135">
        <v>75.78</v>
      </c>
      <c r="H90" s="12">
        <v>100.6</v>
      </c>
      <c r="I90" s="37"/>
      <c r="J90" s="135">
        <v>88.15</v>
      </c>
      <c r="K90" s="131">
        <v>67.510000000000005</v>
      </c>
      <c r="L90" s="155">
        <v>81.38</v>
      </c>
      <c r="M90" s="532">
        <v>123.11</v>
      </c>
      <c r="N90" s="155">
        <v>93.16</v>
      </c>
      <c r="O90" s="135">
        <v>83.44</v>
      </c>
      <c r="P90" s="135">
        <v>66.41</v>
      </c>
      <c r="Q90" s="37"/>
      <c r="R90" s="131">
        <v>86.28</v>
      </c>
      <c r="S90" s="131">
        <v>102.25</v>
      </c>
      <c r="T90" s="131">
        <v>71.34</v>
      </c>
      <c r="U90" s="12">
        <v>70.59</v>
      </c>
      <c r="V90" s="131">
        <v>89.22</v>
      </c>
      <c r="W90" s="135">
        <v>66.2</v>
      </c>
      <c r="X90" s="135">
        <v>70.790000000000006</v>
      </c>
      <c r="Y90" s="37"/>
      <c r="Z90" s="131">
        <v>78.27</v>
      </c>
      <c r="AA90" s="131">
        <v>89.01</v>
      </c>
      <c r="AB90" s="12">
        <v>86.61</v>
      </c>
      <c r="AC90" s="12">
        <v>76.98</v>
      </c>
      <c r="AD90" s="12">
        <v>79.52</v>
      </c>
      <c r="AE90" s="131">
        <v>95.27</v>
      </c>
      <c r="AF90" s="12">
        <v>82.1</v>
      </c>
      <c r="AG90" s="131">
        <v>85.14</v>
      </c>
      <c r="AH90" s="12">
        <v>65.099999999999994</v>
      </c>
      <c r="AI90" s="131"/>
      <c r="AJ90" s="37"/>
      <c r="AK90" s="2"/>
      <c r="AL90" s="154"/>
      <c r="AM90" s="451" t="s">
        <v>249</v>
      </c>
      <c r="AN90" s="187"/>
    </row>
    <row r="91" spans="1:40" x14ac:dyDescent="0.25">
      <c r="A91" s="382">
        <v>143</v>
      </c>
      <c r="B91" s="155">
        <v>88.44</v>
      </c>
      <c r="C91" s="155">
        <v>91.28</v>
      </c>
      <c r="D91" s="155">
        <v>91.94</v>
      </c>
      <c r="E91" s="135">
        <v>93.6</v>
      </c>
      <c r="F91" s="135">
        <v>61.64</v>
      </c>
      <c r="G91" s="530"/>
      <c r="H91" s="131">
        <v>94.64</v>
      </c>
      <c r="I91" s="37"/>
      <c r="J91" s="135">
        <v>67.23</v>
      </c>
      <c r="K91" s="135">
        <v>94.09</v>
      </c>
      <c r="L91" s="135">
        <v>77.739999999999995</v>
      </c>
      <c r="M91" s="135">
        <v>91.29</v>
      </c>
      <c r="N91" s="135">
        <v>102.72</v>
      </c>
      <c r="O91" s="530"/>
      <c r="P91" s="135">
        <v>87.74</v>
      </c>
      <c r="Q91" s="37"/>
      <c r="R91" s="131">
        <v>108.17</v>
      </c>
      <c r="S91" s="537"/>
      <c r="T91" s="548">
        <v>127.84</v>
      </c>
      <c r="U91" s="12">
        <v>91.63</v>
      </c>
      <c r="V91" s="12">
        <v>82.33</v>
      </c>
      <c r="W91" s="135">
        <v>99.79</v>
      </c>
      <c r="X91" s="135">
        <v>85.3</v>
      </c>
      <c r="Y91" s="37"/>
      <c r="Z91" s="131">
        <v>100.82</v>
      </c>
      <c r="AA91" s="131">
        <v>79.58</v>
      </c>
      <c r="AB91" s="12">
        <v>78.67</v>
      </c>
      <c r="AC91" s="12">
        <v>91.1</v>
      </c>
      <c r="AD91" s="12">
        <v>95.97</v>
      </c>
      <c r="AE91" s="131">
        <v>95.97</v>
      </c>
      <c r="AF91" s="131">
        <v>101.31</v>
      </c>
      <c r="AG91" s="12">
        <v>67.099999999999994</v>
      </c>
      <c r="AH91" s="131">
        <v>73.94</v>
      </c>
      <c r="AI91" s="131"/>
      <c r="AJ91" s="37"/>
      <c r="AK91" s="2"/>
      <c r="AL91" s="154"/>
      <c r="AM91" s="451" t="s">
        <v>250</v>
      </c>
      <c r="AN91" s="187"/>
    </row>
    <row r="92" spans="1:40" x14ac:dyDescent="0.25">
      <c r="A92" s="382">
        <v>144</v>
      </c>
      <c r="B92" s="12">
        <v>74.59</v>
      </c>
      <c r="C92" s="131">
        <v>76.94</v>
      </c>
      <c r="D92" s="12">
        <v>74.040000000000006</v>
      </c>
      <c r="E92" s="530"/>
      <c r="F92" s="131">
        <v>54.52</v>
      </c>
      <c r="G92" s="135">
        <v>53.48</v>
      </c>
      <c r="H92" s="135">
        <v>82.91</v>
      </c>
      <c r="I92" s="37"/>
      <c r="J92" s="530"/>
      <c r="K92" s="131">
        <v>120.44</v>
      </c>
      <c r="L92" s="135">
        <v>76.61</v>
      </c>
      <c r="M92" s="135">
        <v>84.83</v>
      </c>
      <c r="N92" s="135">
        <v>76.930000000000007</v>
      </c>
      <c r="O92" s="135">
        <v>73.819999999999993</v>
      </c>
      <c r="P92" s="135">
        <v>75.78</v>
      </c>
      <c r="Q92" s="37"/>
      <c r="R92" s="131">
        <v>100.56</v>
      </c>
      <c r="S92" s="131">
        <v>70.56</v>
      </c>
      <c r="T92" s="131">
        <v>78.239999999999995</v>
      </c>
      <c r="U92" s="12">
        <v>77.61</v>
      </c>
      <c r="V92" s="131">
        <v>88.67</v>
      </c>
      <c r="W92" s="135">
        <v>91.02</v>
      </c>
      <c r="X92" s="135">
        <v>106.43</v>
      </c>
      <c r="Y92" s="37"/>
      <c r="Z92" s="12">
        <v>80.19</v>
      </c>
      <c r="AA92" s="131">
        <v>84.61</v>
      </c>
      <c r="AB92" s="12">
        <v>83.22</v>
      </c>
      <c r="AC92" s="12">
        <v>81.53</v>
      </c>
      <c r="AD92" s="12">
        <v>75.89</v>
      </c>
      <c r="AE92" s="131">
        <v>77.98</v>
      </c>
      <c r="AF92" s="131">
        <v>72.39</v>
      </c>
      <c r="AG92" s="131">
        <v>57.88</v>
      </c>
      <c r="AH92" s="12">
        <v>80.7</v>
      </c>
      <c r="AI92" s="131"/>
      <c r="AJ92" s="37"/>
      <c r="AK92" s="2"/>
      <c r="AL92" s="176"/>
      <c r="AM92" s="450"/>
      <c r="AN92" s="187"/>
    </row>
    <row r="93" spans="1:40" x14ac:dyDescent="0.25">
      <c r="A93" s="382">
        <v>145</v>
      </c>
      <c r="B93" s="131">
        <v>65.38</v>
      </c>
      <c r="C93" s="155">
        <v>106.02</v>
      </c>
      <c r="D93" s="131">
        <v>78.31</v>
      </c>
      <c r="E93" s="135">
        <v>60.92</v>
      </c>
      <c r="F93" s="12">
        <v>75.8</v>
      </c>
      <c r="G93" s="135">
        <v>57.63</v>
      </c>
      <c r="H93" s="532">
        <v>133.01</v>
      </c>
      <c r="I93" s="37"/>
      <c r="J93" s="135">
        <v>61.28</v>
      </c>
      <c r="K93" s="135">
        <v>58.57</v>
      </c>
      <c r="L93" s="135">
        <v>76.400000000000006</v>
      </c>
      <c r="M93" s="135">
        <v>100.88</v>
      </c>
      <c r="N93" s="135">
        <v>63.33</v>
      </c>
      <c r="O93" s="135">
        <v>95.33</v>
      </c>
      <c r="P93" s="135">
        <v>88.49</v>
      </c>
      <c r="Q93" s="37"/>
      <c r="R93" s="131">
        <v>80.069999999999993</v>
      </c>
      <c r="S93" s="537"/>
      <c r="T93" s="548">
        <v>132.15</v>
      </c>
      <c r="U93" s="12">
        <v>78.849999999999994</v>
      </c>
      <c r="V93" s="155">
        <v>100.83</v>
      </c>
      <c r="W93" s="135">
        <v>80.37</v>
      </c>
      <c r="X93" s="135">
        <v>98.1</v>
      </c>
      <c r="Y93" s="37"/>
      <c r="Z93" s="131">
        <v>103.88</v>
      </c>
      <c r="AA93" s="532">
        <v>120.42</v>
      </c>
      <c r="AB93" s="12">
        <v>80.33</v>
      </c>
      <c r="AC93" s="12">
        <v>90.18</v>
      </c>
      <c r="AD93" s="12">
        <v>90.45</v>
      </c>
      <c r="AE93" s="131">
        <v>99.45</v>
      </c>
      <c r="AF93" s="131">
        <v>85.79</v>
      </c>
      <c r="AG93" s="131">
        <v>62.55</v>
      </c>
      <c r="AH93" s="131">
        <v>88.16</v>
      </c>
      <c r="AI93" s="131"/>
      <c r="AJ93" s="37"/>
      <c r="AK93" s="2"/>
      <c r="AL93" s="197"/>
      <c r="AM93" s="453"/>
      <c r="AN93" s="187"/>
    </row>
    <row r="94" spans="1:40" x14ac:dyDescent="0.25">
      <c r="A94" s="382">
        <v>147</v>
      </c>
      <c r="B94" s="135">
        <v>104.65</v>
      </c>
      <c r="C94" s="135">
        <v>97.57</v>
      </c>
      <c r="D94" s="135">
        <v>89.55</v>
      </c>
      <c r="E94" s="131">
        <v>103.32</v>
      </c>
      <c r="F94" s="135">
        <v>77.33</v>
      </c>
      <c r="G94" s="135">
        <v>89.49</v>
      </c>
      <c r="H94" s="135">
        <v>105.43</v>
      </c>
      <c r="I94" s="37"/>
      <c r="J94" s="135">
        <v>88.21</v>
      </c>
      <c r="K94" s="135">
        <v>114.38</v>
      </c>
      <c r="L94" s="135">
        <v>55.68</v>
      </c>
      <c r="M94" s="532">
        <v>124.85</v>
      </c>
      <c r="N94" s="530"/>
      <c r="O94" s="530"/>
      <c r="P94" s="135">
        <v>111.9</v>
      </c>
      <c r="Q94" s="37"/>
      <c r="R94" s="155">
        <v>90.41</v>
      </c>
      <c r="S94" s="131">
        <v>32.11</v>
      </c>
      <c r="T94" s="131">
        <v>72.489999999999995</v>
      </c>
      <c r="U94" s="530"/>
      <c r="V94" s="548">
        <v>179.98</v>
      </c>
      <c r="W94" s="135">
        <v>99.97</v>
      </c>
      <c r="X94" s="135">
        <v>84.79</v>
      </c>
      <c r="Y94" s="37"/>
      <c r="Z94" s="131">
        <v>64.33</v>
      </c>
      <c r="AA94" s="131">
        <v>91.99</v>
      </c>
      <c r="AB94" s="12">
        <v>107.22</v>
      </c>
      <c r="AC94" s="12">
        <v>27.6</v>
      </c>
      <c r="AD94" s="12">
        <v>91.75</v>
      </c>
      <c r="AE94" s="12">
        <v>87.55</v>
      </c>
      <c r="AF94" s="12">
        <v>117.9</v>
      </c>
      <c r="AG94" s="131">
        <v>42.91</v>
      </c>
      <c r="AH94" s="131">
        <v>113.92</v>
      </c>
      <c r="AI94" s="131"/>
      <c r="AJ94" s="37"/>
      <c r="AK94" s="2"/>
      <c r="AL94" s="197"/>
      <c r="AM94" s="453"/>
      <c r="AN94" s="187"/>
    </row>
    <row r="95" spans="1:40" x14ac:dyDescent="0.25">
      <c r="A95" s="382">
        <v>148</v>
      </c>
      <c r="B95" s="135">
        <v>60.45</v>
      </c>
      <c r="C95" s="131">
        <v>93.51</v>
      </c>
      <c r="D95" s="135">
        <v>61.97</v>
      </c>
      <c r="E95" s="135">
        <v>83.16</v>
      </c>
      <c r="F95" s="135">
        <v>66.739999999999995</v>
      </c>
      <c r="G95" s="135">
        <v>72.58</v>
      </c>
      <c r="H95" s="135">
        <v>83.46</v>
      </c>
      <c r="I95" s="37"/>
      <c r="J95" s="135">
        <v>47.22</v>
      </c>
      <c r="K95" s="135">
        <v>70.81</v>
      </c>
      <c r="L95" s="135">
        <v>66.16</v>
      </c>
      <c r="M95" s="155">
        <v>81.52</v>
      </c>
      <c r="N95" s="135">
        <v>80.55</v>
      </c>
      <c r="O95" s="135">
        <v>63.9</v>
      </c>
      <c r="P95" s="135">
        <v>83.92</v>
      </c>
      <c r="Q95" s="37"/>
      <c r="R95" s="131">
        <v>101.68</v>
      </c>
      <c r="S95" s="131">
        <v>91.98</v>
      </c>
      <c r="T95" s="131">
        <v>52.53</v>
      </c>
      <c r="U95" s="12">
        <v>89.14</v>
      </c>
      <c r="V95" s="131">
        <v>92.64</v>
      </c>
      <c r="W95" s="135">
        <v>49.41</v>
      </c>
      <c r="X95" s="530"/>
      <c r="Y95" s="37"/>
      <c r="Z95" s="537"/>
      <c r="AA95" s="537"/>
      <c r="AB95" s="530"/>
      <c r="AC95" s="530"/>
      <c r="AD95" s="530"/>
      <c r="AE95" s="537"/>
      <c r="AF95" s="537"/>
      <c r="AG95" s="537"/>
      <c r="AH95" s="537"/>
      <c r="AI95" s="131"/>
      <c r="AJ95" s="773" t="s">
        <v>290</v>
      </c>
      <c r="AK95" s="2"/>
      <c r="AL95" s="197"/>
      <c r="AM95" s="453"/>
      <c r="AN95" s="187"/>
    </row>
    <row r="96" spans="1:40" x14ac:dyDescent="0.25">
      <c r="A96" s="382">
        <v>149</v>
      </c>
      <c r="B96" s="155">
        <v>89.79</v>
      </c>
      <c r="C96" s="135">
        <v>71.87</v>
      </c>
      <c r="D96" s="155">
        <v>67.88</v>
      </c>
      <c r="E96" s="135">
        <v>87.49</v>
      </c>
      <c r="F96" s="12">
        <v>80.510000000000005</v>
      </c>
      <c r="G96" s="135">
        <v>67.94</v>
      </c>
      <c r="H96" s="135">
        <v>85.45</v>
      </c>
      <c r="I96" s="37"/>
      <c r="J96" s="135">
        <v>49.71</v>
      </c>
      <c r="K96" s="135">
        <v>86.55</v>
      </c>
      <c r="L96" s="135">
        <v>80.239999999999995</v>
      </c>
      <c r="M96" s="135">
        <v>93.32</v>
      </c>
      <c r="N96" s="135">
        <v>65.19</v>
      </c>
      <c r="O96" s="135">
        <v>77.260000000000005</v>
      </c>
      <c r="P96" s="135">
        <v>106.68</v>
      </c>
      <c r="Q96" s="37"/>
      <c r="R96" s="537"/>
      <c r="S96" s="12">
        <v>119.31</v>
      </c>
      <c r="T96" s="12">
        <v>100.3</v>
      </c>
      <c r="U96" s="12">
        <v>78.540000000000006</v>
      </c>
      <c r="V96" s="131">
        <v>75.040000000000006</v>
      </c>
      <c r="W96" s="135">
        <v>87.06</v>
      </c>
      <c r="X96" s="135">
        <v>66.52</v>
      </c>
      <c r="Y96" s="37"/>
      <c r="Z96" s="131">
        <v>78.53</v>
      </c>
      <c r="AA96" s="131">
        <v>118.42</v>
      </c>
      <c r="AB96" s="12">
        <v>67.16</v>
      </c>
      <c r="AC96" s="530"/>
      <c r="AD96" s="12">
        <v>84.27</v>
      </c>
      <c r="AE96" s="12">
        <v>73.099999999999994</v>
      </c>
      <c r="AF96" s="131">
        <v>91.28</v>
      </c>
      <c r="AG96" s="131">
        <v>68.97</v>
      </c>
      <c r="AH96" s="131">
        <v>77.88</v>
      </c>
      <c r="AI96" s="131"/>
      <c r="AJ96" s="37"/>
      <c r="AK96" s="2"/>
      <c r="AL96" s="197"/>
      <c r="AM96" s="453"/>
      <c r="AN96" s="187"/>
    </row>
    <row r="97" spans="1:40" x14ac:dyDescent="0.25">
      <c r="A97" s="382">
        <v>150</v>
      </c>
      <c r="B97" s="131">
        <v>59.98</v>
      </c>
      <c r="C97" s="135">
        <v>83.64</v>
      </c>
      <c r="D97" s="131">
        <v>79.14</v>
      </c>
      <c r="E97" s="135">
        <v>75.290000000000006</v>
      </c>
      <c r="F97" s="135">
        <v>66.88</v>
      </c>
      <c r="G97" s="135">
        <v>62.66</v>
      </c>
      <c r="H97" s="135">
        <v>101.81</v>
      </c>
      <c r="I97" s="37"/>
      <c r="J97" s="135">
        <v>69.430000000000007</v>
      </c>
      <c r="K97" s="135">
        <v>52.42</v>
      </c>
      <c r="L97" s="135">
        <v>73.67</v>
      </c>
      <c r="M97" s="155">
        <v>104.57</v>
      </c>
      <c r="N97" s="135">
        <v>95.4</v>
      </c>
      <c r="O97" s="135">
        <v>80.31</v>
      </c>
      <c r="P97" s="135">
        <v>85.4</v>
      </c>
      <c r="Q97" s="37"/>
      <c r="R97" s="131">
        <v>84.14</v>
      </c>
      <c r="S97" s="548">
        <v>123.28</v>
      </c>
      <c r="T97" s="131">
        <v>63.88</v>
      </c>
      <c r="U97" s="12">
        <v>83.67</v>
      </c>
      <c r="V97" s="131">
        <v>95.24</v>
      </c>
      <c r="W97" s="135">
        <v>80.63</v>
      </c>
      <c r="X97" s="135">
        <v>93.77</v>
      </c>
      <c r="Y97" s="37"/>
      <c r="Z97" s="131">
        <v>88.74</v>
      </c>
      <c r="AA97" s="131">
        <v>67.150000000000006</v>
      </c>
      <c r="AB97" s="12">
        <v>92.09</v>
      </c>
      <c r="AC97" s="12">
        <v>82.55</v>
      </c>
      <c r="AD97" s="135">
        <v>96.43</v>
      </c>
      <c r="AE97" s="135">
        <v>97.9</v>
      </c>
      <c r="AF97" s="131">
        <v>79.63</v>
      </c>
      <c r="AG97" s="131">
        <v>78.66</v>
      </c>
      <c r="AH97" s="131">
        <v>88.75</v>
      </c>
      <c r="AI97" s="131"/>
      <c r="AJ97" s="37"/>
      <c r="AK97" s="2"/>
      <c r="AL97" s="197"/>
      <c r="AM97" s="453"/>
      <c r="AN97" s="187"/>
    </row>
    <row r="98" spans="1:40" x14ac:dyDescent="0.25">
      <c r="A98" s="382">
        <v>151</v>
      </c>
      <c r="B98" s="135">
        <v>84.02</v>
      </c>
      <c r="C98" s="155">
        <v>80.44</v>
      </c>
      <c r="D98" s="135">
        <v>77.28</v>
      </c>
      <c r="E98" s="135">
        <v>74.48</v>
      </c>
      <c r="F98" s="135">
        <v>54.82</v>
      </c>
      <c r="G98" s="135">
        <v>76.25</v>
      </c>
      <c r="H98" s="135">
        <v>72.3</v>
      </c>
      <c r="I98" s="37"/>
      <c r="J98" s="135">
        <v>93.65</v>
      </c>
      <c r="K98" s="12">
        <v>72.510000000000005</v>
      </c>
      <c r="L98" s="135">
        <v>73.489999999999995</v>
      </c>
      <c r="M98" s="135">
        <v>88.9</v>
      </c>
      <c r="N98" s="135">
        <v>85.43</v>
      </c>
      <c r="O98" s="135">
        <v>80.09</v>
      </c>
      <c r="P98" s="135">
        <v>93.75</v>
      </c>
      <c r="Q98" s="37"/>
      <c r="R98" s="135">
        <v>83.4</v>
      </c>
      <c r="S98" s="548">
        <v>127.41</v>
      </c>
      <c r="T98" s="12">
        <v>79.180000000000007</v>
      </c>
      <c r="U98" s="12">
        <v>55.27</v>
      </c>
      <c r="V98" s="131">
        <v>85.74</v>
      </c>
      <c r="W98" s="135">
        <v>85.29</v>
      </c>
      <c r="X98" s="135">
        <v>78.900000000000006</v>
      </c>
      <c r="Y98" s="37"/>
      <c r="Z98" s="12">
        <v>78.930000000000007</v>
      </c>
      <c r="AA98" s="131">
        <v>96.46</v>
      </c>
      <c r="AB98" s="12">
        <v>74.97</v>
      </c>
      <c r="AC98" s="12">
        <v>90.19</v>
      </c>
      <c r="AD98" s="12">
        <v>79.06</v>
      </c>
      <c r="AE98" s="12">
        <v>87.56</v>
      </c>
      <c r="AF98" s="131">
        <v>75.25</v>
      </c>
      <c r="AG98" s="131">
        <v>67.22</v>
      </c>
      <c r="AH98" s="131">
        <v>80.16</v>
      </c>
      <c r="AI98" s="131"/>
      <c r="AJ98" s="37"/>
      <c r="AK98" s="2"/>
      <c r="AL98" s="197"/>
      <c r="AM98" s="453"/>
      <c r="AN98" s="187"/>
    </row>
    <row r="99" spans="1:40" x14ac:dyDescent="0.25">
      <c r="A99" s="382">
        <v>152</v>
      </c>
      <c r="B99" s="718">
        <v>64.819999999999993</v>
      </c>
      <c r="C99" s="570">
        <v>91.72</v>
      </c>
      <c r="D99" s="718">
        <v>74.92</v>
      </c>
      <c r="E99" s="570">
        <v>86.05</v>
      </c>
      <c r="F99" s="570">
        <v>68.64</v>
      </c>
      <c r="G99" s="570">
        <v>66.38</v>
      </c>
      <c r="H99" s="570">
        <v>91.48</v>
      </c>
      <c r="I99" s="37"/>
      <c r="J99" s="1">
        <v>86.7</v>
      </c>
      <c r="K99" s="118">
        <v>85.41</v>
      </c>
      <c r="L99" s="161">
        <v>73.91</v>
      </c>
      <c r="M99" s="161">
        <v>55.03</v>
      </c>
      <c r="N99" s="57">
        <v>102.4</v>
      </c>
      <c r="O99" s="57">
        <v>80.63</v>
      </c>
      <c r="P99" s="57">
        <v>101.05</v>
      </c>
      <c r="Q99" s="37"/>
      <c r="R99" s="570">
        <v>102.53</v>
      </c>
      <c r="S99" s="131">
        <v>71.94</v>
      </c>
      <c r="T99" s="131">
        <v>92.71</v>
      </c>
      <c r="U99" s="131">
        <v>73.72</v>
      </c>
      <c r="V99" s="131">
        <v>92.64</v>
      </c>
      <c r="W99" s="131">
        <v>83.17</v>
      </c>
      <c r="X99" s="131">
        <v>85.26</v>
      </c>
      <c r="Y99" s="37"/>
      <c r="Z99" s="533">
        <v>101.99</v>
      </c>
      <c r="AA99" s="533">
        <v>95.32</v>
      </c>
      <c r="AB99" s="533">
        <v>102.19</v>
      </c>
      <c r="AC99" s="533">
        <v>69.8</v>
      </c>
      <c r="AD99" s="533">
        <v>106.37</v>
      </c>
      <c r="AE99" s="533">
        <v>86.05</v>
      </c>
      <c r="AF99" s="533">
        <v>97.07</v>
      </c>
      <c r="AG99" s="533">
        <v>78.739999999999995</v>
      </c>
      <c r="AH99" s="533">
        <v>93.73</v>
      </c>
      <c r="AI99" s="572"/>
      <c r="AJ99" s="37"/>
      <c r="AK99" s="2"/>
      <c r="AL99" s="197"/>
      <c r="AM99" s="453"/>
      <c r="AN99" s="187"/>
    </row>
    <row r="100" spans="1:40" x14ac:dyDescent="0.25">
      <c r="A100" s="382">
        <v>153</v>
      </c>
      <c r="B100" s="12">
        <v>96.87</v>
      </c>
      <c r="C100" s="135">
        <v>80.989999999999995</v>
      </c>
      <c r="D100" s="12">
        <v>82.57</v>
      </c>
      <c r="E100" s="12">
        <v>65.64</v>
      </c>
      <c r="F100" s="131">
        <v>51.43</v>
      </c>
      <c r="G100" s="135">
        <v>56.4</v>
      </c>
      <c r="H100" s="12">
        <v>81.849999999999994</v>
      </c>
      <c r="I100" s="37"/>
      <c r="J100" s="12">
        <v>58.57</v>
      </c>
      <c r="K100" s="12">
        <v>69.010000000000005</v>
      </c>
      <c r="L100" s="135">
        <v>64.42</v>
      </c>
      <c r="M100" s="155">
        <v>107.46</v>
      </c>
      <c r="N100" s="155">
        <v>90.81</v>
      </c>
      <c r="O100" s="135">
        <v>70.14</v>
      </c>
      <c r="P100" s="135">
        <v>70.459999999999994</v>
      </c>
      <c r="Q100" s="37"/>
      <c r="R100" s="131">
        <v>83.14</v>
      </c>
      <c r="S100" s="131">
        <v>94.84</v>
      </c>
      <c r="T100" s="131">
        <v>55.34</v>
      </c>
      <c r="U100" s="12">
        <v>75.03</v>
      </c>
      <c r="V100" s="131">
        <v>83.71</v>
      </c>
      <c r="W100" s="135">
        <v>78.81</v>
      </c>
      <c r="X100" s="135">
        <v>63.13</v>
      </c>
      <c r="Y100" s="37"/>
      <c r="Z100" s="131">
        <v>82.15</v>
      </c>
      <c r="AA100" s="131">
        <v>95.85</v>
      </c>
      <c r="AB100" s="12">
        <v>71.069999999999993</v>
      </c>
      <c r="AC100" s="12">
        <v>72.56</v>
      </c>
      <c r="AD100" s="12">
        <v>90.28</v>
      </c>
      <c r="AE100" s="131">
        <v>100.99</v>
      </c>
      <c r="AF100" s="131">
        <v>68.52</v>
      </c>
      <c r="AG100" s="131">
        <v>71.39</v>
      </c>
      <c r="AH100" s="12">
        <v>76.900000000000006</v>
      </c>
      <c r="AI100" s="118"/>
      <c r="AJ100" s="37"/>
      <c r="AK100" s="2"/>
      <c r="AL100" s="197"/>
      <c r="AM100" s="453"/>
      <c r="AN100" s="187"/>
    </row>
    <row r="101" spans="1:40" x14ac:dyDescent="0.25">
      <c r="A101" s="382">
        <v>154</v>
      </c>
      <c r="B101" s="131">
        <v>65.41</v>
      </c>
      <c r="C101" s="131">
        <v>71.25</v>
      </c>
      <c r="D101" s="131">
        <v>78.41</v>
      </c>
      <c r="E101" s="135">
        <v>57.37</v>
      </c>
      <c r="F101" s="135">
        <v>77.239999999999995</v>
      </c>
      <c r="G101" s="135">
        <v>70.400000000000006</v>
      </c>
      <c r="H101" s="135">
        <v>73.430000000000007</v>
      </c>
      <c r="I101" s="37"/>
      <c r="J101" s="135">
        <v>43.2</v>
      </c>
      <c r="K101" s="135">
        <v>75.78</v>
      </c>
      <c r="L101" s="135">
        <v>51.72</v>
      </c>
      <c r="M101" s="135">
        <v>89.51</v>
      </c>
      <c r="N101" s="135">
        <v>80.31</v>
      </c>
      <c r="O101" s="135">
        <v>83.04</v>
      </c>
      <c r="P101" s="135">
        <v>79.31</v>
      </c>
      <c r="Q101" s="37"/>
      <c r="R101" s="131">
        <v>95.94</v>
      </c>
      <c r="S101" s="131">
        <v>95.65</v>
      </c>
      <c r="T101" s="131">
        <v>67.36</v>
      </c>
      <c r="U101" s="530"/>
      <c r="V101" s="131">
        <v>80.209999999999994</v>
      </c>
      <c r="W101" s="135">
        <v>84.14</v>
      </c>
      <c r="X101" s="135">
        <v>84.32</v>
      </c>
      <c r="Y101" s="37"/>
      <c r="Z101" s="131">
        <v>96.15</v>
      </c>
      <c r="AA101" s="131">
        <v>86.23</v>
      </c>
      <c r="AB101" s="12">
        <v>79.73</v>
      </c>
      <c r="AC101" s="12">
        <v>72.260000000000005</v>
      </c>
      <c r="AD101" s="12">
        <v>85.67</v>
      </c>
      <c r="AE101" s="12">
        <v>97.1</v>
      </c>
      <c r="AF101" s="131">
        <v>86.95</v>
      </c>
      <c r="AG101" s="131">
        <v>62.13</v>
      </c>
      <c r="AH101" s="131">
        <v>74.150000000000006</v>
      </c>
      <c r="AI101" s="118"/>
      <c r="AJ101" s="37"/>
      <c r="AK101" s="2"/>
      <c r="AL101" s="197"/>
      <c r="AM101" s="453"/>
      <c r="AN101" s="187"/>
    </row>
    <row r="102" spans="1:40" x14ac:dyDescent="0.25">
      <c r="A102" s="382">
        <v>155</v>
      </c>
      <c r="B102" s="131">
        <v>98.38</v>
      </c>
      <c r="C102" s="131">
        <v>88.48</v>
      </c>
      <c r="D102" s="131">
        <v>105.55</v>
      </c>
      <c r="E102" s="131">
        <v>91.01</v>
      </c>
      <c r="F102" s="135">
        <v>87.86</v>
      </c>
      <c r="G102" s="135">
        <v>76.81</v>
      </c>
      <c r="H102" s="135">
        <v>92.6</v>
      </c>
      <c r="I102" s="37"/>
      <c r="J102" s="530"/>
      <c r="K102" s="530"/>
      <c r="L102" s="530"/>
      <c r="M102" s="530"/>
      <c r="N102" s="530"/>
      <c r="O102" s="530"/>
      <c r="P102" s="530"/>
      <c r="Q102" s="182" t="s">
        <v>290</v>
      </c>
      <c r="R102" s="530"/>
      <c r="S102" s="537"/>
      <c r="T102" s="537"/>
      <c r="U102" s="12">
        <v>84.94</v>
      </c>
      <c r="V102" s="537"/>
      <c r="W102" s="530"/>
      <c r="X102" s="530"/>
      <c r="Y102" s="37"/>
      <c r="Z102" s="537"/>
      <c r="AA102" s="537"/>
      <c r="AB102" s="530"/>
      <c r="AC102" s="530"/>
      <c r="AD102" s="530"/>
      <c r="AE102" s="537"/>
      <c r="AF102" s="530"/>
      <c r="AG102" s="537"/>
      <c r="AH102" s="537"/>
      <c r="AI102" s="118"/>
      <c r="AJ102" s="773" t="s">
        <v>290</v>
      </c>
      <c r="AK102" s="2"/>
      <c r="AL102" s="197"/>
      <c r="AM102" s="453"/>
      <c r="AN102" s="187"/>
    </row>
    <row r="103" spans="1:40" x14ac:dyDescent="0.25">
      <c r="A103" s="382">
        <v>156</v>
      </c>
      <c r="B103" s="131">
        <v>93.28</v>
      </c>
      <c r="C103" s="135">
        <v>88.74</v>
      </c>
      <c r="D103" s="131">
        <v>80.08</v>
      </c>
      <c r="E103" s="131">
        <v>87.88</v>
      </c>
      <c r="F103" s="131">
        <v>83.14</v>
      </c>
      <c r="G103" s="135">
        <v>52.57</v>
      </c>
      <c r="H103" s="135">
        <v>88</v>
      </c>
      <c r="I103" s="37"/>
      <c r="J103" s="135">
        <v>84.58</v>
      </c>
      <c r="K103" s="135">
        <v>99.15</v>
      </c>
      <c r="L103" s="135">
        <v>85.68</v>
      </c>
      <c r="M103" s="135">
        <v>77.260000000000005</v>
      </c>
      <c r="N103" s="135">
        <v>95.62</v>
      </c>
      <c r="O103" s="135">
        <v>84.47</v>
      </c>
      <c r="P103" s="135">
        <v>59.95</v>
      </c>
      <c r="Q103" s="37"/>
      <c r="R103" s="155">
        <v>107.44</v>
      </c>
      <c r="S103" s="131">
        <v>90.16</v>
      </c>
      <c r="T103" s="12">
        <v>95.01</v>
      </c>
      <c r="U103" s="12">
        <v>61.58</v>
      </c>
      <c r="V103" s="131">
        <v>80.430000000000007</v>
      </c>
      <c r="W103" s="135">
        <v>89.09</v>
      </c>
      <c r="X103" s="530"/>
      <c r="Y103" s="37"/>
      <c r="Z103" s="131">
        <v>101.39</v>
      </c>
      <c r="AA103" s="131">
        <v>70.98</v>
      </c>
      <c r="AB103" s="12">
        <v>89.57</v>
      </c>
      <c r="AC103" s="12">
        <v>90.5</v>
      </c>
      <c r="AD103" s="12">
        <v>82.24</v>
      </c>
      <c r="AE103" s="131">
        <v>71.47</v>
      </c>
      <c r="AF103" s="131">
        <v>95.07</v>
      </c>
      <c r="AG103" s="131">
        <v>63.95</v>
      </c>
      <c r="AH103" s="131">
        <v>86.95</v>
      </c>
      <c r="AI103" s="118"/>
      <c r="AJ103" s="37"/>
      <c r="AK103" s="2"/>
      <c r="AL103" s="197"/>
      <c r="AM103" s="453"/>
      <c r="AN103" s="189"/>
    </row>
    <row r="104" spans="1:40" x14ac:dyDescent="0.25">
      <c r="A104" s="382">
        <v>157</v>
      </c>
      <c r="B104" s="131">
        <v>83.19</v>
      </c>
      <c r="C104" s="155">
        <v>55.01</v>
      </c>
      <c r="D104" s="131">
        <v>63.41</v>
      </c>
      <c r="E104" s="135">
        <v>93.18</v>
      </c>
      <c r="F104" s="131">
        <v>75.53</v>
      </c>
      <c r="G104" s="135">
        <v>70.08</v>
      </c>
      <c r="H104" s="12">
        <v>94.05</v>
      </c>
      <c r="I104" s="37"/>
      <c r="J104" s="131">
        <v>64.73</v>
      </c>
      <c r="K104" s="135">
        <v>81.62</v>
      </c>
      <c r="L104" s="155">
        <v>81.510000000000005</v>
      </c>
      <c r="M104" s="135">
        <v>97.44</v>
      </c>
      <c r="N104" s="155">
        <v>74.91</v>
      </c>
      <c r="O104" s="135">
        <v>63.04</v>
      </c>
      <c r="P104" s="135">
        <v>90.26</v>
      </c>
      <c r="Q104" s="37"/>
      <c r="R104" s="155">
        <v>21.07</v>
      </c>
      <c r="S104" s="131">
        <v>66.52</v>
      </c>
      <c r="T104" s="131">
        <v>75.62</v>
      </c>
      <c r="U104" s="131">
        <v>68.23</v>
      </c>
      <c r="V104" s="131">
        <v>75.27</v>
      </c>
      <c r="W104" s="135">
        <v>100.55</v>
      </c>
      <c r="X104" s="135">
        <v>70.849999999999994</v>
      </c>
      <c r="Y104" s="37"/>
      <c r="Z104" s="131">
        <v>79.98</v>
      </c>
      <c r="AA104" s="131">
        <v>85.64</v>
      </c>
      <c r="AB104" s="12">
        <v>98.91</v>
      </c>
      <c r="AC104" s="12">
        <v>57.18</v>
      </c>
      <c r="AD104" s="12">
        <v>82.86</v>
      </c>
      <c r="AE104" s="131">
        <v>83.05</v>
      </c>
      <c r="AF104" s="12">
        <v>98.19</v>
      </c>
      <c r="AG104" s="131">
        <v>46.18</v>
      </c>
      <c r="AH104" s="131">
        <v>85.49</v>
      </c>
      <c r="AI104" s="118"/>
      <c r="AJ104" s="37"/>
      <c r="AK104" s="2"/>
      <c r="AL104" s="197"/>
      <c r="AM104" s="453"/>
      <c r="AN104" s="187"/>
    </row>
    <row r="105" spans="1:40" x14ac:dyDescent="0.25">
      <c r="A105" s="382">
        <v>158</v>
      </c>
      <c r="B105" s="131">
        <v>88.92</v>
      </c>
      <c r="C105" s="155">
        <v>79.760000000000005</v>
      </c>
      <c r="D105" s="131">
        <v>76.650000000000006</v>
      </c>
      <c r="E105" s="12">
        <v>97.87</v>
      </c>
      <c r="F105" s="131">
        <v>88.24</v>
      </c>
      <c r="G105" s="135">
        <v>85.75</v>
      </c>
      <c r="H105" s="135">
        <v>99.41</v>
      </c>
      <c r="I105" s="37"/>
      <c r="J105" s="135">
        <v>47.5</v>
      </c>
      <c r="K105" s="135">
        <v>97.66</v>
      </c>
      <c r="L105" s="135">
        <v>80.069999999999993</v>
      </c>
      <c r="M105" s="135">
        <v>91.39</v>
      </c>
      <c r="N105" s="135">
        <v>90.68</v>
      </c>
      <c r="O105" s="135">
        <v>88.57</v>
      </c>
      <c r="P105" s="135">
        <v>99.59</v>
      </c>
      <c r="Q105" s="37"/>
      <c r="R105" s="131">
        <v>107.12</v>
      </c>
      <c r="S105" s="12">
        <v>62.56</v>
      </c>
      <c r="T105" s="131">
        <v>78.89</v>
      </c>
      <c r="U105" s="12">
        <v>68.98</v>
      </c>
      <c r="V105" s="131">
        <v>69.28</v>
      </c>
      <c r="W105" s="135">
        <v>79.540000000000006</v>
      </c>
      <c r="X105" s="135">
        <v>96.14</v>
      </c>
      <c r="Y105" s="37"/>
      <c r="Z105" s="131">
        <v>100.37</v>
      </c>
      <c r="AA105" s="135">
        <v>96.86</v>
      </c>
      <c r="AB105" s="12">
        <v>98.3</v>
      </c>
      <c r="AC105" s="12">
        <v>80.2</v>
      </c>
      <c r="AD105" s="12">
        <v>106.73</v>
      </c>
      <c r="AE105" s="131">
        <v>94.37</v>
      </c>
      <c r="AF105" s="131">
        <v>82.63</v>
      </c>
      <c r="AG105" s="131">
        <v>86.75</v>
      </c>
      <c r="AH105" s="131">
        <v>76.19</v>
      </c>
      <c r="AI105" s="118"/>
      <c r="AJ105" s="37"/>
      <c r="AK105" s="2"/>
      <c r="AL105" s="197"/>
      <c r="AM105" s="453"/>
      <c r="AN105" s="187"/>
    </row>
    <row r="106" spans="1:40" x14ac:dyDescent="0.25">
      <c r="A106" s="382">
        <v>159</v>
      </c>
      <c r="B106" s="537"/>
      <c r="C106" s="530"/>
      <c r="D106" s="537"/>
      <c r="E106" s="530"/>
      <c r="F106" s="537"/>
      <c r="G106" s="530"/>
      <c r="H106" s="530"/>
      <c r="I106" s="773" t="s">
        <v>290</v>
      </c>
      <c r="J106" s="135">
        <v>51.13</v>
      </c>
      <c r="K106" s="135">
        <v>82.45</v>
      </c>
      <c r="L106" s="135">
        <v>71.75</v>
      </c>
      <c r="M106" s="155">
        <v>108.61</v>
      </c>
      <c r="N106" s="135">
        <v>86.22</v>
      </c>
      <c r="O106" s="530"/>
      <c r="P106" s="532">
        <v>120.31</v>
      </c>
      <c r="Q106" s="37"/>
      <c r="R106" s="537"/>
      <c r="S106" s="532">
        <v>156.25</v>
      </c>
      <c r="T106" s="131">
        <v>87.37</v>
      </c>
      <c r="U106" s="12">
        <v>67.569999999999993</v>
      </c>
      <c r="V106" s="131">
        <v>101.95</v>
      </c>
      <c r="W106" s="135">
        <v>65.260000000000005</v>
      </c>
      <c r="X106" s="135">
        <v>113.99</v>
      </c>
      <c r="Y106" s="37"/>
      <c r="Z106" s="12">
        <v>109.04</v>
      </c>
      <c r="AA106" s="131">
        <v>90.99</v>
      </c>
      <c r="AB106" s="12">
        <v>96.05</v>
      </c>
      <c r="AC106" s="12">
        <v>81.89</v>
      </c>
      <c r="AD106" s="12">
        <v>86.33</v>
      </c>
      <c r="AE106" s="12">
        <v>88.1</v>
      </c>
      <c r="AF106" s="131">
        <v>101.41</v>
      </c>
      <c r="AG106" s="131">
        <v>67.89</v>
      </c>
      <c r="AH106" s="131">
        <v>79.13</v>
      </c>
      <c r="AI106" s="118"/>
      <c r="AJ106" s="37"/>
      <c r="AK106" s="2"/>
      <c r="AL106" s="197"/>
      <c r="AM106" s="453"/>
      <c r="AN106" s="187"/>
    </row>
    <row r="107" spans="1:40" x14ac:dyDescent="0.25">
      <c r="A107" s="382">
        <v>161</v>
      </c>
      <c r="B107" s="131">
        <v>81.69</v>
      </c>
      <c r="C107" s="131">
        <v>92.71</v>
      </c>
      <c r="D107" s="131">
        <v>78.02</v>
      </c>
      <c r="E107" s="131">
        <v>97.74</v>
      </c>
      <c r="F107" s="131">
        <v>77.63</v>
      </c>
      <c r="G107" s="131">
        <v>67.53</v>
      </c>
      <c r="H107" s="131">
        <v>78.52</v>
      </c>
      <c r="I107" s="37"/>
      <c r="J107" s="131">
        <v>76.069999999999993</v>
      </c>
      <c r="K107" s="135">
        <v>82.02</v>
      </c>
      <c r="L107" s="135">
        <v>67.47</v>
      </c>
      <c r="M107" s="135">
        <v>80.58</v>
      </c>
      <c r="N107" s="135">
        <v>66.12</v>
      </c>
      <c r="O107" s="135">
        <v>94.07</v>
      </c>
      <c r="P107" s="135">
        <v>75.930000000000007</v>
      </c>
      <c r="Q107" s="37"/>
      <c r="R107" s="131">
        <v>85.37</v>
      </c>
      <c r="S107" s="131">
        <v>84.52</v>
      </c>
      <c r="T107" s="131">
        <v>68.709999999999994</v>
      </c>
      <c r="U107" s="12">
        <v>72.180000000000007</v>
      </c>
      <c r="V107" s="131">
        <v>87.98</v>
      </c>
      <c r="W107" s="135">
        <v>71.209999999999994</v>
      </c>
      <c r="X107" s="135">
        <v>77.89</v>
      </c>
      <c r="Y107" s="37"/>
      <c r="Z107" s="131">
        <v>85.37</v>
      </c>
      <c r="AA107" s="131">
        <v>86.13</v>
      </c>
      <c r="AB107" s="12">
        <v>90.25</v>
      </c>
      <c r="AC107" s="12">
        <v>56.32</v>
      </c>
      <c r="AD107" s="12">
        <v>73.03</v>
      </c>
      <c r="AE107" s="131">
        <v>80.67</v>
      </c>
      <c r="AF107" s="131">
        <v>78.260000000000005</v>
      </c>
      <c r="AG107" s="131">
        <v>78.42</v>
      </c>
      <c r="AH107" s="131">
        <v>75.73</v>
      </c>
      <c r="AI107" s="118"/>
      <c r="AJ107" s="37"/>
      <c r="AK107" s="2"/>
      <c r="AL107" s="197"/>
      <c r="AM107" s="453"/>
      <c r="AN107" s="187"/>
    </row>
    <row r="108" spans="1:40" x14ac:dyDescent="0.25">
      <c r="A108" s="382">
        <v>162</v>
      </c>
      <c r="B108" s="131">
        <v>97.88</v>
      </c>
      <c r="C108" s="135">
        <v>66.010000000000005</v>
      </c>
      <c r="D108" s="131">
        <v>58.79</v>
      </c>
      <c r="E108" s="12">
        <v>72.41</v>
      </c>
      <c r="F108" s="131">
        <v>60.05</v>
      </c>
      <c r="G108" s="12">
        <v>68.88</v>
      </c>
      <c r="H108" s="135">
        <v>75.650000000000006</v>
      </c>
      <c r="I108" s="37"/>
      <c r="J108" s="135">
        <v>56.31</v>
      </c>
      <c r="K108" s="12">
        <v>81.41</v>
      </c>
      <c r="L108" s="135">
        <v>76.28</v>
      </c>
      <c r="M108" s="135">
        <v>80.75</v>
      </c>
      <c r="N108" s="135">
        <v>96.57</v>
      </c>
      <c r="O108" s="135">
        <v>65.62</v>
      </c>
      <c r="P108" s="135">
        <v>78.58</v>
      </c>
      <c r="Q108" s="37"/>
      <c r="R108" s="537"/>
      <c r="S108" s="548">
        <v>137.72999999999999</v>
      </c>
      <c r="T108" s="537"/>
      <c r="U108" s="12">
        <v>71.37</v>
      </c>
      <c r="V108" s="131">
        <v>46.93</v>
      </c>
      <c r="W108" s="135">
        <v>85.45</v>
      </c>
      <c r="X108" s="135">
        <v>101.49</v>
      </c>
      <c r="Y108" s="37"/>
      <c r="Z108" s="131">
        <v>66.28</v>
      </c>
      <c r="AA108" s="131">
        <v>77.47</v>
      </c>
      <c r="AB108" s="12">
        <v>76.39</v>
      </c>
      <c r="AC108" s="12">
        <v>54.72</v>
      </c>
      <c r="AD108" s="12">
        <v>87.66</v>
      </c>
      <c r="AE108" s="131">
        <v>77.430000000000007</v>
      </c>
      <c r="AF108" s="131">
        <v>87.91</v>
      </c>
      <c r="AG108" s="131">
        <v>66.72</v>
      </c>
      <c r="AH108" s="131">
        <v>83.81</v>
      </c>
      <c r="AI108" s="118"/>
      <c r="AJ108" s="37"/>
      <c r="AK108" s="2"/>
      <c r="AL108" s="197"/>
      <c r="AM108" s="453"/>
      <c r="AN108" s="187"/>
    </row>
    <row r="109" spans="1:40" x14ac:dyDescent="0.25">
      <c r="A109" s="382">
        <v>163</v>
      </c>
      <c r="B109" s="135">
        <v>81.900000000000006</v>
      </c>
      <c r="C109" s="155">
        <v>79.69</v>
      </c>
      <c r="D109" s="135">
        <v>58.21</v>
      </c>
      <c r="E109" s="135">
        <v>67.349999999999994</v>
      </c>
      <c r="F109" s="135">
        <v>65.81</v>
      </c>
      <c r="G109" s="135">
        <v>74.69</v>
      </c>
      <c r="H109" s="135">
        <v>109.95</v>
      </c>
      <c r="I109" s="37"/>
      <c r="J109" s="135">
        <v>80.239999999999995</v>
      </c>
      <c r="K109" s="135">
        <v>82.95</v>
      </c>
      <c r="L109" s="155">
        <v>87.65</v>
      </c>
      <c r="M109" s="135">
        <v>107.5</v>
      </c>
      <c r="N109" s="155">
        <v>83.03</v>
      </c>
      <c r="O109" s="135">
        <v>62.26</v>
      </c>
      <c r="P109" s="135">
        <v>100.43</v>
      </c>
      <c r="Q109" s="37"/>
      <c r="R109" s="135">
        <v>116.43</v>
      </c>
      <c r="S109" s="131">
        <v>99.85</v>
      </c>
      <c r="T109" s="131">
        <v>73.53</v>
      </c>
      <c r="U109" s="12">
        <v>67.37</v>
      </c>
      <c r="V109" s="12">
        <v>88.9</v>
      </c>
      <c r="W109" s="135">
        <v>83.12</v>
      </c>
      <c r="X109" s="135">
        <v>85.57</v>
      </c>
      <c r="Y109" s="37"/>
      <c r="Z109" s="131">
        <v>100.28</v>
      </c>
      <c r="AA109" s="131">
        <v>105.02</v>
      </c>
      <c r="AB109" s="12">
        <v>94.38</v>
      </c>
      <c r="AC109" s="12">
        <v>75.459999999999994</v>
      </c>
      <c r="AD109" s="12">
        <v>68.72</v>
      </c>
      <c r="AE109" s="131">
        <v>91.76</v>
      </c>
      <c r="AF109" s="131">
        <v>100.96</v>
      </c>
      <c r="AG109" s="131">
        <v>44.11</v>
      </c>
      <c r="AH109" s="131">
        <v>103.13</v>
      </c>
      <c r="AI109" s="118"/>
      <c r="AJ109" s="37"/>
      <c r="AK109" s="2"/>
      <c r="AL109" s="197"/>
      <c r="AM109" s="453"/>
      <c r="AN109" s="189"/>
    </row>
    <row r="110" spans="1:40" x14ac:dyDescent="0.25">
      <c r="A110" s="382">
        <v>164</v>
      </c>
      <c r="B110" s="131">
        <v>67.44</v>
      </c>
      <c r="C110" s="135">
        <v>79.16</v>
      </c>
      <c r="D110" s="131">
        <v>61.79</v>
      </c>
      <c r="E110" s="131">
        <v>48.02</v>
      </c>
      <c r="F110" s="135">
        <v>71.209999999999994</v>
      </c>
      <c r="G110" s="135">
        <v>76.98</v>
      </c>
      <c r="H110" s="12">
        <v>89.35</v>
      </c>
      <c r="I110" s="37"/>
      <c r="J110" s="135">
        <v>70.040000000000006</v>
      </c>
      <c r="K110" s="135">
        <v>83.48</v>
      </c>
      <c r="L110" s="135">
        <v>51.74</v>
      </c>
      <c r="M110" s="135">
        <v>102.2</v>
      </c>
      <c r="N110" s="135">
        <v>76.17</v>
      </c>
      <c r="O110" s="135">
        <v>63.59</v>
      </c>
      <c r="P110" s="135">
        <v>85.66</v>
      </c>
      <c r="Q110" s="37"/>
      <c r="R110" s="131">
        <v>83.04</v>
      </c>
      <c r="S110" s="131">
        <v>84.85</v>
      </c>
      <c r="T110" s="131">
        <v>81.319999999999993</v>
      </c>
      <c r="U110" s="12">
        <v>59.65</v>
      </c>
      <c r="V110" s="131">
        <v>96.49</v>
      </c>
      <c r="W110" s="135">
        <v>66.98</v>
      </c>
      <c r="X110" s="135">
        <v>91.88</v>
      </c>
      <c r="Y110" s="37"/>
      <c r="Z110" s="131">
        <v>112.89</v>
      </c>
      <c r="AA110" s="131">
        <v>93.04</v>
      </c>
      <c r="AB110" s="12">
        <v>80.239999999999995</v>
      </c>
      <c r="AC110" s="12">
        <v>60.07</v>
      </c>
      <c r="AD110" s="12">
        <v>84.94</v>
      </c>
      <c r="AE110" s="131">
        <v>75.58</v>
      </c>
      <c r="AF110" s="131">
        <v>87.74</v>
      </c>
      <c r="AG110" s="131">
        <v>58.46</v>
      </c>
      <c r="AH110" s="131">
        <v>86.14</v>
      </c>
      <c r="AI110" s="118"/>
      <c r="AJ110" s="37"/>
      <c r="AK110" s="2"/>
      <c r="AL110" s="197"/>
      <c r="AM110" s="453"/>
      <c r="AN110" s="186"/>
    </row>
    <row r="111" spans="1:40" x14ac:dyDescent="0.25">
      <c r="A111" s="382">
        <v>165</v>
      </c>
      <c r="B111" s="155">
        <v>80.41</v>
      </c>
      <c r="C111" s="131">
        <v>92.81</v>
      </c>
      <c r="D111" s="155">
        <v>70.010000000000005</v>
      </c>
      <c r="E111" s="131">
        <v>61.52</v>
      </c>
      <c r="F111" s="135">
        <v>116.47</v>
      </c>
      <c r="G111" s="135">
        <v>71.69</v>
      </c>
      <c r="H111" s="135">
        <v>91.45</v>
      </c>
      <c r="I111" s="37"/>
      <c r="J111" s="131">
        <v>67.44</v>
      </c>
      <c r="K111" s="135">
        <v>76.31</v>
      </c>
      <c r="L111" s="135">
        <v>64.260000000000005</v>
      </c>
      <c r="M111" s="135">
        <v>94.38</v>
      </c>
      <c r="N111" s="135">
        <v>84.97</v>
      </c>
      <c r="O111" s="135">
        <v>68.59</v>
      </c>
      <c r="P111" s="135">
        <v>81.63</v>
      </c>
      <c r="Q111" s="37"/>
      <c r="R111" s="537"/>
      <c r="S111" s="131">
        <v>99.13</v>
      </c>
      <c r="T111" s="548">
        <v>133.94</v>
      </c>
      <c r="U111" s="12">
        <v>68.680000000000007</v>
      </c>
      <c r="V111" s="131">
        <v>85.04</v>
      </c>
      <c r="W111" s="135">
        <v>81.31</v>
      </c>
      <c r="X111" s="135">
        <v>82.7</v>
      </c>
      <c r="Y111" s="37"/>
      <c r="Z111" s="131">
        <v>69.98</v>
      </c>
      <c r="AA111" s="131">
        <v>106.92</v>
      </c>
      <c r="AB111" s="12">
        <v>102.81</v>
      </c>
      <c r="AC111" s="12">
        <v>58.06</v>
      </c>
      <c r="AD111" s="12">
        <v>48.84</v>
      </c>
      <c r="AE111" s="131">
        <v>85.67</v>
      </c>
      <c r="AF111" s="131">
        <v>80.25</v>
      </c>
      <c r="AG111" s="131">
        <v>72.47</v>
      </c>
      <c r="AH111" s="131">
        <v>73.680000000000007</v>
      </c>
      <c r="AI111" s="118"/>
      <c r="AJ111" s="37"/>
      <c r="AK111" s="2"/>
      <c r="AL111" s="197"/>
      <c r="AM111" s="453"/>
      <c r="AN111" s="187"/>
    </row>
    <row r="112" spans="1:40" x14ac:dyDescent="0.25">
      <c r="A112" s="382">
        <v>166</v>
      </c>
      <c r="B112" s="135">
        <v>79.06</v>
      </c>
      <c r="C112" s="135">
        <v>73.66</v>
      </c>
      <c r="D112" s="135">
        <v>61.32</v>
      </c>
      <c r="E112" s="135">
        <v>67.77</v>
      </c>
      <c r="F112" s="135">
        <v>69.930000000000007</v>
      </c>
      <c r="G112" s="12">
        <v>65.94</v>
      </c>
      <c r="H112" s="12">
        <v>62.07</v>
      </c>
      <c r="I112" s="37"/>
      <c r="J112" s="135">
        <v>45.54</v>
      </c>
      <c r="K112" s="12">
        <v>71.13</v>
      </c>
      <c r="L112" s="135">
        <v>74.87</v>
      </c>
      <c r="M112" s="135">
        <v>69.28</v>
      </c>
      <c r="N112" s="155">
        <v>84.17</v>
      </c>
      <c r="O112" s="135">
        <v>82.7</v>
      </c>
      <c r="P112" s="135">
        <v>70.599999999999994</v>
      </c>
      <c r="Q112" s="37"/>
      <c r="R112" s="131">
        <v>83.86</v>
      </c>
      <c r="S112" s="131">
        <v>85.65</v>
      </c>
      <c r="T112" s="131">
        <v>64.739999999999995</v>
      </c>
      <c r="U112" s="12">
        <v>83.53</v>
      </c>
      <c r="V112" s="131">
        <v>71.05</v>
      </c>
      <c r="W112" s="135">
        <v>74.19</v>
      </c>
      <c r="X112" s="135">
        <v>82.24</v>
      </c>
      <c r="Y112" s="37"/>
      <c r="Z112" s="131">
        <v>97.62</v>
      </c>
      <c r="AA112" s="131">
        <v>76.05</v>
      </c>
      <c r="AB112" s="12">
        <v>70.260000000000005</v>
      </c>
      <c r="AC112" s="12">
        <v>60.08</v>
      </c>
      <c r="AD112" s="12">
        <v>77.06</v>
      </c>
      <c r="AE112" s="131">
        <v>68.08</v>
      </c>
      <c r="AF112" s="12">
        <v>87.05</v>
      </c>
      <c r="AG112" s="131">
        <v>59.28</v>
      </c>
      <c r="AH112" s="131">
        <v>76.36</v>
      </c>
      <c r="AI112" s="118"/>
      <c r="AJ112" s="37"/>
      <c r="AK112" s="2"/>
      <c r="AL112" s="197"/>
      <c r="AM112" s="453"/>
      <c r="AN112" s="187"/>
    </row>
    <row r="113" spans="1:40" x14ac:dyDescent="0.25">
      <c r="A113" s="382">
        <v>167</v>
      </c>
      <c r="B113" s="155">
        <v>112.36</v>
      </c>
      <c r="C113" s="155">
        <v>84.49</v>
      </c>
      <c r="D113" s="537"/>
      <c r="E113" s="135">
        <v>72.239999999999995</v>
      </c>
      <c r="F113" s="12">
        <v>76</v>
      </c>
      <c r="G113" s="135">
        <v>52.1</v>
      </c>
      <c r="H113" s="135">
        <v>91.47</v>
      </c>
      <c r="I113" s="37"/>
      <c r="J113" s="135">
        <v>79.84</v>
      </c>
      <c r="K113" s="135">
        <v>71.92</v>
      </c>
      <c r="L113" s="530"/>
      <c r="M113" s="155">
        <v>56.25</v>
      </c>
      <c r="N113" s="155">
        <v>53.45</v>
      </c>
      <c r="O113" s="530"/>
      <c r="P113" s="135">
        <v>44.88</v>
      </c>
      <c r="Q113" s="37"/>
      <c r="R113" s="131">
        <v>31.41</v>
      </c>
      <c r="S113" s="131">
        <v>24.36</v>
      </c>
      <c r="T113" s="131">
        <v>68.83</v>
      </c>
      <c r="U113" s="12">
        <v>77.349999999999994</v>
      </c>
      <c r="V113" s="131">
        <v>100.63</v>
      </c>
      <c r="W113" s="135">
        <v>46.39</v>
      </c>
      <c r="X113" s="135">
        <v>86.19</v>
      </c>
      <c r="Y113" s="37"/>
      <c r="Z113" s="131">
        <v>116.55</v>
      </c>
      <c r="AA113" s="131">
        <v>104.71</v>
      </c>
      <c r="AB113" s="12">
        <v>86.38</v>
      </c>
      <c r="AC113" s="12">
        <v>64.53</v>
      </c>
      <c r="AD113" s="532">
        <v>128.19</v>
      </c>
      <c r="AE113" s="131">
        <v>78.95</v>
      </c>
      <c r="AF113" s="12">
        <v>105.2</v>
      </c>
      <c r="AG113" s="131">
        <v>61.44</v>
      </c>
      <c r="AH113" s="537"/>
      <c r="AI113" s="118"/>
      <c r="AJ113" s="37"/>
      <c r="AK113" s="2"/>
      <c r="AL113" s="197"/>
      <c r="AM113" s="453"/>
      <c r="AN113" s="187"/>
    </row>
    <row r="114" spans="1:40" x14ac:dyDescent="0.25">
      <c r="A114" s="382">
        <v>168</v>
      </c>
      <c r="B114" s="131">
        <v>72.69</v>
      </c>
      <c r="C114" s="131">
        <v>80.03</v>
      </c>
      <c r="D114" s="131">
        <v>74.790000000000006</v>
      </c>
      <c r="E114" s="135">
        <v>61.85</v>
      </c>
      <c r="F114" s="135">
        <v>71.41</v>
      </c>
      <c r="G114" s="135">
        <v>77.16</v>
      </c>
      <c r="H114" s="12">
        <v>89.96</v>
      </c>
      <c r="I114" s="37"/>
      <c r="J114" s="135">
        <v>53.9</v>
      </c>
      <c r="K114" s="135">
        <v>84.11</v>
      </c>
      <c r="L114" s="155">
        <v>70.94</v>
      </c>
      <c r="M114" s="155">
        <v>90.81</v>
      </c>
      <c r="N114" s="155">
        <v>76.83</v>
      </c>
      <c r="O114" s="135">
        <v>70.09</v>
      </c>
      <c r="P114" s="135">
        <v>77.180000000000007</v>
      </c>
      <c r="Q114" s="37"/>
      <c r="R114" s="131">
        <v>91.02</v>
      </c>
      <c r="S114" s="131">
        <v>68.44</v>
      </c>
      <c r="T114" s="12">
        <v>77.599999999999994</v>
      </c>
      <c r="U114" s="12">
        <v>79.39</v>
      </c>
      <c r="V114" s="131">
        <v>119.49</v>
      </c>
      <c r="W114" s="135">
        <v>93.48</v>
      </c>
      <c r="X114" s="135">
        <v>90.3</v>
      </c>
      <c r="Y114" s="37"/>
      <c r="Z114" s="12">
        <v>82.4</v>
      </c>
      <c r="AA114" s="12">
        <v>101.08</v>
      </c>
      <c r="AB114" s="12">
        <v>90.46</v>
      </c>
      <c r="AC114" s="12">
        <v>62.48</v>
      </c>
      <c r="AD114" s="12">
        <v>83.34</v>
      </c>
      <c r="AE114" s="131">
        <v>87.14</v>
      </c>
      <c r="AF114" s="131">
        <v>108.94</v>
      </c>
      <c r="AG114" s="12">
        <v>72.400000000000006</v>
      </c>
      <c r="AH114" s="12">
        <v>88.3</v>
      </c>
      <c r="AI114" s="118"/>
      <c r="AJ114" s="37"/>
      <c r="AK114" s="2"/>
      <c r="AL114" s="197"/>
      <c r="AM114" s="453"/>
      <c r="AN114" s="189"/>
    </row>
    <row r="115" spans="1:40" x14ac:dyDescent="0.25">
      <c r="A115" s="382">
        <v>169</v>
      </c>
      <c r="B115" s="12">
        <v>87.91</v>
      </c>
      <c r="C115" s="155">
        <v>72.510000000000005</v>
      </c>
      <c r="D115" s="12">
        <v>66.19</v>
      </c>
      <c r="E115" s="537"/>
      <c r="F115" s="530"/>
      <c r="G115" s="530"/>
      <c r="H115" s="530"/>
      <c r="I115" s="37"/>
      <c r="J115" s="530"/>
      <c r="K115" s="537"/>
      <c r="L115" s="537"/>
      <c r="M115" s="530"/>
      <c r="N115" s="135">
        <v>58.56</v>
      </c>
      <c r="O115" s="135">
        <v>84.14</v>
      </c>
      <c r="P115" s="135">
        <v>93.38</v>
      </c>
      <c r="Q115" s="37"/>
      <c r="R115" s="131">
        <v>93.22</v>
      </c>
      <c r="S115" s="131">
        <v>94.94</v>
      </c>
      <c r="T115" s="131">
        <v>76.73</v>
      </c>
      <c r="U115" s="12">
        <v>92.52</v>
      </c>
      <c r="V115" s="131">
        <v>99.44</v>
      </c>
      <c r="W115" s="135">
        <v>85.29</v>
      </c>
      <c r="X115" s="135">
        <v>108.37</v>
      </c>
      <c r="Y115" s="37"/>
      <c r="Z115" s="12">
        <v>85.61</v>
      </c>
      <c r="AA115" s="131">
        <v>92.18</v>
      </c>
      <c r="AB115" s="12">
        <v>88.55</v>
      </c>
      <c r="AC115" s="12">
        <v>65.180000000000007</v>
      </c>
      <c r="AD115" s="12">
        <v>92.7</v>
      </c>
      <c r="AE115" s="131">
        <v>84.01</v>
      </c>
      <c r="AF115" s="12">
        <v>91.21</v>
      </c>
      <c r="AG115" s="131">
        <v>108.86</v>
      </c>
      <c r="AH115" s="12">
        <v>69.3</v>
      </c>
      <c r="AI115" s="118"/>
      <c r="AJ115" s="37"/>
      <c r="AK115" s="2"/>
      <c r="AL115" s="197"/>
      <c r="AM115" s="453"/>
    </row>
    <row r="116" spans="1:40" x14ac:dyDescent="0.25">
      <c r="A116" s="382">
        <v>170</v>
      </c>
      <c r="B116" s="155">
        <v>115.43</v>
      </c>
      <c r="C116" s="135">
        <v>84.01</v>
      </c>
      <c r="D116" s="155">
        <v>68.569999999999993</v>
      </c>
      <c r="E116" s="135">
        <v>94.62</v>
      </c>
      <c r="F116" s="135">
        <v>93.43</v>
      </c>
      <c r="G116" s="135">
        <v>85.68</v>
      </c>
      <c r="H116" s="135">
        <v>83.89</v>
      </c>
      <c r="I116" s="37"/>
      <c r="J116" s="135">
        <v>83.87</v>
      </c>
      <c r="K116" s="135">
        <v>93.11</v>
      </c>
      <c r="L116" s="155">
        <v>115.05</v>
      </c>
      <c r="M116" s="135">
        <v>103.49</v>
      </c>
      <c r="N116" s="135">
        <v>85.14</v>
      </c>
      <c r="O116" s="135">
        <v>80.66</v>
      </c>
      <c r="P116" s="135">
        <v>83.47</v>
      </c>
      <c r="Q116" s="37"/>
      <c r="R116" s="131">
        <v>92.45</v>
      </c>
      <c r="S116" s="131">
        <v>95.21</v>
      </c>
      <c r="T116" s="131">
        <v>98.97</v>
      </c>
      <c r="U116" s="12">
        <v>82.77</v>
      </c>
      <c r="V116" s="12">
        <v>94.74</v>
      </c>
      <c r="W116" s="135">
        <v>80.41</v>
      </c>
      <c r="X116" s="135">
        <v>88.98</v>
      </c>
      <c r="Y116" s="37"/>
      <c r="Z116" s="131">
        <v>88.07</v>
      </c>
      <c r="AA116" s="131">
        <v>85.72</v>
      </c>
      <c r="AB116" s="12">
        <v>69.27</v>
      </c>
      <c r="AC116" s="12">
        <v>85.07</v>
      </c>
      <c r="AD116" s="12">
        <v>100.66</v>
      </c>
      <c r="AE116" s="131">
        <v>106.18</v>
      </c>
      <c r="AF116" s="135">
        <v>87.73</v>
      </c>
      <c r="AG116" s="131">
        <v>92.23</v>
      </c>
      <c r="AH116" s="131">
        <v>83.91</v>
      </c>
      <c r="AI116" s="118"/>
      <c r="AJ116" s="37"/>
      <c r="AK116" s="2"/>
      <c r="AL116" s="197"/>
      <c r="AM116" s="453"/>
    </row>
    <row r="117" spans="1:40" x14ac:dyDescent="0.25">
      <c r="A117" s="382">
        <v>171</v>
      </c>
      <c r="B117" s="131">
        <v>73.89</v>
      </c>
      <c r="C117" s="135">
        <v>89.87</v>
      </c>
      <c r="D117" s="131">
        <v>79.28</v>
      </c>
      <c r="E117" s="12">
        <v>89.54</v>
      </c>
      <c r="F117" s="131">
        <v>78.38</v>
      </c>
      <c r="G117" s="135">
        <v>73.28</v>
      </c>
      <c r="H117" s="135">
        <v>82.93</v>
      </c>
      <c r="I117" s="37"/>
      <c r="J117" s="135">
        <v>66.430000000000007</v>
      </c>
      <c r="K117" s="135">
        <v>89.12</v>
      </c>
      <c r="L117" s="135">
        <v>78.59</v>
      </c>
      <c r="M117" s="135">
        <v>81.48</v>
      </c>
      <c r="N117" s="135">
        <v>71.47</v>
      </c>
      <c r="O117" s="135">
        <v>92.19</v>
      </c>
      <c r="P117" s="135">
        <v>91.57</v>
      </c>
      <c r="Q117" s="37"/>
      <c r="R117" s="530"/>
      <c r="S117" s="548">
        <v>189.35</v>
      </c>
      <c r="T117" s="131">
        <v>99.38</v>
      </c>
      <c r="U117" s="12">
        <v>84.31</v>
      </c>
      <c r="V117" s="131">
        <v>69.150000000000006</v>
      </c>
      <c r="W117" s="135">
        <v>66.47</v>
      </c>
      <c r="X117" s="135">
        <v>110.82</v>
      </c>
      <c r="Y117" s="37"/>
      <c r="Z117" s="131">
        <v>97.98</v>
      </c>
      <c r="AA117" s="12">
        <v>77.400000000000006</v>
      </c>
      <c r="AB117" s="530"/>
      <c r="AC117" s="12">
        <v>64.2</v>
      </c>
      <c r="AD117" s="12">
        <v>110.34</v>
      </c>
      <c r="AE117" s="131">
        <v>49.29</v>
      </c>
      <c r="AF117" s="131">
        <v>102.71</v>
      </c>
      <c r="AG117" s="548">
        <v>151.81</v>
      </c>
      <c r="AH117" s="537"/>
      <c r="AI117" s="118"/>
      <c r="AJ117" s="37"/>
      <c r="AK117" s="2"/>
      <c r="AL117" s="197"/>
      <c r="AM117" s="453"/>
    </row>
    <row r="118" spans="1:40" x14ac:dyDescent="0.25">
      <c r="A118" s="382">
        <v>172</v>
      </c>
      <c r="B118" s="537"/>
      <c r="C118" s="537"/>
      <c r="D118" s="537"/>
      <c r="E118" s="537"/>
      <c r="F118" s="537"/>
      <c r="G118" s="537"/>
      <c r="H118" s="537"/>
      <c r="I118" s="773" t="s">
        <v>290</v>
      </c>
      <c r="J118" s="530"/>
      <c r="K118" s="537"/>
      <c r="L118" s="537"/>
      <c r="M118" s="537"/>
      <c r="N118" s="537"/>
      <c r="O118" s="530"/>
      <c r="P118" s="530"/>
      <c r="Q118" s="182" t="s">
        <v>290</v>
      </c>
      <c r="R118" s="548">
        <v>253.32</v>
      </c>
      <c r="S118" s="12">
        <v>17.7</v>
      </c>
      <c r="T118" s="537"/>
      <c r="U118" s="537"/>
      <c r="V118" s="537"/>
      <c r="W118" s="530"/>
      <c r="X118" s="530"/>
      <c r="Y118" s="37"/>
      <c r="Z118" s="537"/>
      <c r="AA118" s="530"/>
      <c r="AB118" s="530"/>
      <c r="AC118" s="530"/>
      <c r="AD118" s="530"/>
      <c r="AE118" s="530"/>
      <c r="AF118" s="530"/>
      <c r="AG118" s="537"/>
      <c r="AH118" s="537"/>
      <c r="AI118" s="118"/>
      <c r="AJ118" s="773" t="s">
        <v>290</v>
      </c>
      <c r="AK118" s="2"/>
      <c r="AL118" s="197"/>
      <c r="AM118" s="453"/>
    </row>
    <row r="119" spans="1:40" x14ac:dyDescent="0.25">
      <c r="A119" s="382">
        <v>173</v>
      </c>
      <c r="B119" s="537"/>
      <c r="C119" s="537"/>
      <c r="D119" s="537"/>
      <c r="E119" s="537"/>
      <c r="F119" s="537"/>
      <c r="G119" s="537"/>
      <c r="H119" s="537"/>
      <c r="I119" s="773" t="s">
        <v>290</v>
      </c>
      <c r="J119" s="537"/>
      <c r="K119" s="537"/>
      <c r="L119" s="594"/>
      <c r="M119" s="672">
        <v>90.52</v>
      </c>
      <c r="N119" s="537"/>
      <c r="O119" s="537"/>
      <c r="P119" s="537"/>
      <c r="Q119" s="968"/>
      <c r="R119" s="12">
        <v>85.5</v>
      </c>
      <c r="S119" s="537"/>
      <c r="T119" s="537"/>
      <c r="U119" s="530"/>
      <c r="V119" s="537"/>
      <c r="W119" s="537"/>
      <c r="X119" s="537"/>
      <c r="Y119" s="37"/>
      <c r="Z119" s="537"/>
      <c r="AA119" s="118">
        <v>72.16</v>
      </c>
      <c r="AB119" s="537"/>
      <c r="AC119" s="537"/>
      <c r="AD119" s="537"/>
      <c r="AE119" s="537"/>
      <c r="AF119" s="537"/>
      <c r="AG119" s="537"/>
      <c r="AH119" s="537"/>
      <c r="AI119" s="2"/>
      <c r="AJ119" s="37"/>
      <c r="AK119" s="2"/>
      <c r="AL119" s="197"/>
      <c r="AM119" s="453"/>
    </row>
    <row r="120" spans="1:40" x14ac:dyDescent="0.25">
      <c r="A120" s="385">
        <v>174</v>
      </c>
      <c r="B120" s="131">
        <v>89.29</v>
      </c>
      <c r="C120" s="131">
        <v>62.06</v>
      </c>
      <c r="D120" s="131">
        <v>51.83</v>
      </c>
      <c r="E120" s="12">
        <v>73.7</v>
      </c>
      <c r="F120" s="135">
        <v>44.71</v>
      </c>
      <c r="G120" s="131">
        <v>55.01</v>
      </c>
      <c r="H120" s="131">
        <v>80.66</v>
      </c>
      <c r="I120" s="37"/>
      <c r="J120" s="131">
        <v>50.19</v>
      </c>
      <c r="K120" s="537"/>
      <c r="L120" s="530"/>
      <c r="M120" s="155">
        <v>74.22</v>
      </c>
      <c r="N120" s="131">
        <v>74.47</v>
      </c>
      <c r="O120" s="135">
        <v>78.45</v>
      </c>
      <c r="P120" s="135">
        <v>75.7</v>
      </c>
      <c r="Q120" s="37"/>
      <c r="R120" s="12">
        <v>84.2</v>
      </c>
      <c r="S120" s="118">
        <v>75.22</v>
      </c>
      <c r="T120" s="118">
        <v>84.26</v>
      </c>
      <c r="U120" s="1">
        <v>73.790000000000006</v>
      </c>
      <c r="V120" s="118">
        <v>75.88</v>
      </c>
      <c r="W120" s="57">
        <v>73.64</v>
      </c>
      <c r="X120" s="57">
        <v>60.29</v>
      </c>
      <c r="Y120" s="37"/>
      <c r="Z120" s="118">
        <v>69.34</v>
      </c>
      <c r="AA120" s="1">
        <v>77.7</v>
      </c>
      <c r="AB120" s="1">
        <v>78.349999999999994</v>
      </c>
      <c r="AC120" s="1">
        <v>74.349999999999994</v>
      </c>
      <c r="AD120" s="1">
        <v>66.239999999999995</v>
      </c>
      <c r="AE120" s="118">
        <v>70.78</v>
      </c>
      <c r="AF120" s="537"/>
      <c r="AG120" s="118">
        <v>113.02</v>
      </c>
      <c r="AH120" s="118">
        <v>57.48</v>
      </c>
      <c r="AI120" s="118"/>
      <c r="AJ120" s="37"/>
      <c r="AK120" s="2"/>
      <c r="AL120" s="176"/>
      <c r="AM120" s="454" t="s">
        <v>251</v>
      </c>
    </row>
    <row r="121" spans="1:40" x14ac:dyDescent="0.25">
      <c r="A121" s="385">
        <v>175</v>
      </c>
      <c r="B121" s="155">
        <v>67.25</v>
      </c>
      <c r="C121" s="131">
        <v>68.73</v>
      </c>
      <c r="D121" s="155">
        <v>62.01</v>
      </c>
      <c r="E121" s="135">
        <v>71.540000000000006</v>
      </c>
      <c r="F121" s="155">
        <v>68.27</v>
      </c>
      <c r="G121" s="135">
        <v>56.06</v>
      </c>
      <c r="H121" s="135">
        <v>75.959999999999994</v>
      </c>
      <c r="I121" s="37"/>
      <c r="J121" s="135">
        <v>62.35</v>
      </c>
      <c r="K121" s="135">
        <v>64.59</v>
      </c>
      <c r="L121" s="135">
        <v>68.66</v>
      </c>
      <c r="M121" s="135">
        <v>78.849999999999994</v>
      </c>
      <c r="N121" s="135">
        <v>57.3</v>
      </c>
      <c r="O121" s="135">
        <v>58.83</v>
      </c>
      <c r="P121" s="135">
        <v>69.06</v>
      </c>
      <c r="Q121" s="37"/>
      <c r="R121" s="131">
        <v>76.45</v>
      </c>
      <c r="S121" s="118">
        <v>66.94</v>
      </c>
      <c r="T121" s="118">
        <v>68.59</v>
      </c>
      <c r="U121" s="1">
        <v>73.38</v>
      </c>
      <c r="V121" s="118">
        <v>78.569999999999993</v>
      </c>
      <c r="W121" s="57">
        <v>73.02</v>
      </c>
      <c r="X121" s="57">
        <v>58.93</v>
      </c>
      <c r="Y121" s="37"/>
      <c r="Z121" s="118">
        <v>74.06</v>
      </c>
      <c r="AA121" s="118">
        <v>81.150000000000006</v>
      </c>
      <c r="AB121" s="1">
        <v>75.97</v>
      </c>
      <c r="AC121" s="1">
        <v>62.05</v>
      </c>
      <c r="AD121" s="1">
        <v>60.69</v>
      </c>
      <c r="AE121" s="118">
        <v>71.56</v>
      </c>
      <c r="AF121" s="118">
        <v>72.260000000000005</v>
      </c>
      <c r="AG121" s="118">
        <v>42.54</v>
      </c>
      <c r="AH121" s="118">
        <v>78.58</v>
      </c>
      <c r="AI121" s="118"/>
      <c r="AJ121" s="37"/>
      <c r="AK121" s="2"/>
      <c r="AL121" s="197"/>
      <c r="AM121" s="455" t="s">
        <v>376</v>
      </c>
    </row>
    <row r="122" spans="1:40" x14ac:dyDescent="0.25">
      <c r="A122" s="385">
        <v>176</v>
      </c>
      <c r="B122" s="537"/>
      <c r="C122" s="537"/>
      <c r="D122" s="537"/>
      <c r="E122" s="537"/>
      <c r="F122" s="537"/>
      <c r="G122" s="537"/>
      <c r="H122" s="537"/>
      <c r="I122" s="773" t="s">
        <v>290</v>
      </c>
      <c r="J122" s="537"/>
      <c r="K122" s="537"/>
      <c r="L122" s="594"/>
      <c r="M122" s="594"/>
      <c r="N122" s="537"/>
      <c r="O122" s="537"/>
      <c r="P122" s="537"/>
      <c r="Q122" s="182" t="s">
        <v>290</v>
      </c>
      <c r="R122" s="537"/>
      <c r="S122" s="537"/>
      <c r="T122" s="537"/>
      <c r="U122" s="537"/>
      <c r="V122" s="537"/>
      <c r="W122" s="530"/>
      <c r="X122" s="530"/>
      <c r="Y122" s="773" t="s">
        <v>290</v>
      </c>
      <c r="Z122" s="530"/>
      <c r="AA122" s="530"/>
      <c r="AB122" s="530"/>
      <c r="AC122" s="530"/>
      <c r="AD122" s="530"/>
      <c r="AE122" s="530"/>
      <c r="AF122" s="530"/>
      <c r="AG122" s="530"/>
      <c r="AH122" s="530"/>
      <c r="AI122" s="530"/>
      <c r="AJ122" s="773" t="s">
        <v>290</v>
      </c>
      <c r="AK122" s="2"/>
      <c r="AL122" s="197"/>
      <c r="AM122" s="455"/>
    </row>
    <row r="123" spans="1:40" x14ac:dyDescent="0.25">
      <c r="A123" s="385">
        <v>177</v>
      </c>
      <c r="B123" s="537"/>
      <c r="C123" s="537"/>
      <c r="D123" s="537"/>
      <c r="E123" s="537"/>
      <c r="F123" s="537"/>
      <c r="G123" s="537"/>
      <c r="H123" s="537"/>
      <c r="I123" s="773" t="s">
        <v>290</v>
      </c>
      <c r="J123" s="537"/>
      <c r="K123" s="537"/>
      <c r="L123" s="530"/>
      <c r="M123" s="537"/>
      <c r="N123" s="537"/>
      <c r="O123" s="135">
        <v>65.17</v>
      </c>
      <c r="P123" s="530"/>
      <c r="Q123" s="37"/>
      <c r="R123" s="537"/>
      <c r="S123" s="537"/>
      <c r="T123" s="537"/>
      <c r="U123" s="12">
        <v>41.34</v>
      </c>
      <c r="V123" s="131">
        <v>53.35</v>
      </c>
      <c r="W123" s="135">
        <v>73.62</v>
      </c>
      <c r="X123" s="135">
        <v>82.82</v>
      </c>
      <c r="Y123" s="37"/>
      <c r="Z123" s="135">
        <v>77.319999999999993</v>
      </c>
      <c r="AA123" s="131">
        <v>82.36</v>
      </c>
      <c r="AB123" s="12">
        <v>71.73</v>
      </c>
      <c r="AC123" s="530"/>
      <c r="AD123" s="12">
        <v>109.5</v>
      </c>
      <c r="AE123" s="135">
        <v>60.18</v>
      </c>
      <c r="AF123" s="131">
        <v>83.47</v>
      </c>
      <c r="AG123" s="131">
        <v>72.47</v>
      </c>
      <c r="AH123" s="131">
        <v>77.930000000000007</v>
      </c>
      <c r="AI123" s="131"/>
      <c r="AJ123" s="47"/>
      <c r="AK123" s="2"/>
      <c r="AL123" s="197"/>
      <c r="AM123" s="455"/>
    </row>
    <row r="124" spans="1:40" x14ac:dyDescent="0.25">
      <c r="A124" s="385">
        <v>178</v>
      </c>
      <c r="B124" s="131">
        <v>87.99</v>
      </c>
      <c r="C124" s="155">
        <v>82.39</v>
      </c>
      <c r="D124" s="131">
        <v>66.150000000000006</v>
      </c>
      <c r="E124" s="135">
        <v>77.75</v>
      </c>
      <c r="F124" s="135">
        <v>55.75</v>
      </c>
      <c r="G124" s="530"/>
      <c r="H124" s="530"/>
      <c r="I124" s="37"/>
      <c r="J124" s="530"/>
      <c r="K124" s="131">
        <v>53.91</v>
      </c>
      <c r="L124" s="155">
        <v>66.25</v>
      </c>
      <c r="M124" s="135">
        <v>76.22</v>
      </c>
      <c r="N124" s="135">
        <v>67.59</v>
      </c>
      <c r="O124" s="135">
        <v>86</v>
      </c>
      <c r="P124" s="135">
        <v>74.05</v>
      </c>
      <c r="Q124" s="37"/>
      <c r="R124" s="131">
        <v>92.74</v>
      </c>
      <c r="S124" s="131">
        <v>92.52</v>
      </c>
      <c r="T124" s="131">
        <v>87.84</v>
      </c>
      <c r="U124" s="12">
        <v>95.48</v>
      </c>
      <c r="V124" s="12">
        <v>49.33</v>
      </c>
      <c r="W124" s="135">
        <v>75.12</v>
      </c>
      <c r="X124" s="135">
        <v>77.94</v>
      </c>
      <c r="Y124" s="37"/>
      <c r="Z124" s="131">
        <v>78.209999999999994</v>
      </c>
      <c r="AA124" s="12">
        <v>91.09</v>
      </c>
      <c r="AB124" s="12">
        <v>68.8</v>
      </c>
      <c r="AC124" s="12">
        <v>79.709999999999994</v>
      </c>
      <c r="AD124" s="12">
        <v>79.86</v>
      </c>
      <c r="AE124" s="131">
        <v>61.66</v>
      </c>
      <c r="AF124" s="537"/>
      <c r="AG124" s="131">
        <v>82.89</v>
      </c>
      <c r="AH124" s="131">
        <v>79.739999999999995</v>
      </c>
      <c r="AI124" s="131"/>
      <c r="AJ124" s="49"/>
      <c r="AK124" s="2"/>
      <c r="AL124" s="197"/>
      <c r="AM124" s="455"/>
    </row>
    <row r="125" spans="1:40" x14ac:dyDescent="0.25">
      <c r="A125" s="385">
        <v>179</v>
      </c>
      <c r="B125" s="131">
        <v>96.91</v>
      </c>
      <c r="C125" s="537"/>
      <c r="D125" s="131">
        <v>65.34</v>
      </c>
      <c r="E125" s="12">
        <v>79.58</v>
      </c>
      <c r="F125" s="131">
        <v>70.569999999999993</v>
      </c>
      <c r="G125" s="131">
        <v>56.23</v>
      </c>
      <c r="H125" s="548">
        <v>126.32</v>
      </c>
      <c r="I125" s="37"/>
      <c r="J125" s="12">
        <v>77.400000000000006</v>
      </c>
      <c r="K125" s="131">
        <v>55.81</v>
      </c>
      <c r="L125" s="155">
        <v>44.01</v>
      </c>
      <c r="M125" s="532">
        <v>143.07</v>
      </c>
      <c r="N125" s="135">
        <v>78.430000000000007</v>
      </c>
      <c r="O125" s="135">
        <v>68.510000000000005</v>
      </c>
      <c r="P125" s="135">
        <v>72.63</v>
      </c>
      <c r="Q125" s="37"/>
      <c r="R125" s="548">
        <v>131.35</v>
      </c>
      <c r="S125" s="131">
        <v>83.03</v>
      </c>
      <c r="T125" s="131">
        <v>84.81</v>
      </c>
      <c r="U125" s="12">
        <v>71.86</v>
      </c>
      <c r="V125" s="131">
        <v>78.52</v>
      </c>
      <c r="W125" s="135">
        <v>71.09</v>
      </c>
      <c r="X125" s="135">
        <v>85.08</v>
      </c>
      <c r="Y125" s="37"/>
      <c r="Z125" s="131">
        <v>111.49</v>
      </c>
      <c r="AA125" s="131">
        <v>105.34</v>
      </c>
      <c r="AB125" s="12">
        <v>84.41</v>
      </c>
      <c r="AC125" s="12">
        <v>67.97</v>
      </c>
      <c r="AD125" s="12">
        <v>95.36</v>
      </c>
      <c r="AE125" s="131">
        <v>101.59</v>
      </c>
      <c r="AF125" s="131">
        <v>80.12</v>
      </c>
      <c r="AG125" s="131">
        <v>70.31</v>
      </c>
      <c r="AH125" s="131">
        <v>90.96</v>
      </c>
      <c r="AI125" s="131"/>
      <c r="AJ125" s="36"/>
      <c r="AK125" s="2"/>
      <c r="AL125" s="197"/>
      <c r="AM125" s="455"/>
    </row>
    <row r="126" spans="1:40" x14ac:dyDescent="0.25">
      <c r="A126" s="385">
        <v>180</v>
      </c>
      <c r="B126" s="537"/>
      <c r="C126" s="548">
        <v>134.41999999999999</v>
      </c>
      <c r="D126" s="537"/>
      <c r="E126" s="537"/>
      <c r="F126" s="537"/>
      <c r="G126" s="537"/>
      <c r="H126" s="537"/>
      <c r="I126" s="37"/>
      <c r="J126" s="131">
        <v>103.47</v>
      </c>
      <c r="K126" s="537"/>
      <c r="L126" s="155">
        <v>41.81</v>
      </c>
      <c r="M126" s="537"/>
      <c r="N126" s="155">
        <v>29.15</v>
      </c>
      <c r="O126" s="530"/>
      <c r="P126" s="530"/>
      <c r="Q126" s="37"/>
      <c r="R126" s="131">
        <v>85.27</v>
      </c>
      <c r="S126" s="537"/>
      <c r="T126" s="131">
        <v>82.45</v>
      </c>
      <c r="U126" s="537"/>
      <c r="V126" s="537"/>
      <c r="W126" s="530"/>
      <c r="X126" s="537"/>
      <c r="Y126" s="37"/>
      <c r="Z126" s="530"/>
      <c r="AA126" s="532">
        <v>196.66</v>
      </c>
      <c r="AB126" s="12">
        <v>30.86</v>
      </c>
      <c r="AC126" s="530"/>
      <c r="AD126" s="530"/>
      <c r="AE126" s="530"/>
      <c r="AF126" s="530"/>
      <c r="AG126" s="537"/>
      <c r="AH126" s="537"/>
      <c r="AI126" s="131"/>
      <c r="AJ126" s="37"/>
      <c r="AK126" s="2"/>
      <c r="AL126" s="197"/>
      <c r="AM126" s="455"/>
    </row>
    <row r="127" spans="1:40" x14ac:dyDescent="0.25">
      <c r="A127" s="385">
        <v>181</v>
      </c>
      <c r="B127" s="548">
        <v>146.97</v>
      </c>
      <c r="C127" s="155">
        <v>102.95</v>
      </c>
      <c r="D127" s="537"/>
      <c r="E127" s="135">
        <v>39.43</v>
      </c>
      <c r="F127" s="131">
        <v>39.21</v>
      </c>
      <c r="G127" s="12">
        <v>114.6</v>
      </c>
      <c r="H127" s="135">
        <v>90.08</v>
      </c>
      <c r="I127" s="37"/>
      <c r="J127" s="131">
        <v>77.790000000000006</v>
      </c>
      <c r="K127" s="131">
        <v>90.04</v>
      </c>
      <c r="L127" s="155">
        <v>88.25</v>
      </c>
      <c r="M127" s="155">
        <v>86.79</v>
      </c>
      <c r="N127" s="530"/>
      <c r="O127" s="135">
        <v>58.84</v>
      </c>
      <c r="P127" s="135">
        <v>87.18</v>
      </c>
      <c r="Q127" s="37"/>
      <c r="R127" s="131">
        <v>52.12</v>
      </c>
      <c r="S127" s="131">
        <v>75.91</v>
      </c>
      <c r="T127" s="131">
        <v>21.04</v>
      </c>
      <c r="U127" s="12">
        <v>77.97</v>
      </c>
      <c r="V127" s="131">
        <v>51.61</v>
      </c>
      <c r="W127" s="135">
        <v>90.73</v>
      </c>
      <c r="X127" s="135">
        <v>115.72</v>
      </c>
      <c r="Y127" s="37"/>
      <c r="Z127" s="131">
        <v>70.52</v>
      </c>
      <c r="AA127" s="12">
        <v>48.8</v>
      </c>
      <c r="AB127" s="12">
        <v>52.41</v>
      </c>
      <c r="AC127" s="12">
        <v>77.42</v>
      </c>
      <c r="AD127" s="12">
        <v>65.540000000000006</v>
      </c>
      <c r="AE127" s="131">
        <v>64.56</v>
      </c>
      <c r="AF127" s="12">
        <v>57.8</v>
      </c>
      <c r="AG127" s="532">
        <v>165.6</v>
      </c>
      <c r="AH127" s="131">
        <v>89.09</v>
      </c>
      <c r="AI127" s="131"/>
      <c r="AJ127" s="37"/>
      <c r="AK127" s="2"/>
      <c r="AL127" s="197"/>
      <c r="AM127" s="455"/>
    </row>
    <row r="128" spans="1:40" x14ac:dyDescent="0.25">
      <c r="A128" s="385">
        <v>182</v>
      </c>
      <c r="B128" s="131">
        <v>87.73</v>
      </c>
      <c r="C128" s="135">
        <v>78.89</v>
      </c>
      <c r="D128" s="131">
        <v>47.73</v>
      </c>
      <c r="E128" s="135">
        <v>77.33</v>
      </c>
      <c r="F128" s="135">
        <v>46.27</v>
      </c>
      <c r="G128" s="135">
        <v>77.53</v>
      </c>
      <c r="H128" s="135">
        <v>72.95</v>
      </c>
      <c r="I128" s="37"/>
      <c r="J128" s="135">
        <v>54.93</v>
      </c>
      <c r="K128" s="135">
        <v>80.61</v>
      </c>
      <c r="L128" s="135">
        <v>60.08</v>
      </c>
      <c r="M128" s="135">
        <v>68.84</v>
      </c>
      <c r="N128" s="135">
        <v>73.260000000000005</v>
      </c>
      <c r="O128" s="135">
        <v>83.14</v>
      </c>
      <c r="P128" s="135">
        <v>71.260000000000005</v>
      </c>
      <c r="Q128" s="37"/>
      <c r="R128" s="131">
        <v>91.08</v>
      </c>
      <c r="S128" s="131">
        <v>85.07</v>
      </c>
      <c r="T128" s="131">
        <v>90.18</v>
      </c>
      <c r="U128" s="12">
        <v>84.95</v>
      </c>
      <c r="V128" s="131">
        <v>71.98</v>
      </c>
      <c r="W128" s="135">
        <v>84.2</v>
      </c>
      <c r="X128" s="135">
        <v>97</v>
      </c>
      <c r="Y128" s="37"/>
      <c r="Z128" s="537"/>
      <c r="AA128" s="131">
        <v>117.39</v>
      </c>
      <c r="AB128" s="12">
        <v>79.069999999999993</v>
      </c>
      <c r="AC128" s="12">
        <v>82.65</v>
      </c>
      <c r="AD128" s="12">
        <v>78.819999999999993</v>
      </c>
      <c r="AE128" s="12">
        <v>81.23</v>
      </c>
      <c r="AF128" s="131">
        <v>76.75</v>
      </c>
      <c r="AG128" s="131">
        <v>62.69</v>
      </c>
      <c r="AH128" s="131">
        <v>75.41</v>
      </c>
      <c r="AI128" s="131"/>
      <c r="AJ128" s="37"/>
      <c r="AK128" s="2"/>
      <c r="AL128" s="197"/>
      <c r="AM128" s="455"/>
    </row>
    <row r="129" spans="1:40" x14ac:dyDescent="0.25">
      <c r="A129" s="385">
        <v>183</v>
      </c>
      <c r="B129" s="548">
        <v>183.85</v>
      </c>
      <c r="C129" s="131">
        <v>87.54</v>
      </c>
      <c r="D129" s="758">
        <v>55.67</v>
      </c>
      <c r="E129" s="131">
        <v>89.17</v>
      </c>
      <c r="F129" s="131">
        <v>77.56</v>
      </c>
      <c r="G129" s="131">
        <v>78.02</v>
      </c>
      <c r="H129" s="573">
        <v>82.07</v>
      </c>
      <c r="I129" s="37"/>
      <c r="J129" s="131">
        <v>76.95</v>
      </c>
      <c r="K129" s="131">
        <v>82.23</v>
      </c>
      <c r="L129" s="155">
        <v>78.44</v>
      </c>
      <c r="M129" s="155">
        <v>78.650000000000006</v>
      </c>
      <c r="N129" s="135">
        <v>83.91</v>
      </c>
      <c r="O129" s="135">
        <v>86.75</v>
      </c>
      <c r="P129" s="135">
        <v>75.19</v>
      </c>
      <c r="Q129" s="37"/>
      <c r="R129" s="537"/>
      <c r="S129" s="537"/>
      <c r="T129" s="537"/>
      <c r="U129" s="530"/>
      <c r="V129" s="537"/>
      <c r="W129" s="530"/>
      <c r="X129" s="530"/>
      <c r="Y129" s="773" t="s">
        <v>290</v>
      </c>
      <c r="Z129" s="131">
        <v>69.239999999999995</v>
      </c>
      <c r="AA129" s="131">
        <v>85.39</v>
      </c>
      <c r="AB129" s="12">
        <v>91.09</v>
      </c>
      <c r="AC129" s="12">
        <v>101.77</v>
      </c>
      <c r="AD129" s="12">
        <v>58.79</v>
      </c>
      <c r="AE129" s="131">
        <v>75.510000000000005</v>
      </c>
      <c r="AF129" s="131">
        <v>69.12</v>
      </c>
      <c r="AG129" s="131">
        <v>84.09</v>
      </c>
      <c r="AH129" s="131">
        <v>78.709999999999994</v>
      </c>
      <c r="AI129" s="131"/>
      <c r="AJ129" s="37"/>
      <c r="AK129" s="2"/>
      <c r="AL129" s="197"/>
      <c r="AM129" s="455"/>
    </row>
    <row r="130" spans="1:40" x14ac:dyDescent="0.25">
      <c r="A130" s="385">
        <v>184</v>
      </c>
      <c r="B130" s="155">
        <v>90.94</v>
      </c>
      <c r="C130" s="135">
        <v>58.43</v>
      </c>
      <c r="D130" s="155">
        <v>82.52</v>
      </c>
      <c r="E130" s="135">
        <v>63.62</v>
      </c>
      <c r="F130" s="131">
        <v>50.96</v>
      </c>
      <c r="G130" s="135">
        <v>56.79</v>
      </c>
      <c r="H130" s="131">
        <v>75.28</v>
      </c>
      <c r="I130" s="37"/>
      <c r="J130" s="131">
        <v>38.729999999999997</v>
      </c>
      <c r="K130" s="135">
        <v>95.13</v>
      </c>
      <c r="L130" s="135">
        <v>56.33</v>
      </c>
      <c r="M130" s="135">
        <v>66.09</v>
      </c>
      <c r="N130" s="135">
        <v>111.84</v>
      </c>
      <c r="O130" s="135">
        <v>83.9</v>
      </c>
      <c r="P130" s="135">
        <v>66.44</v>
      </c>
      <c r="Q130" s="37"/>
      <c r="R130" s="12">
        <v>54.8</v>
      </c>
      <c r="S130" s="131">
        <v>106.78</v>
      </c>
      <c r="T130" s="131">
        <v>93.12</v>
      </c>
      <c r="U130" s="12">
        <v>84.61</v>
      </c>
      <c r="V130" s="548">
        <v>149.34</v>
      </c>
      <c r="W130" s="135">
        <v>80.88</v>
      </c>
      <c r="X130" s="135">
        <v>71.180000000000007</v>
      </c>
      <c r="Y130" s="37"/>
      <c r="Z130" s="131">
        <v>96.43</v>
      </c>
      <c r="AA130" s="131">
        <v>56.67</v>
      </c>
      <c r="AB130" s="12">
        <v>51.03</v>
      </c>
      <c r="AC130" s="12">
        <v>63.52</v>
      </c>
      <c r="AD130" s="12">
        <v>60.06</v>
      </c>
      <c r="AE130" s="131">
        <v>90.06</v>
      </c>
      <c r="AF130" s="537"/>
      <c r="AG130" s="131">
        <v>47.61</v>
      </c>
      <c r="AH130" s="131">
        <v>74.98</v>
      </c>
      <c r="AI130" s="131"/>
      <c r="AJ130" s="37"/>
      <c r="AK130" s="2"/>
      <c r="AL130" s="197"/>
      <c r="AM130" s="455"/>
    </row>
    <row r="131" spans="1:40" x14ac:dyDescent="0.25">
      <c r="A131" s="385">
        <v>185</v>
      </c>
      <c r="B131" s="131">
        <v>71.959999999999994</v>
      </c>
      <c r="C131" s="155">
        <v>79.02</v>
      </c>
      <c r="D131" s="131">
        <v>64.510000000000005</v>
      </c>
      <c r="E131" s="12">
        <v>84.47</v>
      </c>
      <c r="F131" s="131">
        <v>75.25</v>
      </c>
      <c r="G131" s="131">
        <v>49.48</v>
      </c>
      <c r="H131" s="131">
        <v>70.06</v>
      </c>
      <c r="I131" s="37"/>
      <c r="J131" s="12">
        <v>69.400000000000006</v>
      </c>
      <c r="K131" s="131">
        <v>70.39</v>
      </c>
      <c r="L131" s="155">
        <v>76.19</v>
      </c>
      <c r="M131" s="135">
        <v>79.7</v>
      </c>
      <c r="N131" s="155">
        <v>74.77</v>
      </c>
      <c r="O131" s="135">
        <v>82.78</v>
      </c>
      <c r="P131" s="135">
        <v>71.92</v>
      </c>
      <c r="Q131" s="37"/>
      <c r="R131" s="131">
        <v>91.44</v>
      </c>
      <c r="S131" s="12">
        <v>69.09</v>
      </c>
      <c r="T131" s="131">
        <v>65.010000000000005</v>
      </c>
      <c r="U131" s="12">
        <v>40.17</v>
      </c>
      <c r="V131" s="131">
        <v>48.83</v>
      </c>
      <c r="W131" s="135">
        <v>82.77</v>
      </c>
      <c r="X131" s="135">
        <v>60.3</v>
      </c>
      <c r="Y131" s="37"/>
      <c r="Z131" s="12">
        <v>84.35</v>
      </c>
      <c r="AA131" s="135">
        <v>53.55</v>
      </c>
      <c r="AB131" s="12">
        <v>72.03</v>
      </c>
      <c r="AC131" s="12">
        <v>67.84</v>
      </c>
      <c r="AD131" s="12">
        <v>91.1</v>
      </c>
      <c r="AE131" s="131">
        <v>85.24</v>
      </c>
      <c r="AF131" s="131">
        <v>76.72</v>
      </c>
      <c r="AG131" s="131">
        <v>69.23</v>
      </c>
      <c r="AH131" s="131">
        <v>93.23</v>
      </c>
      <c r="AI131" s="131"/>
      <c r="AJ131" s="37"/>
      <c r="AK131" s="2"/>
      <c r="AL131" s="197"/>
      <c r="AM131" s="455"/>
    </row>
    <row r="132" spans="1:40" x14ac:dyDescent="0.25">
      <c r="A132" s="385">
        <v>186</v>
      </c>
      <c r="B132" s="131">
        <v>94.35</v>
      </c>
      <c r="C132" s="131">
        <v>59.74</v>
      </c>
      <c r="D132" s="131">
        <v>81.91</v>
      </c>
      <c r="E132" s="131">
        <v>71.16</v>
      </c>
      <c r="F132" s="131">
        <v>40.01</v>
      </c>
      <c r="G132" s="135">
        <v>66.38</v>
      </c>
      <c r="H132" s="135">
        <v>87</v>
      </c>
      <c r="I132" s="37"/>
      <c r="J132" s="135">
        <v>62.03</v>
      </c>
      <c r="K132" s="135">
        <v>81.03</v>
      </c>
      <c r="L132" s="135">
        <v>76.290000000000006</v>
      </c>
      <c r="M132" s="135">
        <v>82.95</v>
      </c>
      <c r="N132" s="135">
        <v>80.209999999999994</v>
      </c>
      <c r="O132" s="135">
        <v>71.349999999999994</v>
      </c>
      <c r="P132" s="135">
        <v>67.349999999999994</v>
      </c>
      <c r="Q132" s="37"/>
      <c r="R132" s="12">
        <v>76.59</v>
      </c>
      <c r="S132" s="131">
        <v>65.78</v>
      </c>
      <c r="T132" s="131">
        <v>56.07</v>
      </c>
      <c r="U132" s="12">
        <v>71.92</v>
      </c>
      <c r="V132" s="131">
        <v>75.959999999999994</v>
      </c>
      <c r="W132" s="135">
        <v>58.95</v>
      </c>
      <c r="X132" s="135">
        <v>66.209999999999994</v>
      </c>
      <c r="Y132" s="37"/>
      <c r="Z132" s="532">
        <v>135</v>
      </c>
      <c r="AA132" s="131">
        <v>76.09</v>
      </c>
      <c r="AB132" s="12">
        <v>77.09</v>
      </c>
      <c r="AC132" s="530"/>
      <c r="AD132" s="530"/>
      <c r="AE132" s="530"/>
      <c r="AF132" s="537"/>
      <c r="AG132" s="537"/>
      <c r="AH132" s="537"/>
      <c r="AI132" s="131"/>
      <c r="AJ132" s="37"/>
      <c r="AK132" s="2"/>
      <c r="AL132" s="197"/>
      <c r="AM132" s="455"/>
      <c r="AN132" s="13"/>
    </row>
    <row r="133" spans="1:40" x14ac:dyDescent="0.25">
      <c r="A133" s="385">
        <v>187</v>
      </c>
      <c r="B133" s="537"/>
      <c r="C133" s="537"/>
      <c r="D133" s="537"/>
      <c r="E133" s="537"/>
      <c r="F133" s="537"/>
      <c r="G133" s="537"/>
      <c r="H133" s="537"/>
      <c r="I133" s="773" t="s">
        <v>290</v>
      </c>
      <c r="J133" s="537"/>
      <c r="K133" s="537"/>
      <c r="L133" s="594"/>
      <c r="M133" s="594"/>
      <c r="N133" s="537"/>
      <c r="O133" s="537"/>
      <c r="P133" s="537"/>
      <c r="Q133" s="182" t="s">
        <v>290</v>
      </c>
      <c r="R133" s="537"/>
      <c r="S133" s="537"/>
      <c r="T133" s="537"/>
      <c r="U133" s="537"/>
      <c r="V133" s="537"/>
      <c r="W133" s="530"/>
      <c r="X133" s="530"/>
      <c r="Y133" s="773" t="s">
        <v>290</v>
      </c>
      <c r="Z133" s="530"/>
      <c r="AA133" s="530"/>
      <c r="AB133" s="530"/>
      <c r="AC133" s="530"/>
      <c r="AD133" s="530"/>
      <c r="AE133" s="530"/>
      <c r="AF133" s="530"/>
      <c r="AG133" s="530"/>
      <c r="AH133" s="530"/>
      <c r="AI133" s="530"/>
      <c r="AJ133" s="773" t="s">
        <v>290</v>
      </c>
      <c r="AK133" s="2"/>
      <c r="AL133" s="197"/>
      <c r="AM133" s="455"/>
    </row>
    <row r="134" spans="1:40" x14ac:dyDescent="0.25">
      <c r="A134" s="385">
        <v>188</v>
      </c>
      <c r="B134" s="131">
        <v>76.459999999999994</v>
      </c>
      <c r="C134" s="12">
        <v>42.89</v>
      </c>
      <c r="D134" s="131">
        <v>78.790000000000006</v>
      </c>
      <c r="E134" s="131">
        <v>72.209999999999994</v>
      </c>
      <c r="F134" s="135">
        <v>47.3</v>
      </c>
      <c r="G134" s="135">
        <v>49.5</v>
      </c>
      <c r="H134" s="530"/>
      <c r="I134" s="37"/>
      <c r="J134" s="135">
        <v>13.06</v>
      </c>
      <c r="K134" s="135">
        <v>67.91</v>
      </c>
      <c r="L134" s="135">
        <v>70.45</v>
      </c>
      <c r="M134" s="135">
        <v>109.44</v>
      </c>
      <c r="N134" s="155">
        <v>52.89</v>
      </c>
      <c r="O134" s="135">
        <v>71.239999999999995</v>
      </c>
      <c r="P134" s="135">
        <v>95.92</v>
      </c>
      <c r="Q134" s="37"/>
      <c r="R134" s="131">
        <v>111.92</v>
      </c>
      <c r="S134" s="12">
        <v>62.3</v>
      </c>
      <c r="T134" s="131">
        <v>81.23</v>
      </c>
      <c r="U134" s="12">
        <v>87.58</v>
      </c>
      <c r="V134" s="131">
        <v>84.78</v>
      </c>
      <c r="W134" s="135">
        <v>77.569999999999993</v>
      </c>
      <c r="X134" s="530"/>
      <c r="Y134" s="37"/>
      <c r="Z134" s="131">
        <v>91.17</v>
      </c>
      <c r="AA134" s="12">
        <v>86.4</v>
      </c>
      <c r="AB134" s="12">
        <v>78.22</v>
      </c>
      <c r="AC134" s="12">
        <v>73.239999999999995</v>
      </c>
      <c r="AD134" s="12">
        <v>63.96</v>
      </c>
      <c r="AE134" s="12">
        <v>61.7</v>
      </c>
      <c r="AF134" s="537"/>
      <c r="AG134" s="131">
        <v>35.57</v>
      </c>
      <c r="AH134" s="131">
        <v>87.32</v>
      </c>
      <c r="AI134" s="131"/>
      <c r="AJ134" s="37"/>
      <c r="AK134" s="2"/>
      <c r="AL134" s="197"/>
      <c r="AM134" s="455"/>
      <c r="AN134" s="13"/>
    </row>
    <row r="135" spans="1:40" x14ac:dyDescent="0.25">
      <c r="A135" s="385">
        <v>189</v>
      </c>
      <c r="B135" s="155">
        <v>97.27</v>
      </c>
      <c r="C135" s="131">
        <v>80.430000000000007</v>
      </c>
      <c r="D135" s="155">
        <v>62.21</v>
      </c>
      <c r="E135" s="131">
        <v>90.58</v>
      </c>
      <c r="F135" s="135">
        <v>49.73</v>
      </c>
      <c r="G135" s="131">
        <v>67.11</v>
      </c>
      <c r="H135" s="135">
        <v>96.93</v>
      </c>
      <c r="I135" s="37"/>
      <c r="J135" s="12">
        <v>60.8</v>
      </c>
      <c r="K135" s="12">
        <v>90.43</v>
      </c>
      <c r="L135" s="135">
        <v>67.7</v>
      </c>
      <c r="M135" s="155">
        <v>67.19</v>
      </c>
      <c r="N135" s="155">
        <v>89.45</v>
      </c>
      <c r="O135" s="135">
        <v>63.89</v>
      </c>
      <c r="P135" s="135">
        <v>65.89</v>
      </c>
      <c r="Q135" s="37"/>
      <c r="R135" s="155">
        <v>91.85</v>
      </c>
      <c r="S135" s="131">
        <v>94.45</v>
      </c>
      <c r="T135" s="12">
        <v>87.57</v>
      </c>
      <c r="U135" s="12">
        <v>76.77</v>
      </c>
      <c r="V135" s="131">
        <v>68.11</v>
      </c>
      <c r="W135" s="135">
        <v>81.09</v>
      </c>
      <c r="X135" s="135">
        <v>74.069999999999993</v>
      </c>
      <c r="Y135" s="37"/>
      <c r="Z135" s="131">
        <v>74.930000000000007</v>
      </c>
      <c r="AA135" s="537"/>
      <c r="AB135" s="532">
        <v>138.97</v>
      </c>
      <c r="AC135" s="12">
        <v>43.38</v>
      </c>
      <c r="AD135" s="530"/>
      <c r="AE135" s="131">
        <v>100.66</v>
      </c>
      <c r="AF135" s="12">
        <v>84.43</v>
      </c>
      <c r="AG135" s="131">
        <v>71.78</v>
      </c>
      <c r="AH135" s="537"/>
      <c r="AI135" s="131"/>
      <c r="AJ135" s="37"/>
      <c r="AK135" s="2"/>
      <c r="AL135" s="197"/>
      <c r="AM135" s="455"/>
    </row>
    <row r="136" spans="1:40" x14ac:dyDescent="0.25">
      <c r="A136" s="385">
        <v>190</v>
      </c>
      <c r="B136" s="619">
        <v>69.56</v>
      </c>
      <c r="C136" s="155">
        <v>39.42</v>
      </c>
      <c r="D136" s="533">
        <v>81.5</v>
      </c>
      <c r="E136" s="131">
        <v>86.14</v>
      </c>
      <c r="F136" s="12">
        <v>58.31</v>
      </c>
      <c r="G136" s="135">
        <v>73.760000000000005</v>
      </c>
      <c r="H136" s="530"/>
      <c r="I136" s="37"/>
      <c r="J136" s="135">
        <v>87.56</v>
      </c>
      <c r="K136" s="135">
        <v>82.9</v>
      </c>
      <c r="L136" s="155">
        <v>78.180000000000007</v>
      </c>
      <c r="M136" s="155">
        <v>61.05</v>
      </c>
      <c r="N136" s="135">
        <v>66.59</v>
      </c>
      <c r="O136" s="530"/>
      <c r="P136" s="135">
        <v>30.08</v>
      </c>
      <c r="Q136" s="37"/>
      <c r="R136" s="530"/>
      <c r="S136" s="537"/>
      <c r="T136" s="12">
        <v>41</v>
      </c>
      <c r="U136" s="12">
        <v>15.07</v>
      </c>
      <c r="V136" s="12">
        <v>73.08</v>
      </c>
      <c r="W136" s="135">
        <v>66.52</v>
      </c>
      <c r="X136" s="135">
        <v>69.91</v>
      </c>
      <c r="Y136" s="37"/>
      <c r="Z136" s="131">
        <v>111.07</v>
      </c>
      <c r="AA136" s="131">
        <v>60.83</v>
      </c>
      <c r="AB136" s="530"/>
      <c r="AC136" s="12">
        <v>95.72</v>
      </c>
      <c r="AD136" s="530"/>
      <c r="AE136" s="131">
        <v>62.53</v>
      </c>
      <c r="AF136" s="131">
        <v>82.15</v>
      </c>
      <c r="AG136" s="131">
        <v>86.28</v>
      </c>
      <c r="AH136" s="537"/>
      <c r="AI136" s="131"/>
      <c r="AJ136" s="37"/>
      <c r="AK136" s="2"/>
      <c r="AL136" s="197"/>
      <c r="AM136" s="455"/>
      <c r="AN136" s="13"/>
    </row>
    <row r="137" spans="1:40" x14ac:dyDescent="0.25">
      <c r="A137" s="385">
        <v>191</v>
      </c>
      <c r="B137" s="131">
        <v>92.58</v>
      </c>
      <c r="C137" s="135">
        <v>78.930000000000007</v>
      </c>
      <c r="D137" s="131">
        <v>64.34</v>
      </c>
      <c r="E137" s="135">
        <v>70.150000000000006</v>
      </c>
      <c r="F137" s="135">
        <v>84.4</v>
      </c>
      <c r="G137" s="135">
        <v>66.36</v>
      </c>
      <c r="H137" s="135">
        <v>74.53</v>
      </c>
      <c r="I137" s="37"/>
      <c r="J137" s="135">
        <v>54.36</v>
      </c>
      <c r="K137" s="135">
        <v>86.41</v>
      </c>
      <c r="L137" s="135">
        <v>87.61</v>
      </c>
      <c r="M137" s="135">
        <v>65.03</v>
      </c>
      <c r="N137" s="135">
        <v>73.94</v>
      </c>
      <c r="O137" s="135">
        <v>78.62</v>
      </c>
      <c r="P137" s="135">
        <v>70.959999999999994</v>
      </c>
      <c r="Q137" s="37"/>
      <c r="R137" s="155">
        <v>92.35</v>
      </c>
      <c r="S137" s="12">
        <v>93.4</v>
      </c>
      <c r="T137" s="131">
        <v>84.86</v>
      </c>
      <c r="U137" s="12">
        <v>72.84</v>
      </c>
      <c r="V137" s="131">
        <v>54.86</v>
      </c>
      <c r="W137" s="135">
        <v>81.55</v>
      </c>
      <c r="X137" s="135">
        <v>77.260000000000005</v>
      </c>
      <c r="Y137" s="37"/>
      <c r="Z137" s="12">
        <v>82.9</v>
      </c>
      <c r="AA137" s="131">
        <v>71.739999999999995</v>
      </c>
      <c r="AB137" s="12">
        <v>85.01</v>
      </c>
      <c r="AC137" s="12">
        <v>86.37</v>
      </c>
      <c r="AD137" s="12">
        <v>92.56</v>
      </c>
      <c r="AE137" s="131">
        <v>66.319999999999993</v>
      </c>
      <c r="AF137" s="12">
        <v>72.22</v>
      </c>
      <c r="AG137" s="537"/>
      <c r="AH137" s="537"/>
      <c r="AI137" s="131"/>
      <c r="AJ137" s="37"/>
      <c r="AK137" s="2"/>
      <c r="AL137" s="197"/>
      <c r="AM137" s="455"/>
    </row>
    <row r="138" spans="1:40" x14ac:dyDescent="0.25">
      <c r="A138" s="385">
        <v>192</v>
      </c>
      <c r="B138" s="131">
        <v>76.23</v>
      </c>
      <c r="C138" s="155">
        <v>78.95</v>
      </c>
      <c r="D138" s="131">
        <v>43.03</v>
      </c>
      <c r="E138" s="135">
        <v>89.27</v>
      </c>
      <c r="F138" s="135">
        <v>61.53</v>
      </c>
      <c r="G138" s="135">
        <v>41.99</v>
      </c>
      <c r="H138" s="135">
        <v>82.37</v>
      </c>
      <c r="I138" s="37"/>
      <c r="J138" s="131">
        <v>60.84</v>
      </c>
      <c r="K138" s="131">
        <v>71.25</v>
      </c>
      <c r="L138" s="155">
        <v>90.58</v>
      </c>
      <c r="M138" s="155">
        <v>78.95</v>
      </c>
      <c r="N138" s="155">
        <v>77.94</v>
      </c>
      <c r="O138" s="135">
        <v>80.88</v>
      </c>
      <c r="P138" s="135">
        <v>76.39</v>
      </c>
      <c r="Q138" s="37"/>
      <c r="R138" s="155">
        <v>85.08</v>
      </c>
      <c r="S138" s="131">
        <v>101.07</v>
      </c>
      <c r="T138" s="131">
        <v>64.61</v>
      </c>
      <c r="U138" s="12">
        <v>70.569999999999993</v>
      </c>
      <c r="V138" s="131">
        <v>66.33</v>
      </c>
      <c r="W138" s="530"/>
      <c r="X138" s="131">
        <v>116.51</v>
      </c>
      <c r="Y138" s="37"/>
      <c r="Z138" s="135">
        <v>72.599999999999994</v>
      </c>
      <c r="AA138" s="131">
        <v>88.93</v>
      </c>
      <c r="AB138" s="530"/>
      <c r="AC138" s="12">
        <v>48.35</v>
      </c>
      <c r="AD138" s="12">
        <v>75.3</v>
      </c>
      <c r="AE138" s="131">
        <v>72.34</v>
      </c>
      <c r="AF138" s="131">
        <v>87.71</v>
      </c>
      <c r="AG138" s="12">
        <v>66.900000000000006</v>
      </c>
      <c r="AH138" s="131">
        <v>87.51</v>
      </c>
      <c r="AI138" s="131"/>
      <c r="AJ138" s="37"/>
      <c r="AK138" s="2"/>
      <c r="AL138" s="197"/>
      <c r="AM138" s="455"/>
      <c r="AN138" s="13"/>
    </row>
    <row r="139" spans="1:40" x14ac:dyDescent="0.25">
      <c r="A139" s="385">
        <v>193</v>
      </c>
      <c r="B139" s="131">
        <v>75.98</v>
      </c>
      <c r="C139" s="135">
        <v>86.42</v>
      </c>
      <c r="D139" s="131">
        <v>70.739999999999995</v>
      </c>
      <c r="E139" s="135">
        <v>66.66</v>
      </c>
      <c r="F139" s="131">
        <v>76.39</v>
      </c>
      <c r="G139" s="131">
        <v>66.95</v>
      </c>
      <c r="H139" s="131">
        <v>76.41</v>
      </c>
      <c r="I139" s="37"/>
      <c r="J139" s="135">
        <v>68.83</v>
      </c>
      <c r="K139" s="135">
        <v>80.94</v>
      </c>
      <c r="L139" s="155">
        <v>66.48</v>
      </c>
      <c r="M139" s="155">
        <v>78.66</v>
      </c>
      <c r="N139" s="155">
        <v>71.02</v>
      </c>
      <c r="O139" s="135">
        <v>64.75</v>
      </c>
      <c r="P139" s="135">
        <v>81.53</v>
      </c>
      <c r="Q139" s="37"/>
      <c r="R139" s="131">
        <v>91.39</v>
      </c>
      <c r="S139" s="12">
        <v>89.37</v>
      </c>
      <c r="T139" s="131">
        <v>91.17</v>
      </c>
      <c r="U139" s="12">
        <v>77.599999999999994</v>
      </c>
      <c r="V139" s="131">
        <v>75.55</v>
      </c>
      <c r="W139" s="135">
        <v>75.3</v>
      </c>
      <c r="X139" s="135">
        <v>84.2</v>
      </c>
      <c r="Y139" s="37"/>
      <c r="Z139" s="131">
        <v>88.45</v>
      </c>
      <c r="AA139" s="131">
        <v>80.17</v>
      </c>
      <c r="AB139" s="12">
        <v>80.12</v>
      </c>
      <c r="AC139" s="12">
        <v>57.31</v>
      </c>
      <c r="AD139" s="12">
        <v>58.31</v>
      </c>
      <c r="AE139" s="537"/>
      <c r="AF139" s="537"/>
      <c r="AG139" s="537"/>
      <c r="AH139" s="537"/>
      <c r="AI139" s="131"/>
      <c r="AJ139" s="37"/>
      <c r="AK139" s="2"/>
      <c r="AL139" s="197"/>
      <c r="AM139" s="455"/>
    </row>
    <row r="140" spans="1:40" x14ac:dyDescent="0.25">
      <c r="A140" s="385">
        <v>194</v>
      </c>
      <c r="B140" s="135">
        <v>76.22</v>
      </c>
      <c r="C140" s="155">
        <v>83.13</v>
      </c>
      <c r="D140" s="135">
        <v>71.11</v>
      </c>
      <c r="E140" s="131">
        <v>75.42</v>
      </c>
      <c r="F140" s="135">
        <v>68.930000000000007</v>
      </c>
      <c r="G140" s="131">
        <v>70.64</v>
      </c>
      <c r="H140" s="131">
        <v>83.44</v>
      </c>
      <c r="I140" s="37"/>
      <c r="J140" s="131">
        <v>70.48</v>
      </c>
      <c r="K140" s="12">
        <v>85.35</v>
      </c>
      <c r="L140" s="155">
        <v>94.85</v>
      </c>
      <c r="M140" s="155">
        <v>81.38</v>
      </c>
      <c r="N140" s="135">
        <v>79.760000000000005</v>
      </c>
      <c r="O140" s="135">
        <v>76.84</v>
      </c>
      <c r="P140" s="135">
        <v>68.37</v>
      </c>
      <c r="Q140" s="37"/>
      <c r="R140" s="131">
        <v>97.82</v>
      </c>
      <c r="S140" s="131">
        <v>76.489999999999995</v>
      </c>
      <c r="T140" s="131">
        <v>71.75</v>
      </c>
      <c r="U140" s="12">
        <v>97.51</v>
      </c>
      <c r="V140" s="131">
        <v>82.36</v>
      </c>
      <c r="W140" s="135">
        <v>76.44</v>
      </c>
      <c r="X140" s="135">
        <v>82.17</v>
      </c>
      <c r="Y140" s="37"/>
      <c r="Z140" s="131">
        <v>93.95</v>
      </c>
      <c r="AA140" s="12">
        <v>85.99</v>
      </c>
      <c r="AB140" s="135">
        <v>66.34</v>
      </c>
      <c r="AC140" s="12">
        <v>65.13</v>
      </c>
      <c r="AD140" s="12">
        <v>92.59</v>
      </c>
      <c r="AE140" s="131">
        <v>71.62</v>
      </c>
      <c r="AF140" s="131">
        <v>94.73</v>
      </c>
      <c r="AG140" s="131">
        <v>62.48</v>
      </c>
      <c r="AH140" s="131">
        <v>84.82</v>
      </c>
      <c r="AI140" s="131"/>
      <c r="AJ140" s="40"/>
      <c r="AK140" s="2"/>
      <c r="AL140" s="197"/>
      <c r="AM140" s="455"/>
      <c r="AN140" s="13"/>
    </row>
    <row r="141" spans="1:40" x14ac:dyDescent="0.25">
      <c r="A141" s="385">
        <v>195</v>
      </c>
      <c r="B141" s="131">
        <v>75.349999999999994</v>
      </c>
      <c r="C141" s="135">
        <v>70.680000000000007</v>
      </c>
      <c r="D141" s="12">
        <v>81.7</v>
      </c>
      <c r="E141" s="131">
        <v>98.85</v>
      </c>
      <c r="F141" s="135">
        <v>48.46</v>
      </c>
      <c r="G141" s="135">
        <v>3.87</v>
      </c>
      <c r="H141" s="135">
        <v>69.3</v>
      </c>
      <c r="I141" s="37"/>
      <c r="J141" s="135">
        <v>57.61</v>
      </c>
      <c r="K141" s="135">
        <v>81.47</v>
      </c>
      <c r="L141" s="135">
        <v>85.2</v>
      </c>
      <c r="M141" s="135">
        <v>87.57</v>
      </c>
      <c r="N141" s="135">
        <v>66.61</v>
      </c>
      <c r="O141" s="135">
        <v>77.86</v>
      </c>
      <c r="P141" s="135">
        <v>81.37</v>
      </c>
      <c r="Q141" s="37"/>
      <c r="R141" s="12">
        <v>87.75</v>
      </c>
      <c r="S141" s="131">
        <v>92.59</v>
      </c>
      <c r="T141" s="131">
        <v>73.39</v>
      </c>
      <c r="U141" s="12">
        <v>79.19</v>
      </c>
      <c r="V141" s="131">
        <v>85.19</v>
      </c>
      <c r="W141" s="135">
        <v>77.150000000000006</v>
      </c>
      <c r="X141" s="135">
        <v>88.22</v>
      </c>
      <c r="Y141" s="37"/>
      <c r="Z141" s="131">
        <v>89.01</v>
      </c>
      <c r="AA141" s="12">
        <v>72.14</v>
      </c>
      <c r="AB141" s="12">
        <v>87.79</v>
      </c>
      <c r="AC141" s="12">
        <v>119.59</v>
      </c>
      <c r="AD141" s="12">
        <v>93.15</v>
      </c>
      <c r="AE141" s="131">
        <v>69.650000000000006</v>
      </c>
      <c r="AF141" s="131">
        <v>108.13</v>
      </c>
      <c r="AG141" s="131">
        <v>57.78</v>
      </c>
      <c r="AH141" s="131">
        <v>86.51</v>
      </c>
      <c r="AI141" s="131"/>
      <c r="AJ141" s="37"/>
      <c r="AK141" s="2"/>
      <c r="AL141" s="197"/>
      <c r="AM141" s="455"/>
    </row>
    <row r="142" spans="1:40" x14ac:dyDescent="0.25">
      <c r="A142" s="385">
        <v>196</v>
      </c>
      <c r="B142" s="12">
        <v>87.02</v>
      </c>
      <c r="C142" s="155">
        <v>69.61</v>
      </c>
      <c r="D142" s="12">
        <v>95.97</v>
      </c>
      <c r="E142" s="135">
        <v>88.96</v>
      </c>
      <c r="F142" s="135">
        <v>66.97</v>
      </c>
      <c r="G142" s="135">
        <v>81.11</v>
      </c>
      <c r="H142" s="135">
        <v>79.28</v>
      </c>
      <c r="I142" s="37"/>
      <c r="J142" s="135">
        <v>70.37</v>
      </c>
      <c r="K142" s="155">
        <v>90.54</v>
      </c>
      <c r="L142" s="135">
        <v>73.13</v>
      </c>
      <c r="M142" s="530"/>
      <c r="N142" s="532">
        <v>129.99</v>
      </c>
      <c r="O142" s="135">
        <v>78.3</v>
      </c>
      <c r="P142" s="135">
        <v>90.69</v>
      </c>
      <c r="Q142" s="37"/>
      <c r="R142" s="12">
        <v>107.1</v>
      </c>
      <c r="S142" s="131">
        <v>94.25</v>
      </c>
      <c r="T142" s="12">
        <v>89.24</v>
      </c>
      <c r="U142" s="12">
        <v>80.86</v>
      </c>
      <c r="V142" s="131">
        <v>76.66</v>
      </c>
      <c r="W142" s="135">
        <v>102.29</v>
      </c>
      <c r="X142" s="135">
        <v>90.62</v>
      </c>
      <c r="Y142" s="37"/>
      <c r="Z142" s="131">
        <v>97.63</v>
      </c>
      <c r="AA142" s="131">
        <v>100.68</v>
      </c>
      <c r="AB142" s="12">
        <v>77.06</v>
      </c>
      <c r="AC142" s="12">
        <v>74.12</v>
      </c>
      <c r="AD142" s="12">
        <v>100.53</v>
      </c>
      <c r="AE142" s="131">
        <v>88.32</v>
      </c>
      <c r="AF142" s="131">
        <v>25.14</v>
      </c>
      <c r="AG142" s="131">
        <v>55.86</v>
      </c>
      <c r="AH142" s="131">
        <v>87.61</v>
      </c>
      <c r="AI142" s="131"/>
      <c r="AJ142" s="37"/>
      <c r="AK142" s="2"/>
      <c r="AL142" s="197"/>
      <c r="AM142" s="455"/>
      <c r="AN142" s="13"/>
    </row>
    <row r="143" spans="1:40" x14ac:dyDescent="0.25">
      <c r="A143" s="385">
        <v>197</v>
      </c>
      <c r="B143" s="131">
        <v>69.83</v>
      </c>
      <c r="C143" s="155">
        <v>74.23</v>
      </c>
      <c r="D143" s="131">
        <v>73.72</v>
      </c>
      <c r="E143" s="131">
        <v>65.739999999999995</v>
      </c>
      <c r="F143" s="135">
        <v>59.91</v>
      </c>
      <c r="G143" s="131">
        <v>74.53</v>
      </c>
      <c r="H143" s="135">
        <v>67.650000000000006</v>
      </c>
      <c r="I143" s="37"/>
      <c r="J143" s="12">
        <v>49.85</v>
      </c>
      <c r="K143" s="131">
        <v>72.69</v>
      </c>
      <c r="L143" s="135">
        <v>65.45</v>
      </c>
      <c r="M143" s="155">
        <v>75.78</v>
      </c>
      <c r="N143" s="155">
        <v>70.73</v>
      </c>
      <c r="O143" s="135">
        <v>76.040000000000006</v>
      </c>
      <c r="P143" s="135">
        <v>65.83</v>
      </c>
      <c r="Q143" s="37"/>
      <c r="R143" s="131">
        <v>86.63</v>
      </c>
      <c r="S143" s="131">
        <v>80.430000000000007</v>
      </c>
      <c r="T143" s="12">
        <v>70.400000000000006</v>
      </c>
      <c r="U143" s="530"/>
      <c r="V143" s="131">
        <v>66.48</v>
      </c>
      <c r="W143" s="135">
        <v>68.75</v>
      </c>
      <c r="X143" s="135">
        <v>75.209999999999994</v>
      </c>
      <c r="Y143" s="37"/>
      <c r="Z143" s="131">
        <v>99.14</v>
      </c>
      <c r="AA143" s="12">
        <v>76.459999999999994</v>
      </c>
      <c r="AB143" s="12">
        <v>66.650000000000006</v>
      </c>
      <c r="AC143" s="12">
        <v>43.46</v>
      </c>
      <c r="AD143" s="12">
        <v>80.36</v>
      </c>
      <c r="AE143" s="131">
        <v>66.98</v>
      </c>
      <c r="AF143" s="12">
        <v>87</v>
      </c>
      <c r="AG143" s="131">
        <v>73.52</v>
      </c>
      <c r="AH143" s="131">
        <v>82.27</v>
      </c>
      <c r="AI143" s="131"/>
      <c r="AJ143" s="37"/>
      <c r="AK143" s="2"/>
      <c r="AL143" s="197"/>
      <c r="AM143" s="455"/>
    </row>
    <row r="144" spans="1:40" x14ac:dyDescent="0.25">
      <c r="A144" s="385">
        <v>198</v>
      </c>
      <c r="B144" s="131">
        <v>108.56</v>
      </c>
      <c r="C144" s="135">
        <v>104.74</v>
      </c>
      <c r="D144" s="131">
        <v>96.37</v>
      </c>
      <c r="E144" s="135">
        <v>86.22</v>
      </c>
      <c r="F144" s="135">
        <v>82.19</v>
      </c>
      <c r="G144" s="135">
        <v>83.37</v>
      </c>
      <c r="H144" s="135">
        <v>81.25</v>
      </c>
      <c r="I144" s="37"/>
      <c r="J144" s="135">
        <v>102.31</v>
      </c>
      <c r="K144" s="135">
        <v>99.87</v>
      </c>
      <c r="L144" s="135">
        <v>92.46</v>
      </c>
      <c r="M144" s="135">
        <v>102.75</v>
      </c>
      <c r="N144" s="135">
        <v>76.33</v>
      </c>
      <c r="O144" s="530"/>
      <c r="P144" s="530"/>
      <c r="Q144" s="37"/>
      <c r="R144" s="537"/>
      <c r="S144" s="537"/>
      <c r="T144" s="537"/>
      <c r="U144" s="530"/>
      <c r="V144" s="537"/>
      <c r="W144" s="530"/>
      <c r="X144" s="530"/>
      <c r="Y144" s="773" t="s">
        <v>290</v>
      </c>
      <c r="Z144" s="537"/>
      <c r="AA144" s="537"/>
      <c r="AB144" s="530"/>
      <c r="AC144" s="530"/>
      <c r="AD144" s="530"/>
      <c r="AE144" s="537"/>
      <c r="AF144" s="537"/>
      <c r="AG144" s="537"/>
      <c r="AH144" s="537"/>
      <c r="AI144" s="131"/>
      <c r="AJ144" s="773" t="s">
        <v>290</v>
      </c>
      <c r="AK144" s="2"/>
      <c r="AL144" s="197"/>
      <c r="AM144" s="455"/>
      <c r="AN144" s="13"/>
    </row>
    <row r="145" spans="1:40" x14ac:dyDescent="0.25">
      <c r="A145" s="385">
        <v>199</v>
      </c>
      <c r="B145" s="131">
        <v>74.989999999999995</v>
      </c>
      <c r="C145" s="131">
        <v>62.39</v>
      </c>
      <c r="D145" s="131">
        <v>61.34</v>
      </c>
      <c r="E145" s="12">
        <v>59.79</v>
      </c>
      <c r="F145" s="131">
        <v>54.93</v>
      </c>
      <c r="G145" s="12">
        <v>56.69</v>
      </c>
      <c r="H145" s="131">
        <v>64.03</v>
      </c>
      <c r="I145" s="37"/>
      <c r="J145" s="131">
        <v>58.99</v>
      </c>
      <c r="K145" s="131">
        <v>75.37</v>
      </c>
      <c r="L145" s="135">
        <v>76.72</v>
      </c>
      <c r="M145" s="135">
        <v>73.400000000000006</v>
      </c>
      <c r="N145" s="135">
        <v>67.650000000000006</v>
      </c>
      <c r="O145" s="135">
        <v>55</v>
      </c>
      <c r="P145" s="135">
        <v>69.87</v>
      </c>
      <c r="Q145" s="37"/>
      <c r="R145" s="131">
        <v>84.42</v>
      </c>
      <c r="S145" s="131">
        <v>58.19</v>
      </c>
      <c r="T145" s="131">
        <v>70.23</v>
      </c>
      <c r="U145" s="12">
        <v>55.11</v>
      </c>
      <c r="V145" s="131">
        <v>75.180000000000007</v>
      </c>
      <c r="W145" s="135">
        <v>65.180000000000007</v>
      </c>
      <c r="X145" s="135">
        <v>70.81</v>
      </c>
      <c r="Y145" s="37"/>
      <c r="Z145" s="12">
        <v>71.2</v>
      </c>
      <c r="AA145" s="131">
        <v>74.040000000000006</v>
      </c>
      <c r="AB145" s="12">
        <v>61.91</v>
      </c>
      <c r="AC145" s="135">
        <v>78.69</v>
      </c>
      <c r="AD145" s="135">
        <v>66.47</v>
      </c>
      <c r="AE145" s="135">
        <v>75.08</v>
      </c>
      <c r="AF145" s="155">
        <v>71.44</v>
      </c>
      <c r="AG145" s="131">
        <v>73.81</v>
      </c>
      <c r="AH145" s="131">
        <v>78.069999999999993</v>
      </c>
      <c r="AI145" s="131"/>
      <c r="AJ145" s="37"/>
      <c r="AK145" s="2"/>
      <c r="AL145" s="197"/>
      <c r="AM145" s="455"/>
    </row>
    <row r="146" spans="1:40" x14ac:dyDescent="0.25">
      <c r="A146" s="385">
        <v>200</v>
      </c>
      <c r="B146" s="537"/>
      <c r="C146" s="537"/>
      <c r="D146" s="537"/>
      <c r="E146" s="537"/>
      <c r="F146" s="537"/>
      <c r="G146" s="537"/>
      <c r="H146" s="537"/>
      <c r="I146" s="773" t="s">
        <v>290</v>
      </c>
      <c r="J146" s="537"/>
      <c r="K146" s="537"/>
      <c r="L146" s="594"/>
      <c r="M146" s="594"/>
      <c r="N146" s="537"/>
      <c r="O146" s="537"/>
      <c r="P146" s="537"/>
      <c r="Q146" s="182" t="s">
        <v>290</v>
      </c>
      <c r="R146" s="537"/>
      <c r="S146" s="537"/>
      <c r="T146" s="537"/>
      <c r="U146" s="537"/>
      <c r="V146" s="537"/>
      <c r="W146" s="530"/>
      <c r="X146" s="530"/>
      <c r="Y146" s="773" t="s">
        <v>290</v>
      </c>
      <c r="Z146" s="530"/>
      <c r="AA146" s="530"/>
      <c r="AB146" s="530"/>
      <c r="AC146" s="530"/>
      <c r="AD146" s="530"/>
      <c r="AE146" s="530"/>
      <c r="AF146" s="530"/>
      <c r="AG146" s="530"/>
      <c r="AH146" s="530"/>
      <c r="AI146" s="530"/>
      <c r="AJ146" s="773" t="s">
        <v>290</v>
      </c>
      <c r="AK146" s="2"/>
      <c r="AL146" s="197"/>
      <c r="AM146" s="455"/>
      <c r="AN146" s="13"/>
    </row>
    <row r="147" spans="1:40" x14ac:dyDescent="0.25">
      <c r="A147" s="385">
        <v>201</v>
      </c>
      <c r="B147" s="12">
        <v>77.73</v>
      </c>
      <c r="C147" s="135">
        <v>71.14</v>
      </c>
      <c r="D147" s="12">
        <v>73.86</v>
      </c>
      <c r="E147" s="12">
        <v>88.48</v>
      </c>
      <c r="F147" s="131">
        <v>70.150000000000006</v>
      </c>
      <c r="G147" s="135">
        <v>59.67</v>
      </c>
      <c r="H147" s="131">
        <v>85.29</v>
      </c>
      <c r="I147" s="37"/>
      <c r="J147" s="131">
        <v>60.32</v>
      </c>
      <c r="K147" s="135">
        <v>74.05</v>
      </c>
      <c r="L147" s="135">
        <v>84.71</v>
      </c>
      <c r="M147" s="135">
        <v>80.83</v>
      </c>
      <c r="N147" s="155">
        <v>83.74</v>
      </c>
      <c r="O147" s="155">
        <v>82.17</v>
      </c>
      <c r="P147" s="135">
        <v>84.7</v>
      </c>
      <c r="Q147" s="37"/>
      <c r="R147" s="131">
        <v>97.47</v>
      </c>
      <c r="S147" s="118">
        <v>114.55</v>
      </c>
      <c r="T147" s="118">
        <v>53.37</v>
      </c>
      <c r="U147" s="1">
        <v>65.010000000000005</v>
      </c>
      <c r="V147" s="118">
        <v>69.88</v>
      </c>
      <c r="W147" s="57">
        <v>65.819999999999993</v>
      </c>
      <c r="X147" s="57">
        <v>96.47</v>
      </c>
      <c r="Y147" s="37"/>
      <c r="Z147" s="131">
        <v>75.44</v>
      </c>
      <c r="AA147" s="131">
        <v>78.89</v>
      </c>
      <c r="AB147" s="12">
        <v>68.56</v>
      </c>
      <c r="AC147" s="12">
        <v>72.66</v>
      </c>
      <c r="AD147" s="12">
        <v>83.22</v>
      </c>
      <c r="AE147" s="131">
        <v>76.11</v>
      </c>
      <c r="AF147" s="131">
        <v>87.74</v>
      </c>
      <c r="AG147" s="131">
        <v>65.48</v>
      </c>
      <c r="AH147" s="131">
        <v>74.19</v>
      </c>
      <c r="AI147" s="131"/>
      <c r="AJ147" s="37"/>
      <c r="AK147" s="2"/>
      <c r="AL147" s="197"/>
      <c r="AM147" s="455"/>
    </row>
    <row r="148" spans="1:40" x14ac:dyDescent="0.25">
      <c r="A148" s="385">
        <v>202</v>
      </c>
      <c r="B148" s="135">
        <v>74.48</v>
      </c>
      <c r="C148" s="135">
        <v>57.38</v>
      </c>
      <c r="D148" s="135">
        <v>50.97</v>
      </c>
      <c r="E148" s="12">
        <v>68.849999999999994</v>
      </c>
      <c r="F148" s="135">
        <v>87.9</v>
      </c>
      <c r="G148" s="135">
        <v>54.86</v>
      </c>
      <c r="H148" s="131">
        <v>68.650000000000006</v>
      </c>
      <c r="I148" s="37"/>
      <c r="J148" s="12">
        <v>50.8</v>
      </c>
      <c r="K148" s="131">
        <v>66.89</v>
      </c>
      <c r="L148" s="155">
        <v>50.13</v>
      </c>
      <c r="M148" s="135">
        <v>74.61</v>
      </c>
      <c r="N148" s="135">
        <v>77.510000000000005</v>
      </c>
      <c r="O148" s="155">
        <v>77.75</v>
      </c>
      <c r="P148" s="135">
        <v>90.87</v>
      </c>
      <c r="Q148" s="37"/>
      <c r="R148" s="131">
        <v>82.76</v>
      </c>
      <c r="S148" s="118">
        <v>91.06</v>
      </c>
      <c r="T148" s="1">
        <v>78.7</v>
      </c>
      <c r="U148" s="1">
        <v>85.1</v>
      </c>
      <c r="V148" s="118">
        <v>66.28</v>
      </c>
      <c r="W148" s="57">
        <v>70.62</v>
      </c>
      <c r="X148" s="57">
        <v>84.26</v>
      </c>
      <c r="Y148" s="37"/>
      <c r="Z148" s="135">
        <v>80.959999999999994</v>
      </c>
      <c r="AA148" s="135">
        <v>96.53</v>
      </c>
      <c r="AB148" s="12">
        <v>63.91</v>
      </c>
      <c r="AC148" s="135">
        <v>68.97</v>
      </c>
      <c r="AD148" s="12">
        <v>78.55</v>
      </c>
      <c r="AE148" s="337">
        <v>54.59</v>
      </c>
      <c r="AF148" s="135">
        <v>78.69</v>
      </c>
      <c r="AG148" s="131">
        <v>61.34</v>
      </c>
      <c r="AH148" s="131">
        <v>75.849999999999994</v>
      </c>
      <c r="AI148" s="131"/>
      <c r="AJ148" s="37"/>
      <c r="AK148" s="2"/>
      <c r="AL148" s="197"/>
      <c r="AM148" s="455"/>
      <c r="AN148" s="187"/>
    </row>
    <row r="149" spans="1:40" x14ac:dyDescent="0.25">
      <c r="A149" s="385">
        <v>203</v>
      </c>
      <c r="B149" s="131">
        <v>97.21</v>
      </c>
      <c r="C149" s="155">
        <v>92.37</v>
      </c>
      <c r="D149" s="131">
        <v>61.16</v>
      </c>
      <c r="E149" s="135">
        <v>68.8</v>
      </c>
      <c r="F149" s="135">
        <v>53.87</v>
      </c>
      <c r="G149" s="135">
        <v>65.599999999999994</v>
      </c>
      <c r="H149" s="135">
        <v>59.99</v>
      </c>
      <c r="I149" s="37"/>
      <c r="J149" s="135">
        <v>70.849999999999994</v>
      </c>
      <c r="K149" s="135">
        <v>73.91</v>
      </c>
      <c r="L149" s="135">
        <v>77.92</v>
      </c>
      <c r="M149" s="135">
        <v>62.11</v>
      </c>
      <c r="N149" s="135">
        <v>63.19</v>
      </c>
      <c r="O149" s="135">
        <v>60.43</v>
      </c>
      <c r="P149" s="135">
        <v>81.709999999999994</v>
      </c>
      <c r="Q149" s="37"/>
      <c r="R149" s="131">
        <v>79.41</v>
      </c>
      <c r="S149" s="1">
        <v>84.77</v>
      </c>
      <c r="T149" s="118">
        <v>64.930000000000007</v>
      </c>
      <c r="U149" s="1">
        <v>71.540000000000006</v>
      </c>
      <c r="V149" s="118">
        <v>72.53</v>
      </c>
      <c r="W149" s="57">
        <v>70.48</v>
      </c>
      <c r="X149" s="57">
        <v>69.680000000000007</v>
      </c>
      <c r="Y149" s="37"/>
      <c r="Z149" s="131">
        <v>74.47</v>
      </c>
      <c r="AA149" s="12">
        <v>81.72</v>
      </c>
      <c r="AB149" s="12">
        <v>65.13</v>
      </c>
      <c r="AC149" s="567">
        <v>82.61</v>
      </c>
      <c r="AD149" s="12">
        <v>78.989999999999995</v>
      </c>
      <c r="AE149" s="131">
        <v>68.72</v>
      </c>
      <c r="AF149" s="12">
        <v>73.099999999999994</v>
      </c>
      <c r="AG149" s="131">
        <v>16.93</v>
      </c>
      <c r="AH149" s="131">
        <v>43.96</v>
      </c>
      <c r="AI149" s="131"/>
      <c r="AJ149" s="37"/>
      <c r="AK149" s="2"/>
      <c r="AL149" s="197"/>
      <c r="AM149" s="455"/>
    </row>
    <row r="150" spans="1:40" x14ac:dyDescent="0.25">
      <c r="A150" s="383">
        <v>204</v>
      </c>
      <c r="B150" s="155">
        <v>68.97</v>
      </c>
      <c r="C150" s="155">
        <v>69.150000000000006</v>
      </c>
      <c r="D150" s="155">
        <v>87.42</v>
      </c>
      <c r="E150" s="135">
        <v>67.64</v>
      </c>
      <c r="F150" s="12">
        <v>54.71</v>
      </c>
      <c r="G150" s="135">
        <v>52.97</v>
      </c>
      <c r="H150" s="12">
        <v>78.7</v>
      </c>
      <c r="I150" s="37"/>
      <c r="J150" s="135">
        <v>66.39</v>
      </c>
      <c r="K150" s="131">
        <v>93.62</v>
      </c>
      <c r="L150" s="155">
        <v>65.94</v>
      </c>
      <c r="M150" s="135">
        <v>65</v>
      </c>
      <c r="N150" s="155">
        <v>74.89</v>
      </c>
      <c r="O150" s="155">
        <v>74.790000000000006</v>
      </c>
      <c r="P150" s="135">
        <v>76.22</v>
      </c>
      <c r="Q150" s="37"/>
      <c r="R150" s="131">
        <v>85.89</v>
      </c>
      <c r="S150" s="118">
        <v>78.489999999999995</v>
      </c>
      <c r="T150" s="118">
        <v>83.99</v>
      </c>
      <c r="U150" s="1">
        <v>50.91</v>
      </c>
      <c r="V150" s="118">
        <v>58.61</v>
      </c>
      <c r="W150" s="57">
        <v>54.78</v>
      </c>
      <c r="X150" s="57">
        <v>66.8</v>
      </c>
      <c r="Y150" s="37"/>
      <c r="Z150" s="131">
        <v>87.48</v>
      </c>
      <c r="AA150" s="131">
        <v>80.38</v>
      </c>
      <c r="AB150" s="12">
        <v>72.12</v>
      </c>
      <c r="AC150" s="12">
        <v>61.93</v>
      </c>
      <c r="AD150" s="12">
        <v>55.95</v>
      </c>
      <c r="AE150" s="131">
        <v>84.29</v>
      </c>
      <c r="AF150" s="131">
        <v>96.81</v>
      </c>
      <c r="AG150" s="131">
        <v>67.319999999999993</v>
      </c>
      <c r="AH150" s="131">
        <v>69.39</v>
      </c>
      <c r="AI150" s="131"/>
      <c r="AJ150" s="37"/>
      <c r="AK150" s="2"/>
      <c r="AL150" s="176"/>
      <c r="AM150" s="456" t="s">
        <v>252</v>
      </c>
    </row>
    <row r="151" spans="1:40" x14ac:dyDescent="0.25">
      <c r="A151" s="383">
        <v>205</v>
      </c>
      <c r="B151" s="155">
        <v>85.16</v>
      </c>
      <c r="C151" s="135">
        <v>95.79</v>
      </c>
      <c r="D151" s="135">
        <v>69.400000000000006</v>
      </c>
      <c r="E151" s="135">
        <v>61.82</v>
      </c>
      <c r="F151" s="135">
        <v>115.15</v>
      </c>
      <c r="G151" s="135">
        <v>80.05</v>
      </c>
      <c r="H151" s="135">
        <v>92.17</v>
      </c>
      <c r="I151" s="37"/>
      <c r="J151" s="135">
        <v>52.2</v>
      </c>
      <c r="K151" s="135">
        <v>104.08</v>
      </c>
      <c r="L151" s="135">
        <v>100.6</v>
      </c>
      <c r="M151" s="135">
        <v>99.49</v>
      </c>
      <c r="N151" s="135">
        <v>77.75</v>
      </c>
      <c r="O151" s="135">
        <v>86</v>
      </c>
      <c r="P151" s="135">
        <v>103.32</v>
      </c>
      <c r="Q151" s="37"/>
      <c r="R151" s="131">
        <v>117.08</v>
      </c>
      <c r="S151" s="118">
        <v>81.14</v>
      </c>
      <c r="T151" s="118">
        <v>99.79</v>
      </c>
      <c r="U151" s="1">
        <v>85.97</v>
      </c>
      <c r="V151" s="118">
        <v>80.34</v>
      </c>
      <c r="W151" s="57">
        <v>96.73</v>
      </c>
      <c r="X151" s="57">
        <v>88.02</v>
      </c>
      <c r="Y151" s="37"/>
      <c r="Z151" s="131">
        <v>109.33</v>
      </c>
      <c r="AA151" s="131">
        <v>80.540000000000006</v>
      </c>
      <c r="AB151" s="12">
        <v>80.040000000000006</v>
      </c>
      <c r="AC151" s="12">
        <v>92.43</v>
      </c>
      <c r="AD151" s="12">
        <v>101.64</v>
      </c>
      <c r="AE151" s="131">
        <v>108.68</v>
      </c>
      <c r="AF151" s="131">
        <v>97.76</v>
      </c>
      <c r="AG151" s="131">
        <v>73.819999999999993</v>
      </c>
      <c r="AH151" s="131">
        <v>118.55</v>
      </c>
      <c r="AI151" s="131"/>
      <c r="AJ151" s="37"/>
      <c r="AK151" s="2"/>
      <c r="AL151" s="197"/>
      <c r="AM151" s="372"/>
    </row>
    <row r="152" spans="1:40" x14ac:dyDescent="0.25">
      <c r="A152" s="383">
        <v>206</v>
      </c>
      <c r="B152" s="131">
        <v>82.75</v>
      </c>
      <c r="C152" s="135">
        <v>84.04</v>
      </c>
      <c r="D152" s="131">
        <v>117.67</v>
      </c>
      <c r="E152" s="131">
        <v>70.62</v>
      </c>
      <c r="F152" s="135">
        <v>76</v>
      </c>
      <c r="G152" s="135">
        <v>51.44</v>
      </c>
      <c r="H152" s="131">
        <v>96.46</v>
      </c>
      <c r="I152" s="37"/>
      <c r="J152" s="135">
        <v>61.04</v>
      </c>
      <c r="K152" s="135">
        <v>115.77</v>
      </c>
      <c r="L152" s="135">
        <v>58.51</v>
      </c>
      <c r="M152" s="135">
        <v>110.18</v>
      </c>
      <c r="N152" s="135">
        <v>56.91</v>
      </c>
      <c r="O152" s="135">
        <v>71.180000000000007</v>
      </c>
      <c r="P152" s="135">
        <v>100.92</v>
      </c>
      <c r="Q152" s="37"/>
      <c r="R152" s="12">
        <v>99.33</v>
      </c>
      <c r="S152" s="537"/>
      <c r="T152" s="530"/>
      <c r="U152" s="1">
        <v>78.58</v>
      </c>
      <c r="V152" s="548">
        <v>124.02</v>
      </c>
      <c r="W152" s="57">
        <v>69.260000000000005</v>
      </c>
      <c r="X152" s="57">
        <v>88.41</v>
      </c>
      <c r="Y152" s="37"/>
      <c r="Z152" s="12">
        <v>101.71</v>
      </c>
      <c r="AA152" s="131">
        <v>101.78</v>
      </c>
      <c r="AB152" s="12">
        <v>95.57</v>
      </c>
      <c r="AC152" s="12">
        <v>58.05</v>
      </c>
      <c r="AD152" s="12">
        <v>103.57</v>
      </c>
      <c r="AE152" s="131">
        <v>67.069999999999993</v>
      </c>
      <c r="AF152" s="12">
        <v>85.8</v>
      </c>
      <c r="AG152" s="131">
        <v>70.53</v>
      </c>
      <c r="AH152" s="548">
        <v>137.15</v>
      </c>
      <c r="AI152" s="131"/>
      <c r="AJ152" s="37"/>
      <c r="AK152" s="2"/>
      <c r="AL152" s="197"/>
      <c r="AM152" s="372"/>
    </row>
    <row r="153" spans="1:40" x14ac:dyDescent="0.25">
      <c r="A153" s="383">
        <v>207</v>
      </c>
      <c r="B153" s="135">
        <v>93.2</v>
      </c>
      <c r="C153" s="131">
        <v>65.52</v>
      </c>
      <c r="D153" s="135">
        <v>94.15</v>
      </c>
      <c r="E153" s="135">
        <v>72.569999999999993</v>
      </c>
      <c r="F153" s="135">
        <v>78.98</v>
      </c>
      <c r="G153" s="135">
        <v>82.1</v>
      </c>
      <c r="H153" s="131">
        <v>71.42</v>
      </c>
      <c r="I153" s="37"/>
      <c r="J153" s="135">
        <v>60.46</v>
      </c>
      <c r="K153" s="135">
        <v>70.400000000000006</v>
      </c>
      <c r="L153" s="135">
        <v>84.01</v>
      </c>
      <c r="M153" s="135">
        <v>101.32</v>
      </c>
      <c r="N153" s="135">
        <v>87.07</v>
      </c>
      <c r="O153" s="155">
        <v>80.92</v>
      </c>
      <c r="P153" s="135">
        <v>25.75</v>
      </c>
      <c r="Q153" s="37"/>
      <c r="R153" s="131">
        <v>40.020000000000003</v>
      </c>
      <c r="S153" s="118">
        <v>99.48</v>
      </c>
      <c r="T153" s="1">
        <v>47.4</v>
      </c>
      <c r="U153" s="1">
        <v>67.319999999999993</v>
      </c>
      <c r="V153" s="118">
        <v>91.77</v>
      </c>
      <c r="W153" s="57">
        <v>85.95</v>
      </c>
      <c r="X153" s="57">
        <v>79.78</v>
      </c>
      <c r="Y153" s="37"/>
      <c r="Z153" s="131">
        <v>101.61</v>
      </c>
      <c r="AA153" s="131">
        <v>105.49</v>
      </c>
      <c r="AB153" s="12">
        <v>56.11</v>
      </c>
      <c r="AC153" s="12">
        <v>72.05</v>
      </c>
      <c r="AD153" s="12">
        <v>89.39</v>
      </c>
      <c r="AE153" s="131">
        <v>100.5</v>
      </c>
      <c r="AF153" s="131">
        <v>98.67</v>
      </c>
      <c r="AG153" s="131">
        <v>63.65</v>
      </c>
      <c r="AH153" s="131">
        <v>74.31</v>
      </c>
      <c r="AI153" s="131"/>
      <c r="AJ153" s="37"/>
      <c r="AK153" s="2"/>
      <c r="AL153" s="197"/>
      <c r="AM153" s="372"/>
    </row>
    <row r="154" spans="1:40" x14ac:dyDescent="0.25">
      <c r="A154" s="383">
        <v>208</v>
      </c>
      <c r="B154" s="131">
        <v>75.150000000000006</v>
      </c>
      <c r="C154" s="135">
        <v>90.26</v>
      </c>
      <c r="D154" s="131">
        <v>62.29</v>
      </c>
      <c r="E154" s="135">
        <v>69.72</v>
      </c>
      <c r="F154" s="131">
        <v>64.88</v>
      </c>
      <c r="G154" s="131">
        <v>70.23</v>
      </c>
      <c r="H154" s="131">
        <v>72.94</v>
      </c>
      <c r="I154" s="37"/>
      <c r="J154" s="131">
        <v>64.22</v>
      </c>
      <c r="K154" s="131">
        <v>74.55</v>
      </c>
      <c r="L154" s="155">
        <v>71.92</v>
      </c>
      <c r="M154" s="135">
        <v>76.72</v>
      </c>
      <c r="N154" s="155">
        <v>82.02</v>
      </c>
      <c r="O154" s="155">
        <v>59.58</v>
      </c>
      <c r="P154" s="135">
        <v>60.07</v>
      </c>
      <c r="Q154" s="37"/>
      <c r="R154" s="12">
        <v>93</v>
      </c>
      <c r="S154" s="118">
        <v>89.43</v>
      </c>
      <c r="T154" s="118">
        <v>74.489999999999995</v>
      </c>
      <c r="U154" s="1">
        <v>68.5</v>
      </c>
      <c r="V154" s="1">
        <v>83.91</v>
      </c>
      <c r="W154" s="57">
        <v>54.01</v>
      </c>
      <c r="X154" s="57">
        <v>73.88</v>
      </c>
      <c r="Y154" s="37"/>
      <c r="Z154" s="131">
        <v>110.53</v>
      </c>
      <c r="AA154" s="131">
        <v>56.49</v>
      </c>
      <c r="AB154" s="12">
        <v>68.709999999999994</v>
      </c>
      <c r="AC154" s="12">
        <v>32.450000000000003</v>
      </c>
      <c r="AD154" s="12">
        <v>89.78</v>
      </c>
      <c r="AE154" s="131">
        <v>78.64</v>
      </c>
      <c r="AF154" s="12">
        <v>77.7</v>
      </c>
      <c r="AG154" s="131">
        <v>77.650000000000006</v>
      </c>
      <c r="AH154" s="131">
        <v>68.72</v>
      </c>
      <c r="AI154" s="131"/>
      <c r="AJ154" s="37"/>
      <c r="AK154" s="2"/>
      <c r="AL154" s="197"/>
      <c r="AM154" s="372"/>
      <c r="AN154" s="188"/>
    </row>
    <row r="155" spans="1:40" x14ac:dyDescent="0.25">
      <c r="A155" s="383">
        <v>209</v>
      </c>
      <c r="B155" s="155">
        <v>99.05</v>
      </c>
      <c r="C155" s="155">
        <v>88.36</v>
      </c>
      <c r="D155" s="155">
        <v>86.32</v>
      </c>
      <c r="E155" s="135">
        <v>82.26</v>
      </c>
      <c r="F155" s="135">
        <v>81.09</v>
      </c>
      <c r="G155" s="135">
        <v>67.510000000000005</v>
      </c>
      <c r="H155" s="135">
        <v>118.29</v>
      </c>
      <c r="I155" s="37"/>
      <c r="J155" s="135">
        <v>77.87</v>
      </c>
      <c r="K155" s="135">
        <v>93.74</v>
      </c>
      <c r="L155" s="135">
        <v>69.900000000000006</v>
      </c>
      <c r="M155" s="532">
        <v>126.3</v>
      </c>
      <c r="N155" s="135">
        <v>72.959999999999994</v>
      </c>
      <c r="O155" s="135">
        <v>97.78</v>
      </c>
      <c r="P155" s="135">
        <v>99.16</v>
      </c>
      <c r="Q155" s="37"/>
      <c r="R155" s="131">
        <v>104.64</v>
      </c>
      <c r="S155" s="118">
        <v>77.16</v>
      </c>
      <c r="T155" s="118">
        <v>73.22</v>
      </c>
      <c r="U155" s="530"/>
      <c r="V155" s="537"/>
      <c r="W155" s="532">
        <v>124.93</v>
      </c>
      <c r="X155" s="57">
        <v>100.04</v>
      </c>
      <c r="Y155" s="37"/>
      <c r="Z155" s="131">
        <v>73.88</v>
      </c>
      <c r="AA155" s="131">
        <v>90.92</v>
      </c>
      <c r="AB155" s="12">
        <v>97.25</v>
      </c>
      <c r="AC155" s="12">
        <v>93.86</v>
      </c>
      <c r="AD155" s="135">
        <v>90.08</v>
      </c>
      <c r="AE155" s="135">
        <v>86.73</v>
      </c>
      <c r="AF155" s="131">
        <v>100.07</v>
      </c>
      <c r="AG155" s="131">
        <v>90.25</v>
      </c>
      <c r="AH155" s="131">
        <v>82.02</v>
      </c>
      <c r="AI155" s="131"/>
      <c r="AJ155" s="37"/>
      <c r="AK155" s="2"/>
      <c r="AL155" s="197"/>
      <c r="AM155" s="372"/>
    </row>
    <row r="156" spans="1:40" x14ac:dyDescent="0.25">
      <c r="A156" s="383">
        <v>210</v>
      </c>
      <c r="B156" s="131">
        <v>92.89</v>
      </c>
      <c r="C156" s="135">
        <v>84.31</v>
      </c>
      <c r="D156" s="537"/>
      <c r="E156" s="532">
        <v>147.72999999999999</v>
      </c>
      <c r="F156" s="12">
        <v>94.66</v>
      </c>
      <c r="G156" s="135">
        <v>80.83</v>
      </c>
      <c r="H156" s="135">
        <v>66.349999999999994</v>
      </c>
      <c r="I156" s="37"/>
      <c r="J156" s="135">
        <v>64.099999999999994</v>
      </c>
      <c r="K156" s="135">
        <v>85.22</v>
      </c>
      <c r="L156" s="155">
        <v>68.05</v>
      </c>
      <c r="M156" s="135">
        <v>56.92</v>
      </c>
      <c r="N156" s="135">
        <v>84.95</v>
      </c>
      <c r="O156" s="155">
        <v>85.46</v>
      </c>
      <c r="P156" s="135">
        <v>74.7</v>
      </c>
      <c r="Q156" s="37"/>
      <c r="R156" s="131">
        <v>103.31</v>
      </c>
      <c r="S156" s="118">
        <v>77.209999999999994</v>
      </c>
      <c r="T156" s="118">
        <v>79.33</v>
      </c>
      <c r="U156" s="1">
        <v>70.44</v>
      </c>
      <c r="V156" s="118">
        <v>88.74</v>
      </c>
      <c r="W156" s="57">
        <v>67.040000000000006</v>
      </c>
      <c r="X156" s="57">
        <v>80.56</v>
      </c>
      <c r="Y156" s="37"/>
      <c r="Z156" s="131">
        <v>91.29</v>
      </c>
      <c r="AA156" s="131">
        <v>87.01</v>
      </c>
      <c r="AB156" s="12">
        <v>66.099999999999994</v>
      </c>
      <c r="AC156" s="12">
        <v>70.86</v>
      </c>
      <c r="AD156" s="12">
        <v>83.31</v>
      </c>
      <c r="AE156" s="12">
        <v>71.5</v>
      </c>
      <c r="AF156" s="131">
        <v>84.84</v>
      </c>
      <c r="AG156" s="131">
        <v>117.15</v>
      </c>
      <c r="AH156" s="131">
        <v>70.709999999999994</v>
      </c>
      <c r="AI156" s="131"/>
      <c r="AJ156" s="37"/>
      <c r="AK156" s="2"/>
      <c r="AL156" s="197"/>
      <c r="AM156" s="372"/>
    </row>
    <row r="157" spans="1:40" x14ac:dyDescent="0.25">
      <c r="A157" s="383">
        <v>211</v>
      </c>
      <c r="B157" s="155">
        <v>73.25</v>
      </c>
      <c r="C157" s="155">
        <v>55.04</v>
      </c>
      <c r="D157" s="155">
        <v>93.73</v>
      </c>
      <c r="E157" s="135">
        <v>81.040000000000006</v>
      </c>
      <c r="F157" s="131">
        <v>77.13</v>
      </c>
      <c r="G157" s="135">
        <v>94.58</v>
      </c>
      <c r="H157" s="131">
        <v>109.16</v>
      </c>
      <c r="I157" s="37"/>
      <c r="J157" s="135">
        <v>119.34</v>
      </c>
      <c r="K157" s="135">
        <v>55.48</v>
      </c>
      <c r="L157" s="135">
        <v>76.91</v>
      </c>
      <c r="M157" s="135">
        <v>109.88</v>
      </c>
      <c r="N157" s="135">
        <v>92.36</v>
      </c>
      <c r="O157" s="135">
        <v>66.599999999999994</v>
      </c>
      <c r="P157" s="135">
        <v>109.7</v>
      </c>
      <c r="Q157" s="37"/>
      <c r="R157" s="131">
        <v>114.44</v>
      </c>
      <c r="S157" s="537"/>
      <c r="T157" s="118">
        <v>104.75</v>
      </c>
      <c r="U157" s="1">
        <v>67.510000000000005</v>
      </c>
      <c r="V157" s="118">
        <v>111.04</v>
      </c>
      <c r="W157" s="57">
        <v>79.73</v>
      </c>
      <c r="X157" s="57">
        <v>68.97</v>
      </c>
      <c r="Y157" s="37"/>
      <c r="Z157" s="131">
        <v>89.93</v>
      </c>
      <c r="AA157" s="12">
        <v>103.39</v>
      </c>
      <c r="AB157" s="12">
        <v>81.319999999999993</v>
      </c>
      <c r="AC157" s="12">
        <v>58.79</v>
      </c>
      <c r="AD157" s="12">
        <v>85.94</v>
      </c>
      <c r="AE157" s="131">
        <v>72.27</v>
      </c>
      <c r="AF157" s="12">
        <v>78.67</v>
      </c>
      <c r="AG157" s="131">
        <v>74.98</v>
      </c>
      <c r="AH157" s="131">
        <v>79.81</v>
      </c>
      <c r="AI157" s="131"/>
      <c r="AJ157" s="37"/>
      <c r="AK157" s="2"/>
      <c r="AL157" s="197"/>
      <c r="AM157" s="372"/>
    </row>
    <row r="158" spans="1:40" ht="15.75" x14ac:dyDescent="0.25">
      <c r="A158" s="383">
        <v>212</v>
      </c>
      <c r="B158" s="135">
        <v>71.14</v>
      </c>
      <c r="C158" s="155">
        <v>91.53</v>
      </c>
      <c r="D158" s="135">
        <v>97.02</v>
      </c>
      <c r="E158" s="131">
        <v>73.319999999999993</v>
      </c>
      <c r="F158" s="131">
        <v>83.64</v>
      </c>
      <c r="G158" s="131">
        <v>61.23</v>
      </c>
      <c r="H158" s="135">
        <v>108.55</v>
      </c>
      <c r="I158" s="37"/>
      <c r="J158" s="135">
        <v>65.760000000000005</v>
      </c>
      <c r="K158" s="135">
        <v>71.06</v>
      </c>
      <c r="L158" s="135">
        <v>91.45</v>
      </c>
      <c r="M158" s="135">
        <v>93.9</v>
      </c>
      <c r="N158" s="135">
        <v>71.61</v>
      </c>
      <c r="O158" s="155">
        <v>79.680000000000007</v>
      </c>
      <c r="P158" s="135">
        <v>95.14</v>
      </c>
      <c r="Q158" s="37"/>
      <c r="R158" s="131">
        <v>75.92</v>
      </c>
      <c r="S158" s="118">
        <v>91.03</v>
      </c>
      <c r="T158" s="118">
        <v>73.67</v>
      </c>
      <c r="U158" s="1">
        <v>66.78</v>
      </c>
      <c r="V158" s="537"/>
      <c r="W158" s="532">
        <v>166.54</v>
      </c>
      <c r="X158" s="57">
        <v>88.08</v>
      </c>
      <c r="Y158" s="37"/>
      <c r="Z158" s="131">
        <v>93.32</v>
      </c>
      <c r="AA158" s="131">
        <v>95.06</v>
      </c>
      <c r="AB158" s="12">
        <v>104.77</v>
      </c>
      <c r="AC158" s="12">
        <v>81.16</v>
      </c>
      <c r="AD158" s="12">
        <v>87.83</v>
      </c>
      <c r="AE158" s="131">
        <v>87.67</v>
      </c>
      <c r="AF158" s="131">
        <v>86.01</v>
      </c>
      <c r="AG158" s="131">
        <v>71.069999999999993</v>
      </c>
      <c r="AH158" s="131">
        <v>81.96</v>
      </c>
      <c r="AI158" s="131"/>
      <c r="AJ158" s="37"/>
      <c r="AK158" s="979">
        <v>41371.72</v>
      </c>
      <c r="AL158" s="197"/>
      <c r="AM158" s="372"/>
    </row>
    <row r="159" spans="1:40" ht="15.75" x14ac:dyDescent="0.25">
      <c r="A159" s="383">
        <v>213</v>
      </c>
      <c r="B159" s="135">
        <v>83.22</v>
      </c>
      <c r="C159" s="135">
        <v>88.58</v>
      </c>
      <c r="D159" s="135">
        <v>75.59</v>
      </c>
      <c r="E159" s="135">
        <v>73.95</v>
      </c>
      <c r="F159" s="131">
        <v>97.83</v>
      </c>
      <c r="G159" s="135">
        <v>86.42</v>
      </c>
      <c r="H159" s="135">
        <v>79.55</v>
      </c>
      <c r="I159" s="37"/>
      <c r="J159" s="135">
        <v>79.73</v>
      </c>
      <c r="K159" s="135">
        <v>92.33</v>
      </c>
      <c r="L159" s="135">
        <v>72.430000000000007</v>
      </c>
      <c r="M159" s="135">
        <v>94.35</v>
      </c>
      <c r="N159" s="135">
        <v>63.14</v>
      </c>
      <c r="O159" s="155">
        <v>98.05</v>
      </c>
      <c r="P159" s="135">
        <v>69.22</v>
      </c>
      <c r="Q159" s="37"/>
      <c r="R159" s="131">
        <v>101.45</v>
      </c>
      <c r="S159" s="118">
        <v>96.95</v>
      </c>
      <c r="T159" s="118">
        <v>89.41</v>
      </c>
      <c r="U159" s="1">
        <v>87.28</v>
      </c>
      <c r="V159" s="118">
        <v>68.28</v>
      </c>
      <c r="W159" s="57">
        <v>68.95</v>
      </c>
      <c r="X159" s="57">
        <v>92.22</v>
      </c>
      <c r="Y159" s="37"/>
      <c r="Z159" s="12">
        <v>99.83</v>
      </c>
      <c r="AA159" s="131">
        <v>76.17</v>
      </c>
      <c r="AB159" s="12">
        <v>86.33</v>
      </c>
      <c r="AC159" s="12">
        <v>79.069999999999993</v>
      </c>
      <c r="AD159" s="12">
        <v>95.91</v>
      </c>
      <c r="AE159" s="131">
        <v>68.55</v>
      </c>
      <c r="AF159" s="537"/>
      <c r="AG159" s="537"/>
      <c r="AH159" s="570">
        <v>55.67</v>
      </c>
      <c r="AI159" s="131"/>
      <c r="AJ159" s="37"/>
      <c r="AK159" s="979">
        <v>41248.97</v>
      </c>
      <c r="AL159" s="197"/>
      <c r="AM159" s="372"/>
    </row>
    <row r="160" spans="1:40" ht="15.75" x14ac:dyDescent="0.25">
      <c r="A160" s="383">
        <v>214</v>
      </c>
      <c r="B160" s="131">
        <v>75.819999999999993</v>
      </c>
      <c r="C160" s="135">
        <v>71.36</v>
      </c>
      <c r="D160" s="131">
        <v>68.11</v>
      </c>
      <c r="E160" s="135">
        <v>82.01</v>
      </c>
      <c r="F160" s="135">
        <v>86.56</v>
      </c>
      <c r="G160" s="135">
        <v>72.14</v>
      </c>
      <c r="H160" s="135">
        <v>107.02</v>
      </c>
      <c r="I160" s="37"/>
      <c r="J160" s="135">
        <v>45.71</v>
      </c>
      <c r="K160" s="12">
        <v>61.93</v>
      </c>
      <c r="L160" s="530"/>
      <c r="M160" s="532">
        <v>208.17</v>
      </c>
      <c r="N160" s="135">
        <v>57</v>
      </c>
      <c r="O160" s="155">
        <v>82.06</v>
      </c>
      <c r="P160" s="135">
        <v>83.6</v>
      </c>
      <c r="Q160" s="37"/>
      <c r="R160" s="131">
        <v>80.28</v>
      </c>
      <c r="S160" s="118">
        <v>90.96</v>
      </c>
      <c r="T160" s="118">
        <v>110.84</v>
      </c>
      <c r="U160" s="1">
        <v>86.21</v>
      </c>
      <c r="V160" s="118">
        <v>93.82</v>
      </c>
      <c r="W160" s="57">
        <v>70.260000000000005</v>
      </c>
      <c r="X160" s="57">
        <v>69.180000000000007</v>
      </c>
      <c r="Y160" s="37"/>
      <c r="Z160" s="131">
        <v>100.47</v>
      </c>
      <c r="AA160" s="131">
        <v>81.75</v>
      </c>
      <c r="AB160" s="12">
        <v>75.77</v>
      </c>
      <c r="AC160" s="12">
        <v>106.83</v>
      </c>
      <c r="AD160" s="12">
        <v>78.260000000000005</v>
      </c>
      <c r="AE160" s="131">
        <v>76.14</v>
      </c>
      <c r="AF160" s="131">
        <v>79.02</v>
      </c>
      <c r="AG160" s="131">
        <v>88.27</v>
      </c>
      <c r="AH160" s="131">
        <v>118.74</v>
      </c>
      <c r="AI160" s="131"/>
      <c r="AJ160" s="37"/>
      <c r="AK160" s="979">
        <v>42851.63</v>
      </c>
      <c r="AL160" s="197"/>
      <c r="AM160" s="372"/>
    </row>
    <row r="161" spans="1:43" ht="15.75" x14ac:dyDescent="0.25">
      <c r="A161" s="383">
        <v>215</v>
      </c>
      <c r="B161" s="131">
        <v>94.88</v>
      </c>
      <c r="C161" s="135">
        <v>94.75</v>
      </c>
      <c r="D161" s="12">
        <v>70.8</v>
      </c>
      <c r="E161" s="135">
        <v>25.54</v>
      </c>
      <c r="F161" s="131">
        <v>49.63</v>
      </c>
      <c r="G161" s="135">
        <v>87.58</v>
      </c>
      <c r="H161" s="135">
        <v>93.4</v>
      </c>
      <c r="I161" s="37"/>
      <c r="J161" s="135">
        <v>72.069999999999993</v>
      </c>
      <c r="K161" s="135">
        <v>93.76</v>
      </c>
      <c r="L161" s="135">
        <v>74.239999999999995</v>
      </c>
      <c r="M161" s="135">
        <v>109.58</v>
      </c>
      <c r="N161" s="135">
        <v>85.04</v>
      </c>
      <c r="O161" s="135">
        <v>90.95</v>
      </c>
      <c r="P161" s="135">
        <v>84.75</v>
      </c>
      <c r="Q161" s="37"/>
      <c r="R161" s="12">
        <v>84.8</v>
      </c>
      <c r="S161" s="1">
        <v>72.3</v>
      </c>
      <c r="T161" s="118">
        <v>112.35</v>
      </c>
      <c r="U161" s="1">
        <v>95.67</v>
      </c>
      <c r="V161" s="1">
        <v>84.1</v>
      </c>
      <c r="W161" s="57">
        <v>77.540000000000006</v>
      </c>
      <c r="X161" s="57">
        <v>51.38</v>
      </c>
      <c r="Y161" s="37"/>
      <c r="Z161" s="131">
        <v>114.77</v>
      </c>
      <c r="AA161" s="12">
        <v>96.62</v>
      </c>
      <c r="AB161" s="12">
        <v>93.24</v>
      </c>
      <c r="AC161" s="12">
        <v>88.3</v>
      </c>
      <c r="AD161" s="12">
        <v>98.59</v>
      </c>
      <c r="AE161" s="131">
        <v>101.45</v>
      </c>
      <c r="AF161" s="131">
        <v>87.19</v>
      </c>
      <c r="AG161" s="131">
        <v>79.44</v>
      </c>
      <c r="AH161" s="131">
        <v>93.48</v>
      </c>
      <c r="AI161" s="131"/>
      <c r="AJ161" s="37"/>
      <c r="AK161" s="979">
        <v>54411.94</v>
      </c>
      <c r="AL161" s="197"/>
      <c r="AM161" s="372"/>
    </row>
    <row r="162" spans="1:43" ht="16.5" thickBot="1" x14ac:dyDescent="0.3">
      <c r="A162" s="384">
        <v>216</v>
      </c>
      <c r="B162" s="152">
        <v>69.87</v>
      </c>
      <c r="C162" s="171">
        <v>85.55</v>
      </c>
      <c r="D162" s="152">
        <v>40.04</v>
      </c>
      <c r="E162" s="175">
        <v>89.88</v>
      </c>
      <c r="F162" s="175">
        <v>51.52</v>
      </c>
      <c r="G162" s="131">
        <v>76.86</v>
      </c>
      <c r="H162" s="175">
        <v>95.85</v>
      </c>
      <c r="I162" s="43"/>
      <c r="J162" s="175">
        <v>66.97</v>
      </c>
      <c r="K162" s="131">
        <v>73.349999999999994</v>
      </c>
      <c r="L162" s="131">
        <v>57.55</v>
      </c>
      <c r="M162" s="131">
        <v>77.650000000000006</v>
      </c>
      <c r="N162" s="175">
        <v>75.78</v>
      </c>
      <c r="O162" s="171">
        <v>62.34</v>
      </c>
      <c r="P162" s="175">
        <v>74.62</v>
      </c>
      <c r="Q162" s="43"/>
      <c r="R162" s="152">
        <v>105.49</v>
      </c>
      <c r="S162" s="119">
        <v>103.53</v>
      </c>
      <c r="T162" s="119">
        <v>84.69</v>
      </c>
      <c r="U162" s="123">
        <v>46.34</v>
      </c>
      <c r="V162" s="119">
        <v>92.17</v>
      </c>
      <c r="W162" s="178">
        <v>62.58</v>
      </c>
      <c r="X162" s="178">
        <v>68.39</v>
      </c>
      <c r="Y162" s="43"/>
      <c r="Z162" s="135">
        <v>86.57</v>
      </c>
      <c r="AA162" s="152">
        <v>82.13</v>
      </c>
      <c r="AB162" s="153">
        <v>88.08</v>
      </c>
      <c r="AC162" s="153">
        <v>70.33</v>
      </c>
      <c r="AD162" s="153">
        <v>65.48</v>
      </c>
      <c r="AE162" s="152">
        <v>64.069999999999993</v>
      </c>
      <c r="AF162" s="152">
        <v>85.37</v>
      </c>
      <c r="AG162" s="152">
        <v>76.349999999999994</v>
      </c>
      <c r="AH162" s="152">
        <v>68.540000000000006</v>
      </c>
      <c r="AI162" s="152"/>
      <c r="AJ162" s="43"/>
      <c r="AK162" s="980"/>
      <c r="AL162" s="204"/>
      <c r="AM162" s="457"/>
    </row>
    <row r="163" spans="1:43" ht="18.75" x14ac:dyDescent="0.3">
      <c r="A163" s="281" t="s">
        <v>2</v>
      </c>
      <c r="B163" s="163">
        <f t="shared" ref="B163:H163" si="4">SUM(B70:B162)</f>
        <v>6662.4</v>
      </c>
      <c r="C163" s="163">
        <f t="shared" si="4"/>
        <v>6181.46</v>
      </c>
      <c r="D163" s="163">
        <f t="shared" si="4"/>
        <v>5449.1</v>
      </c>
      <c r="E163" s="163">
        <f t="shared" si="4"/>
        <v>5917.5799999999981</v>
      </c>
      <c r="F163" s="163">
        <f t="shared" si="4"/>
        <v>5481.75</v>
      </c>
      <c r="G163" s="163">
        <f t="shared" si="4"/>
        <v>5209.42</v>
      </c>
      <c r="H163" s="163">
        <f t="shared" si="4"/>
        <v>6470.0099999999984</v>
      </c>
      <c r="I163" s="158">
        <f>SUM(B163:H163)</f>
        <v>41371.72</v>
      </c>
      <c r="J163" s="163">
        <f t="shared" ref="J163:P163" si="5">SUM(J70:J162)</f>
        <v>4919.9900000000007</v>
      </c>
      <c r="K163" s="163">
        <f t="shared" si="5"/>
        <v>6025.8600000000006</v>
      </c>
      <c r="L163" s="163">
        <f t="shared" si="5"/>
        <v>5631.7100000000009</v>
      </c>
      <c r="M163" s="163">
        <f t="shared" si="5"/>
        <v>6898.5199999999959</v>
      </c>
      <c r="N163" s="163">
        <f t="shared" si="5"/>
        <v>5969.8499999999976</v>
      </c>
      <c r="O163" s="163">
        <f t="shared" si="5"/>
        <v>5632.8600000000024</v>
      </c>
      <c r="P163" s="163">
        <f t="shared" si="5"/>
        <v>6170.1799999999994</v>
      </c>
      <c r="Q163" s="221">
        <f>SUM(J163:P163)</f>
        <v>41248.97</v>
      </c>
      <c r="R163" s="163">
        <f>SUM(R70:R162)</f>
        <v>6556.1400000000012</v>
      </c>
      <c r="S163" s="163">
        <f>SUM(S70:S162)</f>
        <v>6351.869999999999</v>
      </c>
      <c r="T163" s="163">
        <f>SUM(T70:T162)</f>
        <v>6159.4399999999978</v>
      </c>
      <c r="U163" s="163">
        <f>SUM(U70:U162)</f>
        <v>5595.5199999999986</v>
      </c>
      <c r="V163" s="163">
        <f>SUM(V70:V162)</f>
        <v>6263.5399999999972</v>
      </c>
      <c r="W163" s="163">
        <f>SUM(W74:W162)</f>
        <v>5953.9799999999987</v>
      </c>
      <c r="X163" s="163">
        <f>SUM(X74:X162)</f>
        <v>5971.1400000000031</v>
      </c>
      <c r="Y163" s="221">
        <f>SUM(R163:X163)</f>
        <v>42851.62999999999</v>
      </c>
      <c r="Z163" s="163">
        <f>SUM(Z70:Z162)</f>
        <v>6694.3799999999992</v>
      </c>
      <c r="AA163" s="163">
        <f>SUM(AA70:AA162)</f>
        <v>6869.590000000002</v>
      </c>
      <c r="AB163" s="163">
        <f>SUM(AB70:AB162)</f>
        <v>5926.6800000000012</v>
      </c>
      <c r="AC163" s="163">
        <f>SUM(AC70:AC162)</f>
        <v>5421.4199999999992</v>
      </c>
      <c r="AD163" s="163">
        <f>SUM(AD70:AD162)</f>
        <v>6222.84</v>
      </c>
      <c r="AE163" s="163">
        <f>SUM(AE74:AE162)</f>
        <v>5964.2099999999982</v>
      </c>
      <c r="AF163" s="163">
        <f>SUM(AF74:AF162)</f>
        <v>6111.9000000000005</v>
      </c>
      <c r="AG163" s="163">
        <f>SUM(AG74:AG162)</f>
        <v>5306.4800000000005</v>
      </c>
      <c r="AH163" s="163">
        <f>SUM(AH74:AH162)</f>
        <v>5897.4400000000005</v>
      </c>
      <c r="AI163" s="163"/>
      <c r="AJ163" s="998">
        <f>SUM(Z163:AI163)</f>
        <v>54414.94</v>
      </c>
      <c r="AK163" s="991">
        <f>SUM(AK158:AK162)</f>
        <v>179884.26</v>
      </c>
      <c r="AL163" s="235"/>
      <c r="AM163" s="935"/>
    </row>
    <row r="164" spans="1:43" ht="15.75" thickBot="1" x14ac:dyDescent="0.3">
      <c r="A164" s="264"/>
      <c r="B164" s="265" t="s">
        <v>320</v>
      </c>
      <c r="C164" s="265" t="s">
        <v>323</v>
      </c>
      <c r="D164" s="265" t="s">
        <v>324</v>
      </c>
      <c r="E164" s="265" t="s">
        <v>317</v>
      </c>
      <c r="F164" s="265" t="s">
        <v>266</v>
      </c>
      <c r="G164" s="265" t="s">
        <v>321</v>
      </c>
      <c r="H164" s="265" t="s">
        <v>324</v>
      </c>
      <c r="I164" s="56"/>
      <c r="J164" s="265" t="s">
        <v>324</v>
      </c>
      <c r="K164" s="265" t="s">
        <v>324</v>
      </c>
      <c r="L164" s="265" t="s">
        <v>321</v>
      </c>
      <c r="M164" s="265" t="s">
        <v>320</v>
      </c>
      <c r="N164" s="265" t="s">
        <v>320</v>
      </c>
      <c r="O164" s="265" t="s">
        <v>318</v>
      </c>
      <c r="P164" s="265" t="s">
        <v>320</v>
      </c>
      <c r="Q164" s="56"/>
      <c r="R164" s="265" t="s">
        <v>319</v>
      </c>
      <c r="S164" s="265" t="s">
        <v>323</v>
      </c>
      <c r="T164" s="265" t="s">
        <v>321</v>
      </c>
      <c r="U164" s="265" t="s">
        <v>324</v>
      </c>
      <c r="V164" s="265" t="s">
        <v>321</v>
      </c>
      <c r="W164" s="265" t="s">
        <v>321</v>
      </c>
      <c r="X164" s="265" t="s">
        <v>323</v>
      </c>
      <c r="Y164" s="56"/>
      <c r="Z164" s="265" t="s">
        <v>321</v>
      </c>
      <c r="AA164" s="265" t="s">
        <v>361</v>
      </c>
      <c r="AB164" s="265" t="s">
        <v>318</v>
      </c>
      <c r="AC164" s="265" t="s">
        <v>318</v>
      </c>
      <c r="AD164" s="265" t="s">
        <v>318</v>
      </c>
      <c r="AE164" s="265" t="s">
        <v>324</v>
      </c>
      <c r="AF164" s="265" t="s">
        <v>327</v>
      </c>
      <c r="AG164" s="265" t="s">
        <v>324</v>
      </c>
      <c r="AH164" s="265" t="s">
        <v>327</v>
      </c>
      <c r="AI164" s="265"/>
      <c r="AJ164" s="56"/>
      <c r="AK164" s="225"/>
      <c r="AL164" s="228"/>
      <c r="AM164" s="917"/>
    </row>
    <row r="165" spans="1:43" ht="24" thickBot="1" x14ac:dyDescent="0.4">
      <c r="A165" s="252" t="s">
        <v>159</v>
      </c>
      <c r="B165" s="258"/>
      <c r="C165" s="258"/>
      <c r="D165" s="258"/>
      <c r="E165" s="258"/>
      <c r="F165" s="258"/>
      <c r="G165" s="254"/>
      <c r="H165" s="254"/>
      <c r="I165" s="259"/>
      <c r="J165" s="259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60"/>
      <c r="AK165" s="261"/>
      <c r="AL165" s="255"/>
      <c r="AM165" s="934"/>
    </row>
    <row r="166" spans="1:43" ht="15.75" x14ac:dyDescent="0.25">
      <c r="A166" s="320" t="s">
        <v>8</v>
      </c>
      <c r="B166" s="322">
        <v>1</v>
      </c>
      <c r="C166" s="322">
        <v>2</v>
      </c>
      <c r="D166" s="322">
        <v>3</v>
      </c>
      <c r="E166" s="322">
        <v>4</v>
      </c>
      <c r="F166" s="322">
        <v>5</v>
      </c>
      <c r="G166" s="322">
        <v>6</v>
      </c>
      <c r="H166" s="322">
        <v>7</v>
      </c>
      <c r="I166" s="323" t="s">
        <v>6</v>
      </c>
      <c r="J166" s="322">
        <v>8</v>
      </c>
      <c r="K166" s="322">
        <v>9</v>
      </c>
      <c r="L166" s="322">
        <v>10</v>
      </c>
      <c r="M166" s="322">
        <v>11</v>
      </c>
      <c r="N166" s="322">
        <v>12</v>
      </c>
      <c r="O166" s="322">
        <v>13</v>
      </c>
      <c r="P166" s="322">
        <v>14</v>
      </c>
      <c r="Q166" s="323" t="s">
        <v>6</v>
      </c>
      <c r="R166" s="322">
        <v>15</v>
      </c>
      <c r="S166" s="322">
        <v>16</v>
      </c>
      <c r="T166" s="322">
        <v>17</v>
      </c>
      <c r="U166" s="322">
        <v>18</v>
      </c>
      <c r="V166" s="322">
        <v>19</v>
      </c>
      <c r="W166" s="322">
        <v>20</v>
      </c>
      <c r="X166" s="322">
        <v>21</v>
      </c>
      <c r="Y166" s="323" t="s">
        <v>6</v>
      </c>
      <c r="Z166" s="322">
        <v>22</v>
      </c>
      <c r="AA166" s="322">
        <v>23</v>
      </c>
      <c r="AB166" s="322">
        <v>24</v>
      </c>
      <c r="AC166" s="322">
        <v>25</v>
      </c>
      <c r="AD166" s="322">
        <v>26</v>
      </c>
      <c r="AE166" s="322">
        <v>27</v>
      </c>
      <c r="AF166" s="322">
        <v>28</v>
      </c>
      <c r="AG166" s="322">
        <v>29</v>
      </c>
      <c r="AH166" s="322">
        <v>30</v>
      </c>
      <c r="AI166" s="322">
        <v>31</v>
      </c>
      <c r="AJ166" s="324" t="s">
        <v>6</v>
      </c>
      <c r="AK166" s="325"/>
      <c r="AL166" s="327"/>
      <c r="AM166" s="395" t="s">
        <v>42</v>
      </c>
    </row>
    <row r="167" spans="1:43" x14ac:dyDescent="0.25">
      <c r="A167" s="67" t="s">
        <v>9</v>
      </c>
      <c r="B167" s="530"/>
      <c r="C167" s="530"/>
      <c r="D167" s="530"/>
      <c r="E167" s="530"/>
      <c r="F167" s="530"/>
      <c r="G167" s="530"/>
      <c r="H167" s="530"/>
      <c r="I167" s="36"/>
      <c r="J167" s="530"/>
      <c r="K167" s="530"/>
      <c r="L167" s="588"/>
      <c r="M167" s="530"/>
      <c r="N167" s="530"/>
      <c r="O167" s="530"/>
      <c r="P167" s="530"/>
      <c r="Q167" s="36"/>
      <c r="R167" s="530"/>
      <c r="S167" s="530"/>
      <c r="T167" s="530"/>
      <c r="U167" s="530"/>
      <c r="V167" s="588"/>
      <c r="W167" s="588"/>
      <c r="X167" s="588"/>
      <c r="Y167" s="36"/>
      <c r="Z167" s="530"/>
      <c r="AA167" s="530"/>
      <c r="AB167" s="588"/>
      <c r="AC167" s="588"/>
      <c r="AD167" s="588"/>
      <c r="AE167" s="530"/>
      <c r="AF167" s="530"/>
      <c r="AG167" s="530"/>
      <c r="AH167" s="530"/>
      <c r="AI167" s="530"/>
      <c r="AJ167" s="37"/>
      <c r="AK167" s="936"/>
      <c r="AL167" s="888"/>
      <c r="AM167" s="2"/>
      <c r="AN167" s="187"/>
    </row>
    <row r="168" spans="1:43" x14ac:dyDescent="0.25">
      <c r="A168" s="67" t="s">
        <v>10</v>
      </c>
      <c r="B168" s="537"/>
      <c r="C168" s="537"/>
      <c r="D168" s="537"/>
      <c r="E168" s="537"/>
      <c r="F168" s="537"/>
      <c r="G168" s="537"/>
      <c r="H168" s="537"/>
      <c r="I168" s="37"/>
      <c r="J168" s="537"/>
      <c r="K168" s="537"/>
      <c r="L168" s="582"/>
      <c r="M168" s="537"/>
      <c r="N168" s="537"/>
      <c r="O168" s="537"/>
      <c r="P168" s="530"/>
      <c r="Q168" s="37"/>
      <c r="R168" s="537"/>
      <c r="S168" s="537"/>
      <c r="T168" s="537"/>
      <c r="U168" s="537"/>
      <c r="V168" s="582"/>
      <c r="W168" s="582"/>
      <c r="X168" s="582"/>
      <c r="Y168" s="37"/>
      <c r="Z168" s="537"/>
      <c r="AA168" s="537"/>
      <c r="AB168" s="582"/>
      <c r="AC168" s="582"/>
      <c r="AD168" s="582"/>
      <c r="AE168" s="537"/>
      <c r="AF168" s="537"/>
      <c r="AG168" s="537"/>
      <c r="AH168" s="537"/>
      <c r="AI168" s="537"/>
      <c r="AJ168" s="37"/>
      <c r="AK168" s="936"/>
      <c r="AL168" s="888"/>
      <c r="AM168" s="2"/>
    </row>
    <row r="169" spans="1:43" ht="18.75" x14ac:dyDescent="0.3">
      <c r="A169" s="67" t="s">
        <v>45</v>
      </c>
      <c r="B169" s="537"/>
      <c r="C169" s="537"/>
      <c r="D169" s="537"/>
      <c r="E169" s="537"/>
      <c r="F169" s="537"/>
      <c r="G169" s="537"/>
      <c r="H169" s="537"/>
      <c r="I169" s="37"/>
      <c r="J169" s="537"/>
      <c r="K169" s="537"/>
      <c r="L169" s="582"/>
      <c r="M169" s="537"/>
      <c r="N169" s="537"/>
      <c r="O169" s="537"/>
      <c r="P169" s="530"/>
      <c r="Q169" s="37"/>
      <c r="R169" s="537"/>
      <c r="S169" s="537"/>
      <c r="T169" s="537"/>
      <c r="U169" s="537"/>
      <c r="V169" s="582"/>
      <c r="W169" s="582"/>
      <c r="X169" s="582"/>
      <c r="Y169" s="37"/>
      <c r="Z169" s="537"/>
      <c r="AA169" s="537"/>
      <c r="AB169" s="582"/>
      <c r="AC169" s="582"/>
      <c r="AD169" s="582"/>
      <c r="AE169" s="537"/>
      <c r="AF169" s="537"/>
      <c r="AG169" s="537"/>
      <c r="AH169" s="537"/>
      <c r="AI169" s="537"/>
      <c r="AJ169" s="37"/>
      <c r="AK169" s="937"/>
      <c r="AL169" s="888"/>
      <c r="AM169" s="2"/>
    </row>
    <row r="170" spans="1:43" ht="18.75" x14ac:dyDescent="0.3">
      <c r="A170" s="67" t="s">
        <v>11</v>
      </c>
      <c r="B170" s="537"/>
      <c r="C170" s="537"/>
      <c r="D170" s="537"/>
      <c r="E170" s="537"/>
      <c r="F170" s="537"/>
      <c r="G170" s="537"/>
      <c r="H170" s="537"/>
      <c r="I170" s="37"/>
      <c r="J170" s="537"/>
      <c r="K170" s="537"/>
      <c r="L170" s="582"/>
      <c r="M170" s="537"/>
      <c r="N170" s="537"/>
      <c r="O170" s="537"/>
      <c r="P170" s="530"/>
      <c r="Q170" s="37"/>
      <c r="R170" s="537"/>
      <c r="S170" s="537"/>
      <c r="T170" s="537"/>
      <c r="U170" s="537"/>
      <c r="V170" s="582"/>
      <c r="W170" s="582"/>
      <c r="X170" s="582"/>
      <c r="Y170" s="37"/>
      <c r="Z170" s="537"/>
      <c r="AA170" s="537"/>
      <c r="AB170" s="582"/>
      <c r="AC170" s="582"/>
      <c r="AD170" s="582"/>
      <c r="AE170" s="530"/>
      <c r="AF170" s="537"/>
      <c r="AG170" s="537"/>
      <c r="AH170" s="537"/>
      <c r="AI170" s="537"/>
      <c r="AJ170" s="37"/>
      <c r="AK170" s="937"/>
      <c r="AL170" s="888"/>
      <c r="AM170" s="2"/>
    </row>
    <row r="171" spans="1:43" ht="18.75" x14ac:dyDescent="0.3">
      <c r="A171" s="67" t="s">
        <v>12</v>
      </c>
      <c r="B171" s="537"/>
      <c r="C171" s="537"/>
      <c r="D171" s="537"/>
      <c r="E171" s="537"/>
      <c r="F171" s="537"/>
      <c r="G171" s="537"/>
      <c r="H171" s="537"/>
      <c r="I171" s="37"/>
      <c r="J171" s="537"/>
      <c r="K171" s="537"/>
      <c r="L171" s="582"/>
      <c r="M171" s="537"/>
      <c r="N171" s="537"/>
      <c r="O171" s="537"/>
      <c r="P171" s="530"/>
      <c r="Q171" s="37"/>
      <c r="R171" s="537"/>
      <c r="S171" s="537"/>
      <c r="T171" s="537"/>
      <c r="U171" s="530"/>
      <c r="V171" s="582"/>
      <c r="W171" s="582"/>
      <c r="X171" s="582"/>
      <c r="Y171" s="37"/>
      <c r="Z171" s="537"/>
      <c r="AA171" s="537"/>
      <c r="AB171" s="582"/>
      <c r="AC171" s="582"/>
      <c r="AD171" s="582"/>
      <c r="AE171" s="537"/>
      <c r="AF171" s="530"/>
      <c r="AG171" s="537"/>
      <c r="AH171" s="537"/>
      <c r="AI171" s="537"/>
      <c r="AJ171" s="37"/>
      <c r="AK171" s="937"/>
      <c r="AL171" s="888"/>
      <c r="AM171" s="2"/>
    </row>
    <row r="172" spans="1:43" ht="15.75" thickBot="1" x14ac:dyDescent="0.3">
      <c r="A172" s="63" t="s">
        <v>79</v>
      </c>
      <c r="B172" s="581"/>
      <c r="C172" s="576"/>
      <c r="D172" s="581"/>
      <c r="E172" s="581"/>
      <c r="F172" s="581"/>
      <c r="G172" s="581"/>
      <c r="H172" s="581"/>
      <c r="I172" s="43"/>
      <c r="J172" s="581"/>
      <c r="K172" s="581"/>
      <c r="L172" s="585"/>
      <c r="M172" s="581"/>
      <c r="N172" s="581"/>
      <c r="O172" s="581"/>
      <c r="P172" s="576"/>
      <c r="Q172" s="43"/>
      <c r="R172" s="581"/>
      <c r="S172" s="581"/>
      <c r="T172" s="581"/>
      <c r="U172" s="581"/>
      <c r="V172" s="585"/>
      <c r="W172" s="585"/>
      <c r="X172" s="585"/>
      <c r="Y172" s="43"/>
      <c r="Z172" s="581"/>
      <c r="AA172" s="581"/>
      <c r="AB172" s="585"/>
      <c r="AC172" s="585"/>
      <c r="AD172" s="585"/>
      <c r="AE172" s="581"/>
      <c r="AF172" s="581"/>
      <c r="AG172" s="581"/>
      <c r="AH172" s="581"/>
      <c r="AI172" s="581"/>
      <c r="AJ172" s="43"/>
      <c r="AK172" s="938"/>
      <c r="AL172" s="911"/>
      <c r="AM172" s="2"/>
      <c r="AQ172" s="13"/>
    </row>
    <row r="173" spans="1:43" ht="19.5" thickBot="1" x14ac:dyDescent="0.35">
      <c r="A173" s="281" t="s">
        <v>2</v>
      </c>
      <c r="B173" s="241"/>
      <c r="C173" s="241"/>
      <c r="D173" s="241"/>
      <c r="E173" s="241"/>
      <c r="F173" s="241"/>
      <c r="G173" s="241"/>
      <c r="H173" s="241"/>
      <c r="I173" s="221"/>
      <c r="J173" s="241"/>
      <c r="K173" s="241"/>
      <c r="L173" s="241"/>
      <c r="M173" s="241"/>
      <c r="N173" s="191"/>
      <c r="O173" s="191"/>
      <c r="P173" s="241"/>
      <c r="Q173" s="221"/>
      <c r="R173" s="241"/>
      <c r="S173" s="241"/>
      <c r="T173" s="241"/>
      <c r="U173" s="241"/>
      <c r="V173" s="241"/>
      <c r="W173" s="241"/>
      <c r="X173" s="241"/>
      <c r="Y173" s="221"/>
      <c r="Z173" s="241"/>
      <c r="AA173" s="191"/>
      <c r="AB173" s="241"/>
      <c r="AC173" s="241"/>
      <c r="AD173" s="241"/>
      <c r="AE173" s="241"/>
      <c r="AF173" s="241"/>
      <c r="AG173" s="191"/>
      <c r="AH173" s="191"/>
      <c r="AI173" s="191"/>
      <c r="AJ173" s="262"/>
      <c r="AK173" s="263"/>
      <c r="AL173" s="263"/>
      <c r="AM173" s="105"/>
      <c r="AN173" s="13"/>
      <c r="AQ173" s="13"/>
    </row>
    <row r="174" spans="1:43" ht="15.75" thickBot="1" x14ac:dyDescent="0.3">
      <c r="A174" s="264"/>
      <c r="B174" s="348"/>
      <c r="C174" s="348"/>
      <c r="D174" s="348"/>
      <c r="E174" s="348"/>
      <c r="F174" s="348"/>
      <c r="G174" s="348"/>
      <c r="H174" s="348"/>
      <c r="I174" s="56"/>
      <c r="J174" s="348"/>
      <c r="K174" s="348"/>
      <c r="L174" s="348"/>
      <c r="M174" s="348"/>
      <c r="N174" s="348"/>
      <c r="O174" s="348"/>
      <c r="P174" s="348"/>
      <c r="Q174" s="56"/>
      <c r="R174" s="348"/>
      <c r="S174" s="348"/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913"/>
      <c r="AM174" s="197"/>
    </row>
    <row r="175" spans="1:43" ht="24" thickBot="1" x14ac:dyDescent="0.4">
      <c r="A175" s="252" t="s">
        <v>160</v>
      </c>
      <c r="B175" s="258"/>
      <c r="C175" s="258"/>
      <c r="D175" s="258"/>
      <c r="E175" s="258"/>
      <c r="F175" s="258"/>
      <c r="G175" s="254"/>
      <c r="H175" s="254"/>
      <c r="I175" s="259"/>
      <c r="J175" s="259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60"/>
      <c r="AK175" s="261"/>
      <c r="AL175" s="260"/>
      <c r="AM175" s="217"/>
      <c r="AN175" s="13"/>
    </row>
    <row r="176" spans="1:43" ht="15.75" x14ac:dyDescent="0.25">
      <c r="A176" s="320" t="s">
        <v>8</v>
      </c>
      <c r="B176" s="322">
        <v>1</v>
      </c>
      <c r="C176" s="322">
        <v>2</v>
      </c>
      <c r="D176" s="322">
        <v>3</v>
      </c>
      <c r="E176" s="322">
        <v>4</v>
      </c>
      <c r="F176" s="322">
        <v>5</v>
      </c>
      <c r="G176" s="322">
        <v>6</v>
      </c>
      <c r="H176" s="322">
        <v>7</v>
      </c>
      <c r="I176" s="323" t="s">
        <v>6</v>
      </c>
      <c r="J176" s="322">
        <v>8</v>
      </c>
      <c r="K176" s="322">
        <v>9</v>
      </c>
      <c r="L176" s="322">
        <v>10</v>
      </c>
      <c r="M176" s="322">
        <v>11</v>
      </c>
      <c r="N176" s="322">
        <v>12</v>
      </c>
      <c r="O176" s="322">
        <v>13</v>
      </c>
      <c r="P176" s="322">
        <v>14</v>
      </c>
      <c r="Q176" s="323" t="s">
        <v>6</v>
      </c>
      <c r="R176" s="322">
        <v>15</v>
      </c>
      <c r="S176" s="322">
        <v>16</v>
      </c>
      <c r="T176" s="322">
        <v>17</v>
      </c>
      <c r="U176" s="322">
        <v>18</v>
      </c>
      <c r="V176" s="322">
        <v>19</v>
      </c>
      <c r="W176" s="322">
        <v>20</v>
      </c>
      <c r="X176" s="322">
        <v>21</v>
      </c>
      <c r="Y176" s="323" t="s">
        <v>6</v>
      </c>
      <c r="Z176" s="322">
        <v>22</v>
      </c>
      <c r="AA176" s="322">
        <v>23</v>
      </c>
      <c r="AB176" s="322">
        <v>24</v>
      </c>
      <c r="AC176" s="322">
        <v>25</v>
      </c>
      <c r="AD176" s="322">
        <v>26</v>
      </c>
      <c r="AE176" s="322">
        <v>27</v>
      </c>
      <c r="AF176" s="322">
        <v>28</v>
      </c>
      <c r="AG176" s="322">
        <v>29</v>
      </c>
      <c r="AH176" s="322">
        <v>30</v>
      </c>
      <c r="AI176" s="322">
        <v>31</v>
      </c>
      <c r="AJ176" s="324" t="s">
        <v>6</v>
      </c>
      <c r="AK176" s="325"/>
      <c r="AL176" s="327"/>
      <c r="AM176" s="919" t="s">
        <v>42</v>
      </c>
    </row>
    <row r="177" spans="1:39" ht="18.75" x14ac:dyDescent="0.3">
      <c r="A177" s="67" t="s">
        <v>29</v>
      </c>
      <c r="B177" s="537"/>
      <c r="C177" s="537"/>
      <c r="D177" s="537"/>
      <c r="E177" s="537"/>
      <c r="F177" s="537"/>
      <c r="G177" s="537"/>
      <c r="H177" s="537"/>
      <c r="I177" s="37"/>
      <c r="J177" s="537"/>
      <c r="K177" s="537"/>
      <c r="L177" s="537"/>
      <c r="M177" s="537"/>
      <c r="N177" s="537"/>
      <c r="O177" s="537"/>
      <c r="P177" s="537"/>
      <c r="Q177" s="37"/>
      <c r="R177" s="537"/>
      <c r="S177" s="537"/>
      <c r="T177" s="537"/>
      <c r="U177" s="537"/>
      <c r="V177" s="537"/>
      <c r="W177" s="530"/>
      <c r="X177" s="530"/>
      <c r="Y177" s="37"/>
      <c r="Z177" s="537"/>
      <c r="AA177" s="537"/>
      <c r="AB177" s="537"/>
      <c r="AC177" s="537"/>
      <c r="AD177" s="537"/>
      <c r="AE177" s="537"/>
      <c r="AF177" s="537"/>
      <c r="AG177" s="537"/>
      <c r="AH177" s="537"/>
      <c r="AI177" s="537"/>
      <c r="AJ177" s="37"/>
      <c r="AK177" s="937"/>
      <c r="AL177" s="888"/>
      <c r="AM177" s="2"/>
    </row>
    <row r="178" spans="1:39" ht="18.75" x14ac:dyDescent="0.3">
      <c r="A178" s="67" t="s">
        <v>13</v>
      </c>
      <c r="B178" s="537"/>
      <c r="C178" s="530"/>
      <c r="D178" s="537"/>
      <c r="E178" s="537"/>
      <c r="F178" s="537"/>
      <c r="G178" s="537"/>
      <c r="H178" s="537"/>
      <c r="I178" s="37"/>
      <c r="J178" s="537"/>
      <c r="K178" s="537"/>
      <c r="L178" s="537"/>
      <c r="M178" s="537"/>
      <c r="N178" s="537"/>
      <c r="O178" s="537"/>
      <c r="P178" s="537"/>
      <c r="Q178" s="37"/>
      <c r="R178" s="537"/>
      <c r="S178" s="537"/>
      <c r="T178" s="537"/>
      <c r="U178" s="537"/>
      <c r="V178" s="537"/>
      <c r="W178" s="530"/>
      <c r="X178" s="530"/>
      <c r="Y178" s="37"/>
      <c r="Z178" s="537"/>
      <c r="AA178" s="537"/>
      <c r="AB178" s="537"/>
      <c r="AC178" s="537"/>
      <c r="AD178" s="537"/>
      <c r="AE178" s="530"/>
      <c r="AF178" s="537"/>
      <c r="AG178" s="537"/>
      <c r="AH178" s="537"/>
      <c r="AI178" s="537"/>
      <c r="AJ178" s="37"/>
      <c r="AK178" s="937"/>
      <c r="AL178" s="888"/>
      <c r="AM178" s="2"/>
    </row>
    <row r="179" spans="1:39" ht="18.75" x14ac:dyDescent="0.3">
      <c r="A179" s="63" t="s">
        <v>14</v>
      </c>
      <c r="B179" s="581"/>
      <c r="C179" s="581"/>
      <c r="D179" s="581"/>
      <c r="E179" s="581"/>
      <c r="F179" s="581"/>
      <c r="G179" s="581"/>
      <c r="H179" s="581"/>
      <c r="I179" s="43"/>
      <c r="J179" s="581"/>
      <c r="K179" s="581"/>
      <c r="L179" s="581"/>
      <c r="M179" s="581"/>
      <c r="N179" s="581"/>
      <c r="O179" s="581"/>
      <c r="P179" s="581"/>
      <c r="Q179" s="43"/>
      <c r="R179" s="581"/>
      <c r="S179" s="581"/>
      <c r="T179" s="581"/>
      <c r="U179" s="581"/>
      <c r="V179" s="581"/>
      <c r="W179" s="576"/>
      <c r="X179" s="576"/>
      <c r="Y179" s="43"/>
      <c r="Z179" s="581"/>
      <c r="AA179" s="581"/>
      <c r="AB179" s="581"/>
      <c r="AC179" s="581"/>
      <c r="AD179" s="581"/>
      <c r="AE179" s="581"/>
      <c r="AF179" s="581"/>
      <c r="AG179" s="581"/>
      <c r="AH179" s="581"/>
      <c r="AI179" s="581"/>
      <c r="AJ179" s="43"/>
      <c r="AK179" s="939"/>
      <c r="AL179" s="911"/>
      <c r="AM179" s="2"/>
    </row>
    <row r="180" spans="1:39" ht="19.5" thickBot="1" x14ac:dyDescent="0.35">
      <c r="A180" s="349"/>
      <c r="B180" s="576"/>
      <c r="C180" s="576"/>
      <c r="D180" s="576"/>
      <c r="E180" s="576"/>
      <c r="F180" s="576"/>
      <c r="G180" s="576"/>
      <c r="H180" s="576"/>
      <c r="I180" s="127"/>
      <c r="J180" s="576"/>
      <c r="K180" s="576"/>
      <c r="L180" s="576"/>
      <c r="M180" s="576"/>
      <c r="N180" s="576"/>
      <c r="O180" s="576"/>
      <c r="P180" s="576"/>
      <c r="Q180" s="45"/>
      <c r="R180" s="576"/>
      <c r="S180" s="576"/>
      <c r="T180" s="576"/>
      <c r="U180" s="576"/>
      <c r="V180" s="576"/>
      <c r="W180" s="576"/>
      <c r="X180" s="576"/>
      <c r="Y180" s="45"/>
      <c r="Z180" s="576"/>
      <c r="AA180" s="576"/>
      <c r="AB180" s="576"/>
      <c r="AC180" s="576"/>
      <c r="AD180" s="576"/>
      <c r="AE180" s="576"/>
      <c r="AF180" s="576"/>
      <c r="AG180" s="576"/>
      <c r="AH180" s="576"/>
      <c r="AI180" s="576"/>
      <c r="AJ180" s="43"/>
      <c r="AK180" s="801"/>
      <c r="AL180" s="911"/>
      <c r="AM180" s="2"/>
    </row>
    <row r="181" spans="1:39" ht="18.75" x14ac:dyDescent="0.3">
      <c r="A181" s="281" t="s">
        <v>2</v>
      </c>
      <c r="B181" s="163"/>
      <c r="C181" s="163"/>
      <c r="D181" s="163"/>
      <c r="E181" s="163"/>
      <c r="F181" s="163"/>
      <c r="G181" s="163"/>
      <c r="H181" s="163"/>
      <c r="I181" s="221"/>
      <c r="J181" s="163"/>
      <c r="K181" s="163"/>
      <c r="L181" s="163"/>
      <c r="M181" s="163"/>
      <c r="N181" s="163"/>
      <c r="O181" s="163"/>
      <c r="P181" s="163"/>
      <c r="Q181" s="221"/>
      <c r="R181" s="163"/>
      <c r="S181" s="163"/>
      <c r="T181" s="163"/>
      <c r="U181" s="163"/>
      <c r="V181" s="163"/>
      <c r="W181" s="163"/>
      <c r="X181" s="163"/>
      <c r="Y181" s="221"/>
      <c r="Z181" s="163"/>
      <c r="AA181" s="163"/>
      <c r="AB181" s="163"/>
      <c r="AC181" s="163"/>
      <c r="AD181" s="163"/>
      <c r="AE181" s="163"/>
      <c r="AF181" s="163"/>
      <c r="AG181" s="50"/>
      <c r="AH181" s="50"/>
      <c r="AI181" s="50"/>
      <c r="AJ181" s="262"/>
      <c r="AK181" s="263"/>
      <c r="AL181" s="235"/>
      <c r="AM181" s="907"/>
    </row>
    <row r="182" spans="1:39" ht="15.75" thickBot="1" x14ac:dyDescent="0.3">
      <c r="A182" s="264"/>
      <c r="B182" s="265"/>
      <c r="C182" s="265"/>
      <c r="D182" s="265"/>
      <c r="E182" s="265"/>
      <c r="F182" s="265"/>
      <c r="G182" s="265"/>
      <c r="H182" s="265"/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  <c r="AM182" s="906"/>
    </row>
    <row r="183" spans="1:39" ht="24" thickBot="1" x14ac:dyDescent="0.4">
      <c r="A183" s="252" t="s">
        <v>161</v>
      </c>
      <c r="B183" s="258"/>
      <c r="C183" s="258"/>
      <c r="D183" s="258"/>
      <c r="E183" s="258"/>
      <c r="F183" s="258"/>
      <c r="G183" s="254"/>
      <c r="H183" s="254"/>
      <c r="I183" s="259"/>
      <c r="J183" s="259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60"/>
      <c r="AK183" s="261"/>
      <c r="AL183" s="260"/>
      <c r="AM183" s="217"/>
    </row>
    <row r="184" spans="1:39" ht="16.5" thickBot="1" x14ac:dyDescent="0.3">
      <c r="A184" s="320" t="s">
        <v>8</v>
      </c>
      <c r="B184" s="322">
        <v>1</v>
      </c>
      <c r="C184" s="322">
        <v>2</v>
      </c>
      <c r="D184" s="322">
        <v>3</v>
      </c>
      <c r="E184" s="322">
        <v>4</v>
      </c>
      <c r="F184" s="322">
        <v>5</v>
      </c>
      <c r="G184" s="322">
        <v>6</v>
      </c>
      <c r="H184" s="322">
        <v>7</v>
      </c>
      <c r="I184" s="323" t="s">
        <v>6</v>
      </c>
      <c r="J184" s="322">
        <v>8</v>
      </c>
      <c r="K184" s="322">
        <v>9</v>
      </c>
      <c r="L184" s="322">
        <v>10</v>
      </c>
      <c r="M184" s="322">
        <v>11</v>
      </c>
      <c r="N184" s="322">
        <v>12</v>
      </c>
      <c r="O184" s="322">
        <v>13</v>
      </c>
      <c r="P184" s="322">
        <v>14</v>
      </c>
      <c r="Q184" s="323" t="s">
        <v>6</v>
      </c>
      <c r="R184" s="322">
        <v>15</v>
      </c>
      <c r="S184" s="322">
        <v>16</v>
      </c>
      <c r="T184" s="322">
        <v>17</v>
      </c>
      <c r="U184" s="322">
        <v>18</v>
      </c>
      <c r="V184" s="322">
        <v>19</v>
      </c>
      <c r="W184" s="322">
        <v>20</v>
      </c>
      <c r="X184" s="322">
        <v>21</v>
      </c>
      <c r="Y184" s="323" t="s">
        <v>6</v>
      </c>
      <c r="Z184" s="322">
        <v>22</v>
      </c>
      <c r="AA184" s="322">
        <v>23</v>
      </c>
      <c r="AB184" s="322">
        <v>24</v>
      </c>
      <c r="AC184" s="322">
        <v>25</v>
      </c>
      <c r="AD184" s="322">
        <v>26</v>
      </c>
      <c r="AE184" s="322">
        <v>27</v>
      </c>
      <c r="AF184" s="322">
        <v>28</v>
      </c>
      <c r="AG184" s="322">
        <v>29</v>
      </c>
      <c r="AH184" s="322">
        <v>30</v>
      </c>
      <c r="AI184" s="322">
        <v>31</v>
      </c>
      <c r="AJ184" s="324" t="s">
        <v>6</v>
      </c>
      <c r="AK184" s="905" t="s">
        <v>0</v>
      </c>
      <c r="AL184" s="327"/>
      <c r="AM184" s="919" t="s">
        <v>42</v>
      </c>
    </row>
    <row r="185" spans="1:39" x14ac:dyDescent="0.25">
      <c r="A185" s="67" t="s">
        <v>32</v>
      </c>
      <c r="B185" s="531">
        <v>0</v>
      </c>
      <c r="C185" s="537"/>
      <c r="D185" s="530"/>
      <c r="E185" s="530"/>
      <c r="F185" s="1">
        <v>40</v>
      </c>
      <c r="G185" s="531">
        <v>0</v>
      </c>
      <c r="H185" s="537"/>
      <c r="I185" s="37"/>
      <c r="J185" s="118">
        <v>24.53</v>
      </c>
      <c r="K185" s="531">
        <v>0</v>
      </c>
      <c r="L185" s="530"/>
      <c r="M185" s="530"/>
      <c r="N185" s="530"/>
      <c r="O185" s="537"/>
      <c r="P185" s="537"/>
      <c r="Q185" s="37"/>
      <c r="R185" s="161">
        <v>28.55</v>
      </c>
      <c r="S185" s="537"/>
      <c r="T185" s="537"/>
      <c r="U185" s="537"/>
      <c r="V185" s="531">
        <v>0</v>
      </c>
      <c r="W185" s="531">
        <v>0</v>
      </c>
      <c r="X185" s="531">
        <v>0</v>
      </c>
      <c r="Y185" s="37"/>
      <c r="Z185" s="531">
        <v>0</v>
      </c>
      <c r="AA185" s="530"/>
      <c r="AB185" s="537"/>
      <c r="AC185" s="537"/>
      <c r="AD185" s="537"/>
      <c r="AE185" s="531">
        <v>0</v>
      </c>
      <c r="AF185" s="531">
        <v>0</v>
      </c>
      <c r="AG185" s="531">
        <v>0</v>
      </c>
      <c r="AH185" s="531">
        <v>0</v>
      </c>
      <c r="AI185" s="2"/>
      <c r="AJ185" s="37"/>
      <c r="AK185" s="936"/>
      <c r="AL185" s="888"/>
      <c r="AM185" s="924"/>
    </row>
    <row r="186" spans="1:39" x14ac:dyDescent="0.25">
      <c r="A186" s="67" t="s">
        <v>15</v>
      </c>
      <c r="B186" s="537"/>
      <c r="C186" s="537"/>
      <c r="D186" s="537"/>
      <c r="E186" s="537"/>
      <c r="F186" s="537"/>
      <c r="G186" s="537"/>
      <c r="H186" s="537"/>
      <c r="I186" s="37"/>
      <c r="J186" s="537"/>
      <c r="K186" s="537"/>
      <c r="L186" s="537"/>
      <c r="M186" s="530"/>
      <c r="N186" s="537"/>
      <c r="O186" s="2"/>
      <c r="P186" s="537"/>
      <c r="Q186" s="37"/>
      <c r="R186" s="537"/>
      <c r="S186" s="537"/>
      <c r="T186" s="537"/>
      <c r="U186" s="537"/>
      <c r="V186" s="537"/>
      <c r="W186" s="530"/>
      <c r="X186" s="530"/>
      <c r="Y186" s="37"/>
      <c r="Z186" s="530"/>
      <c r="AA186" s="537"/>
      <c r="AB186" s="537"/>
      <c r="AC186" s="537"/>
      <c r="AD186" s="537"/>
      <c r="AE186" s="594"/>
      <c r="AF186" s="594"/>
      <c r="AG186" s="594"/>
      <c r="AH186" s="537"/>
      <c r="AI186" s="2"/>
      <c r="AJ186" s="37"/>
      <c r="AK186" s="936"/>
      <c r="AL186" s="888"/>
      <c r="AM186" s="915"/>
    </row>
    <row r="187" spans="1:39" x14ac:dyDescent="0.25">
      <c r="A187" s="67" t="s">
        <v>34</v>
      </c>
      <c r="B187" s="537"/>
      <c r="C187" s="537"/>
      <c r="D187" s="537"/>
      <c r="E187" s="537"/>
      <c r="F187" s="537"/>
      <c r="G187" s="537"/>
      <c r="H187" s="537"/>
      <c r="I187" s="37"/>
      <c r="J187" s="537"/>
      <c r="K187" s="537"/>
      <c r="L187" s="537"/>
      <c r="M187" s="530"/>
      <c r="N187" s="537"/>
      <c r="O187" s="1">
        <v>40</v>
      </c>
      <c r="P187" s="537"/>
      <c r="Q187" s="37"/>
      <c r="R187" s="161">
        <v>8.73</v>
      </c>
      <c r="S187" s="537"/>
      <c r="T187" s="537"/>
      <c r="U187" s="537"/>
      <c r="V187" s="537"/>
      <c r="W187" s="530"/>
      <c r="X187" s="530"/>
      <c r="Y187" s="37"/>
      <c r="Z187" s="537"/>
      <c r="AA187" s="537"/>
      <c r="AB187" s="537"/>
      <c r="AC187" s="537"/>
      <c r="AD187" s="537"/>
      <c r="AE187" s="594"/>
      <c r="AF187" s="594"/>
      <c r="AG187" s="118">
        <v>10.210000000000001</v>
      </c>
      <c r="AH187" s="537"/>
      <c r="AI187" s="2"/>
      <c r="AJ187" s="37"/>
      <c r="AK187" s="936"/>
      <c r="AL187" s="888"/>
      <c r="AM187" s="915"/>
    </row>
    <row r="188" spans="1:39" x14ac:dyDescent="0.25">
      <c r="A188" s="67" t="s">
        <v>297</v>
      </c>
      <c r="B188" s="537"/>
      <c r="C188" s="537"/>
      <c r="D188" s="537"/>
      <c r="E188" s="537"/>
      <c r="F188" s="537"/>
      <c r="G188" s="537"/>
      <c r="H188" s="537"/>
      <c r="I188" s="37"/>
      <c r="J188" s="537"/>
      <c r="K188" s="537"/>
      <c r="L188" s="118">
        <v>38.380000000000003</v>
      </c>
      <c r="M188" s="530"/>
      <c r="N188" s="537"/>
      <c r="O188" s="537"/>
      <c r="P188" s="537"/>
      <c r="Q188" s="37"/>
      <c r="R188" s="57">
        <v>14</v>
      </c>
      <c r="S188" s="537"/>
      <c r="T188" s="537"/>
      <c r="U188" s="537"/>
      <c r="V188" s="537"/>
      <c r="W188" s="530"/>
      <c r="X188" s="530"/>
      <c r="Y188" s="37"/>
      <c r="Z188" s="537"/>
      <c r="AA188" s="537"/>
      <c r="AB188" s="537"/>
      <c r="AC188" s="537"/>
      <c r="AD188" s="537"/>
      <c r="AE188" s="594"/>
      <c r="AF188" s="594"/>
      <c r="AG188" s="537"/>
      <c r="AH188" s="537"/>
      <c r="AI188" s="2"/>
      <c r="AJ188" s="37"/>
      <c r="AK188" s="936"/>
      <c r="AL188" s="888"/>
      <c r="AM188" s="915"/>
    </row>
    <row r="189" spans="1:39" x14ac:dyDescent="0.25">
      <c r="A189" s="67" t="s">
        <v>31</v>
      </c>
      <c r="B189" s="530"/>
      <c r="C189" s="537"/>
      <c r="D189" s="537"/>
      <c r="E189" s="537"/>
      <c r="F189" s="537"/>
      <c r="G189" s="537"/>
      <c r="H189" s="537"/>
      <c r="I189" s="37"/>
      <c r="J189" s="537"/>
      <c r="K189" s="537"/>
      <c r="L189" s="537"/>
      <c r="M189" s="530"/>
      <c r="N189" s="537"/>
      <c r="O189" s="537"/>
      <c r="P189" s="537"/>
      <c r="Q189" s="37"/>
      <c r="R189" s="537"/>
      <c r="S189" s="537"/>
      <c r="T189" s="537"/>
      <c r="U189" s="537"/>
      <c r="V189" s="537"/>
      <c r="W189" s="530"/>
      <c r="X189" s="530"/>
      <c r="Y189" s="37"/>
      <c r="Z189" s="537"/>
      <c r="AA189" s="537"/>
      <c r="AB189" s="537"/>
      <c r="AC189" s="537"/>
      <c r="AD189" s="537"/>
      <c r="AE189" s="594"/>
      <c r="AF189" s="594"/>
      <c r="AG189" s="537"/>
      <c r="AH189" s="537"/>
      <c r="AI189" s="2"/>
      <c r="AJ189" s="37"/>
      <c r="AK189" s="936"/>
      <c r="AL189" s="888"/>
      <c r="AM189" s="915"/>
    </row>
    <row r="190" spans="1:39" x14ac:dyDescent="0.25">
      <c r="A190" s="67" t="s">
        <v>30</v>
      </c>
      <c r="B190" s="537"/>
      <c r="C190" s="118">
        <v>24.74</v>
      </c>
      <c r="D190" s="537"/>
      <c r="E190" s="118">
        <v>26.43</v>
      </c>
      <c r="F190" s="118">
        <v>12.35</v>
      </c>
      <c r="G190" s="537"/>
      <c r="H190" s="118">
        <v>28.07</v>
      </c>
      <c r="I190" s="37"/>
      <c r="J190" s="537"/>
      <c r="K190" s="537"/>
      <c r="L190" s="537"/>
      <c r="M190" s="530"/>
      <c r="N190" s="118">
        <v>25.46</v>
      </c>
      <c r="O190" s="118">
        <v>12.93</v>
      </c>
      <c r="P190" s="537"/>
      <c r="Q190" s="37"/>
      <c r="R190" s="161">
        <v>13.11</v>
      </c>
      <c r="S190" s="118">
        <v>9.89</v>
      </c>
      <c r="T190" s="118">
        <v>7.96</v>
      </c>
      <c r="U190" s="537"/>
      <c r="V190" s="537"/>
      <c r="W190" s="57">
        <v>40</v>
      </c>
      <c r="X190" s="530"/>
      <c r="Y190" s="37"/>
      <c r="Z190" s="898">
        <v>24.3</v>
      </c>
      <c r="AA190" s="537"/>
      <c r="AB190" s="161">
        <v>22.01</v>
      </c>
      <c r="AC190" s="161">
        <v>11.88</v>
      </c>
      <c r="AD190" s="537"/>
      <c r="AE190" s="594"/>
      <c r="AF190" s="594"/>
      <c r="AG190" s="118">
        <v>13.21</v>
      </c>
      <c r="AH190" s="537"/>
      <c r="AI190" s="2"/>
      <c r="AJ190" s="37"/>
      <c r="AK190" s="936"/>
      <c r="AL190" s="888"/>
      <c r="AM190" s="915"/>
    </row>
    <row r="191" spans="1:39" x14ac:dyDescent="0.25">
      <c r="A191" s="67" t="s">
        <v>17</v>
      </c>
      <c r="B191" s="537"/>
      <c r="C191" s="537"/>
      <c r="D191" s="118">
        <v>35.43</v>
      </c>
      <c r="E191" s="537"/>
      <c r="F191" s="537"/>
      <c r="G191" s="537"/>
      <c r="H191" s="537"/>
      <c r="I191" s="37"/>
      <c r="J191" s="118">
        <v>36.47</v>
      </c>
      <c r="K191" s="537"/>
      <c r="L191" s="537"/>
      <c r="M191" s="1">
        <v>40</v>
      </c>
      <c r="N191" s="118">
        <v>23.67</v>
      </c>
      <c r="O191" s="537"/>
      <c r="P191" s="118">
        <v>37.92</v>
      </c>
      <c r="Q191" s="37"/>
      <c r="R191" s="537"/>
      <c r="S191" s="118">
        <v>33.58</v>
      </c>
      <c r="T191" s="537"/>
      <c r="U191" s="537"/>
      <c r="V191" s="1">
        <v>40</v>
      </c>
      <c r="W191" s="530"/>
      <c r="X191" s="57">
        <v>39.53</v>
      </c>
      <c r="Y191" s="37"/>
      <c r="Z191" s="537"/>
      <c r="AA191" s="1">
        <v>40</v>
      </c>
      <c r="AB191" s="161">
        <v>33.26</v>
      </c>
      <c r="AC191" s="161">
        <v>16.43</v>
      </c>
      <c r="AD191" s="161">
        <v>29.56</v>
      </c>
      <c r="AE191" s="594"/>
      <c r="AF191" s="594"/>
      <c r="AG191" s="1">
        <v>39.93</v>
      </c>
      <c r="AH191" s="1">
        <v>40</v>
      </c>
      <c r="AI191" s="2"/>
      <c r="AJ191" s="37"/>
      <c r="AK191" s="936"/>
      <c r="AL191" s="888"/>
      <c r="AM191" s="915"/>
    </row>
    <row r="192" spans="1:39" ht="18.75" x14ac:dyDescent="0.3">
      <c r="A192" s="67" t="s">
        <v>16</v>
      </c>
      <c r="B192" s="537"/>
      <c r="C192" s="537"/>
      <c r="D192" s="118">
        <v>33.909999999999997</v>
      </c>
      <c r="E192" s="537"/>
      <c r="F192" s="537"/>
      <c r="G192" s="537"/>
      <c r="H192" s="537"/>
      <c r="I192" s="37"/>
      <c r="J192" s="537"/>
      <c r="K192" s="537"/>
      <c r="L192" s="118">
        <v>29.44</v>
      </c>
      <c r="M192" s="530"/>
      <c r="N192" s="537"/>
      <c r="O192" s="537"/>
      <c r="P192" s="537"/>
      <c r="Q192" s="37"/>
      <c r="R192" s="537"/>
      <c r="S192" s="537"/>
      <c r="T192" s="537"/>
      <c r="U192" s="537"/>
      <c r="V192" s="118">
        <v>27.57</v>
      </c>
      <c r="W192" s="530"/>
      <c r="X192" s="530"/>
      <c r="Y192" s="37"/>
      <c r="Z192" s="537"/>
      <c r="AA192" s="537"/>
      <c r="AB192" s="537"/>
      <c r="AC192" s="537"/>
      <c r="AD192" s="537"/>
      <c r="AE192" s="594"/>
      <c r="AF192" s="594"/>
      <c r="AG192" s="537"/>
      <c r="AH192" s="537"/>
      <c r="AI192" s="2"/>
      <c r="AJ192" s="37"/>
      <c r="AK192" s="937"/>
      <c r="AL192" s="888"/>
      <c r="AM192" s="915"/>
    </row>
    <row r="193" spans="1:39" ht="15.75" x14ac:dyDescent="0.25">
      <c r="A193" s="67" t="s">
        <v>33</v>
      </c>
      <c r="B193" s="581"/>
      <c r="C193" s="581"/>
      <c r="D193" s="581"/>
      <c r="E193" s="581"/>
      <c r="F193" s="581"/>
      <c r="G193" s="581"/>
      <c r="H193" s="581"/>
      <c r="I193" s="43"/>
      <c r="J193" s="581"/>
      <c r="K193" s="581"/>
      <c r="L193" s="581"/>
      <c r="M193" s="576"/>
      <c r="N193" s="581"/>
      <c r="O193" s="581"/>
      <c r="P193" s="581"/>
      <c r="Q193" s="43"/>
      <c r="R193" s="581"/>
      <c r="S193" s="581"/>
      <c r="T193" s="581"/>
      <c r="U193" s="581"/>
      <c r="V193" s="581"/>
      <c r="W193" s="576"/>
      <c r="X193" s="576"/>
      <c r="Y193" s="43"/>
      <c r="Z193" s="581"/>
      <c r="AA193" s="123">
        <v>40</v>
      </c>
      <c r="AB193" s="581"/>
      <c r="AC193" s="581"/>
      <c r="AD193" s="576"/>
      <c r="AE193" s="600"/>
      <c r="AF193" s="600"/>
      <c r="AG193" s="581"/>
      <c r="AH193" s="581"/>
      <c r="AI193" s="42"/>
      <c r="AJ193" s="43"/>
      <c r="AK193" s="983">
        <v>200.93</v>
      </c>
      <c r="AL193" s="911"/>
      <c r="AM193" s="915"/>
    </row>
    <row r="194" spans="1:39" ht="15.75" x14ac:dyDescent="0.25">
      <c r="A194" s="63" t="s">
        <v>432</v>
      </c>
      <c r="B194" s="530"/>
      <c r="C194" s="530"/>
      <c r="D194" s="530"/>
      <c r="E194" s="530"/>
      <c r="F194" s="530"/>
      <c r="G194" s="530"/>
      <c r="H194" s="530"/>
      <c r="I194" s="47"/>
      <c r="J194" s="530"/>
      <c r="K194" s="530"/>
      <c r="L194" s="530"/>
      <c r="M194" s="530"/>
      <c r="N194" s="530"/>
      <c r="O194" s="530"/>
      <c r="P194" s="530"/>
      <c r="Q194" s="47"/>
      <c r="R194" s="530"/>
      <c r="S194" s="530"/>
      <c r="T194" s="530"/>
      <c r="U194" s="135">
        <v>73.209999999999994</v>
      </c>
      <c r="V194" s="530"/>
      <c r="W194" s="530"/>
      <c r="X194" s="530"/>
      <c r="Y194" s="47"/>
      <c r="Z194" s="530"/>
      <c r="AA194" s="530"/>
      <c r="AB194" s="530"/>
      <c r="AC194" s="530"/>
      <c r="AD194" s="530"/>
      <c r="AE194" s="531"/>
      <c r="AF194" s="531"/>
      <c r="AG194" s="530"/>
      <c r="AH194" s="530"/>
      <c r="AI194" s="124"/>
      <c r="AJ194" s="37"/>
      <c r="AK194" s="236">
        <v>308.8</v>
      </c>
      <c r="AL194" s="888"/>
      <c r="AM194" s="915"/>
    </row>
    <row r="195" spans="1:39" ht="15.75" x14ac:dyDescent="0.25">
      <c r="A195" s="63" t="s">
        <v>19</v>
      </c>
      <c r="B195" s="584"/>
      <c r="C195" s="584"/>
      <c r="D195" s="584"/>
      <c r="E195" s="584"/>
      <c r="F195" s="584"/>
      <c r="G195" s="584"/>
      <c r="H195" s="584"/>
      <c r="I195" s="43"/>
      <c r="J195" s="584"/>
      <c r="K195" s="584"/>
      <c r="L195" s="584"/>
      <c r="M195" s="589"/>
      <c r="N195" s="584"/>
      <c r="O195" s="584"/>
      <c r="P195" s="584"/>
      <c r="Q195" s="43"/>
      <c r="R195" s="584"/>
      <c r="S195" s="584"/>
      <c r="T195" s="584"/>
      <c r="U195" s="584"/>
      <c r="V195" s="584"/>
      <c r="W195" s="589"/>
      <c r="X195" s="589"/>
      <c r="Y195" s="43"/>
      <c r="Z195" s="584"/>
      <c r="AA195" s="584"/>
      <c r="AB195" s="584"/>
      <c r="AC195" s="584"/>
      <c r="AD195" s="584"/>
      <c r="AE195" s="601"/>
      <c r="AF195" s="601"/>
      <c r="AG195" s="584"/>
      <c r="AH195" s="584"/>
      <c r="AI195" s="132"/>
      <c r="AJ195" s="43"/>
      <c r="AK195" s="984">
        <v>336.13</v>
      </c>
      <c r="AL195" s="911"/>
      <c r="AM195" s="915"/>
    </row>
    <row r="196" spans="1:39" ht="15.75" x14ac:dyDescent="0.25">
      <c r="A196" s="67" t="s">
        <v>102</v>
      </c>
      <c r="B196" s="583"/>
      <c r="C196" s="583"/>
      <c r="D196" s="583"/>
      <c r="E196" s="583"/>
      <c r="F196" s="583"/>
      <c r="G196" s="583"/>
      <c r="H196" s="583"/>
      <c r="I196" s="37"/>
      <c r="J196" s="583"/>
      <c r="K196" s="583"/>
      <c r="L196" s="583"/>
      <c r="M196" s="587"/>
      <c r="N196" s="583"/>
      <c r="O196" s="583"/>
      <c r="P196" s="583"/>
      <c r="Q196" s="37"/>
      <c r="R196" s="583"/>
      <c r="S196" s="583"/>
      <c r="T196" s="583"/>
      <c r="U196" s="583"/>
      <c r="V196" s="583"/>
      <c r="W196" s="587"/>
      <c r="X196" s="587"/>
      <c r="Y196" s="37"/>
      <c r="Z196" s="583"/>
      <c r="AA196" s="583"/>
      <c r="AB196" s="583"/>
      <c r="AC196" s="583"/>
      <c r="AD196" s="583"/>
      <c r="AE196" s="690"/>
      <c r="AF196" s="690"/>
      <c r="AG196" s="582"/>
      <c r="AH196" s="583"/>
      <c r="AI196" s="112"/>
      <c r="AJ196" s="37"/>
      <c r="AK196" s="237">
        <v>320.79000000000002</v>
      </c>
      <c r="AL196" s="888"/>
      <c r="AM196" s="915"/>
    </row>
    <row r="197" spans="1:39" ht="18.75" x14ac:dyDescent="0.3">
      <c r="A197" s="402" t="s">
        <v>2</v>
      </c>
      <c r="B197" s="199">
        <f t="shared" ref="B197:H197" si="6">SUM(B185:B196)</f>
        <v>0</v>
      </c>
      <c r="C197" s="199">
        <f t="shared" si="6"/>
        <v>24.74</v>
      </c>
      <c r="D197" s="199">
        <f t="shared" si="6"/>
        <v>69.34</v>
      </c>
      <c r="E197" s="199">
        <f t="shared" si="6"/>
        <v>26.43</v>
      </c>
      <c r="F197" s="199">
        <f t="shared" si="6"/>
        <v>52.35</v>
      </c>
      <c r="G197" s="199">
        <f t="shared" si="6"/>
        <v>0</v>
      </c>
      <c r="H197" s="199">
        <f t="shared" si="6"/>
        <v>28.07</v>
      </c>
      <c r="I197" s="440">
        <f>SUM(B197:H197)</f>
        <v>200.92999999999998</v>
      </c>
      <c r="J197" s="199">
        <f>SUM(J185:J196)</f>
        <v>61</v>
      </c>
      <c r="K197" s="199">
        <f>SUM(K185:K196)</f>
        <v>0</v>
      </c>
      <c r="L197" s="199">
        <f>SUM(L185:L196)</f>
        <v>67.820000000000007</v>
      </c>
      <c r="M197" s="199">
        <f>SUM(M185:M196)</f>
        <v>40</v>
      </c>
      <c r="N197" s="199">
        <f>SUM(N185:N196)</f>
        <v>49.13</v>
      </c>
      <c r="O197" s="199">
        <f>SUM(O185:O195)</f>
        <v>52.93</v>
      </c>
      <c r="P197" s="199">
        <f>SUM(P185:P195)</f>
        <v>37.92</v>
      </c>
      <c r="Q197" s="440">
        <f>SUM(J197:P197)</f>
        <v>308.8</v>
      </c>
      <c r="R197" s="199">
        <f>SUM(R185:R195)</f>
        <v>64.39</v>
      </c>
      <c r="S197" s="199">
        <f t="shared" ref="S197:X197" si="7">SUM(S185:S196)</f>
        <v>43.47</v>
      </c>
      <c r="T197" s="199">
        <f t="shared" si="7"/>
        <v>7.96</v>
      </c>
      <c r="U197" s="199">
        <f t="shared" si="7"/>
        <v>73.209999999999994</v>
      </c>
      <c r="V197" s="199">
        <f t="shared" si="7"/>
        <v>67.569999999999993</v>
      </c>
      <c r="W197" s="199">
        <f t="shared" si="7"/>
        <v>40</v>
      </c>
      <c r="X197" s="199">
        <f t="shared" si="7"/>
        <v>39.53</v>
      </c>
      <c r="Y197" s="440">
        <f>SUM(R197:X197)</f>
        <v>336.13</v>
      </c>
      <c r="Z197" s="199">
        <f t="shared" ref="Z197:AH197" si="8">SUM(Z185:Z196)</f>
        <v>24.3</v>
      </c>
      <c r="AA197" s="199">
        <f t="shared" si="8"/>
        <v>80</v>
      </c>
      <c r="AB197" s="199">
        <f t="shared" si="8"/>
        <v>55.269999999999996</v>
      </c>
      <c r="AC197" s="199">
        <f t="shared" si="8"/>
        <v>28.310000000000002</v>
      </c>
      <c r="AD197" s="199">
        <f t="shared" si="8"/>
        <v>29.56</v>
      </c>
      <c r="AE197" s="199">
        <f t="shared" si="8"/>
        <v>0</v>
      </c>
      <c r="AF197" s="199">
        <f t="shared" si="8"/>
        <v>0</v>
      </c>
      <c r="AG197" s="199">
        <f t="shared" si="8"/>
        <v>63.35</v>
      </c>
      <c r="AH197" s="199">
        <f t="shared" si="8"/>
        <v>40</v>
      </c>
      <c r="AI197" s="199"/>
      <c r="AJ197" s="999">
        <f>SUM(Z197:AI197)</f>
        <v>320.79000000000002</v>
      </c>
      <c r="AK197" s="991">
        <f>SUM(AK193:AK196)</f>
        <v>1166.6500000000001</v>
      </c>
      <c r="AL197" s="441"/>
      <c r="AM197" s="916"/>
    </row>
    <row r="198" spans="1:39" ht="15.75" thickBot="1" x14ac:dyDescent="0.3">
      <c r="A198" s="264"/>
      <c r="B198" s="265">
        <v>11</v>
      </c>
      <c r="C198" s="265" t="s">
        <v>341</v>
      </c>
      <c r="D198" s="265" t="s">
        <v>355</v>
      </c>
      <c r="E198" s="265" t="s">
        <v>341</v>
      </c>
      <c r="F198" s="265" t="s">
        <v>355</v>
      </c>
      <c r="G198" s="265" t="s">
        <v>357</v>
      </c>
      <c r="H198" s="265" t="s">
        <v>341</v>
      </c>
      <c r="I198" s="56"/>
      <c r="J198" s="265" t="s">
        <v>355</v>
      </c>
      <c r="K198" s="265" t="s">
        <v>357</v>
      </c>
      <c r="L198" s="265" t="s">
        <v>428</v>
      </c>
      <c r="M198" s="265" t="s">
        <v>355</v>
      </c>
      <c r="N198" s="265" t="s">
        <v>355</v>
      </c>
      <c r="O198" s="265" t="s">
        <v>355</v>
      </c>
      <c r="P198" s="265" t="s">
        <v>341</v>
      </c>
      <c r="Q198" s="56"/>
      <c r="R198" s="265" t="s">
        <v>430</v>
      </c>
      <c r="S198" s="265" t="s">
        <v>355</v>
      </c>
      <c r="T198" s="265" t="s">
        <v>341</v>
      </c>
      <c r="U198" s="265" t="s">
        <v>341</v>
      </c>
      <c r="V198" s="265" t="s">
        <v>355</v>
      </c>
      <c r="W198" s="265" t="s">
        <v>341</v>
      </c>
      <c r="X198" s="265" t="s">
        <v>355</v>
      </c>
      <c r="Y198" s="56"/>
      <c r="Z198" s="265" t="s">
        <v>341</v>
      </c>
      <c r="AA198" s="265" t="s">
        <v>355</v>
      </c>
      <c r="AB198" s="265" t="s">
        <v>355</v>
      </c>
      <c r="AC198" s="265" t="s">
        <v>355</v>
      </c>
      <c r="AD198" s="265" t="s">
        <v>341</v>
      </c>
      <c r="AE198" s="265" t="s">
        <v>341</v>
      </c>
      <c r="AF198" s="265" t="s">
        <v>355</v>
      </c>
      <c r="AG198" s="265" t="s">
        <v>354</v>
      </c>
      <c r="AH198" s="265" t="s">
        <v>341</v>
      </c>
      <c r="AI198" s="265"/>
      <c r="AJ198" s="56"/>
      <c r="AK198" s="225"/>
      <c r="AL198" s="913"/>
      <c r="AM198" s="917"/>
    </row>
    <row r="199" spans="1:39" ht="24" thickBot="1" x14ac:dyDescent="0.4">
      <c r="A199" s="294" t="s">
        <v>162</v>
      </c>
      <c r="B199" s="295"/>
      <c r="C199" s="295"/>
      <c r="D199" s="295"/>
      <c r="E199" s="295"/>
      <c r="F199" s="295"/>
      <c r="G199" s="296"/>
      <c r="H199" s="297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8"/>
      <c r="AA199" s="298"/>
      <c r="AB199" s="298"/>
      <c r="AC199" s="298"/>
      <c r="AD199" s="298"/>
      <c r="AE199" s="298"/>
      <c r="AF199" s="298"/>
      <c r="AG199" s="298"/>
      <c r="AH199" s="298"/>
      <c r="AI199" s="298"/>
      <c r="AJ199" s="299"/>
      <c r="AK199" s="300"/>
      <c r="AL199" s="301"/>
      <c r="AM199" s="217"/>
    </row>
    <row r="200" spans="1:39" ht="16.5" thickBot="1" x14ac:dyDescent="0.3">
      <c r="A200" s="706" t="s">
        <v>80</v>
      </c>
      <c r="B200" s="707">
        <v>1</v>
      </c>
      <c r="C200" s="328">
        <v>2</v>
      </c>
      <c r="D200" s="328">
        <v>3</v>
      </c>
      <c r="E200" s="328">
        <v>4</v>
      </c>
      <c r="F200" s="328">
        <v>5</v>
      </c>
      <c r="G200" s="328">
        <v>6</v>
      </c>
      <c r="H200" s="328">
        <v>7</v>
      </c>
      <c r="I200" s="329" t="s">
        <v>6</v>
      </c>
      <c r="J200" s="328">
        <v>8</v>
      </c>
      <c r="K200" s="328">
        <v>9</v>
      </c>
      <c r="L200" s="328">
        <v>10</v>
      </c>
      <c r="M200" s="328">
        <v>11</v>
      </c>
      <c r="N200" s="328">
        <v>12</v>
      </c>
      <c r="O200" s="328">
        <v>13</v>
      </c>
      <c r="P200" s="328">
        <v>14</v>
      </c>
      <c r="Q200" s="329" t="s">
        <v>6</v>
      </c>
      <c r="R200" s="328">
        <v>15</v>
      </c>
      <c r="S200" s="328">
        <v>16</v>
      </c>
      <c r="T200" s="328">
        <v>17</v>
      </c>
      <c r="U200" s="328">
        <v>18</v>
      </c>
      <c r="V200" s="328">
        <v>19</v>
      </c>
      <c r="W200" s="328">
        <v>20</v>
      </c>
      <c r="X200" s="328">
        <v>21</v>
      </c>
      <c r="Y200" s="329" t="s">
        <v>6</v>
      </c>
      <c r="Z200" s="328">
        <v>22</v>
      </c>
      <c r="AA200" s="328">
        <v>23</v>
      </c>
      <c r="AB200" s="328">
        <v>24</v>
      </c>
      <c r="AC200" s="328">
        <v>25</v>
      </c>
      <c r="AD200" s="328">
        <v>26</v>
      </c>
      <c r="AE200" s="328">
        <v>27</v>
      </c>
      <c r="AF200" s="328">
        <v>28</v>
      </c>
      <c r="AG200" s="328">
        <v>29</v>
      </c>
      <c r="AH200" s="328">
        <v>30</v>
      </c>
      <c r="AI200" s="328">
        <v>31</v>
      </c>
      <c r="AJ200" s="959" t="s">
        <v>6</v>
      </c>
      <c r="AK200" s="961"/>
      <c r="AL200" s="960"/>
      <c r="AM200" s="395" t="s">
        <v>42</v>
      </c>
    </row>
    <row r="201" spans="1:39" ht="15" customHeight="1" x14ac:dyDescent="0.3">
      <c r="A201" s="347" t="s">
        <v>81</v>
      </c>
      <c r="B201" s="575"/>
      <c r="C201" s="575"/>
      <c r="D201" s="575"/>
      <c r="E201" s="575"/>
      <c r="F201" s="575"/>
      <c r="G201" s="575"/>
      <c r="H201" s="575"/>
      <c r="I201" s="304"/>
      <c r="J201" s="575"/>
      <c r="K201" s="575"/>
      <c r="L201" s="575"/>
      <c r="M201" s="575"/>
      <c r="N201" s="575"/>
      <c r="O201" s="575"/>
      <c r="P201" s="575"/>
      <c r="Q201" s="304"/>
      <c r="R201" s="575"/>
      <c r="S201" s="575"/>
      <c r="T201" s="575"/>
      <c r="U201" s="575"/>
      <c r="V201" s="575"/>
      <c r="W201" s="575"/>
      <c r="X201" s="575"/>
      <c r="Y201" s="304"/>
      <c r="Z201" s="575"/>
      <c r="AA201" s="575"/>
      <c r="AB201" s="672">
        <v>51.41</v>
      </c>
      <c r="AC201" s="575"/>
      <c r="AD201" s="575"/>
      <c r="AE201" s="575"/>
      <c r="AF201" s="575"/>
      <c r="AG201" s="575"/>
      <c r="AH201" s="575"/>
      <c r="AI201" s="575"/>
      <c r="AJ201" s="305"/>
      <c r="AK201" s="941"/>
      <c r="AL201" s="910"/>
      <c r="AM201" s="2"/>
    </row>
    <row r="202" spans="1:39" ht="15" customHeight="1" x14ac:dyDescent="0.3">
      <c r="A202" s="63" t="s">
        <v>82</v>
      </c>
      <c r="B202" s="581"/>
      <c r="C202" s="581"/>
      <c r="D202" s="581"/>
      <c r="E202" s="581"/>
      <c r="F202" s="581"/>
      <c r="G202" s="581"/>
      <c r="H202" s="581"/>
      <c r="I202" s="43"/>
      <c r="J202" s="581"/>
      <c r="K202" s="581"/>
      <c r="L202" s="581"/>
      <c r="M202" s="581"/>
      <c r="N202" s="581"/>
      <c r="O202" s="581"/>
      <c r="P202" s="581"/>
      <c r="Q202" s="43"/>
      <c r="R202" s="581"/>
      <c r="S202" s="581"/>
      <c r="T202" s="581"/>
      <c r="U202" s="581"/>
      <c r="V202" s="581"/>
      <c r="W202" s="581"/>
      <c r="X202" s="581"/>
      <c r="Y202" s="43"/>
      <c r="Z202" s="581"/>
      <c r="AA202" s="581"/>
      <c r="AB202" s="581"/>
      <c r="AC202" s="581"/>
      <c r="AD202" s="581"/>
      <c r="AE202" s="581"/>
      <c r="AF202" s="581"/>
      <c r="AG202" s="581"/>
      <c r="AH202" s="581"/>
      <c r="AI202" s="581"/>
      <c r="AJ202" s="43"/>
      <c r="AK202" s="942"/>
      <c r="AL202" s="911"/>
      <c r="AM202" s="2"/>
    </row>
    <row r="203" spans="1:39" ht="15" customHeight="1" x14ac:dyDescent="0.35">
      <c r="A203" s="195"/>
      <c r="B203" s="530"/>
      <c r="C203" s="530"/>
      <c r="D203" s="530"/>
      <c r="E203" s="530"/>
      <c r="F203" s="530"/>
      <c r="G203" s="530"/>
      <c r="H203" s="530"/>
      <c r="I203" s="157"/>
      <c r="J203" s="530"/>
      <c r="K203" s="530"/>
      <c r="L203" s="530"/>
      <c r="M203" s="530"/>
      <c r="N203" s="530"/>
      <c r="O203" s="530"/>
      <c r="P203" s="530"/>
      <c r="Q203" s="47"/>
      <c r="R203" s="530"/>
      <c r="S203" s="530"/>
      <c r="T203" s="530"/>
      <c r="U203" s="530"/>
      <c r="V203" s="530"/>
      <c r="W203" s="530"/>
      <c r="X203" s="530"/>
      <c r="Y203" s="47"/>
      <c r="Z203" s="530"/>
      <c r="AA203" s="530"/>
      <c r="AB203" s="530"/>
      <c r="AC203" s="530"/>
      <c r="AD203" s="530"/>
      <c r="AE203" s="530"/>
      <c r="AF203" s="530"/>
      <c r="AG203" s="530"/>
      <c r="AH203" s="530"/>
      <c r="AI203" s="530"/>
      <c r="AJ203" s="47"/>
      <c r="AK203" s="341"/>
      <c r="AL203" s="928"/>
      <c r="AM203" s="2"/>
    </row>
    <row r="204" spans="1:39" ht="16.5" thickBot="1" x14ac:dyDescent="0.3">
      <c r="A204" s="63"/>
      <c r="B204" s="584"/>
      <c r="C204" s="584"/>
      <c r="D204" s="584"/>
      <c r="E204" s="584"/>
      <c r="F204" s="584"/>
      <c r="G204" s="584"/>
      <c r="H204" s="584"/>
      <c r="I204" s="43"/>
      <c r="J204" s="584"/>
      <c r="K204" s="584"/>
      <c r="L204" s="584"/>
      <c r="M204" s="584"/>
      <c r="N204" s="584"/>
      <c r="O204" s="584"/>
      <c r="P204" s="584"/>
      <c r="Q204" s="43"/>
      <c r="R204" s="584"/>
      <c r="S204" s="584"/>
      <c r="T204" s="584"/>
      <c r="U204" s="584"/>
      <c r="V204" s="584"/>
      <c r="W204" s="584"/>
      <c r="X204" s="584"/>
      <c r="Y204" s="43"/>
      <c r="Z204" s="584"/>
      <c r="AA204" s="584"/>
      <c r="AB204" s="584"/>
      <c r="AC204" s="584"/>
      <c r="AD204" s="584"/>
      <c r="AE204" s="584"/>
      <c r="AF204" s="584"/>
      <c r="AG204" s="584"/>
      <c r="AH204" s="584"/>
      <c r="AI204" s="584"/>
      <c r="AJ204" s="43"/>
      <c r="AK204" s="943"/>
      <c r="AL204" s="931"/>
      <c r="AM204" s="2"/>
    </row>
    <row r="205" spans="1:39" ht="23.25" x14ac:dyDescent="0.35">
      <c r="A205" s="281" t="s">
        <v>2</v>
      </c>
      <c r="B205" s="163"/>
      <c r="C205" s="163"/>
      <c r="D205" s="163"/>
      <c r="E205" s="163"/>
      <c r="F205" s="163"/>
      <c r="G205" s="163"/>
      <c r="H205" s="163"/>
      <c r="I205" s="221"/>
      <c r="J205" s="163"/>
      <c r="K205" s="163"/>
      <c r="L205" s="163"/>
      <c r="M205" s="163"/>
      <c r="N205" s="163"/>
      <c r="O205" s="163"/>
      <c r="P205" s="163"/>
      <c r="Q205" s="221"/>
      <c r="R205" s="163"/>
      <c r="S205" s="163"/>
      <c r="T205" s="163"/>
      <c r="U205" s="163"/>
      <c r="V205" s="163"/>
      <c r="W205" s="163"/>
      <c r="X205" s="163"/>
      <c r="Y205" s="221"/>
      <c r="Z205" s="163"/>
      <c r="AA205" s="163"/>
      <c r="AB205" s="163">
        <f>SUM(AB201:AB204)</f>
        <v>51.41</v>
      </c>
      <c r="AC205" s="163"/>
      <c r="AD205" s="163"/>
      <c r="AE205" s="163"/>
      <c r="AF205" s="163"/>
      <c r="AG205" s="163"/>
      <c r="AH205" s="163"/>
      <c r="AI205" s="163"/>
      <c r="AJ205" s="51"/>
      <c r="AK205" s="351"/>
      <c r="AL205" s="932"/>
      <c r="AM205" s="105"/>
    </row>
    <row r="206" spans="1:39" ht="16.5" thickBot="1" x14ac:dyDescent="0.3">
      <c r="A206" s="264"/>
      <c r="B206" s="265"/>
      <c r="C206" s="265"/>
      <c r="D206" s="265"/>
      <c r="E206" s="265"/>
      <c r="F206" s="265"/>
      <c r="G206" s="265"/>
      <c r="H206" s="265"/>
      <c r="I206" s="56"/>
      <c r="J206" s="265"/>
      <c r="K206" s="265"/>
      <c r="L206" s="265"/>
      <c r="M206" s="265"/>
      <c r="N206" s="265"/>
      <c r="O206" s="265"/>
      <c r="P206" s="265"/>
      <c r="Q206" s="56"/>
      <c r="R206" s="265"/>
      <c r="S206" s="265"/>
      <c r="T206" s="265"/>
      <c r="U206" s="265"/>
      <c r="V206" s="265"/>
      <c r="W206" s="265"/>
      <c r="X206" s="265"/>
      <c r="Y206" s="56"/>
      <c r="Z206" s="265"/>
      <c r="AA206" s="265"/>
      <c r="AB206" s="265"/>
      <c r="AC206" s="265"/>
      <c r="AD206" s="265"/>
      <c r="AE206" s="265"/>
      <c r="AF206" s="265"/>
      <c r="AG206" s="265"/>
      <c r="AH206" s="265"/>
      <c r="AI206" s="265"/>
      <c r="AJ206" s="56"/>
      <c r="AK206" s="353"/>
      <c r="AL206" s="933"/>
      <c r="AM206" s="197"/>
    </row>
    <row r="207" spans="1:39" ht="24" thickBot="1" x14ac:dyDescent="0.4">
      <c r="A207" s="294" t="s">
        <v>163</v>
      </c>
      <c r="B207" s="295"/>
      <c r="C207" s="295"/>
      <c r="D207" s="295"/>
      <c r="E207" s="295"/>
      <c r="F207" s="295"/>
      <c r="G207" s="296"/>
      <c r="H207" s="297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8"/>
      <c r="AA207" s="298"/>
      <c r="AB207" s="298"/>
      <c r="AC207" s="298"/>
      <c r="AD207" s="298"/>
      <c r="AE207" s="298"/>
      <c r="AF207" s="298"/>
      <c r="AG207" s="298"/>
      <c r="AH207" s="298"/>
      <c r="AI207" s="298"/>
      <c r="AJ207" s="299"/>
      <c r="AK207" s="300"/>
      <c r="AL207" s="301"/>
      <c r="AM207" s="217"/>
    </row>
    <row r="208" spans="1:39" ht="16.5" thickBot="1" x14ac:dyDescent="0.3">
      <c r="A208" s="319" t="s">
        <v>20</v>
      </c>
      <c r="B208" s="328">
        <v>1</v>
      </c>
      <c r="C208" s="328">
        <v>2</v>
      </c>
      <c r="D208" s="328">
        <v>3</v>
      </c>
      <c r="E208" s="328">
        <v>4</v>
      </c>
      <c r="F208" s="328">
        <v>5</v>
      </c>
      <c r="G208" s="328">
        <v>6</v>
      </c>
      <c r="H208" s="328">
        <v>7</v>
      </c>
      <c r="I208" s="329" t="s">
        <v>6</v>
      </c>
      <c r="J208" s="328">
        <v>8</v>
      </c>
      <c r="K208" s="328">
        <v>9</v>
      </c>
      <c r="L208" s="328">
        <v>10</v>
      </c>
      <c r="M208" s="328">
        <v>11</v>
      </c>
      <c r="N208" s="328">
        <v>12</v>
      </c>
      <c r="O208" s="328">
        <v>13</v>
      </c>
      <c r="P208" s="328">
        <v>14</v>
      </c>
      <c r="Q208" s="329" t="s">
        <v>6</v>
      </c>
      <c r="R208" s="328">
        <v>15</v>
      </c>
      <c r="S208" s="328">
        <v>16</v>
      </c>
      <c r="T208" s="328">
        <v>17</v>
      </c>
      <c r="U208" s="328">
        <v>18</v>
      </c>
      <c r="V208" s="328">
        <v>19</v>
      </c>
      <c r="W208" s="328">
        <v>20</v>
      </c>
      <c r="X208" s="328">
        <v>21</v>
      </c>
      <c r="Y208" s="329" t="s">
        <v>6</v>
      </c>
      <c r="Z208" s="328">
        <v>22</v>
      </c>
      <c r="AA208" s="328">
        <v>23</v>
      </c>
      <c r="AB208" s="328">
        <v>24</v>
      </c>
      <c r="AC208" s="328">
        <v>25</v>
      </c>
      <c r="AD208" s="328">
        <v>26</v>
      </c>
      <c r="AE208" s="328">
        <v>27</v>
      </c>
      <c r="AF208" s="328">
        <v>28</v>
      </c>
      <c r="AG208" s="328">
        <v>29</v>
      </c>
      <c r="AH208" s="328">
        <v>30</v>
      </c>
      <c r="AI208" s="328">
        <v>31</v>
      </c>
      <c r="AJ208" s="959" t="s">
        <v>6</v>
      </c>
      <c r="AK208" s="905" t="s">
        <v>0</v>
      </c>
      <c r="AL208" s="958"/>
      <c r="AM208" s="919" t="s">
        <v>42</v>
      </c>
    </row>
    <row r="209" spans="1:40" x14ac:dyDescent="0.25">
      <c r="A209" s="302" t="s">
        <v>63</v>
      </c>
      <c r="B209" s="575"/>
      <c r="C209" s="575"/>
      <c r="D209" s="575"/>
      <c r="E209" s="575"/>
      <c r="F209" s="303">
        <v>21.9</v>
      </c>
      <c r="G209" s="575"/>
      <c r="H209" s="575"/>
      <c r="I209" s="304"/>
      <c r="J209" s="575"/>
      <c r="K209" s="575"/>
      <c r="L209" s="575"/>
      <c r="M209" s="303">
        <v>30.36</v>
      </c>
      <c r="N209" s="575"/>
      <c r="O209" s="575"/>
      <c r="P209" s="575"/>
      <c r="Q209" s="304"/>
      <c r="R209" s="575"/>
      <c r="S209" s="575"/>
      <c r="T209" s="575"/>
      <c r="U209" s="575"/>
      <c r="V209" s="303">
        <v>37.950000000000003</v>
      </c>
      <c r="W209" s="992">
        <v>0</v>
      </c>
      <c r="X209" s="992">
        <v>0</v>
      </c>
      <c r="Y209" s="304"/>
      <c r="Z209" s="575"/>
      <c r="AA209" s="575"/>
      <c r="AB209" s="577">
        <v>0</v>
      </c>
      <c r="AC209" s="575"/>
      <c r="AD209" s="575"/>
      <c r="AE209" s="303">
        <v>37.729999999999997</v>
      </c>
      <c r="AF209" s="577">
        <v>0</v>
      </c>
      <c r="AG209" s="577">
        <v>0</v>
      </c>
      <c r="AH209" s="577">
        <v>0</v>
      </c>
      <c r="AI209" s="303"/>
      <c r="AJ209" s="305"/>
      <c r="AK209" s="944"/>
      <c r="AL209" s="910"/>
      <c r="AM209" s="924"/>
    </row>
    <row r="210" spans="1:40" x14ac:dyDescent="0.25">
      <c r="A210" s="65" t="s">
        <v>64</v>
      </c>
      <c r="B210" s="537"/>
      <c r="C210" s="537"/>
      <c r="D210" s="537"/>
      <c r="E210" s="537"/>
      <c r="F210" s="118">
        <v>34.659999999999997</v>
      </c>
      <c r="G210" s="537"/>
      <c r="H210" s="537"/>
      <c r="I210" s="37"/>
      <c r="J210" s="537"/>
      <c r="K210" s="537"/>
      <c r="L210" s="537"/>
      <c r="M210" s="537"/>
      <c r="N210" s="118">
        <v>34.68</v>
      </c>
      <c r="O210" s="537"/>
      <c r="P210" s="537"/>
      <c r="Q210" s="37"/>
      <c r="R210" s="537"/>
      <c r="S210" s="537"/>
      <c r="T210" s="537"/>
      <c r="U210" s="530"/>
      <c r="V210" s="537"/>
      <c r="W210" s="597"/>
      <c r="X210" s="414">
        <v>31.53</v>
      </c>
      <c r="Y210" s="37"/>
      <c r="Z210" s="537"/>
      <c r="AA210" s="537"/>
      <c r="AB210" s="530"/>
      <c r="AC210" s="530"/>
      <c r="AD210" s="530"/>
      <c r="AE210" s="537"/>
      <c r="AF210" s="537"/>
      <c r="AG210" s="118">
        <v>32.840000000000003</v>
      </c>
      <c r="AH210" s="537"/>
      <c r="AI210" s="2"/>
      <c r="AJ210" s="37"/>
      <c r="AK210" s="936"/>
      <c r="AL210" s="888"/>
      <c r="AM210" s="915"/>
      <c r="AN210" s="13"/>
    </row>
    <row r="211" spans="1:40" x14ac:dyDescent="0.25">
      <c r="A211" s="65" t="s">
        <v>77</v>
      </c>
      <c r="B211" s="537"/>
      <c r="C211" s="537"/>
      <c r="D211" s="537"/>
      <c r="E211" s="537"/>
      <c r="F211" s="118">
        <v>36.99</v>
      </c>
      <c r="G211" s="537"/>
      <c r="H211" s="537"/>
      <c r="I211" s="37"/>
      <c r="J211" s="537"/>
      <c r="K211" s="537"/>
      <c r="L211" s="118">
        <v>20.14</v>
      </c>
      <c r="M211" s="537"/>
      <c r="N211" s="537"/>
      <c r="O211" s="537"/>
      <c r="P211" s="537"/>
      <c r="Q211" s="37"/>
      <c r="R211" s="118">
        <v>26.65</v>
      </c>
      <c r="S211" s="537"/>
      <c r="T211" s="537"/>
      <c r="U211" s="537"/>
      <c r="V211" s="537"/>
      <c r="W211" s="414">
        <v>27.92</v>
      </c>
      <c r="X211" s="597"/>
      <c r="Y211" s="37"/>
      <c r="Z211" s="537"/>
      <c r="AA211" s="537"/>
      <c r="AB211" s="530"/>
      <c r="AC211" s="530"/>
      <c r="AD211" s="530"/>
      <c r="AE211" s="537"/>
      <c r="AF211" s="537"/>
      <c r="AG211" s="1">
        <v>37.700000000000003</v>
      </c>
      <c r="AH211" s="537"/>
      <c r="AI211" s="2"/>
      <c r="AJ211" s="37"/>
      <c r="AK211" s="936"/>
      <c r="AL211" s="888"/>
      <c r="AM211" s="915"/>
    </row>
    <row r="212" spans="1:40" x14ac:dyDescent="0.25">
      <c r="A212" s="65" t="s">
        <v>65</v>
      </c>
      <c r="B212" s="118">
        <v>37.369999999999997</v>
      </c>
      <c r="C212" s="537"/>
      <c r="D212" s="537"/>
      <c r="E212" s="537"/>
      <c r="F212" s="537"/>
      <c r="G212" s="537"/>
      <c r="H212" s="1">
        <v>30.99</v>
      </c>
      <c r="I212" s="37"/>
      <c r="J212" s="537"/>
      <c r="K212" s="1">
        <v>20.399999999999999</v>
      </c>
      <c r="L212" s="537"/>
      <c r="M212" s="537"/>
      <c r="N212" s="118">
        <v>28.64</v>
      </c>
      <c r="O212" s="537"/>
      <c r="P212" s="118">
        <v>36.770000000000003</v>
      </c>
      <c r="Q212" s="37"/>
      <c r="R212" s="530"/>
      <c r="S212" s="537"/>
      <c r="T212" s="537"/>
      <c r="U212" s="537"/>
      <c r="V212" s="118">
        <v>24.58</v>
      </c>
      <c r="W212" s="597"/>
      <c r="X212" s="414">
        <v>37.22</v>
      </c>
      <c r="Y212" s="37"/>
      <c r="Z212" s="537"/>
      <c r="AA212" s="537"/>
      <c r="AB212" s="530"/>
      <c r="AC212" s="530"/>
      <c r="AD212" s="530"/>
      <c r="AE212" s="118">
        <v>21.03</v>
      </c>
      <c r="AF212" s="118">
        <v>37.47</v>
      </c>
      <c r="AG212" s="537"/>
      <c r="AH212" s="537"/>
      <c r="AI212" s="2"/>
      <c r="AJ212" s="47"/>
      <c r="AK212" s="945"/>
      <c r="AL212" s="888"/>
      <c r="AM212" s="915"/>
    </row>
    <row r="213" spans="1:40" x14ac:dyDescent="0.25">
      <c r="A213" s="65" t="s">
        <v>66</v>
      </c>
      <c r="B213" s="537"/>
      <c r="C213" s="118">
        <v>31.79</v>
      </c>
      <c r="D213" s="537"/>
      <c r="E213" s="537"/>
      <c r="F213" s="537"/>
      <c r="G213" s="537"/>
      <c r="H213" s="118">
        <v>36.39</v>
      </c>
      <c r="I213" s="37"/>
      <c r="J213" s="537"/>
      <c r="K213" s="537"/>
      <c r="L213" s="537"/>
      <c r="M213" s="537"/>
      <c r="N213" s="1">
        <v>40</v>
      </c>
      <c r="O213" s="537"/>
      <c r="P213" s="537"/>
      <c r="Q213" s="37"/>
      <c r="R213" s="537"/>
      <c r="S213" s="118">
        <v>38.369999999999997</v>
      </c>
      <c r="T213" s="537"/>
      <c r="U213" s="537"/>
      <c r="V213" s="537"/>
      <c r="W213" s="597"/>
      <c r="X213" s="597"/>
      <c r="Y213" s="37"/>
      <c r="Z213" s="567">
        <v>35.74</v>
      </c>
      <c r="AA213" s="1">
        <v>40</v>
      </c>
      <c r="AB213" s="530"/>
      <c r="AC213" s="530"/>
      <c r="AD213" s="530"/>
      <c r="AE213" s="537"/>
      <c r="AF213" s="1">
        <v>40</v>
      </c>
      <c r="AG213" s="537"/>
      <c r="AH213" s="537"/>
      <c r="AI213" s="2"/>
      <c r="AJ213" s="37"/>
      <c r="AK213" s="936"/>
      <c r="AL213" s="888"/>
      <c r="AM213" s="915"/>
    </row>
    <row r="214" spans="1:40" x14ac:dyDescent="0.25">
      <c r="A214" s="65" t="s">
        <v>67</v>
      </c>
      <c r="B214" s="537"/>
      <c r="C214" s="537"/>
      <c r="D214" s="118">
        <v>35.39</v>
      </c>
      <c r="E214" s="537"/>
      <c r="F214" s="530"/>
      <c r="G214" s="537"/>
      <c r="H214" s="537"/>
      <c r="I214" s="37"/>
      <c r="J214" s="537"/>
      <c r="K214" s="1">
        <v>40</v>
      </c>
      <c r="L214" s="537"/>
      <c r="M214" s="537"/>
      <c r="N214" s="537"/>
      <c r="O214" s="530"/>
      <c r="P214" s="537"/>
      <c r="Q214" s="37"/>
      <c r="R214" s="1">
        <v>40</v>
      </c>
      <c r="S214" s="537"/>
      <c r="T214" s="537"/>
      <c r="U214" s="537"/>
      <c r="V214" s="537"/>
      <c r="W214" s="414">
        <v>40</v>
      </c>
      <c r="X214" s="597"/>
      <c r="Y214" s="37"/>
      <c r="Z214" s="537"/>
      <c r="AA214" s="537"/>
      <c r="AB214" s="57">
        <v>40</v>
      </c>
      <c r="AC214" s="530"/>
      <c r="AD214" s="530"/>
      <c r="AE214" s="537"/>
      <c r="AF214" s="537"/>
      <c r="AG214" s="898">
        <v>40</v>
      </c>
      <c r="AH214" s="537"/>
      <c r="AI214" s="2"/>
      <c r="AJ214" s="37"/>
      <c r="AK214" s="936"/>
      <c r="AL214" s="888"/>
      <c r="AM214" s="915"/>
    </row>
    <row r="215" spans="1:40" x14ac:dyDescent="0.25">
      <c r="A215" s="65" t="s">
        <v>68</v>
      </c>
      <c r="B215" s="537"/>
      <c r="C215" s="1">
        <v>40</v>
      </c>
      <c r="D215" s="537"/>
      <c r="E215" s="537"/>
      <c r="F215" s="537"/>
      <c r="G215" s="537"/>
      <c r="H215" s="537"/>
      <c r="I215" s="37"/>
      <c r="J215" s="537"/>
      <c r="K215" s="537"/>
      <c r="L215" s="537"/>
      <c r="M215" s="537"/>
      <c r="N215" s="537"/>
      <c r="O215" s="530"/>
      <c r="P215" s="537"/>
      <c r="Q215" s="37"/>
      <c r="R215" s="537"/>
      <c r="S215" s="1">
        <v>40</v>
      </c>
      <c r="T215" s="537"/>
      <c r="U215" s="537"/>
      <c r="V215" s="537"/>
      <c r="W215" s="597"/>
      <c r="X215" s="597"/>
      <c r="Y215" s="37"/>
      <c r="Z215" s="537"/>
      <c r="AA215" s="537"/>
      <c r="AB215" s="530"/>
      <c r="AC215" s="530"/>
      <c r="AD215" s="530"/>
      <c r="AE215" s="537"/>
      <c r="AF215" s="537"/>
      <c r="AG215" s="1">
        <v>40</v>
      </c>
      <c r="AH215" s="537"/>
      <c r="AI215" s="2"/>
      <c r="AJ215" s="37"/>
      <c r="AK215" s="936"/>
      <c r="AL215" s="888"/>
      <c r="AM215" s="915"/>
    </row>
    <row r="216" spans="1:40" x14ac:dyDescent="0.25">
      <c r="A216" s="65" t="s">
        <v>78</v>
      </c>
      <c r="B216" s="537"/>
      <c r="C216" s="537"/>
      <c r="D216" s="537"/>
      <c r="E216" s="537"/>
      <c r="F216" s="537"/>
      <c r="G216" s="537"/>
      <c r="H216" s="537"/>
      <c r="I216" s="37"/>
      <c r="J216" s="537"/>
      <c r="K216" s="537"/>
      <c r="L216" s="537"/>
      <c r="M216" s="537"/>
      <c r="N216" s="537"/>
      <c r="O216" s="537"/>
      <c r="P216" s="537"/>
      <c r="Q216" s="37"/>
      <c r="R216" s="537"/>
      <c r="S216" s="537"/>
      <c r="T216" s="537"/>
      <c r="U216" s="537"/>
      <c r="V216" s="537"/>
      <c r="W216" s="597"/>
      <c r="X216" s="597"/>
      <c r="Y216" s="37"/>
      <c r="Z216" s="537"/>
      <c r="AA216" s="537"/>
      <c r="AB216" s="530"/>
      <c r="AC216" s="530"/>
      <c r="AD216" s="530"/>
      <c r="AE216" s="537"/>
      <c r="AF216" s="537"/>
      <c r="AG216" s="537"/>
      <c r="AH216" s="537"/>
      <c r="AI216" s="2"/>
      <c r="AJ216" s="37"/>
      <c r="AK216" s="936"/>
      <c r="AL216" s="888"/>
      <c r="AM216" s="915"/>
    </row>
    <row r="217" spans="1:40" x14ac:dyDescent="0.25">
      <c r="A217" s="65" t="s">
        <v>69</v>
      </c>
      <c r="B217" s="537"/>
      <c r="C217" s="537"/>
      <c r="D217" s="537"/>
      <c r="E217" s="537"/>
      <c r="F217" s="537"/>
      <c r="G217" s="537"/>
      <c r="H217" s="537"/>
      <c r="I217" s="37"/>
      <c r="J217" s="118">
        <v>37.74</v>
      </c>
      <c r="K217" s="537"/>
      <c r="L217" s="537"/>
      <c r="M217" s="537"/>
      <c r="N217" s="537"/>
      <c r="O217" s="537"/>
      <c r="P217" s="537"/>
      <c r="Q217" s="37"/>
      <c r="R217" s="537"/>
      <c r="S217" s="537"/>
      <c r="T217" s="537"/>
      <c r="U217" s="537"/>
      <c r="V217" s="537"/>
      <c r="W217" s="597"/>
      <c r="X217" s="597"/>
      <c r="Y217" s="37"/>
      <c r="Z217" s="537"/>
      <c r="AA217" s="537"/>
      <c r="AB217" s="57">
        <v>40</v>
      </c>
      <c r="AC217" s="530"/>
      <c r="AD217" s="530"/>
      <c r="AE217" s="537"/>
      <c r="AF217" s="537"/>
      <c r="AG217" s="537"/>
      <c r="AH217" s="537"/>
      <c r="AI217" s="2"/>
      <c r="AJ217" s="37"/>
      <c r="AK217" s="936"/>
      <c r="AL217" s="888"/>
      <c r="AM217" s="915"/>
    </row>
    <row r="218" spans="1:40" x14ac:dyDescent="0.25">
      <c r="A218" s="65" t="s">
        <v>70</v>
      </c>
      <c r="B218" s="118">
        <v>25.91</v>
      </c>
      <c r="C218" s="537"/>
      <c r="D218" s="537"/>
      <c r="E218" s="537"/>
      <c r="F218" s="537"/>
      <c r="G218" s="537"/>
      <c r="H218" s="1">
        <v>40</v>
      </c>
      <c r="I218" s="37"/>
      <c r="J218" s="537"/>
      <c r="K218" s="537"/>
      <c r="L218" s="118">
        <v>33.11</v>
      </c>
      <c r="M218" s="537"/>
      <c r="N218" s="537"/>
      <c r="O218" s="537"/>
      <c r="P218" s="537"/>
      <c r="Q218" s="37"/>
      <c r="R218" s="1">
        <v>40</v>
      </c>
      <c r="S218" s="537"/>
      <c r="T218" s="118">
        <v>31.31</v>
      </c>
      <c r="U218" s="537"/>
      <c r="V218" s="537"/>
      <c r="W218" s="597"/>
      <c r="X218" s="597"/>
      <c r="Y218" s="37"/>
      <c r="Z218" s="537"/>
      <c r="AA218" s="1">
        <v>40</v>
      </c>
      <c r="AB218" s="530"/>
      <c r="AC218" s="57">
        <v>34.14</v>
      </c>
      <c r="AD218" s="530"/>
      <c r="AE218" s="537"/>
      <c r="AF218" s="537"/>
      <c r="AG218" s="537"/>
      <c r="AH218" s="1">
        <v>40</v>
      </c>
      <c r="AI218" s="2"/>
      <c r="AJ218" s="37"/>
      <c r="AK218" s="936"/>
      <c r="AL218" s="888"/>
      <c r="AM218" s="915"/>
    </row>
    <row r="219" spans="1:40" x14ac:dyDescent="0.25">
      <c r="A219" s="65" t="s">
        <v>71</v>
      </c>
      <c r="B219" s="537"/>
      <c r="C219" s="537"/>
      <c r="D219" s="118">
        <v>37.65</v>
      </c>
      <c r="E219" s="537"/>
      <c r="F219" s="530"/>
      <c r="G219" s="537"/>
      <c r="H219" s="537"/>
      <c r="I219" s="37"/>
      <c r="J219" s="537"/>
      <c r="K219" s="537"/>
      <c r="L219" s="118">
        <v>31.62</v>
      </c>
      <c r="M219" s="530"/>
      <c r="N219" s="537"/>
      <c r="O219" s="537"/>
      <c r="P219" s="537"/>
      <c r="Q219" s="37"/>
      <c r="R219" s="1">
        <v>36.1</v>
      </c>
      <c r="S219" s="537"/>
      <c r="T219" s="537"/>
      <c r="U219" s="537"/>
      <c r="V219" s="537"/>
      <c r="W219" s="597"/>
      <c r="X219" s="597"/>
      <c r="Y219" s="37"/>
      <c r="Z219" s="567">
        <v>32.68</v>
      </c>
      <c r="AA219" s="537"/>
      <c r="AB219" s="530"/>
      <c r="AC219" s="530"/>
      <c r="AD219" s="57">
        <v>38.04</v>
      </c>
      <c r="AE219" s="537"/>
      <c r="AF219" s="537"/>
      <c r="AG219" s="537"/>
      <c r="AH219" s="537"/>
      <c r="AI219" s="2"/>
      <c r="AJ219" s="37"/>
      <c r="AK219" s="936"/>
      <c r="AL219" s="888"/>
      <c r="AM219" s="915"/>
    </row>
    <row r="220" spans="1:40" x14ac:dyDescent="0.25">
      <c r="A220" s="65" t="s">
        <v>72</v>
      </c>
      <c r="B220" s="537"/>
      <c r="C220" s="537"/>
      <c r="D220" s="1">
        <v>40</v>
      </c>
      <c r="E220" s="537"/>
      <c r="F220" s="537"/>
      <c r="G220" s="537"/>
      <c r="H220" s="537"/>
      <c r="I220" s="37"/>
      <c r="J220" s="537"/>
      <c r="K220" s="1">
        <v>40</v>
      </c>
      <c r="L220" s="118">
        <v>32.68</v>
      </c>
      <c r="M220" s="537"/>
      <c r="N220" s="582"/>
      <c r="O220" s="537"/>
      <c r="P220" s="1">
        <v>40</v>
      </c>
      <c r="Q220" s="37"/>
      <c r="R220" s="537"/>
      <c r="S220" s="537"/>
      <c r="T220" s="537"/>
      <c r="U220" s="537"/>
      <c r="V220" s="530"/>
      <c r="W220" s="414">
        <v>40</v>
      </c>
      <c r="X220" s="597"/>
      <c r="Y220" s="37"/>
      <c r="Z220" s="537"/>
      <c r="AA220" s="537"/>
      <c r="AB220" s="530"/>
      <c r="AC220" s="530"/>
      <c r="AD220" s="57">
        <v>40</v>
      </c>
      <c r="AE220" s="537"/>
      <c r="AF220" s="537"/>
      <c r="AG220" s="537"/>
      <c r="AH220" s="537"/>
      <c r="AI220" s="2"/>
      <c r="AJ220" s="37"/>
      <c r="AK220" s="936"/>
      <c r="AL220" s="888"/>
      <c r="AM220" s="915"/>
    </row>
    <row r="221" spans="1:40" x14ac:dyDescent="0.25">
      <c r="A221" s="65" t="s">
        <v>73</v>
      </c>
      <c r="B221" s="1">
        <v>40</v>
      </c>
      <c r="C221" s="537"/>
      <c r="D221" s="537"/>
      <c r="E221" s="537"/>
      <c r="F221" s="530"/>
      <c r="G221" s="537"/>
      <c r="H221" s="537"/>
      <c r="I221" s="37"/>
      <c r="J221" s="537"/>
      <c r="K221" s="1">
        <v>40</v>
      </c>
      <c r="L221" s="537"/>
      <c r="M221" s="537"/>
      <c r="N221" s="537"/>
      <c r="O221" s="537"/>
      <c r="P221" s="537"/>
      <c r="Q221" s="37"/>
      <c r="R221" s="118">
        <v>38.42</v>
      </c>
      <c r="S221" s="537"/>
      <c r="T221" s="537"/>
      <c r="U221" s="537"/>
      <c r="V221" s="537"/>
      <c r="W221" s="597"/>
      <c r="X221" s="597"/>
      <c r="Y221" s="37"/>
      <c r="Z221" s="537"/>
      <c r="AA221" s="530"/>
      <c r="AB221" s="530"/>
      <c r="AC221" s="57">
        <v>40</v>
      </c>
      <c r="AD221" s="530"/>
      <c r="AE221" s="537"/>
      <c r="AF221" s="537"/>
      <c r="AG221" s="537"/>
      <c r="AH221" s="537"/>
      <c r="AI221" s="2"/>
      <c r="AJ221" s="37"/>
      <c r="AK221" s="936"/>
      <c r="AL221" s="888"/>
      <c r="AM221" s="915"/>
    </row>
    <row r="222" spans="1:40" x14ac:dyDescent="0.25">
      <c r="A222" s="65" t="s">
        <v>74</v>
      </c>
      <c r="B222" s="537"/>
      <c r="C222" s="537"/>
      <c r="D222" s="118">
        <v>31.58</v>
      </c>
      <c r="E222" s="537"/>
      <c r="F222" s="537"/>
      <c r="G222" s="530"/>
      <c r="H222" s="1">
        <v>40</v>
      </c>
      <c r="I222" s="37"/>
      <c r="J222" s="537"/>
      <c r="K222" s="537"/>
      <c r="L222" s="537"/>
      <c r="M222" s="1">
        <v>25.74</v>
      </c>
      <c r="N222" s="537"/>
      <c r="O222" s="537"/>
      <c r="P222" s="118">
        <v>39.950000000000003</v>
      </c>
      <c r="Q222" s="37"/>
      <c r="R222" s="537"/>
      <c r="S222" s="537"/>
      <c r="T222" s="1">
        <v>38.200000000000003</v>
      </c>
      <c r="U222" s="537"/>
      <c r="V222" s="118">
        <v>26.35</v>
      </c>
      <c r="W222" s="597"/>
      <c r="X222" s="597"/>
      <c r="Y222" s="37"/>
      <c r="Z222" s="537"/>
      <c r="AA222" s="1">
        <v>35.07</v>
      </c>
      <c r="AB222" s="530"/>
      <c r="AC222" s="530"/>
      <c r="AD222" s="530"/>
      <c r="AE222" s="1">
        <v>40</v>
      </c>
      <c r="AF222" s="530"/>
      <c r="AG222" s="537"/>
      <c r="AH222" s="537"/>
      <c r="AI222" s="2"/>
      <c r="AJ222" s="37"/>
      <c r="AK222" s="936"/>
      <c r="AL222" s="888"/>
      <c r="AM222" s="915"/>
    </row>
    <row r="223" spans="1:40" x14ac:dyDescent="0.25">
      <c r="A223" s="65" t="s">
        <v>76</v>
      </c>
      <c r="B223" s="537"/>
      <c r="C223" s="537"/>
      <c r="D223" s="118">
        <v>28.24</v>
      </c>
      <c r="E223" s="537"/>
      <c r="F223" s="537"/>
      <c r="G223" s="118">
        <v>33.26</v>
      </c>
      <c r="H223" s="537"/>
      <c r="I223" s="37"/>
      <c r="J223" s="537"/>
      <c r="K223" s="537"/>
      <c r="L223" s="537"/>
      <c r="M223" s="1">
        <v>40</v>
      </c>
      <c r="N223" s="530"/>
      <c r="O223" s="537"/>
      <c r="P223" s="1">
        <v>33.5</v>
      </c>
      <c r="Q223" s="37"/>
      <c r="R223" s="537"/>
      <c r="S223" s="118">
        <v>22.02</v>
      </c>
      <c r="T223" s="537"/>
      <c r="U223" s="537"/>
      <c r="V223" s="118">
        <v>33.04</v>
      </c>
      <c r="W223" s="597"/>
      <c r="X223" s="597"/>
      <c r="Y223" s="37"/>
      <c r="Z223" s="118">
        <v>25.43</v>
      </c>
      <c r="AA223" s="537"/>
      <c r="AB223" s="530"/>
      <c r="AC223" s="57">
        <v>31.49</v>
      </c>
      <c r="AD223" s="530"/>
      <c r="AE223" s="118">
        <v>23.32</v>
      </c>
      <c r="AF223" s="537"/>
      <c r="AG223" s="537"/>
      <c r="AH223" s="1">
        <v>29.7</v>
      </c>
      <c r="AI223" s="2"/>
      <c r="AJ223" s="37"/>
      <c r="AK223" s="936"/>
      <c r="AL223" s="888"/>
      <c r="AM223" s="915"/>
    </row>
    <row r="224" spans="1:40" x14ac:dyDescent="0.25">
      <c r="A224" s="65" t="s">
        <v>75</v>
      </c>
      <c r="B224" s="118">
        <v>39.619999999999997</v>
      </c>
      <c r="C224" s="530"/>
      <c r="D224" s="537"/>
      <c r="E224" s="537"/>
      <c r="F224" s="537"/>
      <c r="G224" s="537"/>
      <c r="H224" s="537"/>
      <c r="I224" s="37"/>
      <c r="J224" s="537"/>
      <c r="K224" s="537"/>
      <c r="L224" s="1">
        <v>37.1</v>
      </c>
      <c r="M224" s="530"/>
      <c r="N224" s="537"/>
      <c r="O224" s="537"/>
      <c r="P224" s="537"/>
      <c r="Q224" s="37"/>
      <c r="R224" s="537"/>
      <c r="S224" s="537"/>
      <c r="T224" s="118">
        <v>26.43</v>
      </c>
      <c r="U224" s="537"/>
      <c r="V224" s="537"/>
      <c r="W224" s="597"/>
      <c r="X224" s="597"/>
      <c r="Y224" s="37"/>
      <c r="Z224" s="537"/>
      <c r="AA224" s="537"/>
      <c r="AB224" s="530"/>
      <c r="AC224" s="530"/>
      <c r="AD224" s="530"/>
      <c r="AE224" s="537"/>
      <c r="AF224" s="537"/>
      <c r="AG224" s="537"/>
      <c r="AH224" s="533">
        <v>40</v>
      </c>
      <c r="AI224" s="2"/>
      <c r="AJ224" s="37"/>
      <c r="AK224" s="936"/>
      <c r="AL224" s="888"/>
      <c r="AM224" s="915"/>
    </row>
    <row r="225" spans="1:40" x14ac:dyDescent="0.25">
      <c r="A225" s="65" t="s">
        <v>49</v>
      </c>
      <c r="B225" s="537"/>
      <c r="C225" s="537"/>
      <c r="D225" s="537"/>
      <c r="E225" s="537"/>
      <c r="F225" s="537"/>
      <c r="G225" s="537"/>
      <c r="H225" s="537"/>
      <c r="I225" s="37"/>
      <c r="J225" s="537"/>
      <c r="K225" s="537"/>
      <c r="L225" s="537"/>
      <c r="M225" s="530"/>
      <c r="N225" s="537"/>
      <c r="O225" s="537"/>
      <c r="P225" s="537"/>
      <c r="Q225" s="37"/>
      <c r="R225" s="537"/>
      <c r="S225" s="537"/>
      <c r="T225" s="537"/>
      <c r="U225" s="537"/>
      <c r="V225" s="537"/>
      <c r="W225" s="597"/>
      <c r="X225" s="597"/>
      <c r="Y225" s="37"/>
      <c r="Z225" s="537"/>
      <c r="AA225" s="537"/>
      <c r="AB225" s="530"/>
      <c r="AC225" s="530"/>
      <c r="AD225" s="530"/>
      <c r="AE225" s="537"/>
      <c r="AF225" s="537"/>
      <c r="AG225" s="537"/>
      <c r="AH225" s="537"/>
      <c r="AI225" s="2"/>
      <c r="AJ225" s="37"/>
      <c r="AK225" s="936"/>
      <c r="AL225" s="888"/>
      <c r="AM225" s="915"/>
    </row>
    <row r="226" spans="1:40" x14ac:dyDescent="0.25">
      <c r="A226" s="65" t="s">
        <v>435</v>
      </c>
      <c r="B226" s="537"/>
      <c r="C226" s="537"/>
      <c r="D226" s="537"/>
      <c r="E226" s="537"/>
      <c r="F226" s="537"/>
      <c r="G226" s="537"/>
      <c r="H226" s="537"/>
      <c r="I226" s="37"/>
      <c r="J226" s="537"/>
      <c r="K226" s="537"/>
      <c r="L226" s="537"/>
      <c r="M226" s="530"/>
      <c r="N226" s="537"/>
      <c r="O226" s="537"/>
      <c r="P226" s="537"/>
      <c r="Q226" s="37"/>
      <c r="R226" s="537"/>
      <c r="S226" s="537"/>
      <c r="T226" s="537"/>
      <c r="U226" s="537"/>
      <c r="V226" s="537"/>
      <c r="W226" s="597"/>
      <c r="X226" s="597"/>
      <c r="Y226" s="37"/>
      <c r="Z226" s="537"/>
      <c r="AA226" s="537"/>
      <c r="AB226" s="530"/>
      <c r="AC226" s="530"/>
      <c r="AD226" s="57">
        <v>42.55</v>
      </c>
      <c r="AE226" s="537"/>
      <c r="AF226" s="537"/>
      <c r="AG226" s="537"/>
      <c r="AH226" s="537"/>
      <c r="AI226" s="2"/>
      <c r="AJ226" s="37"/>
      <c r="AK226" s="936"/>
      <c r="AL226" s="888"/>
      <c r="AM226" s="915"/>
    </row>
    <row r="227" spans="1:40" x14ac:dyDescent="0.25">
      <c r="A227" s="65" t="s">
        <v>50</v>
      </c>
      <c r="B227" s="537"/>
      <c r="C227" s="537"/>
      <c r="D227" s="537"/>
      <c r="E227" s="537"/>
      <c r="F227" s="530"/>
      <c r="G227" s="537"/>
      <c r="H227" s="537"/>
      <c r="I227" s="37"/>
      <c r="J227" s="537"/>
      <c r="K227" s="537"/>
      <c r="L227" s="537"/>
      <c r="M227" s="530"/>
      <c r="N227" s="537"/>
      <c r="O227" s="537"/>
      <c r="P227" s="537"/>
      <c r="Q227" s="37"/>
      <c r="R227" s="537"/>
      <c r="S227" s="537"/>
      <c r="T227" s="537"/>
      <c r="U227" s="537"/>
      <c r="V227" s="537"/>
      <c r="W227" s="597"/>
      <c r="X227" s="597"/>
      <c r="Y227" s="37"/>
      <c r="Z227" s="537"/>
      <c r="AA227" s="537"/>
      <c r="AB227" s="530"/>
      <c r="AC227" s="530"/>
      <c r="AD227" s="530"/>
      <c r="AE227" s="537"/>
      <c r="AF227" s="537"/>
      <c r="AG227" s="537"/>
      <c r="AH227" s="537"/>
      <c r="AI227" s="2"/>
      <c r="AJ227" s="37"/>
      <c r="AK227" s="936"/>
      <c r="AL227" s="888"/>
      <c r="AM227" s="915"/>
    </row>
    <row r="228" spans="1:40" x14ac:dyDescent="0.25">
      <c r="A228" s="65" t="s">
        <v>51</v>
      </c>
      <c r="B228" s="537"/>
      <c r="C228" s="537"/>
      <c r="D228" s="537"/>
      <c r="E228" s="537"/>
      <c r="F228" s="537"/>
      <c r="G228" s="537"/>
      <c r="H228" s="537"/>
      <c r="I228" s="37"/>
      <c r="J228" s="537"/>
      <c r="K228" s="537"/>
      <c r="L228" s="537"/>
      <c r="M228" s="1">
        <v>40</v>
      </c>
      <c r="N228" s="537"/>
      <c r="O228" s="537"/>
      <c r="P228" s="537"/>
      <c r="Q228" s="37"/>
      <c r="R228" s="537"/>
      <c r="S228" s="537"/>
      <c r="T228" s="537"/>
      <c r="U228" s="537"/>
      <c r="V228" s="537"/>
      <c r="W228" s="597"/>
      <c r="X228" s="597"/>
      <c r="Y228" s="37"/>
      <c r="Z228" s="537"/>
      <c r="AA228" s="537"/>
      <c r="AB228" s="530"/>
      <c r="AC228" s="530"/>
      <c r="AD228" s="530"/>
      <c r="AE228" s="537"/>
      <c r="AF228" s="537"/>
      <c r="AG228" s="537"/>
      <c r="AH228" s="1">
        <v>40</v>
      </c>
      <c r="AI228" s="2"/>
      <c r="AJ228" s="37"/>
      <c r="AK228" s="936"/>
      <c r="AL228" s="888"/>
      <c r="AM228" s="915"/>
    </row>
    <row r="229" spans="1:40" x14ac:dyDescent="0.25">
      <c r="A229" s="65" t="s">
        <v>52</v>
      </c>
      <c r="B229" s="537"/>
      <c r="C229" s="537"/>
      <c r="D229" s="537"/>
      <c r="E229" s="537"/>
      <c r="F229" s="537"/>
      <c r="G229" s="537"/>
      <c r="H229" s="537"/>
      <c r="I229" s="37"/>
      <c r="J229" s="537"/>
      <c r="K229" s="537"/>
      <c r="L229" s="537"/>
      <c r="M229" s="530"/>
      <c r="N229" s="537"/>
      <c r="O229" s="537"/>
      <c r="P229" s="537"/>
      <c r="Q229" s="37"/>
      <c r="R229" s="537"/>
      <c r="S229" s="537"/>
      <c r="T229" s="537"/>
      <c r="U229" s="537"/>
      <c r="V229" s="537"/>
      <c r="W229" s="597"/>
      <c r="X229" s="597"/>
      <c r="Y229" s="37"/>
      <c r="Z229" s="537"/>
      <c r="AA229" s="537"/>
      <c r="AB229" s="530"/>
      <c r="AC229" s="530"/>
      <c r="AD229" s="530"/>
      <c r="AE229" s="537"/>
      <c r="AF229" s="537"/>
      <c r="AG229" s="537"/>
      <c r="AH229" s="537"/>
      <c r="AI229" s="2"/>
      <c r="AJ229" s="37"/>
      <c r="AK229" s="936"/>
      <c r="AL229" s="888"/>
      <c r="AM229" s="915"/>
    </row>
    <row r="230" spans="1:40" x14ac:dyDescent="0.25">
      <c r="A230" s="65" t="s">
        <v>53</v>
      </c>
      <c r="B230" s="537"/>
      <c r="C230" s="1">
        <v>50</v>
      </c>
      <c r="D230" s="537"/>
      <c r="E230" s="537"/>
      <c r="F230" s="537"/>
      <c r="G230" s="537"/>
      <c r="H230" s="537"/>
      <c r="I230" s="37"/>
      <c r="J230" s="537"/>
      <c r="K230" s="537"/>
      <c r="L230" s="537"/>
      <c r="M230" s="530"/>
      <c r="N230" s="537"/>
      <c r="O230" s="118">
        <v>65.239999999999995</v>
      </c>
      <c r="P230" s="537"/>
      <c r="Q230" s="37"/>
      <c r="R230" s="537"/>
      <c r="S230" s="537"/>
      <c r="T230" s="537"/>
      <c r="U230" s="537"/>
      <c r="V230" s="537"/>
      <c r="W230" s="597"/>
      <c r="X230" s="597"/>
      <c r="Y230" s="37"/>
      <c r="Z230" s="537"/>
      <c r="AA230" s="537"/>
      <c r="AB230" s="530"/>
      <c r="AC230" s="530"/>
      <c r="AD230" s="530"/>
      <c r="AE230" s="537"/>
      <c r="AF230" s="537"/>
      <c r="AG230" s="537"/>
      <c r="AH230" s="537"/>
      <c r="AI230" s="2"/>
      <c r="AJ230" s="37"/>
      <c r="AK230" s="936"/>
      <c r="AL230" s="888"/>
      <c r="AM230" s="915"/>
    </row>
    <row r="231" spans="1:40" x14ac:dyDescent="0.25">
      <c r="A231" s="65" t="s">
        <v>98</v>
      </c>
      <c r="B231" s="537"/>
      <c r="C231" s="537"/>
      <c r="D231" s="537"/>
      <c r="E231" s="537"/>
      <c r="F231" s="537"/>
      <c r="G231" s="537"/>
      <c r="H231" s="537"/>
      <c r="I231" s="37"/>
      <c r="J231" s="537"/>
      <c r="K231" s="1">
        <v>40</v>
      </c>
      <c r="L231" s="537"/>
      <c r="M231" s="530"/>
      <c r="N231" s="537"/>
      <c r="O231" s="537"/>
      <c r="P231" s="537"/>
      <c r="Q231" s="37"/>
      <c r="R231" s="1">
        <v>40</v>
      </c>
      <c r="S231" s="537"/>
      <c r="T231" s="537"/>
      <c r="U231" s="537"/>
      <c r="V231" s="1">
        <v>40</v>
      </c>
      <c r="W231" s="597"/>
      <c r="X231" s="597"/>
      <c r="Y231" s="37"/>
      <c r="Z231" s="537"/>
      <c r="AA231" s="537"/>
      <c r="AB231" s="530"/>
      <c r="AC231" s="57">
        <v>60</v>
      </c>
      <c r="AD231" s="530"/>
      <c r="AE231" s="118"/>
      <c r="AF231" s="537"/>
      <c r="AG231" s="537"/>
      <c r="AH231" s="537"/>
      <c r="AI231" s="2"/>
      <c r="AJ231" s="37"/>
      <c r="AK231" s="936"/>
      <c r="AL231" s="888"/>
      <c r="AM231" s="915"/>
    </row>
    <row r="232" spans="1:40" ht="15" customHeight="1" x14ac:dyDescent="0.3">
      <c r="A232" s="65" t="s">
        <v>83</v>
      </c>
      <c r="B232" s="152">
        <v>25.19</v>
      </c>
      <c r="C232" s="581"/>
      <c r="D232" s="581"/>
      <c r="E232" s="152">
        <v>33.909999999999997</v>
      </c>
      <c r="F232" s="581"/>
      <c r="G232" s="153">
        <v>31.08</v>
      </c>
      <c r="H232" s="581"/>
      <c r="I232" s="269"/>
      <c r="J232" s="581"/>
      <c r="K232" s="153">
        <v>37.57</v>
      </c>
      <c r="L232" s="581"/>
      <c r="M232" s="175">
        <v>32.380000000000003</v>
      </c>
      <c r="N232" s="581"/>
      <c r="O232" s="581"/>
      <c r="P232" s="152">
        <v>38.26</v>
      </c>
      <c r="Q232" s="269"/>
      <c r="R232" s="581"/>
      <c r="S232" s="171">
        <v>26.72</v>
      </c>
      <c r="T232" s="581"/>
      <c r="U232" s="152">
        <v>20.74</v>
      </c>
      <c r="V232" s="581"/>
      <c r="W232" s="415">
        <v>28.81</v>
      </c>
      <c r="X232" s="598"/>
      <c r="Y232" s="269"/>
      <c r="Z232" s="581"/>
      <c r="AA232" s="581"/>
      <c r="AB232" s="576"/>
      <c r="AC232" s="576"/>
      <c r="AD232" s="576"/>
      <c r="AE232" s="152">
        <v>37.67</v>
      </c>
      <c r="AF232" s="581"/>
      <c r="AG232" s="152">
        <v>30.69</v>
      </c>
      <c r="AH232" s="581"/>
      <c r="AI232" s="270"/>
      <c r="AJ232" s="269"/>
      <c r="AK232" s="270"/>
      <c r="AL232" s="911"/>
      <c r="AM232" s="915"/>
    </row>
    <row r="233" spans="1:40" x14ac:dyDescent="0.25">
      <c r="A233" s="65" t="s">
        <v>84</v>
      </c>
      <c r="B233" s="242">
        <v>21.69</v>
      </c>
      <c r="C233" s="588"/>
      <c r="D233" s="587"/>
      <c r="E233" s="583"/>
      <c r="F233" s="588"/>
      <c r="G233" s="583"/>
      <c r="H233" s="583"/>
      <c r="I233" s="49"/>
      <c r="J233" s="240">
        <v>30.86</v>
      </c>
      <c r="K233" s="583"/>
      <c r="L233" s="582"/>
      <c r="M233" s="242">
        <v>40</v>
      </c>
      <c r="N233" s="588"/>
      <c r="O233" s="583"/>
      <c r="P233" s="240">
        <v>37.72</v>
      </c>
      <c r="Q233" s="49"/>
      <c r="R233" s="240">
        <v>21.45</v>
      </c>
      <c r="S233" s="588"/>
      <c r="T233" s="240">
        <v>37.75</v>
      </c>
      <c r="U233" s="240">
        <v>24.46</v>
      </c>
      <c r="V233" s="240">
        <v>24.74</v>
      </c>
      <c r="W233" s="597"/>
      <c r="X233" s="597"/>
      <c r="Y233" s="49"/>
      <c r="Z233" s="583"/>
      <c r="AA233" s="240">
        <v>38.08</v>
      </c>
      <c r="AB233" s="588"/>
      <c r="AC233" s="242">
        <v>40</v>
      </c>
      <c r="AD233" s="242">
        <v>28.37</v>
      </c>
      <c r="AE233" s="583"/>
      <c r="AF233" s="240">
        <v>19.420000000000002</v>
      </c>
      <c r="AG233" s="582"/>
      <c r="AH233" s="240">
        <v>37.92</v>
      </c>
      <c r="AI233" s="134"/>
      <c r="AJ233" s="49"/>
      <c r="AK233" s="946"/>
      <c r="AL233" s="888"/>
      <c r="AM233" s="915"/>
    </row>
    <row r="234" spans="1:40" x14ac:dyDescent="0.25">
      <c r="A234" s="65" t="s">
        <v>85</v>
      </c>
      <c r="B234" s="587"/>
      <c r="C234" s="587"/>
      <c r="D234" s="587"/>
      <c r="E234" s="583"/>
      <c r="F234" s="583"/>
      <c r="G234" s="583"/>
      <c r="H234" s="583"/>
      <c r="I234" s="49"/>
      <c r="J234" s="583"/>
      <c r="K234" s="583"/>
      <c r="L234" s="582"/>
      <c r="M234" s="242">
        <v>40</v>
      </c>
      <c r="N234" s="583"/>
      <c r="O234" s="583"/>
      <c r="P234" s="583"/>
      <c r="Q234" s="49"/>
      <c r="R234" s="582"/>
      <c r="S234" s="583"/>
      <c r="T234" s="583"/>
      <c r="U234" s="240">
        <v>28.22</v>
      </c>
      <c r="V234" s="582"/>
      <c r="W234" s="597"/>
      <c r="X234" s="597"/>
      <c r="Y234" s="49"/>
      <c r="Z234" s="583"/>
      <c r="AA234" s="583"/>
      <c r="AB234" s="588"/>
      <c r="AC234" s="587"/>
      <c r="AD234" s="242">
        <v>33.74</v>
      </c>
      <c r="AE234" s="583"/>
      <c r="AF234" s="583"/>
      <c r="AG234" s="582"/>
      <c r="AH234" s="583"/>
      <c r="AI234" s="134"/>
      <c r="AJ234" s="49"/>
      <c r="AK234" s="946"/>
      <c r="AL234" s="888"/>
      <c r="AM234" s="915"/>
    </row>
    <row r="235" spans="1:40" ht="18.75" x14ac:dyDescent="0.3">
      <c r="A235" s="65" t="s">
        <v>62</v>
      </c>
      <c r="B235" s="583"/>
      <c r="C235" s="583"/>
      <c r="D235" s="582"/>
      <c r="E235" s="583"/>
      <c r="F235" s="583"/>
      <c r="G235" s="583"/>
      <c r="H235" s="583"/>
      <c r="I235" s="244"/>
      <c r="J235" s="583"/>
      <c r="K235" s="583"/>
      <c r="L235" s="583"/>
      <c r="M235" s="583"/>
      <c r="N235" s="240">
        <v>37.25</v>
      </c>
      <c r="O235" s="583"/>
      <c r="P235" s="583"/>
      <c r="Q235" s="244"/>
      <c r="R235" s="582"/>
      <c r="S235" s="583"/>
      <c r="T235" s="583"/>
      <c r="U235" s="583"/>
      <c r="V235" s="582"/>
      <c r="W235" s="597"/>
      <c r="X235" s="597"/>
      <c r="Y235" s="244"/>
      <c r="Z235" s="583"/>
      <c r="AA235" s="583"/>
      <c r="AB235" s="587"/>
      <c r="AC235" s="588"/>
      <c r="AD235" s="588"/>
      <c r="AE235" s="583"/>
      <c r="AF235" s="583"/>
      <c r="AG235" s="582"/>
      <c r="AH235" s="583"/>
      <c r="AI235" s="112"/>
      <c r="AJ235" s="244"/>
      <c r="AK235" s="947"/>
      <c r="AL235" s="888"/>
      <c r="AM235" s="915"/>
      <c r="AN235" s="180"/>
    </row>
    <row r="236" spans="1:40" ht="15" customHeight="1" x14ac:dyDescent="0.35">
      <c r="A236" s="65" t="s">
        <v>61</v>
      </c>
      <c r="B236" s="12">
        <v>40</v>
      </c>
      <c r="C236" s="537"/>
      <c r="D236" s="537"/>
      <c r="E236" s="131">
        <v>38.450000000000003</v>
      </c>
      <c r="F236" s="537"/>
      <c r="G236" s="537"/>
      <c r="H236" s="530"/>
      <c r="I236" s="289"/>
      <c r="J236" s="131">
        <v>39.950000000000003</v>
      </c>
      <c r="K236" s="131">
        <v>33.869999999999997</v>
      </c>
      <c r="L236" s="530"/>
      <c r="M236" s="537"/>
      <c r="N236" s="537"/>
      <c r="O236" s="12">
        <v>40</v>
      </c>
      <c r="P236" s="537"/>
      <c r="Q236" s="289"/>
      <c r="R236" s="537"/>
      <c r="S236" s="537"/>
      <c r="T236" s="537"/>
      <c r="U236" s="537"/>
      <c r="V236" s="12">
        <v>40</v>
      </c>
      <c r="W236" s="597"/>
      <c r="X236" s="417">
        <v>40</v>
      </c>
      <c r="Y236" s="289"/>
      <c r="Z236" s="537"/>
      <c r="AA236" s="537"/>
      <c r="AB236" s="530"/>
      <c r="AC236" s="135">
        <v>40</v>
      </c>
      <c r="AD236" s="242">
        <v>36.58</v>
      </c>
      <c r="AE236" s="537"/>
      <c r="AF236" s="537"/>
      <c r="AG236" s="582"/>
      <c r="AH236" s="533">
        <v>40</v>
      </c>
      <c r="AI236" s="287"/>
      <c r="AJ236" s="289"/>
      <c r="AK236" s="287"/>
      <c r="AL236" s="928"/>
      <c r="AM236" s="915"/>
      <c r="AN236" s="180"/>
    </row>
    <row r="237" spans="1:40" x14ac:dyDescent="0.25">
      <c r="A237" s="66" t="s">
        <v>86</v>
      </c>
      <c r="B237" s="589"/>
      <c r="C237" s="584"/>
      <c r="D237" s="338">
        <v>16.079999999999998</v>
      </c>
      <c r="E237" s="584"/>
      <c r="F237" s="585"/>
      <c r="G237" s="584"/>
      <c r="H237" s="584"/>
      <c r="I237" s="290"/>
      <c r="J237" s="338">
        <v>21.43</v>
      </c>
      <c r="K237" s="584"/>
      <c r="L237" s="585"/>
      <c r="M237" s="584"/>
      <c r="N237" s="584"/>
      <c r="O237" s="584"/>
      <c r="P237" s="585"/>
      <c r="Q237" s="290"/>
      <c r="R237" s="584"/>
      <c r="S237" s="989">
        <v>31.45</v>
      </c>
      <c r="T237" s="584"/>
      <c r="U237" s="584"/>
      <c r="V237" s="584"/>
      <c r="W237" s="598"/>
      <c r="X237" s="598"/>
      <c r="Y237" s="290"/>
      <c r="Z237" s="584"/>
      <c r="AA237" s="338">
        <v>30.97</v>
      </c>
      <c r="AB237" s="589"/>
      <c r="AC237" s="589"/>
      <c r="AD237" s="586"/>
      <c r="AE237" s="584"/>
      <c r="AF237" s="585"/>
      <c r="AG237" s="585"/>
      <c r="AH237" s="338">
        <v>29.78</v>
      </c>
      <c r="AI237" s="288"/>
      <c r="AJ237" s="290"/>
      <c r="AK237" s="948"/>
      <c r="AL237" s="911"/>
      <c r="AM237" s="915"/>
      <c r="AN237" s="181"/>
    </row>
    <row r="238" spans="1:40" x14ac:dyDescent="0.25">
      <c r="A238" s="66" t="s">
        <v>100</v>
      </c>
      <c r="B238" s="589"/>
      <c r="C238" s="589"/>
      <c r="D238" s="589"/>
      <c r="E238" s="584"/>
      <c r="F238" s="584"/>
      <c r="G238" s="584"/>
      <c r="H238" s="584"/>
      <c r="I238" s="290"/>
      <c r="J238" s="585"/>
      <c r="K238" s="584"/>
      <c r="L238" s="584"/>
      <c r="M238" s="584"/>
      <c r="N238" s="584"/>
      <c r="O238" s="584"/>
      <c r="P238" s="584"/>
      <c r="Q238" s="290"/>
      <c r="R238" s="584"/>
      <c r="S238" s="584"/>
      <c r="T238" s="584"/>
      <c r="U238" s="584"/>
      <c r="V238" s="584"/>
      <c r="W238" s="598"/>
      <c r="X238" s="598"/>
      <c r="Y238" s="290"/>
      <c r="Z238" s="584"/>
      <c r="AA238" s="584"/>
      <c r="AB238" s="589"/>
      <c r="AC238" s="589"/>
      <c r="AD238" s="586"/>
      <c r="AE238" s="584"/>
      <c r="AF238" s="584"/>
      <c r="AG238" s="585"/>
      <c r="AH238" s="584"/>
      <c r="AI238" s="332"/>
      <c r="AJ238" s="290"/>
      <c r="AK238" s="949"/>
      <c r="AL238" s="911"/>
      <c r="AM238" s="915"/>
      <c r="AN238" s="181"/>
    </row>
    <row r="239" spans="1:40" x14ac:dyDescent="0.25">
      <c r="A239" s="66" t="s">
        <v>35</v>
      </c>
      <c r="B239" s="589"/>
      <c r="C239" s="589"/>
      <c r="D239" s="589"/>
      <c r="E239" s="584"/>
      <c r="F239" s="584"/>
      <c r="G239" s="584"/>
      <c r="H239" s="584"/>
      <c r="I239" s="290"/>
      <c r="J239" s="585"/>
      <c r="K239" s="584"/>
      <c r="L239" s="584"/>
      <c r="M239" s="584"/>
      <c r="N239" s="584"/>
      <c r="O239" s="584"/>
      <c r="P239" s="584"/>
      <c r="Q239" s="290"/>
      <c r="R239" s="584"/>
      <c r="S239" s="584"/>
      <c r="T239" s="584"/>
      <c r="U239" s="584"/>
      <c r="V239" s="584"/>
      <c r="W239" s="598"/>
      <c r="X239" s="598"/>
      <c r="Y239" s="290"/>
      <c r="Z239" s="584"/>
      <c r="AA239" s="584"/>
      <c r="AB239" s="589"/>
      <c r="AC239" s="589"/>
      <c r="AD239" s="586"/>
      <c r="AE239" s="584"/>
      <c r="AF239" s="584"/>
      <c r="AG239" s="586"/>
      <c r="AH239" s="584"/>
      <c r="AI239" s="332"/>
      <c r="AJ239" s="290"/>
      <c r="AK239" s="949"/>
      <c r="AL239" s="911"/>
      <c r="AM239" s="915"/>
      <c r="AN239" s="181"/>
    </row>
    <row r="240" spans="1:40" ht="18.75" x14ac:dyDescent="0.3">
      <c r="A240" s="514" t="s">
        <v>22</v>
      </c>
      <c r="B240" s="589"/>
      <c r="C240" s="589"/>
      <c r="D240" s="367">
        <v>18.89</v>
      </c>
      <c r="E240" s="584"/>
      <c r="F240" s="584"/>
      <c r="G240" s="584"/>
      <c r="H240" s="338">
        <v>30.11</v>
      </c>
      <c r="I240" s="290"/>
      <c r="J240" s="585"/>
      <c r="K240" s="586"/>
      <c r="L240" s="584"/>
      <c r="M240" s="338">
        <v>28.85</v>
      </c>
      <c r="N240" s="585"/>
      <c r="O240" s="584"/>
      <c r="P240" s="584"/>
      <c r="Q240" s="290"/>
      <c r="R240" s="338">
        <v>34.25</v>
      </c>
      <c r="S240" s="584"/>
      <c r="T240" s="584"/>
      <c r="U240" s="584"/>
      <c r="V240" s="584"/>
      <c r="W240" s="598"/>
      <c r="X240" s="598"/>
      <c r="Y240" s="290"/>
      <c r="Z240" s="584"/>
      <c r="AA240" s="584"/>
      <c r="AB240" s="586"/>
      <c r="AC240" s="589"/>
      <c r="AD240" s="367">
        <v>32.03</v>
      </c>
      <c r="AE240" s="584"/>
      <c r="AF240" s="584"/>
      <c r="AG240" s="584"/>
      <c r="AH240" s="584"/>
      <c r="AI240" s="332"/>
      <c r="AJ240" s="290"/>
      <c r="AK240" s="939"/>
      <c r="AL240" s="911"/>
      <c r="AM240" s="915"/>
      <c r="AN240" s="13"/>
    </row>
    <row r="241" spans="1:40" ht="18.75" x14ac:dyDescent="0.3">
      <c r="A241" s="514" t="s">
        <v>88</v>
      </c>
      <c r="B241" s="587"/>
      <c r="C241" s="587"/>
      <c r="D241" s="587"/>
      <c r="E241" s="583"/>
      <c r="F241" s="588"/>
      <c r="G241" s="583"/>
      <c r="H241" s="583"/>
      <c r="I241" s="49"/>
      <c r="J241" s="582"/>
      <c r="K241" s="583"/>
      <c r="L241" s="583"/>
      <c r="M241" s="583"/>
      <c r="N241" s="583"/>
      <c r="O241" s="583"/>
      <c r="P241" s="583"/>
      <c r="Q241" s="49"/>
      <c r="R241" s="583"/>
      <c r="S241" s="583"/>
      <c r="T241" s="583"/>
      <c r="U241" s="583"/>
      <c r="V241" s="583"/>
      <c r="W241" s="597"/>
      <c r="X241" s="597"/>
      <c r="Y241" s="49"/>
      <c r="Z241" s="583"/>
      <c r="AA241" s="583"/>
      <c r="AB241" s="587"/>
      <c r="AC241" s="587"/>
      <c r="AD241" s="588"/>
      <c r="AE241" s="583"/>
      <c r="AF241" s="583"/>
      <c r="AG241" s="583"/>
      <c r="AH241" s="583"/>
      <c r="AI241" s="134"/>
      <c r="AJ241" s="49"/>
      <c r="AK241" s="940"/>
      <c r="AL241" s="929"/>
      <c r="AM241" s="915"/>
    </row>
    <row r="242" spans="1:40" ht="18.75" x14ac:dyDescent="0.3">
      <c r="A242" s="514" t="s">
        <v>427</v>
      </c>
      <c r="B242" s="587"/>
      <c r="C242" s="587"/>
      <c r="D242" s="242">
        <v>40</v>
      </c>
      <c r="E242" s="583"/>
      <c r="F242" s="588"/>
      <c r="G242" s="583"/>
      <c r="H242" s="583"/>
      <c r="I242" s="49"/>
      <c r="J242" s="588"/>
      <c r="K242" s="242">
        <v>40</v>
      </c>
      <c r="L242" s="583"/>
      <c r="M242" s="583"/>
      <c r="N242" s="583"/>
      <c r="O242" s="583"/>
      <c r="P242" s="242">
        <v>40</v>
      </c>
      <c r="Q242" s="49"/>
      <c r="R242" s="583"/>
      <c r="S242" s="583"/>
      <c r="T242" s="583"/>
      <c r="U242" s="588"/>
      <c r="V242" s="242">
        <v>40</v>
      </c>
      <c r="W242" s="597"/>
      <c r="X242" s="597"/>
      <c r="Y242" s="49"/>
      <c r="Z242" s="588"/>
      <c r="AA242" s="583"/>
      <c r="AB242" s="587"/>
      <c r="AC242" s="242">
        <v>40</v>
      </c>
      <c r="AD242" s="587"/>
      <c r="AE242" s="588"/>
      <c r="AF242" s="583"/>
      <c r="AG242" s="583"/>
      <c r="AH242" s="242">
        <v>40</v>
      </c>
      <c r="AI242" s="134"/>
      <c r="AJ242" s="49"/>
      <c r="AK242" s="940"/>
      <c r="AL242" s="929"/>
      <c r="AM242" s="915"/>
    </row>
    <row r="243" spans="1:40" x14ac:dyDescent="0.25">
      <c r="A243" s="514" t="s">
        <v>433</v>
      </c>
      <c r="B243" s="587"/>
      <c r="C243" s="150"/>
      <c r="D243" s="588"/>
      <c r="E243" s="583"/>
      <c r="F243" s="588"/>
      <c r="G243" s="583"/>
      <c r="H243" s="583"/>
      <c r="I243" s="369"/>
      <c r="J243" s="588"/>
      <c r="K243" s="583"/>
      <c r="L243" s="587"/>
      <c r="M243" s="583"/>
      <c r="N243" s="583"/>
      <c r="O243" s="583"/>
      <c r="P243" s="583"/>
      <c r="Q243" s="516"/>
      <c r="R243" s="583"/>
      <c r="S243" s="583"/>
      <c r="T243" s="583"/>
      <c r="U243" s="337">
        <v>32.909999999999997</v>
      </c>
      <c r="V243" s="583"/>
      <c r="W243" s="597"/>
      <c r="X243" s="597"/>
      <c r="Y243" s="516"/>
      <c r="Z243" s="445">
        <v>37.5</v>
      </c>
      <c r="AA243" s="583"/>
      <c r="AB243" s="587"/>
      <c r="AC243" s="587"/>
      <c r="AD243" s="587"/>
      <c r="AE243" s="112"/>
      <c r="AF243" s="583"/>
      <c r="AG243" s="583"/>
      <c r="AH243" s="583"/>
      <c r="AI243" s="112"/>
      <c r="AJ243" s="516"/>
      <c r="AK243" s="737"/>
      <c r="AL243" s="929"/>
      <c r="AM243" s="915"/>
    </row>
    <row r="244" spans="1:40" x14ac:dyDescent="0.25">
      <c r="A244" s="514" t="s">
        <v>429</v>
      </c>
      <c r="B244" s="589"/>
      <c r="C244" s="965"/>
      <c r="D244" s="586"/>
      <c r="E244" s="584"/>
      <c r="F244" s="586"/>
      <c r="G244" s="584"/>
      <c r="H244" s="584"/>
      <c r="I244" s="966"/>
      <c r="J244" s="586"/>
      <c r="K244" s="584"/>
      <c r="L244" s="589"/>
      <c r="M244" s="584"/>
      <c r="N244" s="584"/>
      <c r="O244" s="584"/>
      <c r="P244" s="967">
        <v>40</v>
      </c>
      <c r="Q244" s="357"/>
      <c r="R244" s="584"/>
      <c r="S244" s="584"/>
      <c r="T244" s="584"/>
      <c r="U244" s="584"/>
      <c r="V244" s="584"/>
      <c r="W244" s="598"/>
      <c r="X244" s="598"/>
      <c r="Y244" s="357"/>
      <c r="Z244" s="584"/>
      <c r="AA244" s="584"/>
      <c r="AB244" s="589"/>
      <c r="AC244" s="589"/>
      <c r="AD244" s="589"/>
      <c r="AE244" s="967">
        <v>40</v>
      </c>
      <c r="AF244" s="584"/>
      <c r="AG244" s="584"/>
      <c r="AH244" s="584"/>
      <c r="AI244" s="132"/>
      <c r="AJ244" s="357"/>
      <c r="AK244" s="356"/>
      <c r="AL244" s="930"/>
      <c r="AM244" s="915"/>
    </row>
    <row r="245" spans="1:40" x14ac:dyDescent="0.25">
      <c r="A245" s="514" t="s">
        <v>87</v>
      </c>
      <c r="B245" s="576"/>
      <c r="C245" s="152">
        <v>28.72</v>
      </c>
      <c r="D245" s="581"/>
      <c r="E245" s="581"/>
      <c r="F245" s="581"/>
      <c r="G245" s="581"/>
      <c r="H245" s="581"/>
      <c r="I245" s="357"/>
      <c r="J245" s="581"/>
      <c r="K245" s="581"/>
      <c r="L245" s="581"/>
      <c r="M245" s="152">
        <v>37.33</v>
      </c>
      <c r="N245" s="581"/>
      <c r="O245" s="581"/>
      <c r="P245" s="581"/>
      <c r="Q245" s="357"/>
      <c r="R245" s="581"/>
      <c r="S245" s="581"/>
      <c r="T245" s="581"/>
      <c r="U245" s="581"/>
      <c r="V245" s="581"/>
      <c r="W245" s="598"/>
      <c r="X245" s="598"/>
      <c r="Y245" s="357"/>
      <c r="Z245" s="581"/>
      <c r="AA245" s="581"/>
      <c r="AB245" s="576"/>
      <c r="AC245" s="576"/>
      <c r="AD245" s="175">
        <v>38.43</v>
      </c>
      <c r="AE245" s="581"/>
      <c r="AF245" s="581"/>
      <c r="AG245" s="581"/>
      <c r="AH245" s="581"/>
      <c r="AI245" s="356"/>
      <c r="AJ245" s="357"/>
      <c r="AK245" s="356"/>
      <c r="AL245" s="930"/>
      <c r="AM245" s="915"/>
    </row>
    <row r="246" spans="1:40" ht="15.75" x14ac:dyDescent="0.25">
      <c r="A246" s="514" t="s">
        <v>434</v>
      </c>
      <c r="B246" s="576"/>
      <c r="C246" s="581"/>
      <c r="D246" s="581"/>
      <c r="E246" s="581"/>
      <c r="F246" s="581"/>
      <c r="G246" s="581"/>
      <c r="H246" s="581"/>
      <c r="I246" s="357"/>
      <c r="J246" s="581"/>
      <c r="K246" s="581"/>
      <c r="L246" s="581"/>
      <c r="M246" s="581"/>
      <c r="N246" s="581"/>
      <c r="O246" s="581"/>
      <c r="P246" s="581"/>
      <c r="Q246" s="357"/>
      <c r="R246" s="581"/>
      <c r="S246" s="581"/>
      <c r="T246" s="581"/>
      <c r="U246" s="581"/>
      <c r="V246" s="581"/>
      <c r="W246" s="598"/>
      <c r="X246" s="598"/>
      <c r="Y246" s="357"/>
      <c r="Z246" s="581"/>
      <c r="AA246" s="153">
        <v>40</v>
      </c>
      <c r="AB246" s="576"/>
      <c r="AC246" s="576"/>
      <c r="AD246" s="576"/>
      <c r="AE246" s="581"/>
      <c r="AF246" s="581"/>
      <c r="AG246" s="581"/>
      <c r="AH246" s="581"/>
      <c r="AI246" s="356"/>
      <c r="AJ246" s="357"/>
      <c r="AK246" s="984">
        <v>1141.26</v>
      </c>
      <c r="AL246" s="930"/>
      <c r="AM246" s="915"/>
    </row>
    <row r="247" spans="1:40" ht="15.75" x14ac:dyDescent="0.25">
      <c r="A247" s="514" t="s">
        <v>99</v>
      </c>
      <c r="B247" s="586"/>
      <c r="C247" s="586"/>
      <c r="D247" s="586"/>
      <c r="E247" s="586"/>
      <c r="F247" s="586"/>
      <c r="G247" s="586"/>
      <c r="H247" s="586"/>
      <c r="I247" s="374"/>
      <c r="J247" s="586"/>
      <c r="K247" s="586"/>
      <c r="L247" s="586"/>
      <c r="M247" s="586"/>
      <c r="N247" s="586"/>
      <c r="O247" s="586"/>
      <c r="P247" s="586"/>
      <c r="Q247" s="290"/>
      <c r="R247" s="586"/>
      <c r="S247" s="584"/>
      <c r="T247" s="585"/>
      <c r="U247" s="584"/>
      <c r="V247" s="584"/>
      <c r="W247" s="598"/>
      <c r="X247" s="598"/>
      <c r="Y247" s="290"/>
      <c r="Z247" s="584"/>
      <c r="AA247" s="584"/>
      <c r="AB247" s="589"/>
      <c r="AC247" s="589"/>
      <c r="AD247" s="589"/>
      <c r="AE247" s="584"/>
      <c r="AF247" s="584"/>
      <c r="AG247" s="584"/>
      <c r="AH247" s="584"/>
      <c r="AI247" s="288"/>
      <c r="AJ247" s="290"/>
      <c r="AK247" s="984">
        <v>1443.14</v>
      </c>
      <c r="AL247" s="911"/>
      <c r="AM247" s="915"/>
      <c r="AN247" s="180"/>
    </row>
    <row r="248" spans="1:40" ht="15.75" x14ac:dyDescent="0.25">
      <c r="A248" s="515" t="s">
        <v>91</v>
      </c>
      <c r="B248" s="588"/>
      <c r="C248" s="588"/>
      <c r="D248" s="588"/>
      <c r="E248" s="588"/>
      <c r="F248" s="242">
        <v>40</v>
      </c>
      <c r="G248" s="588"/>
      <c r="H248" s="588"/>
      <c r="I248" s="409"/>
      <c r="J248" s="588"/>
      <c r="K248" s="588"/>
      <c r="L248" s="588"/>
      <c r="M248" s="588"/>
      <c r="N248" s="588"/>
      <c r="O248" s="588"/>
      <c r="P248" s="588"/>
      <c r="Q248" s="410"/>
      <c r="R248" s="588"/>
      <c r="S248" s="240">
        <v>36.979999999999997</v>
      </c>
      <c r="T248" s="583"/>
      <c r="U248" s="583"/>
      <c r="V248" s="583"/>
      <c r="W248" s="597"/>
      <c r="X248" s="597"/>
      <c r="Y248" s="49"/>
      <c r="Z248" s="583"/>
      <c r="AA248" s="582"/>
      <c r="AB248" s="587"/>
      <c r="AC248" s="587"/>
      <c r="AD248" s="587"/>
      <c r="AE248" s="583"/>
      <c r="AF248" s="582"/>
      <c r="AG248" s="583"/>
      <c r="AH248" s="583"/>
      <c r="AI248" s="134"/>
      <c r="AJ248" s="49"/>
      <c r="AK248" s="237">
        <v>1297.1099999999999</v>
      </c>
      <c r="AL248" s="888"/>
      <c r="AM248" s="915"/>
      <c r="AN248" s="181"/>
    </row>
    <row r="249" spans="1:40" ht="19.5" thickBot="1" x14ac:dyDescent="0.35">
      <c r="A249" s="66" t="s">
        <v>101</v>
      </c>
      <c r="B249" s="590"/>
      <c r="C249" s="845">
        <v>65.400000000000006</v>
      </c>
      <c r="D249" s="591"/>
      <c r="E249" s="591"/>
      <c r="F249" s="591"/>
      <c r="G249" s="591"/>
      <c r="H249" s="591"/>
      <c r="I249" s="334"/>
      <c r="J249" s="591"/>
      <c r="K249" s="591"/>
      <c r="L249" s="591"/>
      <c r="M249" s="591"/>
      <c r="N249" s="591"/>
      <c r="O249" s="591"/>
      <c r="P249" s="591"/>
      <c r="Q249" s="334"/>
      <c r="R249" s="591"/>
      <c r="S249" s="591"/>
      <c r="T249" s="897">
        <v>72.540000000000006</v>
      </c>
      <c r="U249" s="591"/>
      <c r="V249" s="591"/>
      <c r="W249" s="599"/>
      <c r="X249" s="599"/>
      <c r="Y249" s="334"/>
      <c r="Z249" s="591"/>
      <c r="AA249" s="591"/>
      <c r="AB249" s="590"/>
      <c r="AC249" s="590"/>
      <c r="AD249" s="590"/>
      <c r="AE249" s="591"/>
      <c r="AF249" s="591"/>
      <c r="AG249" s="591"/>
      <c r="AH249" s="591"/>
      <c r="AI249" s="396"/>
      <c r="AJ249" s="334"/>
      <c r="AK249" s="985">
        <v>1786.11</v>
      </c>
      <c r="AL249" s="913"/>
      <c r="AM249" s="915"/>
      <c r="AN249" s="181"/>
    </row>
    <row r="250" spans="1:40" ht="18.75" x14ac:dyDescent="0.3">
      <c r="A250" s="281" t="s">
        <v>2</v>
      </c>
      <c r="B250" s="241">
        <f t="shared" ref="B250:H250" si="9">SUM(B209:B249)</f>
        <v>229.78</v>
      </c>
      <c r="C250" s="241">
        <f t="shared" si="9"/>
        <v>215.91</v>
      </c>
      <c r="D250" s="241">
        <f t="shared" si="9"/>
        <v>247.82999999999998</v>
      </c>
      <c r="E250" s="241">
        <f t="shared" si="9"/>
        <v>72.36</v>
      </c>
      <c r="F250" s="241">
        <f t="shared" si="9"/>
        <v>133.55000000000001</v>
      </c>
      <c r="G250" s="241">
        <f t="shared" si="9"/>
        <v>64.34</v>
      </c>
      <c r="H250" s="241">
        <f t="shared" si="9"/>
        <v>177.49</v>
      </c>
      <c r="I250" s="380">
        <f>SUM(B250:H250)</f>
        <v>1141.2600000000002</v>
      </c>
      <c r="J250" s="241">
        <f t="shared" ref="J250:P250" si="10">SUM(J209:J249)</f>
        <v>129.97999999999999</v>
      </c>
      <c r="K250" s="241">
        <f t="shared" si="10"/>
        <v>291.84000000000003</v>
      </c>
      <c r="L250" s="241">
        <f t="shared" si="10"/>
        <v>154.65</v>
      </c>
      <c r="M250" s="241">
        <f t="shared" si="10"/>
        <v>314.65999999999997</v>
      </c>
      <c r="N250" s="241">
        <f t="shared" si="10"/>
        <v>140.57</v>
      </c>
      <c r="O250" s="241">
        <f t="shared" si="10"/>
        <v>105.24</v>
      </c>
      <c r="P250" s="241">
        <f t="shared" si="10"/>
        <v>306.20000000000005</v>
      </c>
      <c r="Q250" s="377">
        <f>SUM(J250:P250)</f>
        <v>1443.14</v>
      </c>
      <c r="R250" s="241">
        <f>SUM(R209:R248)</f>
        <v>276.87</v>
      </c>
      <c r="S250" s="241">
        <f t="shared" ref="S250:X250" si="11">SUM(S209:S249)</f>
        <v>195.54</v>
      </c>
      <c r="T250" s="241">
        <f t="shared" si="11"/>
        <v>206.23000000000002</v>
      </c>
      <c r="U250" s="241">
        <f t="shared" si="11"/>
        <v>106.33</v>
      </c>
      <c r="V250" s="241">
        <f t="shared" si="11"/>
        <v>266.65999999999997</v>
      </c>
      <c r="W250" s="413">
        <f t="shared" si="11"/>
        <v>136.72999999999999</v>
      </c>
      <c r="X250" s="413">
        <f t="shared" si="11"/>
        <v>108.75</v>
      </c>
      <c r="Y250" s="380">
        <f>SUM(R250:X250)</f>
        <v>1297.1100000000001</v>
      </c>
      <c r="Z250" s="241">
        <f t="shared" ref="Z250:AH250" si="12">SUM(Z209:Z249)</f>
        <v>131.35</v>
      </c>
      <c r="AA250" s="241">
        <f t="shared" si="12"/>
        <v>224.11999999999998</v>
      </c>
      <c r="AB250" s="241">
        <f t="shared" si="12"/>
        <v>80</v>
      </c>
      <c r="AC250" s="241">
        <f t="shared" si="12"/>
        <v>285.63</v>
      </c>
      <c r="AD250" s="241">
        <f t="shared" si="12"/>
        <v>289.73999999999995</v>
      </c>
      <c r="AE250" s="241">
        <f t="shared" si="12"/>
        <v>199.75</v>
      </c>
      <c r="AF250" s="241">
        <f t="shared" si="12"/>
        <v>96.89</v>
      </c>
      <c r="AG250" s="241">
        <f t="shared" si="12"/>
        <v>181.23000000000002</v>
      </c>
      <c r="AH250" s="241">
        <f t="shared" si="12"/>
        <v>297.39999999999998</v>
      </c>
      <c r="AI250" s="425"/>
      <c r="AJ250" s="765">
        <f>SUM(Z250:AI250)</f>
        <v>1786.1100000000001</v>
      </c>
      <c r="AK250" s="990">
        <f>SUM(AK246:AK249)</f>
        <v>5667.62</v>
      </c>
      <c r="AL250" s="263"/>
      <c r="AM250" s="916"/>
      <c r="AN250" s="181"/>
    </row>
    <row r="251" spans="1:40" ht="19.5" thickBot="1" x14ac:dyDescent="0.35">
      <c r="A251" s="272"/>
      <c r="B251" s="265" t="s">
        <v>358</v>
      </c>
      <c r="C251" s="265" t="s">
        <v>342</v>
      </c>
      <c r="D251" s="265" t="s">
        <v>373</v>
      </c>
      <c r="E251" s="265" t="s">
        <v>356</v>
      </c>
      <c r="F251" s="265" t="s">
        <v>350</v>
      </c>
      <c r="G251" s="265" t="s">
        <v>356</v>
      </c>
      <c r="H251" s="265" t="s">
        <v>342</v>
      </c>
      <c r="I251" s="334"/>
      <c r="J251" s="265" t="s">
        <v>350</v>
      </c>
      <c r="K251" s="265" t="s">
        <v>373</v>
      </c>
      <c r="L251" s="265" t="s">
        <v>342</v>
      </c>
      <c r="M251" s="265" t="s">
        <v>417</v>
      </c>
      <c r="N251" s="265" t="s">
        <v>350</v>
      </c>
      <c r="O251" s="265">
        <v>39.200000000000003</v>
      </c>
      <c r="P251" s="265" t="s">
        <v>350</v>
      </c>
      <c r="Q251" s="334"/>
      <c r="R251" s="265" t="s">
        <v>373</v>
      </c>
      <c r="S251" s="265" t="s">
        <v>352</v>
      </c>
      <c r="T251" s="265" t="s">
        <v>342</v>
      </c>
      <c r="U251" s="265" t="s">
        <v>350</v>
      </c>
      <c r="V251" s="265" t="s">
        <v>373</v>
      </c>
      <c r="W251" s="265">
        <v>39.4</v>
      </c>
      <c r="X251" s="265" t="s">
        <v>368</v>
      </c>
      <c r="Y251" s="334"/>
      <c r="Z251" s="265" t="s">
        <v>350</v>
      </c>
      <c r="AA251" s="265" t="s">
        <v>352</v>
      </c>
      <c r="AB251" s="265" t="s">
        <v>356</v>
      </c>
      <c r="AC251" s="265" t="s">
        <v>358</v>
      </c>
      <c r="AD251" s="265" t="s">
        <v>373</v>
      </c>
      <c r="AE251" s="265" t="s">
        <v>352</v>
      </c>
      <c r="AF251" s="265">
        <v>39.299999999999997</v>
      </c>
      <c r="AG251" s="265" t="s">
        <v>350</v>
      </c>
      <c r="AH251" s="265" t="s">
        <v>352</v>
      </c>
      <c r="AI251" s="265" t="s">
        <v>368</v>
      </c>
      <c r="AJ251" s="334"/>
      <c r="AK251" s="273"/>
      <c r="AL251" s="913"/>
      <c r="AM251" s="917"/>
      <c r="AN251" s="166"/>
    </row>
    <row r="252" spans="1:40" ht="24" thickBot="1" x14ac:dyDescent="0.4">
      <c r="A252" s="252" t="s">
        <v>164</v>
      </c>
      <c r="B252" s="258"/>
      <c r="C252" s="258"/>
      <c r="D252" s="258"/>
      <c r="E252" s="258"/>
      <c r="F252" s="258"/>
      <c r="G252" s="254"/>
      <c r="H252" s="254"/>
      <c r="I252" s="254"/>
      <c r="J252" s="254"/>
      <c r="K252" s="254"/>
      <c r="L252" s="254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  <c r="X252" s="254"/>
      <c r="Y252" s="254"/>
      <c r="Z252" s="254"/>
      <c r="AA252" s="254"/>
      <c r="AB252" s="254"/>
      <c r="AC252" s="254"/>
      <c r="AD252" s="254"/>
      <c r="AE252" s="254"/>
      <c r="AF252" s="254"/>
      <c r="AG252" s="254"/>
      <c r="AH252" s="254"/>
      <c r="AI252" s="254"/>
      <c r="AJ252" s="260"/>
      <c r="AK252" s="261"/>
      <c r="AL252" s="260"/>
      <c r="AM252" s="217"/>
      <c r="AN252" s="166"/>
    </row>
    <row r="253" spans="1:40" ht="16.5" thickBot="1" x14ac:dyDescent="0.3">
      <c r="A253" s="222" t="s">
        <v>2</v>
      </c>
      <c r="B253" s="322">
        <v>1</v>
      </c>
      <c r="C253" s="322">
        <v>2</v>
      </c>
      <c r="D253" s="322">
        <v>3</v>
      </c>
      <c r="E253" s="322">
        <v>4</v>
      </c>
      <c r="F253" s="322">
        <v>5</v>
      </c>
      <c r="G253" s="322">
        <v>6</v>
      </c>
      <c r="H253" s="322">
        <v>7</v>
      </c>
      <c r="I253" s="323" t="s">
        <v>6</v>
      </c>
      <c r="J253" s="322">
        <v>8</v>
      </c>
      <c r="K253" s="322">
        <v>9</v>
      </c>
      <c r="L253" s="322">
        <v>10</v>
      </c>
      <c r="M253" s="322">
        <v>11</v>
      </c>
      <c r="N253" s="322">
        <v>12</v>
      </c>
      <c r="O253" s="322">
        <v>13</v>
      </c>
      <c r="P253" s="322">
        <v>14</v>
      </c>
      <c r="Q253" s="323" t="s">
        <v>6</v>
      </c>
      <c r="R253" s="322">
        <v>15</v>
      </c>
      <c r="S253" s="322">
        <v>16</v>
      </c>
      <c r="T253" s="322">
        <v>17</v>
      </c>
      <c r="U253" s="322">
        <v>18</v>
      </c>
      <c r="V253" s="322">
        <v>19</v>
      </c>
      <c r="W253" s="322">
        <v>20</v>
      </c>
      <c r="X253" s="322">
        <v>21</v>
      </c>
      <c r="Y253" s="323" t="s">
        <v>6</v>
      </c>
      <c r="Z253" s="322">
        <v>22</v>
      </c>
      <c r="AA253" s="322">
        <v>23</v>
      </c>
      <c r="AB253" s="322">
        <v>24</v>
      </c>
      <c r="AC253" s="322">
        <v>25</v>
      </c>
      <c r="AD253" s="322">
        <v>26</v>
      </c>
      <c r="AE253" s="322">
        <v>27</v>
      </c>
      <c r="AF253" s="322">
        <v>28</v>
      </c>
      <c r="AG253" s="322">
        <v>29</v>
      </c>
      <c r="AH253" s="322">
        <v>30</v>
      </c>
      <c r="AI253" s="322">
        <v>31</v>
      </c>
      <c r="AJ253" s="324" t="s">
        <v>6</v>
      </c>
      <c r="AK253" s="905" t="s">
        <v>0</v>
      </c>
      <c r="AL253" s="105"/>
      <c r="AM253" s="919" t="s">
        <v>42</v>
      </c>
    </row>
    <row r="254" spans="1:40" ht="15.75" x14ac:dyDescent="0.25">
      <c r="A254" s="64" t="s">
        <v>57</v>
      </c>
      <c r="B254" s="1">
        <v>43.74</v>
      </c>
      <c r="C254" s="1">
        <v>41.95</v>
      </c>
      <c r="D254" s="1">
        <v>50</v>
      </c>
      <c r="E254" s="1">
        <v>50</v>
      </c>
      <c r="F254" s="1">
        <v>50</v>
      </c>
      <c r="G254" s="1">
        <v>34.42</v>
      </c>
      <c r="H254" s="1">
        <v>50</v>
      </c>
      <c r="I254" s="36"/>
      <c r="J254" s="1">
        <v>30.05</v>
      </c>
      <c r="K254" s="1">
        <v>45.54</v>
      </c>
      <c r="L254" s="1">
        <v>44.55</v>
      </c>
      <c r="M254" s="1">
        <v>43.27</v>
      </c>
      <c r="N254" s="1">
        <v>50</v>
      </c>
      <c r="O254" s="1">
        <v>49.62</v>
      </c>
      <c r="P254" s="1">
        <v>34.450000000000003</v>
      </c>
      <c r="Q254" s="36"/>
      <c r="R254" s="1">
        <v>50</v>
      </c>
      <c r="S254" s="1">
        <v>50</v>
      </c>
      <c r="T254" s="57">
        <v>41.8</v>
      </c>
      <c r="U254" s="1">
        <v>50</v>
      </c>
      <c r="V254" s="1">
        <v>44.07</v>
      </c>
      <c r="W254" s="1">
        <v>50</v>
      </c>
      <c r="X254" s="1">
        <v>50</v>
      </c>
      <c r="Y254" s="36"/>
      <c r="Z254" s="1">
        <v>50</v>
      </c>
      <c r="AA254" s="1">
        <v>50</v>
      </c>
      <c r="AB254" s="1">
        <v>50</v>
      </c>
      <c r="AC254" s="1">
        <v>50</v>
      </c>
      <c r="AD254" s="1">
        <v>74.87</v>
      </c>
      <c r="AE254" s="1">
        <v>35.520000000000003</v>
      </c>
      <c r="AF254" s="1">
        <v>50</v>
      </c>
      <c r="AG254" s="1">
        <v>50</v>
      </c>
      <c r="AH254" s="1">
        <v>35.65</v>
      </c>
      <c r="AI254" s="55"/>
      <c r="AJ254" s="36"/>
      <c r="AK254" s="986">
        <v>940.42</v>
      </c>
      <c r="AL254" s="888"/>
      <c r="AM254" s="2"/>
      <c r="AN254" s="180"/>
    </row>
    <row r="255" spans="1:40" ht="15.75" x14ac:dyDescent="0.25">
      <c r="A255" s="11" t="s">
        <v>58</v>
      </c>
      <c r="B255" s="1">
        <v>50</v>
      </c>
      <c r="C255" s="1">
        <v>50</v>
      </c>
      <c r="D255" s="1">
        <v>44.74</v>
      </c>
      <c r="E255" s="1">
        <v>47.69</v>
      </c>
      <c r="F255" s="1">
        <v>50</v>
      </c>
      <c r="G255" s="1">
        <v>50</v>
      </c>
      <c r="H255" s="1">
        <v>47.14</v>
      </c>
      <c r="I255" s="37"/>
      <c r="J255" s="118">
        <v>42.25</v>
      </c>
      <c r="K255" s="1">
        <v>50</v>
      </c>
      <c r="L255" s="1">
        <v>43.86</v>
      </c>
      <c r="M255" s="1">
        <v>50</v>
      </c>
      <c r="N255" s="1">
        <v>50</v>
      </c>
      <c r="O255" s="1">
        <v>48.59</v>
      </c>
      <c r="P255" s="1">
        <v>50</v>
      </c>
      <c r="Q255" s="37"/>
      <c r="R255" s="1">
        <v>50</v>
      </c>
      <c r="S255" s="1">
        <v>49.61</v>
      </c>
      <c r="T255" s="57">
        <v>49.73</v>
      </c>
      <c r="U255" s="1">
        <v>50</v>
      </c>
      <c r="V255" s="1">
        <v>50</v>
      </c>
      <c r="W255" s="1">
        <v>50</v>
      </c>
      <c r="X255" s="1">
        <v>49.85</v>
      </c>
      <c r="Y255" s="37"/>
      <c r="Z255" s="1">
        <v>41.87</v>
      </c>
      <c r="AA255" s="1">
        <v>44.74</v>
      </c>
      <c r="AB255" s="118">
        <v>49.71</v>
      </c>
      <c r="AC255" s="1">
        <v>50</v>
      </c>
      <c r="AD255" s="118">
        <v>56.24</v>
      </c>
      <c r="AE255" s="1">
        <v>50</v>
      </c>
      <c r="AF255" s="1">
        <v>50</v>
      </c>
      <c r="AG255" s="1">
        <v>50</v>
      </c>
      <c r="AH255" s="118">
        <v>43.14</v>
      </c>
      <c r="AI255" s="52"/>
      <c r="AJ255" s="37"/>
      <c r="AK255" s="987">
        <v>960.87</v>
      </c>
      <c r="AL255" s="888"/>
      <c r="AM255" s="2"/>
      <c r="AN255" s="180"/>
    </row>
    <row r="256" spans="1:40" ht="15.75" x14ac:dyDescent="0.25">
      <c r="A256" s="62" t="s">
        <v>59</v>
      </c>
      <c r="B256" s="123">
        <v>50</v>
      </c>
      <c r="C256" s="123">
        <v>50</v>
      </c>
      <c r="D256" s="576"/>
      <c r="E256" s="123">
        <v>50</v>
      </c>
      <c r="F256" s="123">
        <v>32.9</v>
      </c>
      <c r="G256" s="123">
        <v>50</v>
      </c>
      <c r="H256" s="123">
        <v>47.84</v>
      </c>
      <c r="I256" s="43"/>
      <c r="J256" s="178">
        <v>44.1</v>
      </c>
      <c r="K256" s="123">
        <v>37.96</v>
      </c>
      <c r="L256" s="123">
        <v>46.91</v>
      </c>
      <c r="M256" s="123">
        <v>50</v>
      </c>
      <c r="N256" s="123">
        <v>50</v>
      </c>
      <c r="O256" s="123">
        <v>49.72</v>
      </c>
      <c r="P256" s="123">
        <v>50</v>
      </c>
      <c r="Q256" s="43"/>
      <c r="R256" s="123">
        <v>38.020000000000003</v>
      </c>
      <c r="S256" s="123">
        <v>50</v>
      </c>
      <c r="T256" s="178">
        <v>43.07</v>
      </c>
      <c r="U256" s="123">
        <v>36.82</v>
      </c>
      <c r="V256" s="517">
        <v>50</v>
      </c>
      <c r="W256" s="123">
        <v>50</v>
      </c>
      <c r="X256" s="123">
        <v>50</v>
      </c>
      <c r="Y256" s="43"/>
      <c r="Z256" s="123">
        <v>49.63</v>
      </c>
      <c r="AA256" s="123">
        <v>50</v>
      </c>
      <c r="AB256" s="123">
        <v>50</v>
      </c>
      <c r="AC256" s="123">
        <v>50</v>
      </c>
      <c r="AD256" s="119">
        <v>50.12</v>
      </c>
      <c r="AE256" s="123">
        <v>50</v>
      </c>
      <c r="AF256" s="123">
        <v>50</v>
      </c>
      <c r="AG256" s="123">
        <v>43.65</v>
      </c>
      <c r="AH256" s="123">
        <v>50</v>
      </c>
      <c r="AI256" s="243"/>
      <c r="AJ256" s="43"/>
      <c r="AK256" s="983">
        <v>1002.97</v>
      </c>
      <c r="AL256" s="911"/>
      <c r="AM256" s="2"/>
      <c r="AN256" s="180"/>
    </row>
    <row r="257" spans="1:40" ht="19.5" thickBot="1" x14ac:dyDescent="0.35">
      <c r="A257" s="349"/>
      <c r="B257" s="274"/>
      <c r="C257" s="274"/>
      <c r="D257" s="274"/>
      <c r="E257" s="274"/>
      <c r="F257" s="274"/>
      <c r="G257" s="275"/>
      <c r="H257" s="275"/>
      <c r="I257" s="269"/>
      <c r="J257" s="270"/>
      <c r="K257" s="268"/>
      <c r="L257" s="275"/>
      <c r="M257" s="268"/>
      <c r="N257" s="275"/>
      <c r="O257" s="268"/>
      <c r="P257" s="275"/>
      <c r="Q257" s="269"/>
      <c r="R257" s="153"/>
      <c r="S257" s="275"/>
      <c r="T257" s="239"/>
      <c r="U257" s="268"/>
      <c r="V257" s="275"/>
      <c r="W257" s="275"/>
      <c r="X257" s="268"/>
      <c r="Y257" s="269"/>
      <c r="Z257" s="275"/>
      <c r="AA257" s="153"/>
      <c r="AB257" s="268"/>
      <c r="AC257" s="275"/>
      <c r="AD257" s="268"/>
      <c r="AE257" s="275"/>
      <c r="AF257" s="275"/>
      <c r="AG257" s="429"/>
      <c r="AH257" s="270"/>
      <c r="AI257" s="270"/>
      <c r="AJ257" s="269"/>
      <c r="AK257" s="984">
        <v>1325.14</v>
      </c>
      <c r="AL257" s="911"/>
      <c r="AM257" s="2"/>
      <c r="AN257" s="166"/>
    </row>
    <row r="258" spans="1:40" ht="18.75" x14ac:dyDescent="0.3">
      <c r="A258" s="281" t="s">
        <v>2</v>
      </c>
      <c r="B258" s="307">
        <f t="shared" ref="B258:H258" si="13">SUM(B254:B257)</f>
        <v>143.74</v>
      </c>
      <c r="C258" s="307">
        <f t="shared" si="13"/>
        <v>141.94999999999999</v>
      </c>
      <c r="D258" s="307">
        <f t="shared" si="13"/>
        <v>94.740000000000009</v>
      </c>
      <c r="E258" s="307">
        <f t="shared" si="13"/>
        <v>147.69</v>
      </c>
      <c r="F258" s="307">
        <f t="shared" si="13"/>
        <v>132.9</v>
      </c>
      <c r="G258" s="307">
        <f t="shared" si="13"/>
        <v>134.42000000000002</v>
      </c>
      <c r="H258" s="307">
        <f t="shared" si="13"/>
        <v>144.98000000000002</v>
      </c>
      <c r="I258" s="376">
        <f>SUM(B258:H258)</f>
        <v>940.42000000000007</v>
      </c>
      <c r="J258" s="307">
        <f t="shared" ref="J258:P258" si="14">SUM(J254:J257)</f>
        <v>116.4</v>
      </c>
      <c r="K258" s="307">
        <f t="shared" si="14"/>
        <v>133.5</v>
      </c>
      <c r="L258" s="307">
        <f t="shared" si="14"/>
        <v>135.32</v>
      </c>
      <c r="M258" s="307">
        <f t="shared" si="14"/>
        <v>143.27000000000001</v>
      </c>
      <c r="N258" s="307">
        <f t="shared" si="14"/>
        <v>150</v>
      </c>
      <c r="O258" s="307">
        <f t="shared" si="14"/>
        <v>147.93</v>
      </c>
      <c r="P258" s="307">
        <f t="shared" si="14"/>
        <v>134.44999999999999</v>
      </c>
      <c r="Q258" s="376">
        <f>SUM(J258:P258)</f>
        <v>960.87000000000012</v>
      </c>
      <c r="R258" s="307">
        <f t="shared" ref="R258:X258" si="15">SUM(R254:R257)</f>
        <v>138.02000000000001</v>
      </c>
      <c r="S258" s="307">
        <f t="shared" si="15"/>
        <v>149.61000000000001</v>
      </c>
      <c r="T258" s="163">
        <f t="shared" si="15"/>
        <v>134.6</v>
      </c>
      <c r="U258" s="307">
        <f t="shared" si="15"/>
        <v>136.82</v>
      </c>
      <c r="V258" s="307">
        <f t="shared" si="15"/>
        <v>144.07</v>
      </c>
      <c r="W258" s="307">
        <f t="shared" si="15"/>
        <v>150</v>
      </c>
      <c r="X258" s="307">
        <f t="shared" si="15"/>
        <v>149.85</v>
      </c>
      <c r="Y258" s="376">
        <f>SUM(R258:X258)</f>
        <v>1002.9699999999999</v>
      </c>
      <c r="Z258" s="307">
        <f t="shared" ref="Z258:AH258" si="16">SUM(Z254:Z257)</f>
        <v>141.5</v>
      </c>
      <c r="AA258" s="307">
        <f t="shared" si="16"/>
        <v>144.74</v>
      </c>
      <c r="AB258" s="307">
        <f t="shared" si="16"/>
        <v>149.71</v>
      </c>
      <c r="AC258" s="307">
        <f t="shared" si="16"/>
        <v>150</v>
      </c>
      <c r="AD258" s="307">
        <f t="shared" si="16"/>
        <v>181.23000000000002</v>
      </c>
      <c r="AE258" s="307">
        <f t="shared" si="16"/>
        <v>135.52000000000001</v>
      </c>
      <c r="AF258" s="307">
        <f t="shared" si="16"/>
        <v>150</v>
      </c>
      <c r="AG258" s="307">
        <f t="shared" si="16"/>
        <v>143.65</v>
      </c>
      <c r="AH258" s="307">
        <f t="shared" si="16"/>
        <v>128.79</v>
      </c>
      <c r="AI258" s="308"/>
      <c r="AJ258" s="376">
        <f>SUM(Z258:AI258)</f>
        <v>1325.14</v>
      </c>
      <c r="AK258" s="996">
        <f>SUM(AK254:AK257)</f>
        <v>4229.4000000000005</v>
      </c>
      <c r="AL258" s="263"/>
      <c r="AM258" s="105"/>
    </row>
    <row r="259" spans="1:40" ht="15.75" thickBot="1" x14ac:dyDescent="0.3">
      <c r="A259" s="264"/>
      <c r="B259" s="265" t="s">
        <v>285</v>
      </c>
      <c r="C259" s="265" t="s">
        <v>285</v>
      </c>
      <c r="D259" s="265" t="s">
        <v>331</v>
      </c>
      <c r="E259" s="265" t="s">
        <v>285</v>
      </c>
      <c r="F259" s="265" t="s">
        <v>285</v>
      </c>
      <c r="G259" s="265" t="s">
        <v>285</v>
      </c>
      <c r="H259" s="265" t="s">
        <v>285</v>
      </c>
      <c r="I259" s="361"/>
      <c r="J259" s="265" t="s">
        <v>285</v>
      </c>
      <c r="K259" s="265" t="s">
        <v>285</v>
      </c>
      <c r="L259" s="265" t="s">
        <v>285</v>
      </c>
      <c r="M259" s="265" t="s">
        <v>285</v>
      </c>
      <c r="N259" s="265" t="s">
        <v>285</v>
      </c>
      <c r="O259" s="265" t="s">
        <v>285</v>
      </c>
      <c r="P259" s="265" t="s">
        <v>285</v>
      </c>
      <c r="Q259" s="361"/>
      <c r="R259" s="265" t="s">
        <v>285</v>
      </c>
      <c r="S259" s="265" t="s">
        <v>285</v>
      </c>
      <c r="T259" s="265" t="s">
        <v>285</v>
      </c>
      <c r="U259" s="265" t="s">
        <v>285</v>
      </c>
      <c r="V259" s="265" t="s">
        <v>285</v>
      </c>
      <c r="W259" s="265" t="s">
        <v>285</v>
      </c>
      <c r="X259" s="265" t="s">
        <v>285</v>
      </c>
      <c r="Y259" s="361"/>
      <c r="Z259" s="265" t="s">
        <v>285</v>
      </c>
      <c r="AA259" s="265" t="s">
        <v>285</v>
      </c>
      <c r="AB259" s="265" t="s">
        <v>285</v>
      </c>
      <c r="AC259" s="265" t="s">
        <v>285</v>
      </c>
      <c r="AD259" s="265" t="s">
        <v>285</v>
      </c>
      <c r="AE259" s="265" t="s">
        <v>285</v>
      </c>
      <c r="AF259" s="265" t="s">
        <v>285</v>
      </c>
      <c r="AG259" s="265" t="s">
        <v>285</v>
      </c>
      <c r="AH259" s="265" t="s">
        <v>285</v>
      </c>
      <c r="AI259" s="265" t="s">
        <v>285</v>
      </c>
      <c r="AJ259" s="361"/>
      <c r="AK259" s="362"/>
      <c r="AL259" s="922"/>
      <c r="AM259" s="197"/>
    </row>
    <row r="260" spans="1:40" ht="24" thickBot="1" x14ac:dyDescent="0.4">
      <c r="A260" s="252" t="s">
        <v>165</v>
      </c>
      <c r="B260" s="258"/>
      <c r="C260" s="258"/>
      <c r="D260" s="258"/>
      <c r="E260" s="258"/>
      <c r="F260" s="258"/>
      <c r="G260" s="254"/>
      <c r="H260" s="254"/>
      <c r="I260" s="254"/>
      <c r="J260" s="254"/>
      <c r="K260" s="254"/>
      <c r="L260" s="254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  <c r="X260" s="254"/>
      <c r="Y260" s="254"/>
      <c r="Z260" s="254"/>
      <c r="AA260" s="254"/>
      <c r="AB260" s="254"/>
      <c r="AC260" s="254"/>
      <c r="AD260" s="254"/>
      <c r="AE260" s="254"/>
      <c r="AF260" s="254"/>
      <c r="AG260" s="254"/>
      <c r="AH260" s="254"/>
      <c r="AI260" s="254"/>
      <c r="AJ260" s="260"/>
      <c r="AK260" s="261"/>
      <c r="AL260" s="261"/>
      <c r="AM260" s="925"/>
    </row>
    <row r="261" spans="1:40" ht="15.75" x14ac:dyDescent="0.25">
      <c r="A261" s="11" t="s">
        <v>54</v>
      </c>
      <c r="B261" s="1">
        <v>40</v>
      </c>
      <c r="C261" s="1">
        <v>39.85</v>
      </c>
      <c r="D261" s="1">
        <v>33.51</v>
      </c>
      <c r="E261" s="1">
        <v>40</v>
      </c>
      <c r="F261" s="1">
        <v>40</v>
      </c>
      <c r="G261" s="1">
        <v>40</v>
      </c>
      <c r="H261" s="1">
        <v>40</v>
      </c>
      <c r="I261" s="37"/>
      <c r="J261" s="1">
        <v>39.799999999999997</v>
      </c>
      <c r="K261" s="1">
        <v>40</v>
      </c>
      <c r="L261" s="1">
        <v>40</v>
      </c>
      <c r="M261" s="1">
        <v>40</v>
      </c>
      <c r="N261" s="1">
        <v>40</v>
      </c>
      <c r="O261" s="118">
        <v>39.03</v>
      </c>
      <c r="P261" s="1">
        <v>31.92</v>
      </c>
      <c r="Q261" s="37"/>
      <c r="R261" s="118">
        <v>30.15</v>
      </c>
      <c r="S261" s="1">
        <v>25.08</v>
      </c>
      <c r="T261" s="118">
        <v>33.93</v>
      </c>
      <c r="U261" s="118">
        <v>39.130000000000003</v>
      </c>
      <c r="V261" s="1">
        <v>39.549999999999997</v>
      </c>
      <c r="W261" s="1">
        <v>40</v>
      </c>
      <c r="X261" s="1">
        <v>40</v>
      </c>
      <c r="Y261" s="37"/>
      <c r="Z261" s="118">
        <v>36.78</v>
      </c>
      <c r="AA261" s="1">
        <v>40</v>
      </c>
      <c r="AB261" s="1">
        <v>29.42</v>
      </c>
      <c r="AC261" s="1">
        <v>33.75</v>
      </c>
      <c r="AD261" s="1">
        <v>36.54</v>
      </c>
      <c r="AE261" s="1">
        <v>40</v>
      </c>
      <c r="AF261" s="1">
        <v>40</v>
      </c>
      <c r="AG261" s="1">
        <v>40</v>
      </c>
      <c r="AH261" s="1">
        <v>32.42</v>
      </c>
      <c r="AI261" s="52"/>
      <c r="AJ261" s="37"/>
      <c r="AK261" s="986">
        <v>817.96</v>
      </c>
      <c r="AL261" s="888"/>
      <c r="AM261" s="915"/>
    </row>
    <row r="262" spans="1:40" ht="15.75" x14ac:dyDescent="0.25">
      <c r="A262" s="11" t="s">
        <v>55</v>
      </c>
      <c r="B262" s="1">
        <v>40</v>
      </c>
      <c r="C262" s="1">
        <v>35.24</v>
      </c>
      <c r="D262" s="1">
        <v>30.87</v>
      </c>
      <c r="E262" s="1">
        <v>40</v>
      </c>
      <c r="F262" s="1">
        <v>40</v>
      </c>
      <c r="G262" s="1">
        <v>40</v>
      </c>
      <c r="H262" s="1">
        <v>40</v>
      </c>
      <c r="I262" s="37"/>
      <c r="J262" s="1">
        <v>40</v>
      </c>
      <c r="K262" s="1">
        <v>36.99</v>
      </c>
      <c r="L262" s="1">
        <v>40</v>
      </c>
      <c r="M262" s="1">
        <v>40</v>
      </c>
      <c r="N262" s="1">
        <v>40</v>
      </c>
      <c r="O262" s="1">
        <v>31.02</v>
      </c>
      <c r="P262" s="1">
        <v>40</v>
      </c>
      <c r="Q262" s="37"/>
      <c r="R262" s="118">
        <v>34.99</v>
      </c>
      <c r="S262" s="1">
        <v>38.299999999999997</v>
      </c>
      <c r="T262" s="118">
        <v>36.65</v>
      </c>
      <c r="U262" s="1">
        <v>40</v>
      </c>
      <c r="V262" s="1">
        <v>40</v>
      </c>
      <c r="W262" s="1">
        <v>40</v>
      </c>
      <c r="X262" s="1">
        <v>34.32</v>
      </c>
      <c r="Y262" s="37"/>
      <c r="Z262" s="118">
        <v>39.630000000000003</v>
      </c>
      <c r="AA262" s="1">
        <v>33.75</v>
      </c>
      <c r="AB262" s="1">
        <v>39</v>
      </c>
      <c r="AC262" s="1">
        <v>40</v>
      </c>
      <c r="AD262" s="1">
        <v>31.55</v>
      </c>
      <c r="AE262" s="118">
        <v>37.44</v>
      </c>
      <c r="AF262" s="118">
        <v>34.94</v>
      </c>
      <c r="AG262" s="118">
        <v>37.36</v>
      </c>
      <c r="AH262" s="118">
        <v>38.270000000000003</v>
      </c>
      <c r="AI262" s="52"/>
      <c r="AJ262" s="37"/>
      <c r="AK262" s="986">
        <v>808.29</v>
      </c>
      <c r="AL262" s="888"/>
      <c r="AM262" s="915"/>
      <c r="AN262" s="180"/>
    </row>
    <row r="263" spans="1:40" ht="15.75" x14ac:dyDescent="0.25">
      <c r="A263" s="62" t="s">
        <v>56</v>
      </c>
      <c r="B263" s="123">
        <v>39.869999999999997</v>
      </c>
      <c r="C263" s="123">
        <v>38.619999999999997</v>
      </c>
      <c r="D263" s="123">
        <v>40</v>
      </c>
      <c r="E263" s="123">
        <v>40</v>
      </c>
      <c r="F263" s="123">
        <v>40</v>
      </c>
      <c r="G263" s="123">
        <v>40</v>
      </c>
      <c r="H263" s="123">
        <v>40</v>
      </c>
      <c r="I263" s="43"/>
      <c r="J263" s="123">
        <v>40</v>
      </c>
      <c r="K263" s="123">
        <v>40</v>
      </c>
      <c r="L263" s="123">
        <v>39.94</v>
      </c>
      <c r="M263" s="119">
        <v>37.770000000000003</v>
      </c>
      <c r="N263" s="123">
        <v>34.96</v>
      </c>
      <c r="O263" s="123">
        <v>40</v>
      </c>
      <c r="P263" s="123">
        <v>36.86</v>
      </c>
      <c r="Q263" s="43"/>
      <c r="R263" s="123">
        <v>34.479999999999997</v>
      </c>
      <c r="S263" s="123">
        <v>36.85</v>
      </c>
      <c r="T263" s="119">
        <v>38.33</v>
      </c>
      <c r="U263" s="123">
        <v>40</v>
      </c>
      <c r="V263" s="123">
        <v>40</v>
      </c>
      <c r="W263" s="123">
        <v>40</v>
      </c>
      <c r="X263" s="123">
        <v>40</v>
      </c>
      <c r="Y263" s="43"/>
      <c r="Z263" s="119">
        <v>35.36</v>
      </c>
      <c r="AA263" s="123">
        <v>39.130000000000003</v>
      </c>
      <c r="AB263" s="123">
        <v>40</v>
      </c>
      <c r="AC263" s="123">
        <v>32.840000000000003</v>
      </c>
      <c r="AD263" s="123">
        <v>20</v>
      </c>
      <c r="AE263" s="123">
        <v>40</v>
      </c>
      <c r="AF263" s="119">
        <v>33.840000000000003</v>
      </c>
      <c r="AG263" s="119">
        <v>27.03</v>
      </c>
      <c r="AH263" s="119">
        <v>33.93</v>
      </c>
      <c r="AI263" s="243"/>
      <c r="AJ263" s="43"/>
      <c r="AK263" s="983">
        <v>781.76</v>
      </c>
      <c r="AL263" s="911"/>
      <c r="AM263" s="915"/>
      <c r="AN263" s="180"/>
    </row>
    <row r="264" spans="1:40" ht="15.75" x14ac:dyDescent="0.25">
      <c r="A264" s="67"/>
      <c r="B264" s="124"/>
      <c r="C264" s="124"/>
      <c r="D264" s="124"/>
      <c r="E264" s="124"/>
      <c r="F264" s="124"/>
      <c r="G264" s="124"/>
      <c r="H264" s="124"/>
      <c r="I264" s="47"/>
      <c r="J264" s="124"/>
      <c r="K264" s="124"/>
      <c r="L264" s="124"/>
      <c r="M264" s="124"/>
      <c r="N264" s="124"/>
      <c r="O264" s="124"/>
      <c r="P264" s="124"/>
      <c r="Q264" s="47"/>
      <c r="R264" s="124"/>
      <c r="S264" s="124"/>
      <c r="T264" s="124"/>
      <c r="U264" s="124"/>
      <c r="V264" s="124"/>
      <c r="W264" s="124"/>
      <c r="X264" s="124"/>
      <c r="Y264" s="47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37"/>
      <c r="AK264" s="237">
        <v>962.98</v>
      </c>
      <c r="AL264" s="888"/>
      <c r="AM264" s="915"/>
      <c r="AN264" s="180"/>
    </row>
    <row r="265" spans="1:40" ht="18.75" x14ac:dyDescent="0.3">
      <c r="A265" s="402" t="s">
        <v>2</v>
      </c>
      <c r="B265" s="403">
        <f t="shared" ref="B265:H265" si="17">SUM(B261:B264)</f>
        <v>119.87</v>
      </c>
      <c r="C265" s="403">
        <f t="shared" si="17"/>
        <v>113.71000000000001</v>
      </c>
      <c r="D265" s="403">
        <f t="shared" si="17"/>
        <v>104.38</v>
      </c>
      <c r="E265" s="403">
        <f t="shared" si="17"/>
        <v>120</v>
      </c>
      <c r="F265" s="403">
        <f t="shared" si="17"/>
        <v>120</v>
      </c>
      <c r="G265" s="403">
        <f t="shared" si="17"/>
        <v>120</v>
      </c>
      <c r="H265" s="403">
        <f t="shared" si="17"/>
        <v>120</v>
      </c>
      <c r="I265" s="404">
        <f>SUM(B265:H265)</f>
        <v>817.96</v>
      </c>
      <c r="J265" s="403">
        <f>SUM(J261:J264)</f>
        <v>119.8</v>
      </c>
      <c r="K265" s="403">
        <f>SUM(K261:K264)</f>
        <v>116.99000000000001</v>
      </c>
      <c r="L265" s="403">
        <f>SUM(L261:L264)</f>
        <v>119.94</v>
      </c>
      <c r="M265" s="403">
        <f>SUM(M261:M264)</f>
        <v>117.77000000000001</v>
      </c>
      <c r="N265" s="403">
        <f>SUM(N261:N264)</f>
        <v>114.96000000000001</v>
      </c>
      <c r="O265" s="405">
        <f>SUM(O261:O263)</f>
        <v>110.05</v>
      </c>
      <c r="P265" s="403">
        <f>SUM(P261:P264)</f>
        <v>108.78</v>
      </c>
      <c r="Q265" s="404">
        <f>SUM(J265:P265)</f>
        <v>808.29</v>
      </c>
      <c r="R265" s="403">
        <f t="shared" ref="R265:X265" si="18">SUM(R261:R264)</f>
        <v>99.62</v>
      </c>
      <c r="S265" s="403">
        <f t="shared" si="18"/>
        <v>100.22999999999999</v>
      </c>
      <c r="T265" s="405">
        <f t="shared" si="18"/>
        <v>108.91</v>
      </c>
      <c r="U265" s="405">
        <f t="shared" si="18"/>
        <v>119.13</v>
      </c>
      <c r="V265" s="403">
        <f t="shared" si="18"/>
        <v>119.55</v>
      </c>
      <c r="W265" s="403">
        <f t="shared" si="18"/>
        <v>120</v>
      </c>
      <c r="X265" s="403">
        <f t="shared" si="18"/>
        <v>114.32</v>
      </c>
      <c r="Y265" s="404">
        <f>SUM(R265:X265)</f>
        <v>781.76</v>
      </c>
      <c r="Z265" s="405">
        <f t="shared" ref="Z265:AH265" si="19">SUM(Z261:Z264)</f>
        <v>111.77</v>
      </c>
      <c r="AA265" s="403">
        <f t="shared" si="19"/>
        <v>112.88</v>
      </c>
      <c r="AB265" s="403">
        <f t="shared" si="19"/>
        <v>108.42</v>
      </c>
      <c r="AC265" s="403">
        <f t="shared" si="19"/>
        <v>106.59</v>
      </c>
      <c r="AD265" s="403">
        <f t="shared" si="19"/>
        <v>88.09</v>
      </c>
      <c r="AE265" s="403">
        <f t="shared" si="19"/>
        <v>117.44</v>
      </c>
      <c r="AF265" s="403">
        <f t="shared" si="19"/>
        <v>108.78</v>
      </c>
      <c r="AG265" s="403">
        <f t="shared" si="19"/>
        <v>104.39</v>
      </c>
      <c r="AH265" s="403">
        <f t="shared" si="19"/>
        <v>104.62</v>
      </c>
      <c r="AI265" s="406"/>
      <c r="AJ265" s="767">
        <f>SUM(Z265:AI265)</f>
        <v>962.98</v>
      </c>
      <c r="AK265" s="993">
        <f>SUM(AK261:AK264)</f>
        <v>3370.9900000000002</v>
      </c>
      <c r="AL265" s="921"/>
      <c r="AM265" s="916"/>
      <c r="AN265" s="180"/>
    </row>
    <row r="266" spans="1:40" ht="15.75" thickBot="1" x14ac:dyDescent="0.3">
      <c r="A266" s="364"/>
      <c r="B266" s="265" t="s">
        <v>285</v>
      </c>
      <c r="C266" s="265" t="s">
        <v>285</v>
      </c>
      <c r="D266" s="265" t="s">
        <v>285</v>
      </c>
      <c r="E266" s="265" t="s">
        <v>285</v>
      </c>
      <c r="F266" s="265" t="s">
        <v>285</v>
      </c>
      <c r="G266" s="265" t="s">
        <v>285</v>
      </c>
      <c r="H266" s="265" t="s">
        <v>285</v>
      </c>
      <c r="I266" s="361"/>
      <c r="J266" s="265" t="s">
        <v>285</v>
      </c>
      <c r="K266" s="265" t="s">
        <v>285</v>
      </c>
      <c r="L266" s="265" t="s">
        <v>285</v>
      </c>
      <c r="M266" s="265" t="s">
        <v>285</v>
      </c>
      <c r="N266" s="265" t="s">
        <v>285</v>
      </c>
      <c r="O266" s="265" t="s">
        <v>285</v>
      </c>
      <c r="P266" s="265" t="s">
        <v>285</v>
      </c>
      <c r="Q266" s="361"/>
      <c r="R266" s="265" t="s">
        <v>285</v>
      </c>
      <c r="S266" s="265" t="s">
        <v>285</v>
      </c>
      <c r="T266" s="265" t="s">
        <v>285</v>
      </c>
      <c r="U266" s="265" t="s">
        <v>285</v>
      </c>
      <c r="V266" s="265" t="s">
        <v>285</v>
      </c>
      <c r="W266" s="265" t="s">
        <v>285</v>
      </c>
      <c r="X266" s="265" t="s">
        <v>285</v>
      </c>
      <c r="Y266" s="361"/>
      <c r="Z266" s="265" t="s">
        <v>285</v>
      </c>
      <c r="AA266" s="265" t="s">
        <v>285</v>
      </c>
      <c r="AB266" s="265" t="s">
        <v>285</v>
      </c>
      <c r="AC266" s="265" t="s">
        <v>285</v>
      </c>
      <c r="AD266" s="265" t="s">
        <v>285</v>
      </c>
      <c r="AE266" s="265" t="s">
        <v>285</v>
      </c>
      <c r="AF266" s="265" t="s">
        <v>285</v>
      </c>
      <c r="AG266" s="265" t="s">
        <v>285</v>
      </c>
      <c r="AH266" s="265" t="s">
        <v>285</v>
      </c>
      <c r="AI266" s="265" t="s">
        <v>285</v>
      </c>
      <c r="AJ266" s="361"/>
      <c r="AK266" s="362"/>
      <c r="AL266" s="922"/>
      <c r="AM266" s="926"/>
      <c r="AN266" s="180"/>
    </row>
    <row r="267" spans="1:40" ht="24" thickBot="1" x14ac:dyDescent="0.4">
      <c r="A267" s="276" t="s">
        <v>166</v>
      </c>
      <c r="B267" s="258"/>
      <c r="C267" s="258"/>
      <c r="D267" s="258"/>
      <c r="E267" s="258"/>
      <c r="F267" s="258"/>
      <c r="G267" s="254"/>
      <c r="H267" s="254"/>
      <c r="I267" s="254"/>
      <c r="J267" s="25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  <c r="X267" s="254"/>
      <c r="Y267" s="254"/>
      <c r="Z267" s="254"/>
      <c r="AA267" s="254"/>
      <c r="AB267" s="254"/>
      <c r="AC267" s="254"/>
      <c r="AD267" s="254"/>
      <c r="AE267" s="254"/>
      <c r="AF267" s="254"/>
      <c r="AG267" s="254"/>
      <c r="AH267" s="254"/>
      <c r="AI267" s="254"/>
      <c r="AJ267" s="260"/>
      <c r="AK267" s="261"/>
      <c r="AL267" s="261"/>
      <c r="AM267" s="927"/>
      <c r="AN267" s="166"/>
    </row>
    <row r="268" spans="1:40" ht="16.5" thickBot="1" x14ac:dyDescent="0.3">
      <c r="A268" s="320" t="s">
        <v>24</v>
      </c>
      <c r="B268" s="322">
        <v>1</v>
      </c>
      <c r="C268" s="322">
        <v>2</v>
      </c>
      <c r="D268" s="322">
        <v>3</v>
      </c>
      <c r="E268" s="322">
        <v>4</v>
      </c>
      <c r="F268" s="322">
        <v>5</v>
      </c>
      <c r="G268" s="322">
        <v>6</v>
      </c>
      <c r="H268" s="322">
        <v>7</v>
      </c>
      <c r="I268" s="323" t="s">
        <v>6</v>
      </c>
      <c r="J268" s="322">
        <v>8</v>
      </c>
      <c r="K268" s="322">
        <v>9</v>
      </c>
      <c r="L268" s="322">
        <v>10</v>
      </c>
      <c r="M268" s="322">
        <v>11</v>
      </c>
      <c r="N268" s="322">
        <v>12</v>
      </c>
      <c r="O268" s="322">
        <v>13</v>
      </c>
      <c r="P268" s="322">
        <v>14</v>
      </c>
      <c r="Q268" s="323" t="s">
        <v>6</v>
      </c>
      <c r="R268" s="322">
        <v>15</v>
      </c>
      <c r="S268" s="322">
        <v>16</v>
      </c>
      <c r="T268" s="322">
        <v>17</v>
      </c>
      <c r="U268" s="322">
        <v>18</v>
      </c>
      <c r="V268" s="322">
        <v>19</v>
      </c>
      <c r="W268" s="322">
        <v>20</v>
      </c>
      <c r="X268" s="322">
        <v>21</v>
      </c>
      <c r="Y268" s="323" t="s">
        <v>6</v>
      </c>
      <c r="Z268" s="322">
        <v>22</v>
      </c>
      <c r="AA268" s="322">
        <v>23</v>
      </c>
      <c r="AB268" s="322">
        <v>24</v>
      </c>
      <c r="AC268" s="322">
        <v>25</v>
      </c>
      <c r="AD268" s="322">
        <v>26</v>
      </c>
      <c r="AE268" s="322">
        <v>27</v>
      </c>
      <c r="AF268" s="322">
        <v>28</v>
      </c>
      <c r="AG268" s="322">
        <v>29</v>
      </c>
      <c r="AH268" s="322">
        <v>30</v>
      </c>
      <c r="AI268" s="322">
        <v>31</v>
      </c>
      <c r="AJ268" s="324" t="s">
        <v>6</v>
      </c>
      <c r="AK268" s="905" t="s">
        <v>0</v>
      </c>
      <c r="AL268" s="197"/>
      <c r="AM268" s="923" t="s">
        <v>42</v>
      </c>
      <c r="AN268" s="190"/>
    </row>
    <row r="269" spans="1:40" x14ac:dyDescent="0.25">
      <c r="A269" s="64" t="s">
        <v>92</v>
      </c>
      <c r="B269" s="530"/>
      <c r="C269" s="530"/>
      <c r="D269" s="530"/>
      <c r="E269" s="530"/>
      <c r="F269" s="530"/>
      <c r="G269" s="530"/>
      <c r="H269" s="530"/>
      <c r="I269" s="36"/>
      <c r="J269" s="530"/>
      <c r="K269" s="530"/>
      <c r="L269" s="530"/>
      <c r="M269" s="530"/>
      <c r="N269" s="530"/>
      <c r="O269" s="530"/>
      <c r="P269" s="530"/>
      <c r="Q269" s="36"/>
      <c r="R269" s="530"/>
      <c r="S269" s="530"/>
      <c r="T269" s="530"/>
      <c r="U269" s="530"/>
      <c r="V269" s="530"/>
      <c r="W269" s="530"/>
      <c r="X269" s="530"/>
      <c r="Y269" s="36"/>
      <c r="Z269" s="530"/>
      <c r="AA269" s="530"/>
      <c r="AB269" s="530"/>
      <c r="AC269" s="530"/>
      <c r="AD269" s="530"/>
      <c r="AE269" s="530"/>
      <c r="AF269" s="530"/>
      <c r="AG269" s="530"/>
      <c r="AH269" s="530"/>
      <c r="AI269" s="857"/>
      <c r="AJ269" s="36"/>
      <c r="AK269" s="936"/>
      <c r="AL269" s="888"/>
      <c r="AM269" s="2"/>
      <c r="AN269" s="180"/>
    </row>
    <row r="270" spans="1:40" ht="18.75" x14ac:dyDescent="0.3">
      <c r="A270" s="11" t="s">
        <v>94</v>
      </c>
      <c r="B270" s="537"/>
      <c r="C270" s="537"/>
      <c r="D270" s="537"/>
      <c r="E270" s="537"/>
      <c r="F270" s="537"/>
      <c r="G270" s="537"/>
      <c r="H270" s="537"/>
      <c r="I270" s="37"/>
      <c r="J270" s="537"/>
      <c r="K270" s="537"/>
      <c r="L270" s="537"/>
      <c r="M270" s="537"/>
      <c r="N270" s="537"/>
      <c r="O270" s="537"/>
      <c r="P270" s="537"/>
      <c r="Q270" s="37"/>
      <c r="R270" s="537"/>
      <c r="S270" s="530"/>
      <c r="T270" s="530"/>
      <c r="U270" s="537"/>
      <c r="V270" s="537"/>
      <c r="W270" s="537"/>
      <c r="X270" s="537"/>
      <c r="Y270" s="37"/>
      <c r="Z270" s="537"/>
      <c r="AA270" s="537"/>
      <c r="AB270" s="537"/>
      <c r="AC270" s="537"/>
      <c r="AD270" s="537"/>
      <c r="AE270" s="537"/>
      <c r="AF270" s="537"/>
      <c r="AG270" s="537"/>
      <c r="AH270" s="537"/>
      <c r="AI270" s="858"/>
      <c r="AJ270" s="37"/>
      <c r="AK270" s="950"/>
      <c r="AL270" s="888"/>
      <c r="AM270" s="2"/>
      <c r="AN270" s="13"/>
    </row>
    <row r="271" spans="1:40" ht="18.75" x14ac:dyDescent="0.3">
      <c r="A271" s="11" t="s">
        <v>95</v>
      </c>
      <c r="B271" s="537"/>
      <c r="C271" s="537"/>
      <c r="D271" s="537"/>
      <c r="E271" s="537"/>
      <c r="F271" s="537"/>
      <c r="G271" s="537"/>
      <c r="H271" s="537"/>
      <c r="I271" s="37"/>
      <c r="J271" s="537"/>
      <c r="K271" s="537"/>
      <c r="L271" s="537"/>
      <c r="M271" s="537"/>
      <c r="N271" s="537"/>
      <c r="O271" s="537"/>
      <c r="P271" s="537"/>
      <c r="Q271" s="37"/>
      <c r="R271" s="537"/>
      <c r="S271" s="537"/>
      <c r="T271" s="537"/>
      <c r="U271" s="537"/>
      <c r="V271" s="530"/>
      <c r="W271" s="537"/>
      <c r="X271" s="537"/>
      <c r="Y271" s="37"/>
      <c r="Z271" s="537"/>
      <c r="AA271" s="537"/>
      <c r="AB271" s="537"/>
      <c r="AC271" s="537"/>
      <c r="AD271" s="537"/>
      <c r="AE271" s="537"/>
      <c r="AF271" s="537"/>
      <c r="AG271" s="537"/>
      <c r="AH271" s="537"/>
      <c r="AI271" s="858"/>
      <c r="AJ271" s="37"/>
      <c r="AK271" s="950"/>
      <c r="AL271" s="888"/>
      <c r="AM271" s="2"/>
    </row>
    <row r="272" spans="1:40" ht="18.75" x14ac:dyDescent="0.3">
      <c r="A272" s="11" t="s">
        <v>96</v>
      </c>
      <c r="B272" s="537"/>
      <c r="C272" s="537"/>
      <c r="D272" s="537"/>
      <c r="E272" s="537"/>
      <c r="F272" s="537"/>
      <c r="G272" s="537"/>
      <c r="H272" s="537"/>
      <c r="I272" s="37"/>
      <c r="J272" s="537"/>
      <c r="K272" s="537"/>
      <c r="L272" s="537"/>
      <c r="M272" s="537"/>
      <c r="N272" s="537"/>
      <c r="O272" s="537"/>
      <c r="P272" s="537"/>
      <c r="Q272" s="37"/>
      <c r="R272" s="537"/>
      <c r="S272" s="537"/>
      <c r="T272" s="537"/>
      <c r="U272" s="537"/>
      <c r="V272" s="537"/>
      <c r="W272" s="537"/>
      <c r="X272" s="537"/>
      <c r="Y272" s="37"/>
      <c r="Z272" s="537"/>
      <c r="AA272" s="537"/>
      <c r="AB272" s="537"/>
      <c r="AC272" s="537"/>
      <c r="AD272" s="537"/>
      <c r="AE272" s="537"/>
      <c r="AF272" s="537"/>
      <c r="AG272" s="537"/>
      <c r="AH272" s="537"/>
      <c r="AI272" s="858"/>
      <c r="AJ272" s="37"/>
      <c r="AK272" s="950"/>
      <c r="AL272" s="888"/>
      <c r="AM272" s="2"/>
    </row>
    <row r="273" spans="1:39" x14ac:dyDescent="0.25">
      <c r="A273" s="11" t="s">
        <v>97</v>
      </c>
      <c r="B273" s="530"/>
      <c r="C273" s="530"/>
      <c r="D273" s="530"/>
      <c r="E273" s="530"/>
      <c r="F273" s="530"/>
      <c r="G273" s="530"/>
      <c r="H273" s="530"/>
      <c r="I273" s="37"/>
      <c r="J273" s="530"/>
      <c r="K273" s="530"/>
      <c r="L273" s="530"/>
      <c r="M273" s="530"/>
      <c r="N273" s="530"/>
      <c r="O273" s="530"/>
      <c r="P273" s="530"/>
      <c r="Q273" s="37"/>
      <c r="R273" s="530"/>
      <c r="S273" s="530"/>
      <c r="T273" s="530"/>
      <c r="U273" s="530"/>
      <c r="V273" s="530"/>
      <c r="W273" s="530"/>
      <c r="X273" s="530"/>
      <c r="Y273" s="37"/>
      <c r="Z273" s="530"/>
      <c r="AA273" s="530"/>
      <c r="AB273" s="530"/>
      <c r="AC273" s="530"/>
      <c r="AD273" s="530"/>
      <c r="AE273" s="530"/>
      <c r="AF273" s="530"/>
      <c r="AG273" s="530"/>
      <c r="AH273" s="530"/>
      <c r="AI273" s="857"/>
      <c r="AJ273" s="37"/>
      <c r="AK273" s="936"/>
      <c r="AL273" s="888"/>
      <c r="AM273" s="2"/>
    </row>
    <row r="274" spans="1:39" ht="15.75" thickBot="1" x14ac:dyDescent="0.3">
      <c r="A274" s="11" t="s">
        <v>93</v>
      </c>
      <c r="B274" s="576"/>
      <c r="C274" s="576"/>
      <c r="D274" s="576"/>
      <c r="E274" s="576"/>
      <c r="F274" s="576"/>
      <c r="G274" s="576"/>
      <c r="H274" s="576"/>
      <c r="I274" s="43"/>
      <c r="J274" s="576"/>
      <c r="K274" s="576"/>
      <c r="L274" s="576"/>
      <c r="M274" s="576"/>
      <c r="N274" s="576"/>
      <c r="O274" s="576"/>
      <c r="P274" s="576"/>
      <c r="Q274" s="43"/>
      <c r="R274" s="576"/>
      <c r="S274" s="576"/>
      <c r="T274" s="576"/>
      <c r="U274" s="576"/>
      <c r="V274" s="576"/>
      <c r="W274" s="576"/>
      <c r="X274" s="576"/>
      <c r="Y274" s="43"/>
      <c r="Z274" s="576"/>
      <c r="AA274" s="576"/>
      <c r="AB274" s="576"/>
      <c r="AC274" s="576"/>
      <c r="AD274" s="576"/>
      <c r="AE274" s="576"/>
      <c r="AF274" s="576"/>
      <c r="AG274" s="576"/>
      <c r="AH274" s="576"/>
      <c r="AI274" s="859"/>
      <c r="AJ274" s="43"/>
      <c r="AK274" s="938"/>
      <c r="AL274" s="911"/>
      <c r="AM274" s="2"/>
    </row>
    <row r="275" spans="1:39" ht="16.5" thickBot="1" x14ac:dyDescent="0.3">
      <c r="A275" s="11" t="s">
        <v>60</v>
      </c>
      <c r="B275" s="687"/>
      <c r="C275" s="687"/>
      <c r="D275" s="687"/>
      <c r="E275" s="687"/>
      <c r="F275" s="687"/>
      <c r="G275" s="687"/>
      <c r="H275" s="687"/>
      <c r="I275" s="375"/>
      <c r="J275" s="687"/>
      <c r="K275" s="687"/>
      <c r="L275" s="687"/>
      <c r="M275" s="687"/>
      <c r="N275" s="687"/>
      <c r="O275" s="687"/>
      <c r="P275" s="687"/>
      <c r="Q275" s="375"/>
      <c r="R275" s="687"/>
      <c r="S275" s="687"/>
      <c r="T275" s="687"/>
      <c r="U275" s="687"/>
      <c r="V275" s="687"/>
      <c r="W275" s="687"/>
      <c r="X275" s="687"/>
      <c r="Y275" s="278"/>
      <c r="Z275" s="687"/>
      <c r="AA275" s="687"/>
      <c r="AB275" s="687"/>
      <c r="AC275" s="687"/>
      <c r="AD275" s="687"/>
      <c r="AE275" s="687"/>
      <c r="AF275" s="687"/>
      <c r="AG275" s="687"/>
      <c r="AH275" s="687"/>
      <c r="AI275" s="860"/>
      <c r="AJ275" s="278"/>
      <c r="AK275" s="951"/>
      <c r="AL275" s="918"/>
      <c r="AM275" s="2"/>
    </row>
    <row r="276" spans="1:39" ht="19.5" thickBot="1" x14ac:dyDescent="0.35">
      <c r="A276" s="280" t="s">
        <v>2</v>
      </c>
      <c r="B276" s="277"/>
      <c r="C276" s="277"/>
      <c r="D276" s="277"/>
      <c r="E276" s="277"/>
      <c r="F276" s="277"/>
      <c r="G276" s="277"/>
      <c r="H276" s="277"/>
      <c r="I276" s="375"/>
      <c r="J276" s="277"/>
      <c r="K276" s="277"/>
      <c r="L276" s="277"/>
      <c r="M276" s="277"/>
      <c r="N276" s="277"/>
      <c r="O276" s="277"/>
      <c r="P276" s="277"/>
      <c r="Q276" s="375"/>
      <c r="R276" s="277"/>
      <c r="S276" s="277"/>
      <c r="T276" s="277"/>
      <c r="U276" s="277"/>
      <c r="V276" s="277"/>
      <c r="W276" s="277"/>
      <c r="X276" s="277"/>
      <c r="Y276" s="375"/>
      <c r="Z276" s="277"/>
      <c r="AA276" s="277"/>
      <c r="AB276" s="277"/>
      <c r="AC276" s="277"/>
      <c r="AD276" s="277"/>
      <c r="AE276" s="277"/>
      <c r="AF276" s="277"/>
      <c r="AG276" s="277"/>
      <c r="AH276" s="277"/>
      <c r="AI276" s="423"/>
      <c r="AJ276" s="278"/>
      <c r="AK276" s="279"/>
      <c r="AL276" s="279"/>
      <c r="AM276" s="105"/>
    </row>
    <row r="277" spans="1:39" ht="27" thickBot="1" x14ac:dyDescent="0.45">
      <c r="A277" s="311" t="s">
        <v>167</v>
      </c>
      <c r="B277" s="219"/>
      <c r="C277" s="219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  <c r="AA277" s="219"/>
      <c r="AB277" s="219"/>
      <c r="AC277" s="219"/>
      <c r="AD277" s="219"/>
      <c r="AE277" s="219"/>
      <c r="AF277" s="219"/>
      <c r="AG277" s="219"/>
      <c r="AH277" s="219"/>
      <c r="AI277" s="219"/>
      <c r="AJ277" s="219"/>
      <c r="AK277" s="219"/>
      <c r="AL277" s="908"/>
      <c r="AM277" s="920"/>
    </row>
    <row r="278" spans="1:39" ht="16.5" thickBot="1" x14ac:dyDescent="0.3">
      <c r="A278" s="319" t="s">
        <v>8</v>
      </c>
      <c r="B278" s="322">
        <v>1</v>
      </c>
      <c r="C278" s="322">
        <v>2</v>
      </c>
      <c r="D278" s="322">
        <v>3</v>
      </c>
      <c r="E278" s="322">
        <v>4</v>
      </c>
      <c r="F278" s="322">
        <v>5</v>
      </c>
      <c r="G278" s="322">
        <v>6</v>
      </c>
      <c r="H278" s="322">
        <v>7</v>
      </c>
      <c r="I278" s="323" t="s">
        <v>6</v>
      </c>
      <c r="J278" s="322">
        <v>8</v>
      </c>
      <c r="K278" s="322">
        <v>9</v>
      </c>
      <c r="L278" s="322">
        <v>10</v>
      </c>
      <c r="M278" s="322">
        <v>11</v>
      </c>
      <c r="N278" s="322">
        <v>12</v>
      </c>
      <c r="O278" s="322">
        <v>13</v>
      </c>
      <c r="P278" s="322">
        <v>14</v>
      </c>
      <c r="Q278" s="323" t="s">
        <v>6</v>
      </c>
      <c r="R278" s="322">
        <v>15</v>
      </c>
      <c r="S278" s="322">
        <v>16</v>
      </c>
      <c r="T278" s="322">
        <v>17</v>
      </c>
      <c r="U278" s="322">
        <v>18</v>
      </c>
      <c r="V278" s="322">
        <v>19</v>
      </c>
      <c r="W278" s="322">
        <v>20</v>
      </c>
      <c r="X278" s="322">
        <v>21</v>
      </c>
      <c r="Y278" s="323" t="s">
        <v>6</v>
      </c>
      <c r="Z278" s="322">
        <v>22</v>
      </c>
      <c r="AA278" s="322">
        <v>23</v>
      </c>
      <c r="AB278" s="322">
        <v>24</v>
      </c>
      <c r="AC278" s="322">
        <v>25</v>
      </c>
      <c r="AD278" s="322">
        <v>26</v>
      </c>
      <c r="AE278" s="322">
        <v>27</v>
      </c>
      <c r="AF278" s="322">
        <v>28</v>
      </c>
      <c r="AG278" s="322">
        <v>29</v>
      </c>
      <c r="AH278" s="322">
        <v>30</v>
      </c>
      <c r="AI278" s="322">
        <v>31</v>
      </c>
      <c r="AJ278" s="324" t="s">
        <v>6</v>
      </c>
      <c r="AK278" s="905" t="s">
        <v>0</v>
      </c>
      <c r="AL278" s="909"/>
      <c r="AM278" s="914" t="s">
        <v>42</v>
      </c>
    </row>
    <row r="279" spans="1:39" x14ac:dyDescent="0.25">
      <c r="A279" s="61" t="s">
        <v>25</v>
      </c>
      <c r="B279" s="303">
        <v>9895.89</v>
      </c>
      <c r="C279" s="303">
        <v>9964.69</v>
      </c>
      <c r="D279" s="303">
        <v>12307.57</v>
      </c>
      <c r="E279" s="303">
        <v>12254.61</v>
      </c>
      <c r="F279" s="303">
        <v>11498.34</v>
      </c>
      <c r="G279" s="303">
        <v>13113.87</v>
      </c>
      <c r="H279" s="313">
        <v>11218.15</v>
      </c>
      <c r="I279" s="304"/>
      <c r="J279" s="303">
        <v>9399.98</v>
      </c>
      <c r="K279" s="303">
        <v>9968.2199999999993</v>
      </c>
      <c r="L279" s="303">
        <v>12174.8</v>
      </c>
      <c r="M279" s="303">
        <v>11162.21</v>
      </c>
      <c r="N279" s="303">
        <v>10601.86</v>
      </c>
      <c r="O279" s="303">
        <v>10912.59</v>
      </c>
      <c r="P279" s="303">
        <v>12360.61</v>
      </c>
      <c r="Q279" s="305"/>
      <c r="R279" s="303">
        <v>10272.450000000001</v>
      </c>
      <c r="S279" s="303">
        <v>9894.73</v>
      </c>
      <c r="T279" s="303">
        <v>11561.29</v>
      </c>
      <c r="U279" s="303">
        <v>10410.120000000001</v>
      </c>
      <c r="V279" s="303">
        <v>12458.33</v>
      </c>
      <c r="W279" s="303">
        <v>11463.59</v>
      </c>
      <c r="X279" s="303">
        <v>13208.32</v>
      </c>
      <c r="Y279" s="305"/>
      <c r="Z279" s="303">
        <v>12417.02</v>
      </c>
      <c r="AA279" s="303">
        <v>11331.55</v>
      </c>
      <c r="AB279" s="303">
        <v>11398.18</v>
      </c>
      <c r="AC279" s="303">
        <v>11498.11</v>
      </c>
      <c r="AD279" s="303">
        <v>13013.03</v>
      </c>
      <c r="AE279" s="303">
        <v>11538.36</v>
      </c>
      <c r="AF279" s="303">
        <v>11894.62</v>
      </c>
      <c r="AG279" s="303">
        <v>10027.870000000001</v>
      </c>
      <c r="AH279" s="303">
        <v>12099.92</v>
      </c>
      <c r="AI279" s="303"/>
      <c r="AJ279" s="305"/>
      <c r="AK279" s="314"/>
      <c r="AL279" s="910"/>
      <c r="AM279" s="915"/>
    </row>
    <row r="280" spans="1:39" ht="15" customHeight="1" x14ac:dyDescent="0.25">
      <c r="A280" s="11" t="s">
        <v>36</v>
      </c>
      <c r="B280" s="1">
        <v>6662.4</v>
      </c>
      <c r="C280" s="1">
        <v>6181.46</v>
      </c>
      <c r="D280" s="1">
        <v>5449.1</v>
      </c>
      <c r="E280" s="1">
        <v>5917.58</v>
      </c>
      <c r="F280" s="1">
        <v>5481.75</v>
      </c>
      <c r="G280" s="118">
        <v>5209.42</v>
      </c>
      <c r="H280" s="173">
        <v>6470.01</v>
      </c>
      <c r="I280" s="36"/>
      <c r="J280" s="173">
        <v>4919.99</v>
      </c>
      <c r="K280" s="1">
        <v>6025.86</v>
      </c>
      <c r="L280" s="1">
        <v>5631.71</v>
      </c>
      <c r="M280" s="1">
        <v>6898.52</v>
      </c>
      <c r="N280" s="1">
        <v>5969.85</v>
      </c>
      <c r="O280" s="1">
        <v>5632.86</v>
      </c>
      <c r="P280" s="1">
        <v>6170.18</v>
      </c>
      <c r="Q280" s="37"/>
      <c r="R280" s="1">
        <v>6556.14</v>
      </c>
      <c r="S280" s="1">
        <v>6351.87</v>
      </c>
      <c r="T280" s="1">
        <v>6159.44</v>
      </c>
      <c r="U280" s="1">
        <v>5595.52</v>
      </c>
      <c r="V280" s="1">
        <v>6263.54</v>
      </c>
      <c r="W280" s="1">
        <v>5953.98</v>
      </c>
      <c r="X280" s="1">
        <v>5971.14</v>
      </c>
      <c r="Y280" s="37"/>
      <c r="Z280" s="1">
        <v>6694.38</v>
      </c>
      <c r="AA280" s="1">
        <v>6869.59</v>
      </c>
      <c r="AB280" s="1">
        <v>5926.68</v>
      </c>
      <c r="AC280" s="1">
        <v>5421.42</v>
      </c>
      <c r="AD280" s="1">
        <v>6222.84</v>
      </c>
      <c r="AE280" s="1">
        <v>5964.21</v>
      </c>
      <c r="AF280" s="118">
        <v>6111.9</v>
      </c>
      <c r="AG280" s="1">
        <v>5306.48</v>
      </c>
      <c r="AH280" s="1">
        <v>5897.44</v>
      </c>
      <c r="AI280" s="1"/>
      <c r="AJ280" s="37"/>
      <c r="AK280" s="236">
        <v>5306.48</v>
      </c>
      <c r="AL280" s="888"/>
      <c r="AM280" s="915"/>
    </row>
    <row r="281" spans="1:39" ht="15" customHeight="1" x14ac:dyDescent="0.25">
      <c r="A281" s="11" t="s">
        <v>46</v>
      </c>
      <c r="B281" s="531">
        <v>0</v>
      </c>
      <c r="C281" s="531">
        <v>0</v>
      </c>
      <c r="D281" s="531">
        <v>0</v>
      </c>
      <c r="E281" s="531">
        <v>0</v>
      </c>
      <c r="F281" s="531">
        <v>0</v>
      </c>
      <c r="G281" s="531">
        <v>0</v>
      </c>
      <c r="H281" s="963">
        <v>0</v>
      </c>
      <c r="I281" s="36"/>
      <c r="J281" s="531">
        <v>0</v>
      </c>
      <c r="K281" s="531">
        <v>0</v>
      </c>
      <c r="L281" s="531">
        <v>0</v>
      </c>
      <c r="M281" s="531">
        <v>0</v>
      </c>
      <c r="N281" s="531">
        <v>0</v>
      </c>
      <c r="O281" s="531">
        <v>0</v>
      </c>
      <c r="P281" s="531">
        <v>0</v>
      </c>
      <c r="Q281" s="37"/>
      <c r="R281" s="531">
        <v>0</v>
      </c>
      <c r="S281" s="531">
        <v>0</v>
      </c>
      <c r="T281" s="531">
        <v>0</v>
      </c>
      <c r="U281" s="531">
        <v>0</v>
      </c>
      <c r="V281" s="531">
        <v>0</v>
      </c>
      <c r="W281" s="531">
        <v>0</v>
      </c>
      <c r="X281" s="531">
        <v>0</v>
      </c>
      <c r="Y281" s="37"/>
      <c r="Z281" s="531">
        <v>0</v>
      </c>
      <c r="AA281" s="531">
        <v>0</v>
      </c>
      <c r="AB281" s="531">
        <v>0</v>
      </c>
      <c r="AC281" s="531">
        <v>0</v>
      </c>
      <c r="AD281" s="531">
        <v>0</v>
      </c>
      <c r="AE281" s="531">
        <v>0</v>
      </c>
      <c r="AF281" s="531">
        <v>0</v>
      </c>
      <c r="AG281" s="531">
        <v>0</v>
      </c>
      <c r="AH281" s="531">
        <v>0</v>
      </c>
      <c r="AI281" s="1"/>
      <c r="AJ281" s="37"/>
      <c r="AK281" s="237"/>
      <c r="AL281" s="888"/>
      <c r="AM281" s="915"/>
    </row>
    <row r="282" spans="1:39" ht="15" customHeight="1" x14ac:dyDescent="0.3">
      <c r="A282" s="11" t="s">
        <v>47</v>
      </c>
      <c r="B282" s="531">
        <v>0</v>
      </c>
      <c r="C282" s="531">
        <v>0</v>
      </c>
      <c r="D282" s="531">
        <v>0</v>
      </c>
      <c r="E282" s="531">
        <v>0</v>
      </c>
      <c r="F282" s="531">
        <v>0</v>
      </c>
      <c r="G282" s="531">
        <v>0</v>
      </c>
      <c r="H282" s="963">
        <v>0</v>
      </c>
      <c r="I282" s="36"/>
      <c r="J282" s="531">
        <v>0</v>
      </c>
      <c r="K282" s="531">
        <v>0</v>
      </c>
      <c r="L282" s="531">
        <v>0</v>
      </c>
      <c r="M282" s="531">
        <v>0</v>
      </c>
      <c r="N282" s="531">
        <v>0</v>
      </c>
      <c r="O282" s="531">
        <v>0</v>
      </c>
      <c r="P282" s="531">
        <v>0</v>
      </c>
      <c r="Q282" s="37"/>
      <c r="R282" s="531">
        <v>0</v>
      </c>
      <c r="S282" s="531">
        <v>0</v>
      </c>
      <c r="T282" s="531">
        <v>0</v>
      </c>
      <c r="U282" s="531">
        <v>0</v>
      </c>
      <c r="V282" s="531">
        <v>0</v>
      </c>
      <c r="W282" s="531">
        <v>0</v>
      </c>
      <c r="X282" s="531">
        <v>0</v>
      </c>
      <c r="Y282" s="37"/>
      <c r="Z282" s="531">
        <v>0</v>
      </c>
      <c r="AA282" s="531">
        <v>0</v>
      </c>
      <c r="AB282" s="531">
        <v>0</v>
      </c>
      <c r="AC282" s="531">
        <v>0</v>
      </c>
      <c r="AD282" s="531">
        <v>0</v>
      </c>
      <c r="AE282" s="531">
        <v>0</v>
      </c>
      <c r="AF282" s="531">
        <v>0</v>
      </c>
      <c r="AG282" s="531">
        <v>0</v>
      </c>
      <c r="AH282" s="531">
        <v>0</v>
      </c>
      <c r="AI282" s="1"/>
      <c r="AJ282" s="37"/>
      <c r="AK282" s="238"/>
      <c r="AL282" s="888"/>
      <c r="AM282" s="915"/>
    </row>
    <row r="283" spans="1:39" ht="15" customHeight="1" x14ac:dyDescent="0.3">
      <c r="A283" s="11" t="s">
        <v>48</v>
      </c>
      <c r="B283" s="1">
        <v>0</v>
      </c>
      <c r="C283" s="1">
        <v>24.74</v>
      </c>
      <c r="D283" s="1">
        <v>69.34</v>
      </c>
      <c r="E283" s="1">
        <v>26.43</v>
      </c>
      <c r="F283" s="1">
        <v>52.35</v>
      </c>
      <c r="G283" s="1">
        <v>0</v>
      </c>
      <c r="H283" s="173">
        <v>28.07</v>
      </c>
      <c r="I283" s="36"/>
      <c r="J283" s="1">
        <v>61</v>
      </c>
      <c r="K283" s="1">
        <v>0</v>
      </c>
      <c r="L283" s="1">
        <v>67.819999999999993</v>
      </c>
      <c r="M283" s="1">
        <v>40</v>
      </c>
      <c r="N283" s="1">
        <v>49.13</v>
      </c>
      <c r="O283" s="1">
        <v>52.93</v>
      </c>
      <c r="P283" s="118">
        <v>37.92</v>
      </c>
      <c r="Q283" s="37"/>
      <c r="R283" s="1">
        <v>64.39</v>
      </c>
      <c r="S283" s="1">
        <v>43.47</v>
      </c>
      <c r="T283" s="1">
        <v>7.96</v>
      </c>
      <c r="U283" s="1">
        <v>73.209999999999994</v>
      </c>
      <c r="V283" s="1">
        <v>67.569999999999993</v>
      </c>
      <c r="W283" s="1">
        <v>40</v>
      </c>
      <c r="X283" s="1">
        <v>39.53</v>
      </c>
      <c r="Y283" s="37"/>
      <c r="Z283" s="1">
        <v>24.3</v>
      </c>
      <c r="AA283" s="1">
        <v>80</v>
      </c>
      <c r="AB283" s="1">
        <v>55.27</v>
      </c>
      <c r="AC283" s="1">
        <v>28.31</v>
      </c>
      <c r="AD283" s="1">
        <v>29.56</v>
      </c>
      <c r="AE283" s="1">
        <v>0</v>
      </c>
      <c r="AF283" s="1">
        <v>0</v>
      </c>
      <c r="AG283" s="1">
        <v>63.35</v>
      </c>
      <c r="AH283" s="1">
        <v>40</v>
      </c>
      <c r="AI283" s="1"/>
      <c r="AJ283" s="37"/>
      <c r="AK283" s="238"/>
      <c r="AL283" s="888"/>
      <c r="AM283" s="915"/>
    </row>
    <row r="284" spans="1:39" ht="15" customHeight="1" x14ac:dyDescent="0.3">
      <c r="A284" s="11" t="s">
        <v>37</v>
      </c>
      <c r="B284" s="1">
        <v>229.78</v>
      </c>
      <c r="C284" s="1">
        <v>215.91</v>
      </c>
      <c r="D284" s="1">
        <v>247.83</v>
      </c>
      <c r="E284" s="1">
        <v>72.36</v>
      </c>
      <c r="F284" s="118">
        <v>133.55000000000001</v>
      </c>
      <c r="G284" s="1">
        <v>64.34</v>
      </c>
      <c r="H284" s="173">
        <v>177.49</v>
      </c>
      <c r="I284" s="36"/>
      <c r="J284" s="1">
        <v>129.97999999999999</v>
      </c>
      <c r="K284" s="1">
        <v>291.83999999999997</v>
      </c>
      <c r="L284" s="1">
        <v>154.65</v>
      </c>
      <c r="M284" s="1">
        <v>314.66000000000003</v>
      </c>
      <c r="N284" s="1">
        <v>140.57</v>
      </c>
      <c r="O284" s="1">
        <v>105.24</v>
      </c>
      <c r="P284" s="118">
        <v>306.2</v>
      </c>
      <c r="Q284" s="37"/>
      <c r="R284" s="1">
        <v>276.87</v>
      </c>
      <c r="S284" s="1">
        <v>195.54</v>
      </c>
      <c r="T284" s="1">
        <v>206.23</v>
      </c>
      <c r="U284" s="1">
        <v>106.33</v>
      </c>
      <c r="V284" s="1">
        <v>266.66000000000003</v>
      </c>
      <c r="W284" s="1">
        <v>136.72999999999999</v>
      </c>
      <c r="X284" s="1">
        <v>108.75</v>
      </c>
      <c r="Y284" s="37"/>
      <c r="Z284" s="1">
        <v>131.35</v>
      </c>
      <c r="AA284" s="1">
        <v>224.12</v>
      </c>
      <c r="AB284" s="1">
        <v>80</v>
      </c>
      <c r="AC284" s="1">
        <v>285.63</v>
      </c>
      <c r="AD284" s="1">
        <v>289.74</v>
      </c>
      <c r="AE284" s="1">
        <v>199.75</v>
      </c>
      <c r="AF284" s="1">
        <v>96.89</v>
      </c>
      <c r="AG284" s="1">
        <v>181.23</v>
      </c>
      <c r="AH284" s="1">
        <v>297.39999999999998</v>
      </c>
      <c r="AI284" s="1"/>
      <c r="AJ284" s="37"/>
      <c r="AK284" s="238"/>
      <c r="AL284" s="888"/>
      <c r="AM284" s="915"/>
    </row>
    <row r="285" spans="1:39" ht="15" customHeight="1" x14ac:dyDescent="0.25">
      <c r="A285" s="11" t="s">
        <v>26</v>
      </c>
      <c r="B285" s="1">
        <v>143.74</v>
      </c>
      <c r="C285" s="1">
        <v>141.94999999999999</v>
      </c>
      <c r="D285" s="1">
        <v>94.74</v>
      </c>
      <c r="E285" s="1">
        <v>147.69</v>
      </c>
      <c r="F285" s="1">
        <v>132.9</v>
      </c>
      <c r="G285" s="118">
        <v>134.41999999999999</v>
      </c>
      <c r="H285" s="173">
        <v>144.97999999999999</v>
      </c>
      <c r="I285" s="36"/>
      <c r="J285" s="1">
        <v>116.4</v>
      </c>
      <c r="K285" s="1">
        <v>133.5</v>
      </c>
      <c r="L285" s="1">
        <v>135.32</v>
      </c>
      <c r="M285" s="1">
        <v>143.27000000000001</v>
      </c>
      <c r="N285" s="1">
        <v>150</v>
      </c>
      <c r="O285" s="1">
        <v>147.93</v>
      </c>
      <c r="P285" s="1">
        <v>134.44999999999999</v>
      </c>
      <c r="Q285" s="37"/>
      <c r="R285" s="1">
        <v>138.02000000000001</v>
      </c>
      <c r="S285" s="1">
        <v>149.61000000000001</v>
      </c>
      <c r="T285" s="1">
        <v>134.6</v>
      </c>
      <c r="U285" s="1">
        <v>136.82</v>
      </c>
      <c r="V285" s="1">
        <v>144.07</v>
      </c>
      <c r="W285" s="1">
        <v>150</v>
      </c>
      <c r="X285" s="1">
        <v>149.85</v>
      </c>
      <c r="Y285" s="37"/>
      <c r="Z285" s="1">
        <v>141.5</v>
      </c>
      <c r="AA285" s="1">
        <v>144.74</v>
      </c>
      <c r="AB285" s="1">
        <v>149.71</v>
      </c>
      <c r="AC285" s="1">
        <v>150</v>
      </c>
      <c r="AD285" s="1">
        <v>181.23</v>
      </c>
      <c r="AE285" s="1">
        <v>135.52000000000001</v>
      </c>
      <c r="AF285" s="1">
        <v>150</v>
      </c>
      <c r="AG285" s="1">
        <v>143.65</v>
      </c>
      <c r="AH285" s="1">
        <v>128.79</v>
      </c>
      <c r="AI285" s="1"/>
      <c r="AJ285" s="37"/>
      <c r="AK285" s="236">
        <v>124725.41</v>
      </c>
      <c r="AL285" s="888"/>
      <c r="AM285" s="915"/>
    </row>
    <row r="286" spans="1:39" ht="14.25" customHeight="1" x14ac:dyDescent="0.25">
      <c r="A286" s="11" t="s">
        <v>27</v>
      </c>
      <c r="B286" s="1">
        <v>119.87</v>
      </c>
      <c r="C286" s="1">
        <v>113.71</v>
      </c>
      <c r="D286" s="1">
        <v>104.38</v>
      </c>
      <c r="E286" s="1">
        <v>120</v>
      </c>
      <c r="F286" s="1">
        <v>120</v>
      </c>
      <c r="G286" s="1">
        <v>120</v>
      </c>
      <c r="H286" s="173">
        <v>120</v>
      </c>
      <c r="I286" s="36"/>
      <c r="J286" s="1">
        <v>119.8</v>
      </c>
      <c r="K286" s="1">
        <v>116.99</v>
      </c>
      <c r="L286" s="1">
        <v>119.94</v>
      </c>
      <c r="M286" s="1">
        <v>117.77</v>
      </c>
      <c r="N286" s="1">
        <v>114.96</v>
      </c>
      <c r="O286" s="1">
        <v>110.05</v>
      </c>
      <c r="P286" s="1">
        <v>108.78</v>
      </c>
      <c r="Q286" s="37"/>
      <c r="R286" s="118">
        <v>99.62</v>
      </c>
      <c r="S286" s="1">
        <v>100.23</v>
      </c>
      <c r="T286" s="118">
        <v>108.91</v>
      </c>
      <c r="U286" s="1">
        <v>119.13</v>
      </c>
      <c r="V286" s="1">
        <v>119.55</v>
      </c>
      <c r="W286" s="1">
        <v>120</v>
      </c>
      <c r="X286" s="1">
        <v>114.32</v>
      </c>
      <c r="Y286" s="37"/>
      <c r="Z286" s="1">
        <v>111.77</v>
      </c>
      <c r="AA286" s="1">
        <v>112.88</v>
      </c>
      <c r="AB286" s="1">
        <v>108.42</v>
      </c>
      <c r="AC286" s="1">
        <v>106.59</v>
      </c>
      <c r="AD286" s="1">
        <v>88.09</v>
      </c>
      <c r="AE286" s="118">
        <v>117.44</v>
      </c>
      <c r="AF286" s="1">
        <v>108.78</v>
      </c>
      <c r="AG286" s="1">
        <v>104.39</v>
      </c>
      <c r="AH286" s="1">
        <v>104.62</v>
      </c>
      <c r="AI286" s="1"/>
      <c r="AJ286" s="37"/>
      <c r="AK286" s="236">
        <v>121370.16</v>
      </c>
      <c r="AL286" s="888"/>
      <c r="AM286" s="915"/>
    </row>
    <row r="287" spans="1:39" ht="15.75" x14ac:dyDescent="0.25">
      <c r="A287" s="62" t="s">
        <v>89</v>
      </c>
      <c r="B287" s="596">
        <v>0</v>
      </c>
      <c r="C287" s="596">
        <v>0</v>
      </c>
      <c r="D287" s="596">
        <v>0</v>
      </c>
      <c r="E287" s="596">
        <v>0</v>
      </c>
      <c r="F287" s="596">
        <v>0</v>
      </c>
      <c r="G287" s="596">
        <v>0</v>
      </c>
      <c r="H287" s="964">
        <v>0</v>
      </c>
      <c r="I287" s="126"/>
      <c r="J287" s="596">
        <v>0</v>
      </c>
      <c r="K287" s="596">
        <v>0</v>
      </c>
      <c r="L287" s="596">
        <v>0</v>
      </c>
      <c r="M287" s="596">
        <v>0</v>
      </c>
      <c r="N287" s="596">
        <v>19.82</v>
      </c>
      <c r="O287" s="596">
        <v>0</v>
      </c>
      <c r="P287" s="596">
        <v>0</v>
      </c>
      <c r="Q287" s="43"/>
      <c r="R287" s="531">
        <v>0</v>
      </c>
      <c r="S287" s="531">
        <v>0</v>
      </c>
      <c r="T287" s="531">
        <v>0</v>
      </c>
      <c r="U287" s="531">
        <v>0</v>
      </c>
      <c r="V287" s="531">
        <v>0</v>
      </c>
      <c r="W287" s="531">
        <v>0</v>
      </c>
      <c r="X287" s="531">
        <v>0</v>
      </c>
      <c r="Y287" s="43"/>
      <c r="Z287" s="531">
        <v>0</v>
      </c>
      <c r="AA287" s="531">
        <v>0</v>
      </c>
      <c r="AB287" s="567">
        <v>51.41</v>
      </c>
      <c r="AC287" s="531">
        <v>0</v>
      </c>
      <c r="AD287" s="531">
        <v>0</v>
      </c>
      <c r="AE287" s="531">
        <v>0</v>
      </c>
      <c r="AF287" s="531">
        <v>0</v>
      </c>
      <c r="AG287" s="531">
        <v>0</v>
      </c>
      <c r="AH287" s="531">
        <v>0</v>
      </c>
      <c r="AI287" s="123"/>
      <c r="AJ287" s="43"/>
      <c r="AK287" s="749">
        <v>125538.43</v>
      </c>
      <c r="AL287" s="911"/>
      <c r="AM287" s="915"/>
    </row>
    <row r="288" spans="1:39" ht="16.5" thickBot="1" x14ac:dyDescent="0.3">
      <c r="A288" s="62" t="s">
        <v>28</v>
      </c>
      <c r="B288" s="123">
        <v>0</v>
      </c>
      <c r="C288" s="123">
        <v>0</v>
      </c>
      <c r="D288" s="123">
        <v>0</v>
      </c>
      <c r="E288" s="123">
        <v>0</v>
      </c>
      <c r="F288" s="123">
        <v>0</v>
      </c>
      <c r="G288" s="123">
        <v>0</v>
      </c>
      <c r="H288" s="213">
        <v>0</v>
      </c>
      <c r="I288" s="126"/>
      <c r="J288" s="123">
        <v>0</v>
      </c>
      <c r="K288" s="123">
        <v>0</v>
      </c>
      <c r="L288" s="123">
        <v>0</v>
      </c>
      <c r="M288" s="123">
        <v>0</v>
      </c>
      <c r="N288" s="123">
        <v>0</v>
      </c>
      <c r="O288" s="123">
        <v>0</v>
      </c>
      <c r="P288" s="123">
        <v>0</v>
      </c>
      <c r="Q288" s="43"/>
      <c r="R288" s="531">
        <v>0</v>
      </c>
      <c r="S288" s="531">
        <v>0</v>
      </c>
      <c r="T288" s="531">
        <v>0</v>
      </c>
      <c r="U288" s="531">
        <v>0</v>
      </c>
      <c r="V288" s="531">
        <v>0</v>
      </c>
      <c r="W288" s="531">
        <v>0</v>
      </c>
      <c r="X288" s="531">
        <v>0</v>
      </c>
      <c r="Y288" s="43"/>
      <c r="Z288" s="531">
        <v>0</v>
      </c>
      <c r="AA288" s="531">
        <v>0</v>
      </c>
      <c r="AB288" s="531">
        <v>0</v>
      </c>
      <c r="AC288" s="531">
        <v>0</v>
      </c>
      <c r="AD288" s="531">
        <v>0</v>
      </c>
      <c r="AE288" s="531">
        <v>0</v>
      </c>
      <c r="AF288" s="531">
        <v>0</v>
      </c>
      <c r="AG288" s="531">
        <v>0</v>
      </c>
      <c r="AH288" s="531">
        <v>0</v>
      </c>
      <c r="AI288" s="123"/>
      <c r="AJ288" s="43"/>
      <c r="AK288" s="749">
        <v>164080.03</v>
      </c>
      <c r="AL288" s="911"/>
      <c r="AM288" s="915"/>
    </row>
    <row r="289" spans="1:39" ht="18.75" x14ac:dyDescent="0.3">
      <c r="A289" s="230" t="s">
        <v>2</v>
      </c>
      <c r="B289" s="232">
        <f t="shared" ref="B289:H289" si="20">SUM(B279:B288)</f>
        <v>17051.68</v>
      </c>
      <c r="C289" s="232">
        <f t="shared" si="20"/>
        <v>16642.460000000003</v>
      </c>
      <c r="D289" s="232">
        <f t="shared" si="20"/>
        <v>18272.960000000003</v>
      </c>
      <c r="E289" s="232">
        <f t="shared" si="20"/>
        <v>18538.670000000002</v>
      </c>
      <c r="F289" s="232">
        <f t="shared" si="20"/>
        <v>17418.89</v>
      </c>
      <c r="G289" s="232">
        <f t="shared" si="20"/>
        <v>18642.05</v>
      </c>
      <c r="H289" s="248">
        <f t="shared" si="20"/>
        <v>18158.7</v>
      </c>
      <c r="I289" s="249">
        <f>SUM(B289:H289)</f>
        <v>124725.41</v>
      </c>
      <c r="J289" s="231">
        <f t="shared" ref="J289:P289" si="21">SUM(J279:J288)</f>
        <v>14747.149999999998</v>
      </c>
      <c r="K289" s="231">
        <f t="shared" si="21"/>
        <v>16536.41</v>
      </c>
      <c r="L289" s="231">
        <f t="shared" si="21"/>
        <v>18284.239999999998</v>
      </c>
      <c r="M289" s="231">
        <f t="shared" si="21"/>
        <v>18676.43</v>
      </c>
      <c r="N289" s="231">
        <f t="shared" si="21"/>
        <v>17046.189999999999</v>
      </c>
      <c r="O289" s="231">
        <f t="shared" si="21"/>
        <v>16961.600000000002</v>
      </c>
      <c r="P289" s="231">
        <f t="shared" si="21"/>
        <v>19118.14</v>
      </c>
      <c r="Q289" s="249">
        <f>SUM(J289:P289)</f>
        <v>121370.16</v>
      </c>
      <c r="R289" s="233">
        <f t="shared" ref="R289:X289" si="22">SUM(R279:R288)</f>
        <v>17407.489999999998</v>
      </c>
      <c r="S289" s="233">
        <f t="shared" si="22"/>
        <v>16735.449999999997</v>
      </c>
      <c r="T289" s="233">
        <f t="shared" si="22"/>
        <v>18178.429999999997</v>
      </c>
      <c r="U289" s="233">
        <f t="shared" si="22"/>
        <v>16441.13</v>
      </c>
      <c r="V289" s="233">
        <f t="shared" si="22"/>
        <v>19319.719999999998</v>
      </c>
      <c r="W289" s="233">
        <f t="shared" si="22"/>
        <v>17864.3</v>
      </c>
      <c r="X289" s="233">
        <f t="shared" si="22"/>
        <v>19591.909999999996</v>
      </c>
      <c r="Y289" s="249">
        <f>SUM(R289:X289)</f>
        <v>125538.43</v>
      </c>
      <c r="Z289" s="233">
        <f t="shared" ref="Z289:AH289" si="23">SUM(Z279:Z288)</f>
        <v>19520.32</v>
      </c>
      <c r="AA289" s="233">
        <f t="shared" si="23"/>
        <v>18762.88</v>
      </c>
      <c r="AB289" s="233">
        <f t="shared" si="23"/>
        <v>17769.669999999998</v>
      </c>
      <c r="AC289" s="233">
        <f t="shared" si="23"/>
        <v>17490.060000000001</v>
      </c>
      <c r="AD289" s="233">
        <f t="shared" si="23"/>
        <v>19824.490000000005</v>
      </c>
      <c r="AE289" s="233">
        <f t="shared" si="23"/>
        <v>17955.28</v>
      </c>
      <c r="AF289" s="233">
        <f t="shared" si="23"/>
        <v>18362.189999999999</v>
      </c>
      <c r="AG289" s="233">
        <f t="shared" si="23"/>
        <v>15826.97</v>
      </c>
      <c r="AH289" s="233">
        <f t="shared" si="23"/>
        <v>18568.170000000002</v>
      </c>
      <c r="AI289" s="233"/>
      <c r="AJ289" s="249">
        <f>SUM(Z289:AI289)</f>
        <v>164080.03</v>
      </c>
      <c r="AK289" s="994">
        <f>SUM(AK285:AK288)</f>
        <v>535714.03</v>
      </c>
      <c r="AL289" s="912"/>
      <c r="AM289" s="916"/>
    </row>
    <row r="290" spans="1:39" ht="15.75" thickBot="1" x14ac:dyDescent="0.3">
      <c r="A290" s="224"/>
      <c r="B290" s="335"/>
      <c r="C290" s="225"/>
      <c r="D290" s="225"/>
      <c r="E290" s="225"/>
      <c r="F290" s="225"/>
      <c r="G290" s="225"/>
      <c r="H290" s="225"/>
      <c r="I290" s="56"/>
      <c r="J290" s="225"/>
      <c r="K290" s="225"/>
      <c r="L290" s="225"/>
      <c r="M290" s="225"/>
      <c r="N290" s="225"/>
      <c r="O290" s="225"/>
      <c r="P290" s="225"/>
      <c r="Q290" s="56"/>
      <c r="R290" s="225"/>
      <c r="S290" s="225"/>
      <c r="T290" s="225"/>
      <c r="U290" s="225"/>
      <c r="V290" s="225"/>
      <c r="W290" s="225"/>
      <c r="X290" s="225"/>
      <c r="Y290" s="56"/>
      <c r="Z290" s="226"/>
      <c r="AA290" s="225"/>
      <c r="AB290" s="227"/>
      <c r="AC290" s="225"/>
      <c r="AD290" s="225"/>
      <c r="AE290" s="225"/>
      <c r="AF290" s="225"/>
      <c r="AG290" s="225"/>
      <c r="AH290" s="225"/>
      <c r="AI290" s="225"/>
      <c r="AJ290" s="56"/>
      <c r="AK290" s="225"/>
      <c r="AL290" s="913"/>
      <c r="AM290" s="977"/>
    </row>
    <row r="291" spans="1:39" ht="27" thickBot="1" x14ac:dyDescent="0.45">
      <c r="A291" s="311" t="s">
        <v>436</v>
      </c>
      <c r="B291" s="219"/>
      <c r="C291" s="219"/>
      <c r="D291" s="219"/>
      <c r="E291" s="219"/>
      <c r="F291" s="219"/>
      <c r="G291" s="219"/>
      <c r="H291" s="782"/>
      <c r="I291" s="784"/>
      <c r="J291" s="785"/>
      <c r="K291" s="785"/>
      <c r="L291" s="785"/>
      <c r="M291" s="785"/>
      <c r="N291" s="785"/>
      <c r="O291" s="785"/>
      <c r="P291" s="785"/>
      <c r="Q291" s="785"/>
      <c r="R291" s="785"/>
      <c r="S291" s="785"/>
      <c r="T291" s="785"/>
      <c r="U291" s="785"/>
      <c r="V291" s="785"/>
      <c r="W291" s="785"/>
      <c r="X291" s="785"/>
      <c r="Y291" s="785"/>
      <c r="Z291" s="785"/>
      <c r="AA291" s="785"/>
      <c r="AB291" s="785"/>
      <c r="AC291" s="785"/>
      <c r="AD291" s="785"/>
      <c r="AE291" s="785"/>
      <c r="AF291" s="785"/>
      <c r="AG291" s="785"/>
      <c r="AH291" s="785"/>
      <c r="AI291" s="785"/>
      <c r="AJ291" s="785"/>
      <c r="AK291" s="785"/>
      <c r="AL291" s="972"/>
      <c r="AM291" s="978"/>
    </row>
    <row r="292" spans="1:39" ht="16.5" thickBot="1" x14ac:dyDescent="0.3">
      <c r="A292" s="706" t="s">
        <v>397</v>
      </c>
      <c r="B292" s="707">
        <v>1</v>
      </c>
      <c r="C292" s="328">
        <v>2</v>
      </c>
      <c r="D292" s="328">
        <v>3</v>
      </c>
      <c r="E292" s="328">
        <v>4</v>
      </c>
      <c r="F292" s="328">
        <v>5</v>
      </c>
      <c r="G292" s="328">
        <v>6</v>
      </c>
      <c r="H292" s="705">
        <v>7</v>
      </c>
      <c r="I292" s="779" t="s">
        <v>6</v>
      </c>
      <c r="J292" s="322">
        <v>8</v>
      </c>
      <c r="K292" s="322">
        <v>9</v>
      </c>
      <c r="L292" s="322">
        <v>10</v>
      </c>
      <c r="M292" s="322">
        <v>11</v>
      </c>
      <c r="N292" s="322">
        <v>12</v>
      </c>
      <c r="O292" s="322">
        <v>13</v>
      </c>
      <c r="P292" s="322">
        <v>14</v>
      </c>
      <c r="Q292" s="323" t="s">
        <v>6</v>
      </c>
      <c r="R292" s="322">
        <v>15</v>
      </c>
      <c r="S292" s="322">
        <v>16</v>
      </c>
      <c r="T292" s="322">
        <v>17</v>
      </c>
      <c r="U292" s="322">
        <v>18</v>
      </c>
      <c r="V292" s="322">
        <v>19</v>
      </c>
      <c r="W292" s="322">
        <v>20</v>
      </c>
      <c r="X292" s="322">
        <v>21</v>
      </c>
      <c r="Y292" s="323" t="s">
        <v>6</v>
      </c>
      <c r="Z292" s="322">
        <v>22</v>
      </c>
      <c r="AA292" s="322">
        <v>23</v>
      </c>
      <c r="AB292" s="322">
        <v>24</v>
      </c>
      <c r="AC292" s="322">
        <v>25</v>
      </c>
      <c r="AD292" s="322">
        <v>26</v>
      </c>
      <c r="AE292" s="322">
        <v>27</v>
      </c>
      <c r="AF292" s="322">
        <v>28</v>
      </c>
      <c r="AG292" s="322">
        <v>29</v>
      </c>
      <c r="AH292" s="322">
        <v>30</v>
      </c>
      <c r="AI292" s="322">
        <v>31</v>
      </c>
      <c r="AJ292" s="324" t="s">
        <v>6</v>
      </c>
      <c r="AK292" s="325" t="s">
        <v>0</v>
      </c>
      <c r="AL292" s="973" t="s">
        <v>42</v>
      </c>
      <c r="AM292" s="914" t="s">
        <v>42</v>
      </c>
    </row>
    <row r="293" spans="1:39" ht="15.75" thickBot="1" x14ac:dyDescent="0.3">
      <c r="A293" s="797" t="s">
        <v>399</v>
      </c>
      <c r="B293" s="837">
        <v>15931</v>
      </c>
      <c r="C293" s="837">
        <v>15934</v>
      </c>
      <c r="D293" s="411">
        <v>10980</v>
      </c>
      <c r="E293" s="411">
        <v>628</v>
      </c>
      <c r="F293" s="411">
        <v>15991</v>
      </c>
      <c r="G293" s="411">
        <v>4348</v>
      </c>
      <c r="H293" s="314">
        <v>7861</v>
      </c>
      <c r="I293" s="304"/>
      <c r="J293" s="314">
        <v>420</v>
      </c>
      <c r="K293" s="790">
        <v>16025</v>
      </c>
      <c r="L293" s="790">
        <v>7043</v>
      </c>
      <c r="M293" s="790">
        <v>991</v>
      </c>
      <c r="N293" s="790">
        <v>16040</v>
      </c>
      <c r="O293" s="790">
        <v>13726</v>
      </c>
      <c r="P293" s="790">
        <v>13731</v>
      </c>
      <c r="Q293" s="305"/>
      <c r="R293" s="790">
        <v>13731</v>
      </c>
      <c r="S293" s="790">
        <v>11657</v>
      </c>
      <c r="T293" s="790">
        <v>15965</v>
      </c>
      <c r="U293" s="790">
        <v>15980</v>
      </c>
      <c r="V293" s="790">
        <v>13735</v>
      </c>
      <c r="W293" s="790">
        <v>16002</v>
      </c>
      <c r="X293" s="790">
        <v>5264</v>
      </c>
      <c r="Y293" s="305"/>
      <c r="Z293" s="790">
        <v>16044</v>
      </c>
      <c r="AA293" s="790">
        <v>16040</v>
      </c>
      <c r="AB293" s="790">
        <v>16033</v>
      </c>
      <c r="AC293" s="790">
        <v>16052</v>
      </c>
      <c r="AD293" s="790">
        <v>14129</v>
      </c>
      <c r="AE293" s="790">
        <v>4333</v>
      </c>
      <c r="AF293" s="790">
        <v>0</v>
      </c>
      <c r="AG293" s="790">
        <v>16010</v>
      </c>
      <c r="AH293" s="790">
        <v>15991</v>
      </c>
      <c r="AI293" s="790"/>
      <c r="AJ293" s="305"/>
      <c r="AK293" s="314"/>
      <c r="AL293" s="974"/>
      <c r="AM293" s="915"/>
    </row>
    <row r="294" spans="1:39" ht="16.5" thickBot="1" x14ac:dyDescent="0.3">
      <c r="A294" s="797" t="s">
        <v>400</v>
      </c>
      <c r="B294" s="837">
        <v>8145</v>
      </c>
      <c r="C294" s="837">
        <v>16158</v>
      </c>
      <c r="D294" s="57">
        <v>16169</v>
      </c>
      <c r="E294" s="57">
        <v>14345</v>
      </c>
      <c r="F294" s="57">
        <v>938</v>
      </c>
      <c r="G294" s="57">
        <v>0</v>
      </c>
      <c r="H294" s="242">
        <v>15862</v>
      </c>
      <c r="I294" s="36"/>
      <c r="J294" s="445">
        <v>11014</v>
      </c>
      <c r="K294" s="12">
        <v>15984</v>
      </c>
      <c r="L294" s="12">
        <v>15987</v>
      </c>
      <c r="M294" s="12">
        <v>12305</v>
      </c>
      <c r="N294" s="12">
        <v>9193</v>
      </c>
      <c r="O294" s="12">
        <v>809</v>
      </c>
      <c r="P294" s="12">
        <v>15900</v>
      </c>
      <c r="Q294" s="37"/>
      <c r="R294" s="12">
        <v>15908</v>
      </c>
      <c r="S294" s="12">
        <v>15915</v>
      </c>
      <c r="T294" s="12">
        <v>15915</v>
      </c>
      <c r="U294" s="12">
        <v>15949</v>
      </c>
      <c r="V294" s="12">
        <v>15915</v>
      </c>
      <c r="W294" s="12">
        <v>15923</v>
      </c>
      <c r="X294" s="12">
        <v>15923</v>
      </c>
      <c r="Y294" s="37"/>
      <c r="Z294" s="12">
        <v>13614</v>
      </c>
      <c r="AA294" s="12">
        <v>13607</v>
      </c>
      <c r="AB294" s="12">
        <v>15049</v>
      </c>
      <c r="AC294" s="12">
        <v>5102</v>
      </c>
      <c r="AD294" s="12">
        <v>16309</v>
      </c>
      <c r="AE294" s="12">
        <v>16320</v>
      </c>
      <c r="AF294" s="12">
        <v>16351</v>
      </c>
      <c r="AG294" s="12">
        <v>14825</v>
      </c>
      <c r="AH294" s="12">
        <v>14799</v>
      </c>
      <c r="AI294" s="12"/>
      <c r="AJ294" s="37"/>
      <c r="AK294" s="236"/>
      <c r="AL294" s="888"/>
      <c r="AM294" s="915"/>
    </row>
    <row r="295" spans="1:39" ht="16.5" thickBot="1" x14ac:dyDescent="0.3">
      <c r="A295" s="797" t="s">
        <v>401</v>
      </c>
      <c r="B295" s="837">
        <v>9303</v>
      </c>
      <c r="C295" s="837">
        <v>13618</v>
      </c>
      <c r="D295" s="57">
        <v>13614</v>
      </c>
      <c r="E295" s="57">
        <v>13629</v>
      </c>
      <c r="F295" s="57">
        <v>10582</v>
      </c>
      <c r="G295" s="57">
        <v>5155</v>
      </c>
      <c r="H295" s="135">
        <v>9110</v>
      </c>
      <c r="I295" s="36"/>
      <c r="J295" s="12">
        <v>9110</v>
      </c>
      <c r="K295" s="12">
        <v>8735</v>
      </c>
      <c r="L295" s="135">
        <v>2142</v>
      </c>
      <c r="M295" s="12">
        <v>0</v>
      </c>
      <c r="N295" s="12">
        <v>15976</v>
      </c>
      <c r="O295" s="12">
        <v>10174</v>
      </c>
      <c r="P295" s="12">
        <v>4920</v>
      </c>
      <c r="Q295" s="37"/>
      <c r="R295" s="12">
        <v>0</v>
      </c>
      <c r="S295" s="12">
        <v>15946</v>
      </c>
      <c r="T295" s="12">
        <v>15087</v>
      </c>
      <c r="U295" s="12">
        <v>8379</v>
      </c>
      <c r="V295" s="12">
        <v>2331</v>
      </c>
      <c r="W295" s="12">
        <v>15889</v>
      </c>
      <c r="X295" s="12">
        <v>14641</v>
      </c>
      <c r="Y295" s="37"/>
      <c r="Z295" s="12">
        <v>8784</v>
      </c>
      <c r="AA295" s="12">
        <v>1680</v>
      </c>
      <c r="AB295" s="12">
        <v>15931</v>
      </c>
      <c r="AC295" s="12">
        <v>15949</v>
      </c>
      <c r="AD295" s="12">
        <v>13724</v>
      </c>
      <c r="AE295" s="12">
        <v>6907</v>
      </c>
      <c r="AF295" s="12">
        <v>1063</v>
      </c>
      <c r="AG295" s="12">
        <v>9174</v>
      </c>
      <c r="AH295" s="12">
        <v>9155</v>
      </c>
      <c r="AI295" s="12"/>
      <c r="AJ295" s="37"/>
      <c r="AK295" s="237"/>
      <c r="AL295" s="888"/>
      <c r="AM295" s="915"/>
    </row>
    <row r="296" spans="1:39" ht="19.5" thickBot="1" x14ac:dyDescent="0.35">
      <c r="A296" s="797" t="s">
        <v>402</v>
      </c>
      <c r="B296" s="837">
        <v>15855</v>
      </c>
      <c r="C296" s="837">
        <v>15295</v>
      </c>
      <c r="D296" s="791">
        <v>8629</v>
      </c>
      <c r="E296" s="791">
        <v>2694</v>
      </c>
      <c r="F296" s="791">
        <v>15889</v>
      </c>
      <c r="G296" s="791">
        <v>15897</v>
      </c>
      <c r="H296" s="791">
        <v>14303</v>
      </c>
      <c r="I296" s="249"/>
      <c r="J296" s="791">
        <v>7369</v>
      </c>
      <c r="K296" s="791">
        <v>11226</v>
      </c>
      <c r="L296" s="791">
        <v>11230</v>
      </c>
      <c r="M296" s="791">
        <v>7180</v>
      </c>
      <c r="N296" s="791">
        <v>673</v>
      </c>
      <c r="O296" s="791">
        <v>0</v>
      </c>
      <c r="P296" s="791">
        <v>15927</v>
      </c>
      <c r="Q296" s="249"/>
      <c r="R296" s="12">
        <v>14057</v>
      </c>
      <c r="S296" s="792">
        <v>6934</v>
      </c>
      <c r="T296" s="792">
        <v>9220</v>
      </c>
      <c r="U296" s="792">
        <v>9242</v>
      </c>
      <c r="V296" s="792">
        <v>9220</v>
      </c>
      <c r="W296" s="792">
        <v>5177</v>
      </c>
      <c r="X296" s="792">
        <v>0</v>
      </c>
      <c r="Y296" s="249"/>
      <c r="Z296" s="792">
        <v>15942</v>
      </c>
      <c r="AA296" s="792">
        <v>15942</v>
      </c>
      <c r="AB296" s="792">
        <v>10124</v>
      </c>
      <c r="AC296" s="792">
        <v>3777</v>
      </c>
      <c r="AD296" s="792">
        <v>15897</v>
      </c>
      <c r="AE296" s="792">
        <v>15912</v>
      </c>
      <c r="AF296" s="792">
        <v>15942</v>
      </c>
      <c r="AG296" s="792">
        <v>10499</v>
      </c>
      <c r="AH296" s="792">
        <v>12626</v>
      </c>
      <c r="AI296" s="792"/>
      <c r="AJ296" s="249"/>
      <c r="AK296" s="795"/>
      <c r="AL296" s="975"/>
      <c r="AM296" s="915"/>
    </row>
    <row r="297" spans="1:39" ht="15.75" thickBot="1" x14ac:dyDescent="0.3">
      <c r="A297" s="797" t="s">
        <v>398</v>
      </c>
      <c r="B297" s="807">
        <v>0</v>
      </c>
      <c r="C297" s="807">
        <v>0</v>
      </c>
      <c r="D297" s="807">
        <v>0</v>
      </c>
      <c r="E297" s="807">
        <v>0</v>
      </c>
      <c r="F297" s="807">
        <v>0</v>
      </c>
      <c r="G297" s="807">
        <v>0</v>
      </c>
      <c r="H297" s="807">
        <v>0</v>
      </c>
      <c r="I297" s="56"/>
      <c r="J297" s="807">
        <v>0</v>
      </c>
      <c r="K297" s="807">
        <v>0</v>
      </c>
      <c r="L297" s="807">
        <v>0</v>
      </c>
      <c r="M297" s="807">
        <v>0</v>
      </c>
      <c r="N297" s="807">
        <v>0</v>
      </c>
      <c r="O297" s="807">
        <v>0</v>
      </c>
      <c r="P297" s="807">
        <v>0</v>
      </c>
      <c r="Q297" s="56"/>
      <c r="R297" s="807">
        <v>0</v>
      </c>
      <c r="S297" s="807">
        <v>0</v>
      </c>
      <c r="T297" s="807">
        <v>7982</v>
      </c>
      <c r="U297" s="807">
        <v>7993</v>
      </c>
      <c r="V297" s="807">
        <v>7982</v>
      </c>
      <c r="W297" s="807">
        <v>7986</v>
      </c>
      <c r="X297" s="807">
        <v>7986</v>
      </c>
      <c r="Y297" s="56"/>
      <c r="Z297" s="807">
        <v>7982</v>
      </c>
      <c r="AA297" s="807">
        <v>7978</v>
      </c>
      <c r="AB297" s="807">
        <v>7974</v>
      </c>
      <c r="AC297" s="807">
        <v>7990</v>
      </c>
      <c r="AD297" s="807">
        <v>7978</v>
      </c>
      <c r="AE297" s="807">
        <v>7982</v>
      </c>
      <c r="AF297" s="807">
        <v>7993</v>
      </c>
      <c r="AG297" s="807">
        <v>7997</v>
      </c>
      <c r="AH297" s="807">
        <v>7986</v>
      </c>
      <c r="AI297" s="807"/>
      <c r="AJ297" s="780"/>
      <c r="AK297" s="789"/>
      <c r="AL297" s="970"/>
      <c r="AM297" s="915"/>
    </row>
    <row r="298" spans="1:39" ht="15.75" thickBot="1" x14ac:dyDescent="0.3">
      <c r="A298" s="797" t="s">
        <v>403</v>
      </c>
      <c r="B298" s="837">
        <v>15556</v>
      </c>
      <c r="C298" s="837">
        <v>18834</v>
      </c>
      <c r="D298" s="837">
        <v>18837</v>
      </c>
      <c r="E298" s="837">
        <v>18853</v>
      </c>
      <c r="F298" s="837">
        <v>18841</v>
      </c>
      <c r="G298" s="837">
        <v>18845</v>
      </c>
      <c r="H298" s="135">
        <v>18837</v>
      </c>
      <c r="I298" s="56"/>
      <c r="J298" s="135">
        <v>18837</v>
      </c>
      <c r="K298" s="837">
        <v>18834</v>
      </c>
      <c r="L298" s="793">
        <v>18834</v>
      </c>
      <c r="M298" s="793">
        <v>18837</v>
      </c>
      <c r="N298" s="793">
        <v>18834</v>
      </c>
      <c r="O298" s="793">
        <v>18834</v>
      </c>
      <c r="P298" s="793">
        <v>15147</v>
      </c>
      <c r="Q298" s="56"/>
      <c r="R298" s="837">
        <v>3868</v>
      </c>
      <c r="S298" s="793">
        <v>18784</v>
      </c>
      <c r="T298" s="837">
        <v>18781</v>
      </c>
      <c r="U298" s="793">
        <v>8073</v>
      </c>
      <c r="V298" s="793">
        <v>19080</v>
      </c>
      <c r="W298" s="793">
        <v>19091</v>
      </c>
      <c r="X298" s="793">
        <v>19095</v>
      </c>
      <c r="Y298" s="56"/>
      <c r="Z298" s="793">
        <v>19091</v>
      </c>
      <c r="AA298" s="793">
        <v>8595</v>
      </c>
      <c r="AB298" s="793">
        <v>18993</v>
      </c>
      <c r="AC298" s="793">
        <v>19012</v>
      </c>
      <c r="AD298" s="793">
        <v>19004</v>
      </c>
      <c r="AE298" s="793">
        <v>19008</v>
      </c>
      <c r="AF298" s="793">
        <v>11029</v>
      </c>
      <c r="AG298" s="793">
        <v>16324</v>
      </c>
      <c r="AH298" s="793">
        <v>19519</v>
      </c>
      <c r="AI298" s="789"/>
      <c r="AJ298" s="780"/>
      <c r="AK298" s="789"/>
      <c r="AL298" s="970"/>
      <c r="AM298" s="915"/>
    </row>
    <row r="299" spans="1:39" ht="15.75" thickBot="1" x14ac:dyDescent="0.3">
      <c r="A299" s="797" t="s">
        <v>404</v>
      </c>
      <c r="B299" s="883">
        <v>0</v>
      </c>
      <c r="C299" s="883">
        <v>0</v>
      </c>
      <c r="D299" s="883">
        <v>0</v>
      </c>
      <c r="E299" s="883">
        <v>0</v>
      </c>
      <c r="F299" s="883">
        <v>0</v>
      </c>
      <c r="G299" s="883">
        <v>0</v>
      </c>
      <c r="H299" s="883">
        <v>0</v>
      </c>
      <c r="I299" s="56"/>
      <c r="J299" s="883">
        <v>0</v>
      </c>
      <c r="K299" s="883">
        <v>0</v>
      </c>
      <c r="L299" s="883"/>
      <c r="M299" s="883">
        <v>0</v>
      </c>
      <c r="N299" s="883">
        <v>0</v>
      </c>
      <c r="O299" s="883">
        <v>0</v>
      </c>
      <c r="P299" s="883">
        <v>0</v>
      </c>
      <c r="Q299" s="56"/>
      <c r="R299" s="883">
        <v>0</v>
      </c>
      <c r="S299" s="883">
        <v>0</v>
      </c>
      <c r="T299" s="883">
        <v>0</v>
      </c>
      <c r="U299" s="883">
        <v>0</v>
      </c>
      <c r="V299" s="883">
        <v>0</v>
      </c>
      <c r="W299" s="883">
        <v>0</v>
      </c>
      <c r="X299" s="883">
        <v>0</v>
      </c>
      <c r="Y299" s="56"/>
      <c r="Z299" s="883">
        <v>0</v>
      </c>
      <c r="AA299" s="883">
        <v>0</v>
      </c>
      <c r="AB299" s="883">
        <v>0</v>
      </c>
      <c r="AC299" s="883">
        <v>0</v>
      </c>
      <c r="AD299" s="883">
        <v>0</v>
      </c>
      <c r="AE299" s="883">
        <v>0</v>
      </c>
      <c r="AF299" s="883">
        <v>0</v>
      </c>
      <c r="AG299" s="882">
        <v>0</v>
      </c>
      <c r="AH299" s="882">
        <v>0</v>
      </c>
      <c r="AI299" s="806"/>
      <c r="AJ299" s="780"/>
      <c r="AK299" s="789"/>
      <c r="AL299" s="970"/>
      <c r="AM299" s="915"/>
    </row>
    <row r="300" spans="1:39" ht="16.5" thickBot="1" x14ac:dyDescent="0.3">
      <c r="A300" s="62" t="s">
        <v>405</v>
      </c>
      <c r="B300" s="596">
        <v>0</v>
      </c>
      <c r="C300" s="596">
        <v>0</v>
      </c>
      <c r="D300" s="596">
        <v>0</v>
      </c>
      <c r="E300" s="596">
        <v>0</v>
      </c>
      <c r="F300" s="596">
        <v>0</v>
      </c>
      <c r="G300" s="596">
        <v>0</v>
      </c>
      <c r="H300" s="596">
        <v>0</v>
      </c>
      <c r="I300" s="56"/>
      <c r="J300" s="596">
        <v>0</v>
      </c>
      <c r="K300" s="596">
        <v>0</v>
      </c>
      <c r="L300" s="596"/>
      <c r="M300" s="596">
        <v>0</v>
      </c>
      <c r="N300" s="596">
        <v>0</v>
      </c>
      <c r="O300" s="596">
        <v>0</v>
      </c>
      <c r="P300" s="596">
        <v>0</v>
      </c>
      <c r="Q300" s="56"/>
      <c r="R300" s="596">
        <v>0</v>
      </c>
      <c r="S300" s="596">
        <v>0</v>
      </c>
      <c r="T300" s="596">
        <v>0</v>
      </c>
      <c r="U300" s="596">
        <v>0</v>
      </c>
      <c r="V300" s="596">
        <v>0</v>
      </c>
      <c r="W300" s="596">
        <v>0</v>
      </c>
      <c r="X300" s="596">
        <v>0</v>
      </c>
      <c r="Y300" s="56"/>
      <c r="Z300" s="596">
        <v>0</v>
      </c>
      <c r="AA300" s="596">
        <v>0</v>
      </c>
      <c r="AB300" s="596">
        <v>0</v>
      </c>
      <c r="AC300" s="596">
        <v>0</v>
      </c>
      <c r="AD300" s="596">
        <v>0</v>
      </c>
      <c r="AE300" s="596">
        <v>0</v>
      </c>
      <c r="AF300" s="596">
        <v>0</v>
      </c>
      <c r="AG300" s="882">
        <v>0</v>
      </c>
      <c r="AH300" s="882">
        <v>0</v>
      </c>
      <c r="AI300" s="806"/>
      <c r="AJ300" s="780"/>
      <c r="AK300" s="899">
        <v>124725.41</v>
      </c>
      <c r="AL300" s="970"/>
      <c r="AM300" s="915"/>
    </row>
    <row r="301" spans="1:39" ht="16.5" thickBot="1" x14ac:dyDescent="0.3">
      <c r="A301" s="67" t="s">
        <v>413</v>
      </c>
      <c r="B301" s="830">
        <v>32000</v>
      </c>
      <c r="C301" s="830"/>
      <c r="D301" s="815"/>
      <c r="E301" s="815">
        <v>40000</v>
      </c>
      <c r="F301" s="809"/>
      <c r="G301" s="815">
        <v>40000</v>
      </c>
      <c r="H301" s="815"/>
      <c r="I301" s="56"/>
      <c r="J301" s="815">
        <v>40000</v>
      </c>
      <c r="K301" s="815"/>
      <c r="L301" s="815"/>
      <c r="M301" s="846">
        <v>40000</v>
      </c>
      <c r="N301" s="815"/>
      <c r="O301" s="815">
        <v>32000</v>
      </c>
      <c r="P301" s="815"/>
      <c r="Q301" s="56"/>
      <c r="R301" s="815">
        <v>40000</v>
      </c>
      <c r="S301" s="793">
        <v>32000</v>
      </c>
      <c r="T301" s="815"/>
      <c r="U301" s="815">
        <v>16000</v>
      </c>
      <c r="V301" s="815">
        <v>32000</v>
      </c>
      <c r="W301" s="815"/>
      <c r="X301" s="815">
        <v>32000</v>
      </c>
      <c r="Y301" s="56"/>
      <c r="Z301" s="815"/>
      <c r="AA301" s="815">
        <v>40000</v>
      </c>
      <c r="AB301" s="815"/>
      <c r="AC301" s="815">
        <v>40000</v>
      </c>
      <c r="AD301" s="789"/>
      <c r="AE301" s="815"/>
      <c r="AF301" s="815">
        <v>40000</v>
      </c>
      <c r="AG301" s="815">
        <v>24000</v>
      </c>
      <c r="AH301" s="789"/>
      <c r="AI301" s="789"/>
      <c r="AJ301" s="780"/>
      <c r="AK301" s="899">
        <v>121370.16</v>
      </c>
      <c r="AL301" s="970"/>
      <c r="AM301" s="915"/>
    </row>
    <row r="302" spans="1:39" ht="16.5" thickBot="1" x14ac:dyDescent="0.3">
      <c r="A302" s="67" t="s">
        <v>407</v>
      </c>
      <c r="B302" s="837">
        <f t="shared" ref="B302:H302" si="24">SUM(B293:B301)</f>
        <v>96790</v>
      </c>
      <c r="C302" s="837">
        <f t="shared" si="24"/>
        <v>79839</v>
      </c>
      <c r="D302" s="837">
        <f>SUM(D293:D301)</f>
        <v>68229</v>
      </c>
      <c r="E302" s="837">
        <f>SUM(E293:E301)</f>
        <v>90149</v>
      </c>
      <c r="F302" s="837">
        <f>SUM(F293:F301)</f>
        <v>62241</v>
      </c>
      <c r="G302" s="837">
        <f t="shared" si="24"/>
        <v>84245</v>
      </c>
      <c r="H302" s="837">
        <f t="shared" si="24"/>
        <v>65973</v>
      </c>
      <c r="I302" s="56"/>
      <c r="J302" s="793">
        <f t="shared" ref="J302:P302" si="25">SUM(J293:J301)</f>
        <v>86750</v>
      </c>
      <c r="K302" s="793">
        <f t="shared" si="25"/>
        <v>70804</v>
      </c>
      <c r="L302" s="837">
        <f t="shared" si="25"/>
        <v>55236</v>
      </c>
      <c r="M302" s="793">
        <f t="shared" si="25"/>
        <v>79313</v>
      </c>
      <c r="N302" s="793">
        <f t="shared" si="25"/>
        <v>60716</v>
      </c>
      <c r="O302" s="793">
        <f t="shared" si="25"/>
        <v>75543</v>
      </c>
      <c r="P302" s="793">
        <f t="shared" si="25"/>
        <v>65625</v>
      </c>
      <c r="Q302" s="56"/>
      <c r="R302" s="793">
        <f t="shared" ref="R302:V302" si="26">SUM(R293:R301)</f>
        <v>87564</v>
      </c>
      <c r="S302" s="793">
        <f t="shared" si="26"/>
        <v>101236</v>
      </c>
      <c r="T302" s="793">
        <f t="shared" si="26"/>
        <v>82950</v>
      </c>
      <c r="U302" s="793">
        <f t="shared" si="26"/>
        <v>81616</v>
      </c>
      <c r="V302" s="793">
        <f t="shared" si="26"/>
        <v>100263</v>
      </c>
      <c r="W302" s="793">
        <v>80068</v>
      </c>
      <c r="X302" s="793">
        <v>62878</v>
      </c>
      <c r="Y302" s="56"/>
      <c r="Z302" s="793">
        <f t="shared" ref="Z302:AG302" si="27">SUM(Z293:Z301)</f>
        <v>81457</v>
      </c>
      <c r="AA302" s="793">
        <f t="shared" si="27"/>
        <v>103842</v>
      </c>
      <c r="AB302" s="793">
        <f t="shared" si="27"/>
        <v>84104</v>
      </c>
      <c r="AC302" s="793">
        <f t="shared" si="27"/>
        <v>107882</v>
      </c>
      <c r="AD302" s="793">
        <f t="shared" si="27"/>
        <v>87041</v>
      </c>
      <c r="AE302" s="793">
        <v>70462</v>
      </c>
      <c r="AF302" s="793">
        <v>92378</v>
      </c>
      <c r="AG302" s="793">
        <f t="shared" si="27"/>
        <v>98829</v>
      </c>
      <c r="AH302" s="793">
        <f>SUM(AH293:AH301)</f>
        <v>80076</v>
      </c>
      <c r="AI302" s="789"/>
      <c r="AJ302" s="780"/>
      <c r="AK302" s="899">
        <v>125538.43</v>
      </c>
      <c r="AL302" s="970"/>
      <c r="AM302" s="915"/>
    </row>
    <row r="303" spans="1:39" ht="16.5" thickBot="1" x14ac:dyDescent="0.3">
      <c r="A303" s="797" t="s">
        <v>408</v>
      </c>
      <c r="B303" s="798">
        <f t="shared" ref="B303:H303" si="28">SUM(B302)</f>
        <v>96790</v>
      </c>
      <c r="C303" s="798">
        <f t="shared" si="28"/>
        <v>79839</v>
      </c>
      <c r="D303" s="896">
        <f t="shared" si="28"/>
        <v>68229</v>
      </c>
      <c r="E303" s="896">
        <f t="shared" si="28"/>
        <v>90149</v>
      </c>
      <c r="F303" s="896">
        <f t="shared" si="28"/>
        <v>62241</v>
      </c>
      <c r="G303" s="896">
        <f t="shared" si="28"/>
        <v>84245</v>
      </c>
      <c r="H303" s="896">
        <f t="shared" si="28"/>
        <v>65973</v>
      </c>
      <c r="I303" s="839"/>
      <c r="J303" s="798">
        <f>SUM(J302)</f>
        <v>86750</v>
      </c>
      <c r="K303" s="798">
        <f>SUM(K302)</f>
        <v>70804</v>
      </c>
      <c r="L303" s="798">
        <v>55236</v>
      </c>
      <c r="M303" s="798">
        <v>79313</v>
      </c>
      <c r="N303" s="798">
        <v>60716</v>
      </c>
      <c r="O303" s="798">
        <v>75545</v>
      </c>
      <c r="P303" s="798">
        <v>65625</v>
      </c>
      <c r="Q303" s="56"/>
      <c r="R303" s="798">
        <f t="shared" ref="R303:W303" si="29">SUM(R302)</f>
        <v>87564</v>
      </c>
      <c r="S303" s="798">
        <f t="shared" si="29"/>
        <v>101236</v>
      </c>
      <c r="T303" s="798">
        <f t="shared" si="29"/>
        <v>82950</v>
      </c>
      <c r="U303" s="798">
        <f t="shared" si="29"/>
        <v>81616</v>
      </c>
      <c r="V303" s="798">
        <f t="shared" si="29"/>
        <v>100263</v>
      </c>
      <c r="W303" s="798">
        <f t="shared" si="29"/>
        <v>80068</v>
      </c>
      <c r="X303" s="798">
        <v>94878</v>
      </c>
      <c r="Y303" s="56"/>
      <c r="Z303" s="798">
        <f t="shared" ref="Z303:AG303" si="30">SUM(Z302)</f>
        <v>81457</v>
      </c>
      <c r="AA303" s="798">
        <f t="shared" si="30"/>
        <v>103842</v>
      </c>
      <c r="AB303" s="798">
        <f t="shared" si="30"/>
        <v>84104</v>
      </c>
      <c r="AC303" s="798">
        <f t="shared" si="30"/>
        <v>107882</v>
      </c>
      <c r="AD303" s="798">
        <f t="shared" si="30"/>
        <v>87041</v>
      </c>
      <c r="AE303" s="798">
        <v>70462</v>
      </c>
      <c r="AF303" s="798">
        <v>92378</v>
      </c>
      <c r="AG303" s="798">
        <f t="shared" si="30"/>
        <v>98829</v>
      </c>
      <c r="AH303" s="798">
        <f>SUM(AH302)</f>
        <v>80076</v>
      </c>
      <c r="AI303" s="789"/>
      <c r="AJ303" s="780"/>
      <c r="AK303" s="899">
        <v>164077.03</v>
      </c>
      <c r="AL303" s="970"/>
      <c r="AM303" s="969"/>
    </row>
    <row r="304" spans="1:39" ht="16.5" thickBot="1" x14ac:dyDescent="0.3">
      <c r="A304" s="797" t="s">
        <v>409</v>
      </c>
      <c r="B304" s="855">
        <v>17051.68</v>
      </c>
      <c r="C304" s="855">
        <v>16642.46</v>
      </c>
      <c r="D304" s="884">
        <v>18272.96</v>
      </c>
      <c r="E304" s="884">
        <v>18538.669999999998</v>
      </c>
      <c r="F304" s="884">
        <v>17418.89</v>
      </c>
      <c r="G304" s="884">
        <v>18642.05</v>
      </c>
      <c r="H304" s="884">
        <v>18158.7</v>
      </c>
      <c r="I304" s="840">
        <f>SUM(B304:H304)</f>
        <v>124725.40999999999</v>
      </c>
      <c r="J304" s="894">
        <v>14747.15</v>
      </c>
      <c r="K304" s="894">
        <v>16536.41</v>
      </c>
      <c r="L304" s="894">
        <v>18284.240000000002</v>
      </c>
      <c r="M304" s="894">
        <v>18676.43</v>
      </c>
      <c r="N304" s="894">
        <v>17046.189999999999</v>
      </c>
      <c r="O304" s="855">
        <v>16961.599999999999</v>
      </c>
      <c r="P304" s="894">
        <v>19118.14</v>
      </c>
      <c r="Q304" s="865">
        <f>SUM(J304:P304)</f>
        <v>121370.16000000002</v>
      </c>
      <c r="R304" s="855">
        <v>17407.490000000002</v>
      </c>
      <c r="S304" s="855">
        <v>16735.45</v>
      </c>
      <c r="T304" s="894">
        <v>18178.43</v>
      </c>
      <c r="U304" s="894">
        <v>16441.13</v>
      </c>
      <c r="V304" s="855">
        <v>19319.72</v>
      </c>
      <c r="W304" s="855">
        <v>17864.3</v>
      </c>
      <c r="X304" s="855">
        <v>19591.91</v>
      </c>
      <c r="Y304" s="839">
        <f>SUM(R304:X304)</f>
        <v>125538.43000000001</v>
      </c>
      <c r="Z304" s="855">
        <v>19520.32</v>
      </c>
      <c r="AA304" s="894">
        <v>18762.88</v>
      </c>
      <c r="AB304" s="855">
        <v>17769.669999999998</v>
      </c>
      <c r="AC304" s="855">
        <v>17490.060000000001</v>
      </c>
      <c r="AD304" s="894">
        <v>19824.490000000002</v>
      </c>
      <c r="AE304" s="894">
        <v>17955.28</v>
      </c>
      <c r="AF304" s="894">
        <v>18362.189999999999</v>
      </c>
      <c r="AG304" s="894">
        <v>15826.97</v>
      </c>
      <c r="AH304" s="855">
        <v>18565.169999999998</v>
      </c>
      <c r="AI304" s="789"/>
      <c r="AJ304" s="874">
        <f>SUM(Z304:AI304)</f>
        <v>164077.02999999997</v>
      </c>
      <c r="AK304" s="899"/>
      <c r="AL304" s="970"/>
      <c r="AM304" s="969"/>
    </row>
    <row r="305" spans="1:39" ht="15.75" thickBot="1" x14ac:dyDescent="0.3">
      <c r="A305" s="797" t="s">
        <v>410</v>
      </c>
      <c r="B305" s="813">
        <v>79738.320000000007</v>
      </c>
      <c r="C305" s="807">
        <v>63196.54</v>
      </c>
      <c r="D305" s="712">
        <v>49956.04</v>
      </c>
      <c r="E305" s="712">
        <v>71610.33</v>
      </c>
      <c r="F305" s="712">
        <v>44822.11</v>
      </c>
      <c r="G305" s="712">
        <v>65602.95</v>
      </c>
      <c r="H305" s="712">
        <v>47814.3</v>
      </c>
      <c r="I305" s="840"/>
      <c r="J305" s="793">
        <v>72002.850000000006</v>
      </c>
      <c r="K305" s="788">
        <v>54267.59</v>
      </c>
      <c r="L305" s="788">
        <v>36951.760000000002</v>
      </c>
      <c r="M305" s="788">
        <v>60636.57</v>
      </c>
      <c r="N305" s="793">
        <v>43669.81</v>
      </c>
      <c r="O305" s="793">
        <v>58581.4</v>
      </c>
      <c r="P305" s="809">
        <v>46506.86</v>
      </c>
      <c r="Q305" s="56"/>
      <c r="R305" s="788">
        <v>70156.509999999995</v>
      </c>
      <c r="S305" s="793">
        <v>84500.55</v>
      </c>
      <c r="T305" s="788">
        <v>64771.57</v>
      </c>
      <c r="U305" s="788">
        <v>65174.87</v>
      </c>
      <c r="V305" s="793">
        <v>80943.28</v>
      </c>
      <c r="W305" s="793">
        <v>62383.7</v>
      </c>
      <c r="X305" s="793">
        <v>75286.09</v>
      </c>
      <c r="Y305" s="56"/>
      <c r="Z305" s="793">
        <v>61937.18</v>
      </c>
      <c r="AA305" s="788">
        <v>85079.12</v>
      </c>
      <c r="AB305" s="793">
        <v>66334.33</v>
      </c>
      <c r="AC305" s="793">
        <v>90391.94</v>
      </c>
      <c r="AD305" s="788">
        <v>67216.509999999995</v>
      </c>
      <c r="AE305" s="788">
        <v>52506.720000000001</v>
      </c>
      <c r="AF305" s="788">
        <v>74015.81</v>
      </c>
      <c r="AG305" s="788">
        <v>83002.03</v>
      </c>
      <c r="AH305" s="837">
        <v>61510.83</v>
      </c>
      <c r="AI305" s="789"/>
      <c r="AJ305" s="780"/>
      <c r="AK305" s="789"/>
      <c r="AL305" s="970"/>
      <c r="AM305" s="915"/>
    </row>
    <row r="306" spans="1:39" ht="16.5" thickBot="1" x14ac:dyDescent="0.3">
      <c r="A306" s="797"/>
      <c r="B306" s="815"/>
      <c r="C306" s="815"/>
      <c r="D306" s="815"/>
      <c r="E306" s="837"/>
      <c r="F306" s="837"/>
      <c r="G306" s="837"/>
      <c r="H306" s="837"/>
      <c r="I306" s="839"/>
      <c r="J306" s="815"/>
      <c r="K306" s="815"/>
      <c r="L306" s="789"/>
      <c r="M306" s="815"/>
      <c r="N306" s="815"/>
      <c r="O306" s="846"/>
      <c r="P306" s="815"/>
      <c r="Q306" s="56"/>
      <c r="R306" s="815"/>
      <c r="S306" s="789"/>
      <c r="T306" s="815"/>
      <c r="U306" s="789"/>
      <c r="V306" s="815"/>
      <c r="W306" s="815"/>
      <c r="X306" s="789"/>
      <c r="Y306" s="56"/>
      <c r="Z306" s="815"/>
      <c r="AA306" s="815"/>
      <c r="AB306" s="815"/>
      <c r="AC306" s="789"/>
      <c r="AD306" s="789"/>
      <c r="AE306" s="815"/>
      <c r="AF306" s="815"/>
      <c r="AG306" s="789"/>
      <c r="AH306" s="789"/>
      <c r="AI306" s="789"/>
      <c r="AJ306" s="780"/>
      <c r="AK306" s="889"/>
      <c r="AL306" s="970">
        <v>3729492000</v>
      </c>
      <c r="AM306" s="915"/>
    </row>
    <row r="307" spans="1:39" ht="16.5" thickBot="1" x14ac:dyDescent="0.3">
      <c r="A307" s="797"/>
      <c r="B307" s="837"/>
      <c r="C307" s="837"/>
      <c r="D307" s="809"/>
      <c r="E307" s="837"/>
      <c r="F307" s="837"/>
      <c r="G307" s="837"/>
      <c r="H307" s="837"/>
      <c r="I307" s="56"/>
      <c r="J307" s="815"/>
      <c r="K307" s="815"/>
      <c r="L307" s="789"/>
      <c r="M307" s="815"/>
      <c r="N307" s="793"/>
      <c r="O307" s="789"/>
      <c r="P307" s="815"/>
      <c r="Q307" s="56"/>
      <c r="R307" s="815"/>
      <c r="S307" s="789"/>
      <c r="T307" s="789"/>
      <c r="U307" s="789"/>
      <c r="V307" s="815"/>
      <c r="W307" s="815"/>
      <c r="X307" s="789"/>
      <c r="Y307" s="56"/>
      <c r="Z307" s="815"/>
      <c r="AA307" s="815"/>
      <c r="AB307" s="794"/>
      <c r="AC307" s="789"/>
      <c r="AD307" s="789"/>
      <c r="AE307" s="815"/>
      <c r="AF307" s="789"/>
      <c r="AG307" s="789"/>
      <c r="AH307" s="789"/>
      <c r="AI307" s="789"/>
      <c r="AJ307" s="780"/>
      <c r="AK307" s="899"/>
      <c r="AL307" s="970">
        <v>3801616800</v>
      </c>
      <c r="AM307" s="915"/>
    </row>
    <row r="308" spans="1:39" ht="16.5" thickBot="1" x14ac:dyDescent="0.3">
      <c r="A308" s="797"/>
      <c r="B308" s="837"/>
      <c r="C308" s="837"/>
      <c r="D308" s="809"/>
      <c r="E308" s="837"/>
      <c r="F308" s="837"/>
      <c r="G308" s="837"/>
      <c r="H308" s="837"/>
      <c r="I308" s="56"/>
      <c r="J308" s="789"/>
      <c r="K308" s="793"/>
      <c r="L308" s="789"/>
      <c r="M308" s="793"/>
      <c r="N308" s="793"/>
      <c r="O308" s="789"/>
      <c r="P308" s="793"/>
      <c r="Q308" s="56"/>
      <c r="R308" s="793"/>
      <c r="S308" s="789"/>
      <c r="T308" s="793"/>
      <c r="U308" s="789"/>
      <c r="V308" s="793"/>
      <c r="W308" s="793"/>
      <c r="X308" s="789"/>
      <c r="Y308" s="56"/>
      <c r="Z308" s="793"/>
      <c r="AA308" s="793"/>
      <c r="AB308" s="793"/>
      <c r="AC308" s="789"/>
      <c r="AD308" s="789"/>
      <c r="AE308" s="789"/>
      <c r="AF308" s="789"/>
      <c r="AG308" s="789"/>
      <c r="AH308" s="789"/>
      <c r="AI308" s="789"/>
      <c r="AJ308" s="780"/>
      <c r="AK308" s="899"/>
      <c r="AL308" s="970">
        <v>3893439900</v>
      </c>
      <c r="AM308" s="915"/>
    </row>
    <row r="309" spans="1:39" ht="15.75" thickBot="1" x14ac:dyDescent="0.3">
      <c r="A309" s="797"/>
      <c r="B309" s="813"/>
      <c r="C309" s="837"/>
      <c r="D309" s="808"/>
      <c r="E309" s="837"/>
      <c r="F309" s="808"/>
      <c r="G309" s="807"/>
      <c r="H309" s="807"/>
      <c r="I309" s="43"/>
      <c r="J309" s="801"/>
      <c r="K309" s="771"/>
      <c r="L309" s="801"/>
      <c r="M309" s="802"/>
      <c r="N309" s="802"/>
      <c r="O309" s="801"/>
      <c r="P309" s="802"/>
      <c r="Q309" s="43"/>
      <c r="R309" s="801"/>
      <c r="S309" s="801"/>
      <c r="T309" s="801"/>
      <c r="U309" s="801"/>
      <c r="V309" s="801"/>
      <c r="W309" s="801"/>
      <c r="X309" s="801"/>
      <c r="Y309" s="43"/>
      <c r="Z309" s="153"/>
      <c r="AA309" s="801"/>
      <c r="AB309" s="802"/>
      <c r="AC309" s="801"/>
      <c r="AD309" s="801"/>
      <c r="AE309" s="801"/>
      <c r="AF309" s="801"/>
      <c r="AG309" s="801"/>
      <c r="AH309" s="801"/>
      <c r="AI309" s="801"/>
      <c r="AJ309" s="104"/>
      <c r="AK309" s="801"/>
      <c r="AL309" s="971"/>
      <c r="AM309" s="915"/>
    </row>
    <row r="310" spans="1:39" x14ac:dyDescent="0.25">
      <c r="A310" s="67" t="s">
        <v>419</v>
      </c>
      <c r="B310" s="892">
        <v>100.68</v>
      </c>
      <c r="C310" s="893">
        <v>5032.46</v>
      </c>
      <c r="D310" s="893">
        <v>192.96</v>
      </c>
      <c r="E310" s="893"/>
      <c r="F310" s="893">
        <v>577.11</v>
      </c>
      <c r="G310" s="892">
        <v>370.05</v>
      </c>
      <c r="H310" s="892">
        <v>1064.3</v>
      </c>
      <c r="I310" s="37"/>
      <c r="J310" s="895">
        <v>1198.8499999999999</v>
      </c>
      <c r="K310" s="893">
        <v>968.41</v>
      </c>
      <c r="L310" s="893">
        <v>2361.2399999999998</v>
      </c>
      <c r="M310" s="893">
        <v>79.430000000000007</v>
      </c>
      <c r="N310" s="895">
        <v>124.81</v>
      </c>
      <c r="O310" s="895">
        <v>7041.6</v>
      </c>
      <c r="P310" s="844"/>
      <c r="Q310" s="37"/>
      <c r="R310" s="844">
        <v>843.51</v>
      </c>
      <c r="S310" s="988" t="s">
        <v>431</v>
      </c>
      <c r="T310" s="844">
        <v>844.43</v>
      </c>
      <c r="U310" s="844">
        <v>3088.13</v>
      </c>
      <c r="V310" s="844">
        <v>769.28</v>
      </c>
      <c r="W310" s="844">
        <v>494.23</v>
      </c>
      <c r="X310" s="844"/>
      <c r="Y310" s="37"/>
      <c r="Z310" s="867">
        <v>1904.82</v>
      </c>
      <c r="AA310" s="844">
        <v>903.12</v>
      </c>
      <c r="AB310" s="844">
        <v>1547.67</v>
      </c>
      <c r="AC310" s="867">
        <v>3350.94</v>
      </c>
      <c r="AD310" s="844">
        <v>3328.49</v>
      </c>
      <c r="AE310" s="844">
        <v>1509.09</v>
      </c>
      <c r="AF310" s="867">
        <v>813.19</v>
      </c>
      <c r="AG310" s="844">
        <v>2926.03</v>
      </c>
      <c r="AH310" s="844">
        <v>3114.17</v>
      </c>
      <c r="AI310" s="105"/>
      <c r="AJ310" s="105"/>
      <c r="AK310" s="105"/>
      <c r="AL310" s="976"/>
      <c r="AM310" s="916"/>
    </row>
    <row r="311" spans="1:39" ht="16.5" thickBot="1" x14ac:dyDescent="0.3">
      <c r="A311" s="63"/>
      <c r="B311" s="835"/>
      <c r="C311" s="835"/>
      <c r="D311" s="835"/>
      <c r="E311" s="835"/>
      <c r="F311" s="835"/>
      <c r="G311" s="836"/>
      <c r="H311" s="835"/>
      <c r="I311" s="890"/>
      <c r="J311" s="836"/>
      <c r="K311" s="836"/>
      <c r="L311" s="104"/>
      <c r="M311" s="835"/>
      <c r="N311" s="835"/>
      <c r="O311" s="104"/>
      <c r="P311" s="835"/>
      <c r="Q311" s="866"/>
      <c r="R311" s="104"/>
      <c r="S311" s="104"/>
      <c r="T311" s="104"/>
      <c r="U311" s="104"/>
      <c r="V311" s="104"/>
      <c r="W311" s="104"/>
      <c r="X311" s="104"/>
      <c r="Y311" s="43"/>
      <c r="Z311" s="104"/>
      <c r="AA311" s="104"/>
      <c r="AB311" s="104"/>
      <c r="AC311" s="104"/>
      <c r="AD311" s="104"/>
      <c r="AE311" s="104"/>
      <c r="AF311" s="104"/>
      <c r="AG311" s="104"/>
      <c r="AH311" s="104"/>
      <c r="AI311" s="104"/>
      <c r="AJ311" s="104"/>
      <c r="AK311" s="995">
        <f>SUM(AK300:AK310)</f>
        <v>535711.03</v>
      </c>
      <c r="AL311" s="971"/>
      <c r="AM311" s="917"/>
    </row>
    <row r="313" spans="1:39" x14ac:dyDescent="0.25">
      <c r="M313" s="1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12"/>
  <sheetViews>
    <sheetView tabSelected="1" topLeftCell="A275" workbookViewId="0">
      <selection activeCell="W294" sqref="W294"/>
    </sheetView>
  </sheetViews>
  <sheetFormatPr defaultRowHeight="15" x14ac:dyDescent="0.25"/>
  <cols>
    <col min="1" max="1" width="18" customWidth="1"/>
    <col min="2" max="2" width="1.28515625" customWidth="1"/>
    <col min="3" max="3" width="1.140625" customWidth="1"/>
    <col min="4" max="5" width="1.28515625" customWidth="1"/>
    <col min="6" max="6" width="1.42578125" customWidth="1"/>
    <col min="7" max="7" width="1.28515625" customWidth="1"/>
    <col min="8" max="8" width="1.42578125" customWidth="1"/>
    <col min="9" max="9" width="10.5703125" customWidth="1"/>
    <col min="10" max="10" width="1.140625" customWidth="1"/>
    <col min="11" max="11" width="1.42578125" customWidth="1"/>
    <col min="12" max="12" width="1.28515625" customWidth="1"/>
    <col min="13" max="14" width="9.28515625" customWidth="1"/>
    <col min="15" max="15" width="10.140625" customWidth="1"/>
    <col min="16" max="16" width="9.28515625" customWidth="1"/>
    <col min="17" max="17" width="10.5703125" customWidth="1"/>
    <col min="18" max="22" width="9.28515625" customWidth="1"/>
    <col min="23" max="23" width="9.7109375" customWidth="1"/>
    <col min="24" max="24" width="9.28515625" customWidth="1"/>
    <col min="25" max="25" width="10.5703125" customWidth="1"/>
    <col min="26" max="26" width="1.28515625" customWidth="1"/>
    <col min="27" max="27" width="1.5703125" customWidth="1"/>
    <col min="28" max="28" width="1.28515625" customWidth="1"/>
    <col min="29" max="29" width="1.5703125" customWidth="1"/>
    <col min="30" max="30" width="1.140625" customWidth="1"/>
    <col min="31" max="31" width="1" customWidth="1"/>
    <col min="32" max="32" width="2.140625" customWidth="1"/>
    <col min="33" max="33" width="1.5703125" customWidth="1"/>
    <col min="34" max="34" width="1.28515625" customWidth="1"/>
    <col min="35" max="35" width="1.7109375" customWidth="1"/>
    <col min="36" max="36" width="10.5703125" customWidth="1"/>
    <col min="37" max="37" width="14.7109375" customWidth="1"/>
    <col min="38" max="38" width="23.5703125" customWidth="1"/>
  </cols>
  <sheetData>
    <row r="1" spans="1:38" ht="24" thickBot="1" x14ac:dyDescent="0.4">
      <c r="A1" s="256" t="s">
        <v>168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</row>
    <row r="2" spans="1:38" ht="15.75" x14ac:dyDescent="0.25">
      <c r="A2" s="321" t="s">
        <v>3</v>
      </c>
      <c r="B2" s="322">
        <v>1</v>
      </c>
      <c r="C2" s="322">
        <v>2</v>
      </c>
      <c r="D2" s="322">
        <v>3</v>
      </c>
      <c r="E2" s="322">
        <v>4</v>
      </c>
      <c r="F2" s="322">
        <v>5</v>
      </c>
      <c r="G2" s="322">
        <v>6</v>
      </c>
      <c r="H2" s="322">
        <v>7</v>
      </c>
      <c r="I2" s="323" t="s">
        <v>6</v>
      </c>
      <c r="J2" s="322">
        <v>8</v>
      </c>
      <c r="K2" s="322">
        <v>9</v>
      </c>
      <c r="L2" s="322">
        <v>10</v>
      </c>
      <c r="M2" s="322">
        <v>11</v>
      </c>
      <c r="N2" s="322">
        <v>12</v>
      </c>
      <c r="O2" s="322">
        <v>13</v>
      </c>
      <c r="P2" s="322">
        <v>14</v>
      </c>
      <c r="Q2" s="323" t="s">
        <v>6</v>
      </c>
      <c r="R2" s="322">
        <v>15</v>
      </c>
      <c r="S2" s="322">
        <v>16</v>
      </c>
      <c r="T2" s="322">
        <v>17</v>
      </c>
      <c r="U2" s="322">
        <v>18</v>
      </c>
      <c r="V2" s="322">
        <v>19</v>
      </c>
      <c r="W2" s="322">
        <v>20</v>
      </c>
      <c r="X2" s="322">
        <v>21</v>
      </c>
      <c r="Y2" s="323" t="s">
        <v>6</v>
      </c>
      <c r="Z2" s="322">
        <v>22</v>
      </c>
      <c r="AA2" s="322">
        <v>23</v>
      </c>
      <c r="AB2" s="322">
        <v>24</v>
      </c>
      <c r="AC2" s="322">
        <v>25</v>
      </c>
      <c r="AD2" s="322">
        <v>26</v>
      </c>
      <c r="AE2" s="322">
        <v>27</v>
      </c>
      <c r="AF2" s="322">
        <v>28</v>
      </c>
      <c r="AG2" s="322">
        <v>29</v>
      </c>
      <c r="AH2" s="322">
        <v>30</v>
      </c>
      <c r="AI2" s="322">
        <v>31</v>
      </c>
      <c r="AJ2" s="324" t="s">
        <v>6</v>
      </c>
      <c r="AK2" s="325" t="s">
        <v>0</v>
      </c>
      <c r="AL2" s="395" t="s">
        <v>42</v>
      </c>
    </row>
    <row r="3" spans="1:38" x14ac:dyDescent="0.25">
      <c r="A3" s="11">
        <v>1</v>
      </c>
      <c r="B3" s="106">
        <v>250.28</v>
      </c>
      <c r="C3" s="106">
        <v>300.77</v>
      </c>
      <c r="D3" s="106">
        <v>448.18</v>
      </c>
      <c r="E3" s="106">
        <v>400.87</v>
      </c>
      <c r="F3" s="106">
        <v>352.42</v>
      </c>
      <c r="G3" s="106">
        <v>443.6</v>
      </c>
      <c r="H3" s="106">
        <v>159.97999999999999</v>
      </c>
      <c r="I3" s="157"/>
      <c r="J3" s="106">
        <v>349.87</v>
      </c>
      <c r="K3" s="106">
        <v>350.42</v>
      </c>
      <c r="L3" s="106">
        <v>400.2</v>
      </c>
      <c r="M3" s="106">
        <v>350.93</v>
      </c>
      <c r="N3" s="106">
        <v>350.43</v>
      </c>
      <c r="O3" s="106">
        <v>299.99</v>
      </c>
      <c r="P3" s="106">
        <v>400.07</v>
      </c>
      <c r="Q3" s="35"/>
      <c r="R3" s="106">
        <v>350.03</v>
      </c>
      <c r="S3" s="106">
        <v>350.54</v>
      </c>
      <c r="T3" s="106">
        <v>304.23</v>
      </c>
      <c r="U3" s="106">
        <v>400.91</v>
      </c>
      <c r="V3" s="106">
        <v>401.5</v>
      </c>
      <c r="W3" s="106">
        <v>300.22000000000003</v>
      </c>
      <c r="X3" s="106">
        <v>0</v>
      </c>
      <c r="Y3" s="3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36"/>
      <c r="AK3" s="14"/>
      <c r="AL3" s="729"/>
    </row>
    <row r="4" spans="1:38" x14ac:dyDescent="0.25">
      <c r="A4" s="11">
        <v>2</v>
      </c>
      <c r="B4" s="106">
        <v>400.19</v>
      </c>
      <c r="C4" s="106">
        <v>350.42</v>
      </c>
      <c r="D4" s="106">
        <v>349.69</v>
      </c>
      <c r="E4" s="106">
        <v>450.57</v>
      </c>
      <c r="F4" s="106">
        <v>362.02</v>
      </c>
      <c r="G4" s="106">
        <v>300.77999999999997</v>
      </c>
      <c r="H4" s="106">
        <v>352.16</v>
      </c>
      <c r="I4" s="37"/>
      <c r="J4" s="106">
        <v>400.11</v>
      </c>
      <c r="K4" s="106">
        <v>300.63</v>
      </c>
      <c r="L4" s="106">
        <v>400.31</v>
      </c>
      <c r="M4" s="106">
        <v>433.79</v>
      </c>
      <c r="N4" s="106">
        <v>349.97</v>
      </c>
      <c r="O4" s="106">
        <v>350.39</v>
      </c>
      <c r="P4" s="106">
        <v>500.19</v>
      </c>
      <c r="Q4" s="37"/>
      <c r="R4" s="106">
        <v>300.83</v>
      </c>
      <c r="S4" s="106">
        <v>350.67</v>
      </c>
      <c r="T4" s="106">
        <v>400.97</v>
      </c>
      <c r="U4" s="106">
        <v>399.96</v>
      </c>
      <c r="V4" s="106">
        <v>450.02</v>
      </c>
      <c r="W4" s="106">
        <v>401.02</v>
      </c>
      <c r="X4" s="106"/>
      <c r="Y4" s="37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37"/>
      <c r="AK4" s="38"/>
      <c r="AL4" s="154" t="s">
        <v>379</v>
      </c>
    </row>
    <row r="5" spans="1:38" x14ac:dyDescent="0.25">
      <c r="A5" s="11">
        <v>3</v>
      </c>
      <c r="B5" s="106" t="s">
        <v>289</v>
      </c>
      <c r="C5" s="106" t="s">
        <v>289</v>
      </c>
      <c r="D5" s="106" t="s">
        <v>289</v>
      </c>
      <c r="E5" s="106" t="s">
        <v>289</v>
      </c>
      <c r="F5" s="106" t="s">
        <v>289</v>
      </c>
      <c r="G5" s="106" t="s">
        <v>289</v>
      </c>
      <c r="H5" s="106" t="s">
        <v>289</v>
      </c>
      <c r="I5" s="37"/>
      <c r="J5" s="106" t="s">
        <v>289</v>
      </c>
      <c r="K5" s="106" t="s">
        <v>289</v>
      </c>
      <c r="L5" s="106" t="s">
        <v>289</v>
      </c>
      <c r="M5" s="106" t="s">
        <v>289</v>
      </c>
      <c r="N5" s="106" t="s">
        <v>289</v>
      </c>
      <c r="O5" s="106" t="s">
        <v>289</v>
      </c>
      <c r="P5" s="106" t="s">
        <v>289</v>
      </c>
      <c r="Q5" s="37"/>
      <c r="R5" s="106" t="s">
        <v>289</v>
      </c>
      <c r="S5" s="106" t="s">
        <v>289</v>
      </c>
      <c r="T5" s="106" t="s">
        <v>289</v>
      </c>
      <c r="U5" s="106">
        <v>399.98</v>
      </c>
      <c r="V5" s="106">
        <v>381.18</v>
      </c>
      <c r="W5" s="106">
        <v>350.33</v>
      </c>
      <c r="X5" s="106" t="s">
        <v>289</v>
      </c>
      <c r="Y5" s="37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37"/>
      <c r="AK5" s="38"/>
      <c r="AL5" s="176" t="s">
        <v>395</v>
      </c>
    </row>
    <row r="6" spans="1:38" x14ac:dyDescent="0.25">
      <c r="A6" s="11">
        <v>4</v>
      </c>
      <c r="B6" s="106">
        <v>400.64</v>
      </c>
      <c r="C6" s="106">
        <v>391.41</v>
      </c>
      <c r="D6" s="106">
        <v>499.84</v>
      </c>
      <c r="E6" s="106">
        <v>454.02</v>
      </c>
      <c r="F6" s="106">
        <v>500.49</v>
      </c>
      <c r="G6" s="106">
        <v>400.44</v>
      </c>
      <c r="H6" s="106">
        <v>420.26</v>
      </c>
      <c r="I6" s="37"/>
      <c r="J6" s="106">
        <v>400.18</v>
      </c>
      <c r="K6" s="106">
        <v>451.24</v>
      </c>
      <c r="L6" s="106">
        <v>500.18</v>
      </c>
      <c r="M6" s="106">
        <v>350.19</v>
      </c>
      <c r="N6" s="106">
        <v>500</v>
      </c>
      <c r="O6" s="106" t="s">
        <v>289</v>
      </c>
      <c r="P6" s="106">
        <v>350.68</v>
      </c>
      <c r="Q6" s="37"/>
      <c r="R6" s="106">
        <v>400.7</v>
      </c>
      <c r="S6" s="106">
        <v>399.77</v>
      </c>
      <c r="T6" s="106">
        <v>450.56</v>
      </c>
      <c r="U6" s="106">
        <v>449.97</v>
      </c>
      <c r="V6" s="106">
        <v>500.67</v>
      </c>
      <c r="W6" s="106">
        <v>400.15</v>
      </c>
      <c r="X6" s="106"/>
      <c r="Y6" s="37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37"/>
      <c r="AK6" s="38"/>
      <c r="AL6" s="176"/>
    </row>
    <row r="7" spans="1:38" x14ac:dyDescent="0.25">
      <c r="A7" s="11">
        <v>5</v>
      </c>
      <c r="B7" s="106" t="s">
        <v>289</v>
      </c>
      <c r="C7" s="106" t="s">
        <v>289</v>
      </c>
      <c r="D7" s="106" t="s">
        <v>289</v>
      </c>
      <c r="E7" s="106" t="s">
        <v>289</v>
      </c>
      <c r="F7" s="106" t="s">
        <v>289</v>
      </c>
      <c r="G7" s="106" t="s">
        <v>289</v>
      </c>
      <c r="H7" s="106" t="s">
        <v>289</v>
      </c>
      <c r="I7" s="37"/>
      <c r="J7" s="106" t="s">
        <v>289</v>
      </c>
      <c r="K7" s="106" t="s">
        <v>289</v>
      </c>
      <c r="L7" s="106" t="s">
        <v>289</v>
      </c>
      <c r="M7" s="106" t="s">
        <v>289</v>
      </c>
      <c r="N7" s="106" t="s">
        <v>289</v>
      </c>
      <c r="O7" s="106" t="s">
        <v>289</v>
      </c>
      <c r="P7" s="106" t="s">
        <v>289</v>
      </c>
      <c r="Q7" s="37"/>
      <c r="R7" s="106" t="s">
        <v>289</v>
      </c>
      <c r="S7" s="106" t="s">
        <v>289</v>
      </c>
      <c r="T7" s="106" t="s">
        <v>289</v>
      </c>
      <c r="U7" s="106" t="s">
        <v>289</v>
      </c>
      <c r="V7" s="106" t="s">
        <v>289</v>
      </c>
      <c r="W7" s="106" t="s">
        <v>289</v>
      </c>
      <c r="X7" s="106" t="s">
        <v>289</v>
      </c>
      <c r="Y7" s="37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37"/>
      <c r="AK7" s="38"/>
      <c r="AL7" s="176" t="s">
        <v>381</v>
      </c>
    </row>
    <row r="8" spans="1:38" x14ac:dyDescent="0.25">
      <c r="A8" s="11">
        <v>6</v>
      </c>
      <c r="B8" s="106">
        <v>310.48</v>
      </c>
      <c r="C8" s="106">
        <v>250.42</v>
      </c>
      <c r="D8" s="106">
        <v>140.16</v>
      </c>
      <c r="E8" s="106">
        <v>400.43</v>
      </c>
      <c r="F8" s="106">
        <v>300.56</v>
      </c>
      <c r="G8" s="106">
        <v>300.26</v>
      </c>
      <c r="H8" s="106">
        <v>301.26</v>
      </c>
      <c r="I8" s="37"/>
      <c r="J8" s="106">
        <v>300.26</v>
      </c>
      <c r="K8" s="106">
        <v>300.56</v>
      </c>
      <c r="L8" s="106">
        <v>400.16</v>
      </c>
      <c r="M8" s="106">
        <v>349.21</v>
      </c>
      <c r="N8" s="106">
        <v>350</v>
      </c>
      <c r="O8" s="106">
        <v>200.28</v>
      </c>
      <c r="P8" s="106">
        <v>300.19</v>
      </c>
      <c r="Q8" s="37"/>
      <c r="R8" s="106">
        <v>464.67</v>
      </c>
      <c r="S8" s="106">
        <v>300.14</v>
      </c>
      <c r="T8" s="106">
        <v>350.05</v>
      </c>
      <c r="U8" s="106">
        <v>251.16</v>
      </c>
      <c r="V8" s="106">
        <v>300.63</v>
      </c>
      <c r="W8" s="106">
        <v>400.13</v>
      </c>
      <c r="X8" s="106"/>
      <c r="Y8" s="37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37"/>
      <c r="AK8" s="38"/>
      <c r="AL8" s="176" t="s">
        <v>382</v>
      </c>
    </row>
    <row r="9" spans="1:38" x14ac:dyDescent="0.25">
      <c r="A9" s="11">
        <v>7</v>
      </c>
      <c r="B9" s="587"/>
      <c r="C9" s="587"/>
      <c r="D9" s="587"/>
      <c r="E9" s="587"/>
      <c r="F9" s="587"/>
      <c r="G9" s="587"/>
      <c r="H9" s="587"/>
      <c r="I9" s="182" t="s">
        <v>290</v>
      </c>
      <c r="J9" s="587"/>
      <c r="K9" s="587"/>
      <c r="L9" s="587"/>
      <c r="M9" s="587"/>
      <c r="N9" s="587"/>
      <c r="O9" s="587"/>
      <c r="P9" s="587"/>
      <c r="Q9" s="182" t="s">
        <v>290</v>
      </c>
      <c r="R9" s="587"/>
      <c r="S9" s="587"/>
      <c r="T9" s="587"/>
      <c r="U9" s="587"/>
      <c r="V9" s="587"/>
      <c r="W9" s="587"/>
      <c r="X9" s="587"/>
      <c r="Y9" s="182" t="s">
        <v>290</v>
      </c>
      <c r="Z9" s="587"/>
      <c r="AA9" s="587"/>
      <c r="AB9" s="587"/>
      <c r="AC9" s="587"/>
      <c r="AD9" s="587"/>
      <c r="AE9" s="587"/>
      <c r="AF9" s="587"/>
      <c r="AG9" s="587"/>
      <c r="AH9" s="587"/>
      <c r="AI9" s="587"/>
      <c r="AJ9" s="182" t="s">
        <v>290</v>
      </c>
      <c r="AK9" s="38"/>
      <c r="AL9" s="197"/>
    </row>
    <row r="10" spans="1:38" x14ac:dyDescent="0.25">
      <c r="A10" s="11">
        <v>8</v>
      </c>
      <c r="B10" s="106">
        <v>400.61</v>
      </c>
      <c r="C10" s="106">
        <v>400.53</v>
      </c>
      <c r="D10" s="106">
        <v>399.54</v>
      </c>
      <c r="E10" s="106">
        <v>400.64</v>
      </c>
      <c r="F10" s="106">
        <v>499.51</v>
      </c>
      <c r="G10" s="106">
        <v>300.43</v>
      </c>
      <c r="H10" s="106">
        <v>388.81</v>
      </c>
      <c r="I10" s="37"/>
      <c r="J10" s="106">
        <v>400.52</v>
      </c>
      <c r="K10" s="106">
        <v>500.24</v>
      </c>
      <c r="L10" s="106">
        <v>350.32</v>
      </c>
      <c r="M10" s="106">
        <v>384.6</v>
      </c>
      <c r="N10" s="106">
        <v>400.24</v>
      </c>
      <c r="O10" s="106">
        <v>450.25</v>
      </c>
      <c r="P10" s="106">
        <v>393.19</v>
      </c>
      <c r="Q10" s="37"/>
      <c r="R10" s="106">
        <v>543.11</v>
      </c>
      <c r="S10" s="106">
        <v>499.8</v>
      </c>
      <c r="T10" s="106">
        <v>429.26</v>
      </c>
      <c r="U10" s="106">
        <v>450.03</v>
      </c>
      <c r="V10" s="106">
        <v>500.23</v>
      </c>
      <c r="W10" s="106">
        <v>500.14</v>
      </c>
      <c r="X10" s="106"/>
      <c r="Y10" s="37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37"/>
      <c r="AK10" s="38"/>
      <c r="AL10" s="176" t="s">
        <v>383</v>
      </c>
    </row>
    <row r="11" spans="1:38" x14ac:dyDescent="0.25">
      <c r="A11" s="11">
        <v>9</v>
      </c>
      <c r="B11" s="106" t="s">
        <v>289</v>
      </c>
      <c r="C11" s="106" t="s">
        <v>289</v>
      </c>
      <c r="D11" s="106" t="s">
        <v>289</v>
      </c>
      <c r="E11" s="106" t="s">
        <v>289</v>
      </c>
      <c r="F11" s="106" t="s">
        <v>289</v>
      </c>
      <c r="G11" s="106" t="s">
        <v>289</v>
      </c>
      <c r="H11" s="106" t="s">
        <v>289</v>
      </c>
      <c r="I11" s="37"/>
      <c r="J11" s="106" t="s">
        <v>289</v>
      </c>
      <c r="K11" s="106" t="s">
        <v>289</v>
      </c>
      <c r="L11" s="106" t="s">
        <v>289</v>
      </c>
      <c r="M11" s="106" t="s">
        <v>289</v>
      </c>
      <c r="N11" s="106" t="s">
        <v>289</v>
      </c>
      <c r="O11" s="106" t="s">
        <v>289</v>
      </c>
      <c r="P11" s="106" t="s">
        <v>289</v>
      </c>
      <c r="Q11" s="37"/>
      <c r="R11" s="106" t="s">
        <v>289</v>
      </c>
      <c r="S11" s="106" t="s">
        <v>289</v>
      </c>
      <c r="T11" s="106" t="s">
        <v>289</v>
      </c>
      <c r="U11" s="106" t="s">
        <v>289</v>
      </c>
      <c r="V11" s="106" t="s">
        <v>289</v>
      </c>
      <c r="W11" s="106" t="s">
        <v>289</v>
      </c>
      <c r="X11" s="106" t="s">
        <v>289</v>
      </c>
      <c r="Y11" s="37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37"/>
      <c r="AK11" s="38"/>
      <c r="AL11" s="176" t="s">
        <v>387</v>
      </c>
    </row>
    <row r="12" spans="1:38" x14ac:dyDescent="0.25">
      <c r="A12" s="11">
        <v>10</v>
      </c>
      <c r="B12" s="106">
        <v>399.83</v>
      </c>
      <c r="C12" s="106">
        <v>349.94</v>
      </c>
      <c r="D12" s="106">
        <v>455.36</v>
      </c>
      <c r="E12" s="106">
        <v>500.6</v>
      </c>
      <c r="F12" s="106">
        <v>450.58</v>
      </c>
      <c r="G12" s="106">
        <v>401.2</v>
      </c>
      <c r="H12" s="106">
        <v>499.93</v>
      </c>
      <c r="I12" s="37"/>
      <c r="J12" s="106">
        <v>400.22</v>
      </c>
      <c r="K12" s="106">
        <v>499.98</v>
      </c>
      <c r="L12" s="106">
        <v>450.76</v>
      </c>
      <c r="M12" s="106">
        <v>499.22</v>
      </c>
      <c r="N12" s="106">
        <v>400.04</v>
      </c>
      <c r="O12" s="106">
        <v>399.9</v>
      </c>
      <c r="P12" s="106">
        <v>399.85</v>
      </c>
      <c r="Q12" s="37"/>
      <c r="R12" s="106">
        <v>400.47</v>
      </c>
      <c r="S12" s="106">
        <v>501.59</v>
      </c>
      <c r="T12" s="106">
        <v>500.7</v>
      </c>
      <c r="U12" s="106">
        <v>502.88</v>
      </c>
      <c r="V12" s="106">
        <v>500.6</v>
      </c>
      <c r="W12" s="106">
        <v>500.56</v>
      </c>
      <c r="X12" s="106"/>
      <c r="Y12" s="37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37"/>
      <c r="AK12" s="38"/>
      <c r="AL12" s="176"/>
    </row>
    <row r="13" spans="1:38" x14ac:dyDescent="0.25">
      <c r="A13" s="11">
        <v>11</v>
      </c>
      <c r="B13" s="106">
        <v>500.29</v>
      </c>
      <c r="C13" s="106">
        <v>500.07</v>
      </c>
      <c r="D13" s="106">
        <v>499.7</v>
      </c>
      <c r="E13" s="106">
        <v>501.18</v>
      </c>
      <c r="F13" s="106">
        <v>500.55</v>
      </c>
      <c r="G13" s="106">
        <v>500.36</v>
      </c>
      <c r="H13" s="106">
        <v>504.02</v>
      </c>
      <c r="I13" s="37"/>
      <c r="J13" s="106">
        <v>500.58</v>
      </c>
      <c r="K13" s="106">
        <v>500.57</v>
      </c>
      <c r="L13" s="106">
        <v>500.22</v>
      </c>
      <c r="M13" s="106">
        <v>499.77</v>
      </c>
      <c r="N13" s="106">
        <v>500.33</v>
      </c>
      <c r="O13" s="106">
        <v>500.1</v>
      </c>
      <c r="P13" s="106">
        <v>500.05</v>
      </c>
      <c r="Q13" s="37"/>
      <c r="R13" s="106">
        <v>499.9</v>
      </c>
      <c r="S13" s="106">
        <v>500.37</v>
      </c>
      <c r="T13" s="106">
        <v>500.32</v>
      </c>
      <c r="U13" s="106">
        <v>499.81</v>
      </c>
      <c r="V13" s="106">
        <v>499.51</v>
      </c>
      <c r="W13" s="106">
        <v>499.38</v>
      </c>
      <c r="X13" s="106"/>
      <c r="Y13" s="37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37"/>
      <c r="AK13" s="38"/>
      <c r="AL13" s="176" t="s">
        <v>384</v>
      </c>
    </row>
    <row r="14" spans="1:38" x14ac:dyDescent="0.25">
      <c r="A14" s="11">
        <v>12</v>
      </c>
      <c r="B14" s="106" t="s">
        <v>289</v>
      </c>
      <c r="C14" s="106" t="s">
        <v>289</v>
      </c>
      <c r="D14" s="106" t="s">
        <v>289</v>
      </c>
      <c r="E14" s="106" t="s">
        <v>289</v>
      </c>
      <c r="F14" s="106" t="s">
        <v>289</v>
      </c>
      <c r="G14" s="106" t="s">
        <v>289</v>
      </c>
      <c r="H14" s="106" t="s">
        <v>289</v>
      </c>
      <c r="I14" s="37"/>
      <c r="J14" s="106" t="s">
        <v>289</v>
      </c>
      <c r="K14" s="106" t="s">
        <v>289</v>
      </c>
      <c r="L14" s="106" t="s">
        <v>289</v>
      </c>
      <c r="M14" s="106" t="s">
        <v>289</v>
      </c>
      <c r="N14" s="106" t="s">
        <v>289</v>
      </c>
      <c r="O14" s="106" t="s">
        <v>289</v>
      </c>
      <c r="P14" s="106" t="s">
        <v>289</v>
      </c>
      <c r="Q14" s="37"/>
      <c r="R14" s="106" t="s">
        <v>289</v>
      </c>
      <c r="S14" s="106" t="s">
        <v>289</v>
      </c>
      <c r="T14" s="106" t="s">
        <v>289</v>
      </c>
      <c r="U14" s="106" t="s">
        <v>289</v>
      </c>
      <c r="V14" s="106" t="s">
        <v>289</v>
      </c>
      <c r="W14" s="106" t="s">
        <v>289</v>
      </c>
      <c r="X14" s="106" t="s">
        <v>289</v>
      </c>
      <c r="Y14" s="37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37"/>
      <c r="AK14" s="38"/>
      <c r="AL14" s="176" t="s">
        <v>385</v>
      </c>
    </row>
    <row r="15" spans="1:38" x14ac:dyDescent="0.25">
      <c r="A15" s="11">
        <v>13</v>
      </c>
      <c r="B15" s="106">
        <v>406.96</v>
      </c>
      <c r="C15" s="106">
        <v>395.54</v>
      </c>
      <c r="D15" s="106">
        <v>312.60000000000002</v>
      </c>
      <c r="E15" s="106">
        <v>487.92</v>
      </c>
      <c r="F15" s="106">
        <v>467.63</v>
      </c>
      <c r="G15" s="106">
        <v>400.1</v>
      </c>
      <c r="H15" s="106">
        <v>499.71</v>
      </c>
      <c r="I15" s="37"/>
      <c r="J15" s="106">
        <v>400.28</v>
      </c>
      <c r="K15" s="106">
        <v>506.53</v>
      </c>
      <c r="L15" s="106">
        <v>500</v>
      </c>
      <c r="M15" s="106">
        <v>486.16</v>
      </c>
      <c r="N15" s="106">
        <v>401.11</v>
      </c>
      <c r="O15" s="106">
        <v>400.18</v>
      </c>
      <c r="P15" s="106">
        <v>499.98</v>
      </c>
      <c r="Q15" s="37"/>
      <c r="R15" s="106">
        <v>500.04</v>
      </c>
      <c r="S15" s="106">
        <v>401.26</v>
      </c>
      <c r="T15" s="106">
        <v>500.33</v>
      </c>
      <c r="U15" s="106">
        <v>499.85</v>
      </c>
      <c r="V15" s="106">
        <v>493.12</v>
      </c>
      <c r="W15" s="106">
        <v>477.24</v>
      </c>
      <c r="X15" s="106"/>
      <c r="Y15" s="37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37"/>
      <c r="AK15" s="38"/>
      <c r="AL15" s="176" t="s">
        <v>386</v>
      </c>
    </row>
    <row r="16" spans="1:38" x14ac:dyDescent="0.25">
      <c r="A16" s="11">
        <v>14</v>
      </c>
      <c r="B16" s="106">
        <v>500.48</v>
      </c>
      <c r="C16" s="106">
        <v>500.78</v>
      </c>
      <c r="D16" s="106">
        <v>449.92</v>
      </c>
      <c r="E16" s="106">
        <v>501.35</v>
      </c>
      <c r="F16" s="106">
        <v>499.85</v>
      </c>
      <c r="G16" s="106">
        <v>350.31</v>
      </c>
      <c r="H16" s="106">
        <v>499.63</v>
      </c>
      <c r="I16" s="37"/>
      <c r="J16" s="106">
        <v>500.37</v>
      </c>
      <c r="K16" s="106">
        <v>499.42</v>
      </c>
      <c r="L16" s="106">
        <v>500.07</v>
      </c>
      <c r="M16" s="106">
        <v>500.37</v>
      </c>
      <c r="N16" s="106">
        <v>500.01</v>
      </c>
      <c r="O16" s="106">
        <v>500.62</v>
      </c>
      <c r="P16" s="106">
        <v>400.03</v>
      </c>
      <c r="Q16" s="37"/>
      <c r="R16" s="106">
        <v>500.45</v>
      </c>
      <c r="S16" s="106">
        <v>500.44</v>
      </c>
      <c r="T16" s="106">
        <v>300.60000000000002</v>
      </c>
      <c r="U16" s="106">
        <v>500.16</v>
      </c>
      <c r="V16" s="106">
        <v>400.83</v>
      </c>
      <c r="W16" s="106">
        <v>400.34</v>
      </c>
      <c r="X16" s="106"/>
      <c r="Y16" s="37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37"/>
      <c r="AK16" s="38"/>
      <c r="AL16" s="197"/>
    </row>
    <row r="17" spans="1:38" x14ac:dyDescent="0.25">
      <c r="A17" s="11">
        <v>15</v>
      </c>
      <c r="B17" s="106">
        <v>399.8</v>
      </c>
      <c r="C17" s="106">
        <v>351.64</v>
      </c>
      <c r="D17" s="106">
        <v>297.75</v>
      </c>
      <c r="E17" s="106">
        <v>412.98</v>
      </c>
      <c r="F17" s="106">
        <v>319.26</v>
      </c>
      <c r="G17" s="106">
        <v>431.27</v>
      </c>
      <c r="H17" s="106">
        <v>500.12</v>
      </c>
      <c r="I17" s="37"/>
      <c r="J17" s="106">
        <v>500.51</v>
      </c>
      <c r="K17" s="106">
        <v>499.8</v>
      </c>
      <c r="L17" s="106">
        <v>390.06</v>
      </c>
      <c r="M17" s="106">
        <v>463.48</v>
      </c>
      <c r="N17" s="106">
        <v>401.05</v>
      </c>
      <c r="O17" s="106">
        <v>273.89</v>
      </c>
      <c r="P17" s="106">
        <v>303.5</v>
      </c>
      <c r="Q17" s="37"/>
      <c r="R17" s="106">
        <v>499.47</v>
      </c>
      <c r="S17" s="106">
        <v>500.31</v>
      </c>
      <c r="T17" s="106">
        <v>499.89</v>
      </c>
      <c r="U17" s="106">
        <v>500.11</v>
      </c>
      <c r="V17" s="106">
        <v>325.51</v>
      </c>
      <c r="W17" s="106">
        <v>400.18</v>
      </c>
      <c r="X17" s="106"/>
      <c r="Y17" s="37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37"/>
      <c r="AK17" s="38"/>
      <c r="AL17" s="197"/>
    </row>
    <row r="18" spans="1:38" x14ac:dyDescent="0.25">
      <c r="A18" s="11">
        <v>16</v>
      </c>
      <c r="B18" s="587"/>
      <c r="C18" s="587"/>
      <c r="D18" s="587"/>
      <c r="E18" s="587"/>
      <c r="F18" s="587"/>
      <c r="G18" s="587"/>
      <c r="H18" s="587"/>
      <c r="I18" s="182" t="s">
        <v>291</v>
      </c>
      <c r="J18" s="587"/>
      <c r="K18" s="587"/>
      <c r="L18" s="587"/>
      <c r="M18" s="587"/>
      <c r="N18" s="587"/>
      <c r="O18" s="587"/>
      <c r="P18" s="587"/>
      <c r="Q18" s="182" t="s">
        <v>291</v>
      </c>
      <c r="R18" s="587"/>
      <c r="S18" s="587"/>
      <c r="T18" s="587"/>
      <c r="U18" s="587"/>
      <c r="V18" s="587"/>
      <c r="W18" s="587"/>
      <c r="X18" s="587"/>
      <c r="Y18" s="182" t="s">
        <v>291</v>
      </c>
      <c r="Z18" s="587"/>
      <c r="AA18" s="587"/>
      <c r="AB18" s="587"/>
      <c r="AC18" s="587"/>
      <c r="AD18" s="587"/>
      <c r="AE18" s="587"/>
      <c r="AF18" s="587"/>
      <c r="AG18" s="587"/>
      <c r="AH18" s="587"/>
      <c r="AI18" s="587"/>
      <c r="AJ18" s="182" t="s">
        <v>291</v>
      </c>
      <c r="AK18" s="41"/>
      <c r="AL18" s="202"/>
    </row>
    <row r="19" spans="1:38" x14ac:dyDescent="0.25">
      <c r="A19" s="11">
        <v>17</v>
      </c>
      <c r="B19" s="106">
        <v>350.58</v>
      </c>
      <c r="C19" s="106">
        <v>300.85000000000002</v>
      </c>
      <c r="D19" s="106">
        <v>472.04</v>
      </c>
      <c r="E19" s="106">
        <v>400.53</v>
      </c>
      <c r="F19" s="106">
        <v>500.75</v>
      </c>
      <c r="G19" s="106">
        <v>464.01</v>
      </c>
      <c r="H19" s="106">
        <v>301.06</v>
      </c>
      <c r="I19" s="37"/>
      <c r="J19" s="106">
        <v>350.08</v>
      </c>
      <c r="K19" s="106">
        <v>400.95</v>
      </c>
      <c r="L19" s="106">
        <v>350.23</v>
      </c>
      <c r="M19" s="106">
        <v>363.71</v>
      </c>
      <c r="N19" s="106">
        <v>399.99</v>
      </c>
      <c r="O19" s="106">
        <v>350.4</v>
      </c>
      <c r="P19" s="106">
        <v>424.32</v>
      </c>
      <c r="Q19" s="37"/>
      <c r="R19" s="106">
        <v>322.82</v>
      </c>
      <c r="S19" s="106">
        <v>401.62</v>
      </c>
      <c r="T19" s="106">
        <v>400.1</v>
      </c>
      <c r="U19" s="106">
        <v>400.24</v>
      </c>
      <c r="V19" s="106">
        <v>400.59</v>
      </c>
      <c r="W19" s="106">
        <v>350.25</v>
      </c>
      <c r="X19" s="106"/>
      <c r="Y19" s="37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37"/>
      <c r="AK19" s="38"/>
      <c r="AL19" s="197"/>
    </row>
    <row r="20" spans="1:38" x14ac:dyDescent="0.25">
      <c r="A20" s="11">
        <v>18</v>
      </c>
      <c r="B20" s="106" t="s">
        <v>289</v>
      </c>
      <c r="C20" s="106" t="s">
        <v>289</v>
      </c>
      <c r="D20" s="106" t="s">
        <v>289</v>
      </c>
      <c r="E20" s="106" t="s">
        <v>289</v>
      </c>
      <c r="F20" s="106" t="s">
        <v>289</v>
      </c>
      <c r="G20" s="106" t="s">
        <v>289</v>
      </c>
      <c r="H20" s="106" t="s">
        <v>289</v>
      </c>
      <c r="I20" s="37"/>
      <c r="J20" s="106" t="s">
        <v>289</v>
      </c>
      <c r="K20" s="106" t="s">
        <v>289</v>
      </c>
      <c r="L20" s="106" t="s">
        <v>289</v>
      </c>
      <c r="M20" s="106" t="s">
        <v>289</v>
      </c>
      <c r="N20" s="106" t="s">
        <v>289</v>
      </c>
      <c r="O20" s="106" t="s">
        <v>289</v>
      </c>
      <c r="P20" s="106" t="s">
        <v>289</v>
      </c>
      <c r="Q20" s="37"/>
      <c r="R20" s="106" t="s">
        <v>289</v>
      </c>
      <c r="S20" s="106" t="s">
        <v>289</v>
      </c>
      <c r="T20" s="106" t="s">
        <v>289</v>
      </c>
      <c r="U20" s="106" t="s">
        <v>289</v>
      </c>
      <c r="V20" s="106" t="s">
        <v>289</v>
      </c>
      <c r="W20" s="106" t="s">
        <v>289</v>
      </c>
      <c r="X20" s="106" t="s">
        <v>289</v>
      </c>
      <c r="Y20" s="37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37"/>
      <c r="AK20" s="38"/>
      <c r="AL20" s="197"/>
    </row>
    <row r="21" spans="1:38" x14ac:dyDescent="0.25">
      <c r="A21" s="11">
        <v>19</v>
      </c>
      <c r="B21" s="106" t="s">
        <v>289</v>
      </c>
      <c r="C21" s="106" t="s">
        <v>289</v>
      </c>
      <c r="D21" s="106" t="s">
        <v>289</v>
      </c>
      <c r="E21" s="106" t="s">
        <v>289</v>
      </c>
      <c r="F21" s="106" t="s">
        <v>289</v>
      </c>
      <c r="G21" s="106" t="s">
        <v>289</v>
      </c>
      <c r="H21" s="106" t="s">
        <v>289</v>
      </c>
      <c r="I21" s="37"/>
      <c r="J21" s="106" t="s">
        <v>289</v>
      </c>
      <c r="K21" s="106" t="s">
        <v>289</v>
      </c>
      <c r="L21" s="106" t="s">
        <v>289</v>
      </c>
      <c r="M21" s="106" t="s">
        <v>289</v>
      </c>
      <c r="N21" s="106" t="s">
        <v>289</v>
      </c>
      <c r="O21" s="106" t="s">
        <v>289</v>
      </c>
      <c r="P21" s="106" t="s">
        <v>289</v>
      </c>
      <c r="Q21" s="37"/>
      <c r="R21" s="106" t="s">
        <v>289</v>
      </c>
      <c r="S21" s="106" t="s">
        <v>289</v>
      </c>
      <c r="T21" s="106" t="s">
        <v>289</v>
      </c>
      <c r="U21" s="106" t="s">
        <v>289</v>
      </c>
      <c r="V21" s="106" t="s">
        <v>289</v>
      </c>
      <c r="W21" s="106" t="s">
        <v>289</v>
      </c>
      <c r="X21" s="106" t="s">
        <v>289</v>
      </c>
      <c r="Y21" s="37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37"/>
      <c r="AK21" s="38"/>
      <c r="AL21" s="197"/>
    </row>
    <row r="22" spans="1:38" x14ac:dyDescent="0.25">
      <c r="A22" s="11">
        <v>20</v>
      </c>
      <c r="B22" s="106" t="s">
        <v>289</v>
      </c>
      <c r="C22" s="106" t="s">
        <v>289</v>
      </c>
      <c r="D22" s="106" t="s">
        <v>289</v>
      </c>
      <c r="E22" s="106" t="s">
        <v>289</v>
      </c>
      <c r="F22" s="106">
        <v>250.47</v>
      </c>
      <c r="G22" s="106" t="s">
        <v>289</v>
      </c>
      <c r="H22" s="106">
        <v>188.49</v>
      </c>
      <c r="I22" s="37"/>
      <c r="J22" s="106">
        <v>150.41</v>
      </c>
      <c r="K22" s="106" t="s">
        <v>289</v>
      </c>
      <c r="L22" s="106" t="s">
        <v>289</v>
      </c>
      <c r="M22" s="106" t="s">
        <v>289</v>
      </c>
      <c r="N22" s="106">
        <v>400.04</v>
      </c>
      <c r="O22" s="106" t="s">
        <v>289</v>
      </c>
      <c r="P22" s="106">
        <v>350.78</v>
      </c>
      <c r="Q22" s="37"/>
      <c r="R22" s="106">
        <v>500.37</v>
      </c>
      <c r="S22" s="106">
        <v>404.97</v>
      </c>
      <c r="T22" s="106">
        <v>500.13</v>
      </c>
      <c r="U22" s="106">
        <v>506.34</v>
      </c>
      <c r="V22" s="106">
        <v>500.45</v>
      </c>
      <c r="W22" s="106">
        <v>500.08</v>
      </c>
      <c r="X22" s="106"/>
      <c r="Y22" s="37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37"/>
      <c r="AK22" s="38"/>
      <c r="AL22" s="197"/>
    </row>
    <row r="23" spans="1:38" x14ac:dyDescent="0.25">
      <c r="A23" s="11">
        <v>21</v>
      </c>
      <c r="B23" s="174"/>
      <c r="C23" s="174"/>
      <c r="D23" s="174"/>
      <c r="E23" s="174"/>
      <c r="F23" s="174"/>
      <c r="G23" s="174"/>
      <c r="H23" s="174"/>
      <c r="I23" s="182" t="s">
        <v>369</v>
      </c>
      <c r="J23" s="174"/>
      <c r="K23" s="174"/>
      <c r="L23" s="174"/>
      <c r="M23" s="174"/>
      <c r="N23" s="174"/>
      <c r="O23" s="174"/>
      <c r="P23" s="174"/>
      <c r="Q23" s="182" t="s">
        <v>369</v>
      </c>
      <c r="R23" s="174"/>
      <c r="S23" s="174"/>
      <c r="T23" s="174"/>
      <c r="U23" s="174"/>
      <c r="V23" s="174"/>
      <c r="W23" s="174"/>
      <c r="X23" s="174"/>
      <c r="Y23" s="182" t="s">
        <v>369</v>
      </c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82" t="s">
        <v>369</v>
      </c>
      <c r="AK23" s="38"/>
      <c r="AL23" s="197"/>
    </row>
    <row r="24" spans="1:38" x14ac:dyDescent="0.25">
      <c r="A24" s="11">
        <v>22</v>
      </c>
      <c r="B24" s="106" t="s">
        <v>289</v>
      </c>
      <c r="C24" s="106" t="s">
        <v>289</v>
      </c>
      <c r="D24" s="106" t="s">
        <v>289</v>
      </c>
      <c r="E24" s="106" t="s">
        <v>289</v>
      </c>
      <c r="F24" s="106" t="s">
        <v>289</v>
      </c>
      <c r="G24" s="106" t="s">
        <v>289</v>
      </c>
      <c r="H24" s="106" t="s">
        <v>289</v>
      </c>
      <c r="I24" s="37"/>
      <c r="J24" s="106" t="s">
        <v>289</v>
      </c>
      <c r="K24" s="106" t="s">
        <v>289</v>
      </c>
      <c r="L24" s="106" t="s">
        <v>289</v>
      </c>
      <c r="M24" s="106" t="s">
        <v>289</v>
      </c>
      <c r="N24" s="106" t="s">
        <v>289</v>
      </c>
      <c r="O24" s="106" t="s">
        <v>289</v>
      </c>
      <c r="P24" s="106" t="s">
        <v>289</v>
      </c>
      <c r="Q24" s="37"/>
      <c r="R24" s="106" t="s">
        <v>289</v>
      </c>
      <c r="S24" s="106" t="s">
        <v>289</v>
      </c>
      <c r="T24" s="106" t="s">
        <v>289</v>
      </c>
      <c r="U24" s="106" t="s">
        <v>289</v>
      </c>
      <c r="V24" s="106" t="s">
        <v>289</v>
      </c>
      <c r="W24" s="106" t="s">
        <v>289</v>
      </c>
      <c r="X24" s="106" t="s">
        <v>289</v>
      </c>
      <c r="Y24" s="37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37"/>
      <c r="AK24" s="38"/>
      <c r="AL24" s="197"/>
    </row>
    <row r="25" spans="1:38" x14ac:dyDescent="0.25">
      <c r="A25" s="11">
        <v>23</v>
      </c>
      <c r="B25" s="174"/>
      <c r="C25" s="174"/>
      <c r="D25" s="174"/>
      <c r="E25" s="174"/>
      <c r="F25" s="174"/>
      <c r="G25" s="174"/>
      <c r="H25" s="174"/>
      <c r="I25" s="182" t="s">
        <v>369</v>
      </c>
      <c r="J25" s="174"/>
      <c r="K25" s="174"/>
      <c r="L25" s="174"/>
      <c r="M25" s="174"/>
      <c r="N25" s="174"/>
      <c r="O25" s="174"/>
      <c r="P25" s="174"/>
      <c r="Q25" s="182" t="s">
        <v>369</v>
      </c>
      <c r="R25" s="174"/>
      <c r="S25" s="174"/>
      <c r="T25" s="174"/>
      <c r="U25" s="174"/>
      <c r="V25" s="174"/>
      <c r="W25" s="174"/>
      <c r="X25" s="174"/>
      <c r="Y25" s="182" t="s">
        <v>369</v>
      </c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82" t="s">
        <v>369</v>
      </c>
      <c r="AK25" s="38"/>
      <c r="AL25" s="197"/>
    </row>
    <row r="26" spans="1:38" x14ac:dyDescent="0.25">
      <c r="A26" s="11">
        <v>24</v>
      </c>
      <c r="B26" s="174"/>
      <c r="C26" s="174"/>
      <c r="D26" s="174"/>
      <c r="E26" s="174"/>
      <c r="F26" s="174"/>
      <c r="G26" s="174"/>
      <c r="H26" s="174"/>
      <c r="I26" s="182" t="s">
        <v>369</v>
      </c>
      <c r="J26" s="174"/>
      <c r="K26" s="174"/>
      <c r="L26" s="174"/>
      <c r="M26" s="174"/>
      <c r="N26" s="174"/>
      <c r="O26" s="174"/>
      <c r="P26" s="174"/>
      <c r="Q26" s="182" t="s">
        <v>369</v>
      </c>
      <c r="R26" s="174"/>
      <c r="S26" s="174"/>
      <c r="T26" s="174"/>
      <c r="U26" s="174"/>
      <c r="V26" s="174"/>
      <c r="W26" s="174"/>
      <c r="X26" s="174"/>
      <c r="Y26" s="182" t="s">
        <v>369</v>
      </c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82" t="s">
        <v>369</v>
      </c>
      <c r="AK26" s="38"/>
      <c r="AL26" s="197"/>
    </row>
    <row r="27" spans="1:38" x14ac:dyDescent="0.25">
      <c r="A27" s="11">
        <v>25</v>
      </c>
      <c r="B27" s="174"/>
      <c r="C27" s="174"/>
      <c r="D27" s="174"/>
      <c r="E27" s="174"/>
      <c r="F27" s="174"/>
      <c r="G27" s="174"/>
      <c r="H27" s="174"/>
      <c r="I27" s="182" t="s">
        <v>369</v>
      </c>
      <c r="J27" s="174"/>
      <c r="K27" s="174"/>
      <c r="L27" s="174"/>
      <c r="M27" s="174"/>
      <c r="N27" s="174"/>
      <c r="O27" s="174"/>
      <c r="P27" s="174"/>
      <c r="Q27" s="182" t="s">
        <v>369</v>
      </c>
      <c r="R27" s="174"/>
      <c r="S27" s="174"/>
      <c r="T27" s="174"/>
      <c r="U27" s="174"/>
      <c r="V27" s="174"/>
      <c r="W27" s="174"/>
      <c r="X27" s="174"/>
      <c r="Y27" s="182" t="s">
        <v>369</v>
      </c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82" t="s">
        <v>369</v>
      </c>
      <c r="AK27" s="38"/>
      <c r="AL27" s="197"/>
    </row>
    <row r="28" spans="1:38" x14ac:dyDescent="0.25">
      <c r="A28" s="11">
        <v>26</v>
      </c>
      <c r="B28" s="587"/>
      <c r="C28" s="587"/>
      <c r="D28" s="587"/>
      <c r="E28" s="587"/>
      <c r="F28" s="587"/>
      <c r="G28" s="587"/>
      <c r="H28" s="587"/>
      <c r="I28" s="182" t="s">
        <v>290</v>
      </c>
      <c r="J28" s="587"/>
      <c r="K28" s="587"/>
      <c r="L28" s="587"/>
      <c r="M28" s="587"/>
      <c r="N28" s="587"/>
      <c r="O28" s="587"/>
      <c r="P28" s="587"/>
      <c r="Q28" s="182" t="s">
        <v>290</v>
      </c>
      <c r="R28" s="587"/>
      <c r="S28" s="587"/>
      <c r="T28" s="587"/>
      <c r="U28" s="587"/>
      <c r="V28" s="587"/>
      <c r="W28" s="587"/>
      <c r="X28" s="587"/>
      <c r="Y28" s="182" t="s">
        <v>290</v>
      </c>
      <c r="Z28" s="587"/>
      <c r="AA28" s="587"/>
      <c r="AB28" s="587"/>
      <c r="AC28" s="587"/>
      <c r="AD28" s="587"/>
      <c r="AE28" s="587"/>
      <c r="AF28" s="587"/>
      <c r="AG28" s="587"/>
      <c r="AH28" s="587"/>
      <c r="AI28" s="587"/>
      <c r="AJ28" s="182" t="s">
        <v>290</v>
      </c>
      <c r="AK28" s="38"/>
      <c r="AL28" s="197"/>
    </row>
    <row r="29" spans="1:38" x14ac:dyDescent="0.25">
      <c r="A29" s="11">
        <v>27</v>
      </c>
      <c r="B29" s="106">
        <v>250.82</v>
      </c>
      <c r="C29" s="106">
        <v>250.47</v>
      </c>
      <c r="D29" s="106">
        <v>295.44</v>
      </c>
      <c r="E29" s="106">
        <v>251.63</v>
      </c>
      <c r="F29" s="106">
        <v>250.66</v>
      </c>
      <c r="G29" s="106">
        <v>400.5</v>
      </c>
      <c r="H29" s="106">
        <v>299.93</v>
      </c>
      <c r="I29" s="37"/>
      <c r="J29" s="106">
        <v>400.52</v>
      </c>
      <c r="K29" s="106">
        <v>279.45</v>
      </c>
      <c r="L29" s="106">
        <v>299.35000000000002</v>
      </c>
      <c r="M29" s="106">
        <v>299.54000000000002</v>
      </c>
      <c r="N29" s="106">
        <v>149.93</v>
      </c>
      <c r="O29" s="106">
        <v>150.1</v>
      </c>
      <c r="P29" s="106">
        <v>400.07</v>
      </c>
      <c r="Q29" s="37"/>
      <c r="R29" s="106">
        <v>350.16</v>
      </c>
      <c r="S29" s="106">
        <v>401.46</v>
      </c>
      <c r="T29" s="106">
        <v>202.77</v>
      </c>
      <c r="U29" s="106">
        <v>250.28</v>
      </c>
      <c r="V29" s="106">
        <v>270.64</v>
      </c>
      <c r="W29" s="106" t="s">
        <v>289</v>
      </c>
      <c r="X29" s="106"/>
      <c r="Y29" s="37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37"/>
      <c r="AK29" s="38"/>
      <c r="AL29" s="197"/>
    </row>
    <row r="30" spans="1:38" x14ac:dyDescent="0.25">
      <c r="A30" s="11">
        <v>28</v>
      </c>
      <c r="B30" s="106">
        <v>301.01</v>
      </c>
      <c r="C30" s="106">
        <v>200.19</v>
      </c>
      <c r="D30" s="106">
        <v>300.18</v>
      </c>
      <c r="E30" s="106">
        <v>377.06</v>
      </c>
      <c r="F30" s="106">
        <v>250.43</v>
      </c>
      <c r="G30" s="106">
        <v>351.68</v>
      </c>
      <c r="H30" s="106">
        <v>276.32</v>
      </c>
      <c r="I30" s="37"/>
      <c r="J30" s="106">
        <v>250.12</v>
      </c>
      <c r="K30" s="106">
        <v>301.2</v>
      </c>
      <c r="L30" s="106">
        <v>300.12</v>
      </c>
      <c r="M30" s="106">
        <v>299.67</v>
      </c>
      <c r="N30" s="106">
        <v>250.1</v>
      </c>
      <c r="O30" s="106">
        <v>300.06</v>
      </c>
      <c r="P30" s="106">
        <v>300.20999999999998</v>
      </c>
      <c r="Q30" s="37"/>
      <c r="R30" s="106">
        <v>207.4</v>
      </c>
      <c r="S30" s="106">
        <v>449.42</v>
      </c>
      <c r="T30" s="106">
        <v>300.60000000000002</v>
      </c>
      <c r="U30" s="106">
        <v>250.22</v>
      </c>
      <c r="V30" s="106">
        <v>499.27</v>
      </c>
      <c r="W30" s="106">
        <v>400.15</v>
      </c>
      <c r="X30" s="106"/>
      <c r="Y30" s="37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37"/>
      <c r="AK30" s="38"/>
      <c r="AL30" s="197"/>
    </row>
    <row r="31" spans="1:38" x14ac:dyDescent="0.25">
      <c r="A31" s="11">
        <v>29</v>
      </c>
      <c r="B31" s="587"/>
      <c r="C31" s="587"/>
      <c r="D31" s="587"/>
      <c r="E31" s="587"/>
      <c r="F31" s="587"/>
      <c r="G31" s="587"/>
      <c r="H31" s="587"/>
      <c r="I31" s="182" t="s">
        <v>290</v>
      </c>
      <c r="J31" s="587"/>
      <c r="K31" s="587"/>
      <c r="L31" s="587"/>
      <c r="M31" s="587"/>
      <c r="N31" s="587"/>
      <c r="O31" s="587"/>
      <c r="P31" s="587"/>
      <c r="Q31" s="182" t="s">
        <v>290</v>
      </c>
      <c r="R31" s="587"/>
      <c r="S31" s="587"/>
      <c r="T31" s="587"/>
      <c r="U31" s="587"/>
      <c r="V31" s="587"/>
      <c r="W31" s="587"/>
      <c r="X31" s="587"/>
      <c r="Y31" s="182" t="s">
        <v>290</v>
      </c>
      <c r="Z31" s="587"/>
      <c r="AA31" s="587"/>
      <c r="AB31" s="587"/>
      <c r="AC31" s="587"/>
      <c r="AD31" s="587"/>
      <c r="AE31" s="587"/>
      <c r="AF31" s="587"/>
      <c r="AG31" s="589"/>
      <c r="AH31" s="589"/>
      <c r="AI31" s="589"/>
      <c r="AJ31" s="182" t="s">
        <v>290</v>
      </c>
      <c r="AK31" s="38"/>
      <c r="AL31" s="197"/>
    </row>
    <row r="32" spans="1:38" x14ac:dyDescent="0.25">
      <c r="A32" s="11">
        <v>30</v>
      </c>
      <c r="B32" s="106">
        <v>250.6</v>
      </c>
      <c r="C32" s="106">
        <v>300.41000000000003</v>
      </c>
      <c r="D32" s="106">
        <v>216.26</v>
      </c>
      <c r="E32" s="106">
        <v>300.45</v>
      </c>
      <c r="F32" s="106">
        <v>250.43</v>
      </c>
      <c r="G32" s="106">
        <v>251.28</v>
      </c>
      <c r="H32" s="106">
        <v>263.5</v>
      </c>
      <c r="I32" s="37"/>
      <c r="J32" s="106">
        <v>300.36</v>
      </c>
      <c r="K32" s="106" t="s">
        <v>289</v>
      </c>
      <c r="L32" s="106">
        <v>400.14</v>
      </c>
      <c r="M32" s="106">
        <v>299.99</v>
      </c>
      <c r="N32" s="106">
        <v>250.43</v>
      </c>
      <c r="O32" s="106">
        <v>200.16</v>
      </c>
      <c r="P32" s="106">
        <v>350.1</v>
      </c>
      <c r="Q32" s="37"/>
      <c r="R32" s="106">
        <v>200.17</v>
      </c>
      <c r="S32" s="106">
        <v>402.58</v>
      </c>
      <c r="T32" s="106">
        <v>301.07</v>
      </c>
      <c r="U32" s="106">
        <v>250.39</v>
      </c>
      <c r="V32" s="106">
        <v>450.33</v>
      </c>
      <c r="W32" s="106">
        <v>400.34</v>
      </c>
      <c r="X32" s="106"/>
      <c r="Y32" s="37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37"/>
      <c r="AK32" s="38"/>
      <c r="AL32" s="197"/>
    </row>
    <row r="33" spans="1:38" x14ac:dyDescent="0.25">
      <c r="A33" s="11">
        <v>31</v>
      </c>
      <c r="B33" s="106">
        <v>245.84</v>
      </c>
      <c r="C33" s="106">
        <v>202.12</v>
      </c>
      <c r="D33" s="106">
        <v>427.99</v>
      </c>
      <c r="E33" s="106">
        <v>261.08</v>
      </c>
      <c r="F33" s="106">
        <v>299.98</v>
      </c>
      <c r="G33" s="106">
        <v>350.92</v>
      </c>
      <c r="H33" s="106">
        <v>301.27</v>
      </c>
      <c r="I33" s="37"/>
      <c r="J33" s="106">
        <v>250.35</v>
      </c>
      <c r="K33" s="106">
        <v>250.76</v>
      </c>
      <c r="L33" s="106">
        <v>385.02</v>
      </c>
      <c r="M33" s="106">
        <v>377.92</v>
      </c>
      <c r="N33" s="106">
        <v>251.13</v>
      </c>
      <c r="O33" s="106">
        <v>400.32</v>
      </c>
      <c r="P33" s="106">
        <v>192.73</v>
      </c>
      <c r="Q33" s="37"/>
      <c r="R33" s="106" t="s">
        <v>289</v>
      </c>
      <c r="S33" s="106">
        <v>300.56</v>
      </c>
      <c r="T33" s="106">
        <v>404.38</v>
      </c>
      <c r="U33" s="106">
        <v>315.92</v>
      </c>
      <c r="V33" s="106">
        <v>300.04000000000002</v>
      </c>
      <c r="W33" s="106">
        <v>300.70999999999998</v>
      </c>
      <c r="X33" s="106"/>
      <c r="Y33" s="37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37"/>
      <c r="AK33" s="38"/>
      <c r="AL33" s="197"/>
    </row>
    <row r="34" spans="1:38" x14ac:dyDescent="0.25">
      <c r="A34" s="11">
        <v>32</v>
      </c>
      <c r="B34" s="106">
        <v>250.69</v>
      </c>
      <c r="C34" s="106">
        <v>250.21</v>
      </c>
      <c r="D34" s="106">
        <v>300.2</v>
      </c>
      <c r="E34" s="106">
        <v>351.34</v>
      </c>
      <c r="F34" s="106">
        <v>200.46</v>
      </c>
      <c r="G34" s="106">
        <v>300.52999999999997</v>
      </c>
      <c r="H34" s="106">
        <v>201.58</v>
      </c>
      <c r="I34" s="37"/>
      <c r="J34" s="106">
        <v>250.2</v>
      </c>
      <c r="K34" s="106">
        <v>400.22</v>
      </c>
      <c r="L34" s="106">
        <v>300.2</v>
      </c>
      <c r="M34" s="106">
        <v>329.95</v>
      </c>
      <c r="N34" s="106">
        <v>200.47</v>
      </c>
      <c r="O34" s="106">
        <v>250.55</v>
      </c>
      <c r="P34" s="106">
        <v>350.27</v>
      </c>
      <c r="Q34" s="37"/>
      <c r="R34" s="106">
        <v>275.38</v>
      </c>
      <c r="S34" s="106" t="s">
        <v>289</v>
      </c>
      <c r="T34" s="106">
        <v>400.63</v>
      </c>
      <c r="U34" s="106">
        <v>441.43</v>
      </c>
      <c r="V34" s="106">
        <v>401.19</v>
      </c>
      <c r="W34" s="106">
        <v>300.32</v>
      </c>
      <c r="X34" s="106"/>
      <c r="Y34" s="37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37"/>
      <c r="AK34" s="38"/>
      <c r="AL34" s="197"/>
    </row>
    <row r="35" spans="1:38" x14ac:dyDescent="0.25">
      <c r="A35" s="11">
        <v>33</v>
      </c>
      <c r="B35" s="106">
        <v>257.25</v>
      </c>
      <c r="C35" s="106">
        <v>250.4</v>
      </c>
      <c r="D35" s="106">
        <v>250.12</v>
      </c>
      <c r="E35" s="106">
        <v>350.7</v>
      </c>
      <c r="F35" s="106">
        <v>170.52</v>
      </c>
      <c r="G35" s="106">
        <v>398.98</v>
      </c>
      <c r="H35" s="106">
        <v>301.42</v>
      </c>
      <c r="I35" s="37"/>
      <c r="J35" s="106">
        <v>244.26</v>
      </c>
      <c r="K35" s="106">
        <v>500.37</v>
      </c>
      <c r="L35" s="106">
        <v>400.16</v>
      </c>
      <c r="M35" s="106">
        <v>174.08</v>
      </c>
      <c r="N35" s="106">
        <v>199.98</v>
      </c>
      <c r="O35" s="106">
        <v>200.41</v>
      </c>
      <c r="P35" s="106">
        <v>300.26</v>
      </c>
      <c r="Q35" s="37"/>
      <c r="R35" s="106" t="s">
        <v>289</v>
      </c>
      <c r="S35" s="106">
        <v>501.79</v>
      </c>
      <c r="T35" s="106">
        <v>499.25</v>
      </c>
      <c r="U35" s="106">
        <v>400.06</v>
      </c>
      <c r="V35" s="106">
        <v>251.32</v>
      </c>
      <c r="W35" s="106">
        <v>400.25</v>
      </c>
      <c r="X35" s="106"/>
      <c r="Y35" s="37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37"/>
      <c r="AK35" s="38"/>
      <c r="AL35" s="197"/>
    </row>
    <row r="36" spans="1:38" x14ac:dyDescent="0.25">
      <c r="A36" s="11">
        <v>34</v>
      </c>
      <c r="B36" s="106">
        <v>250.67</v>
      </c>
      <c r="C36" s="106">
        <v>150.38</v>
      </c>
      <c r="D36" s="106">
        <v>213.69</v>
      </c>
      <c r="E36" s="106">
        <v>300.68</v>
      </c>
      <c r="F36" s="106">
        <v>400.34</v>
      </c>
      <c r="G36" s="106">
        <v>292.87</v>
      </c>
      <c r="H36" s="106">
        <v>202.26</v>
      </c>
      <c r="I36" s="37"/>
      <c r="J36" s="106">
        <v>250.18</v>
      </c>
      <c r="K36" s="106">
        <v>128.19999999999999</v>
      </c>
      <c r="L36" s="106">
        <v>250.5</v>
      </c>
      <c r="M36" s="106">
        <v>199.6</v>
      </c>
      <c r="N36" s="106">
        <v>200.42</v>
      </c>
      <c r="O36" s="106">
        <v>200.85</v>
      </c>
      <c r="P36" s="106">
        <v>249.79</v>
      </c>
      <c r="Q36" s="37"/>
      <c r="R36" s="106">
        <v>400.1</v>
      </c>
      <c r="S36" s="106">
        <v>300.37</v>
      </c>
      <c r="T36" s="106">
        <v>250.27</v>
      </c>
      <c r="U36" s="106">
        <v>250.13</v>
      </c>
      <c r="V36" s="106">
        <v>250.33</v>
      </c>
      <c r="W36" s="106">
        <v>250.21</v>
      </c>
      <c r="X36" s="106"/>
      <c r="Y36" s="37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37"/>
      <c r="AK36" s="38"/>
      <c r="AL36" s="197"/>
    </row>
    <row r="37" spans="1:38" x14ac:dyDescent="0.25">
      <c r="A37" s="11">
        <v>35</v>
      </c>
      <c r="B37" s="106" t="s">
        <v>289</v>
      </c>
      <c r="C37" s="106" t="s">
        <v>289</v>
      </c>
      <c r="D37" s="106" t="s">
        <v>289</v>
      </c>
      <c r="E37" s="106" t="s">
        <v>289</v>
      </c>
      <c r="F37" s="106" t="s">
        <v>289</v>
      </c>
      <c r="G37" s="106" t="s">
        <v>289</v>
      </c>
      <c r="H37" s="106" t="s">
        <v>289</v>
      </c>
      <c r="I37" s="37"/>
      <c r="J37" s="106" t="s">
        <v>289</v>
      </c>
      <c r="K37" s="106" t="s">
        <v>289</v>
      </c>
      <c r="L37" s="106" t="s">
        <v>289</v>
      </c>
      <c r="M37" s="106" t="s">
        <v>289</v>
      </c>
      <c r="N37" s="106" t="s">
        <v>289</v>
      </c>
      <c r="O37" s="106" t="s">
        <v>289</v>
      </c>
      <c r="P37" s="106" t="s">
        <v>289</v>
      </c>
      <c r="Q37" s="37"/>
      <c r="R37" s="106" t="s">
        <v>289</v>
      </c>
      <c r="S37" s="106" t="s">
        <v>289</v>
      </c>
      <c r="T37" s="106" t="s">
        <v>289</v>
      </c>
      <c r="U37" s="106" t="s">
        <v>289</v>
      </c>
      <c r="V37" s="106" t="s">
        <v>289</v>
      </c>
      <c r="W37" s="106" t="s">
        <v>289</v>
      </c>
      <c r="X37" s="106" t="s">
        <v>289</v>
      </c>
      <c r="Y37" s="37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37"/>
      <c r="AK37" s="38"/>
      <c r="AL37" s="197"/>
    </row>
    <row r="38" spans="1:38" x14ac:dyDescent="0.25">
      <c r="A38" s="11">
        <v>36</v>
      </c>
      <c r="B38" s="587"/>
      <c r="C38" s="587"/>
      <c r="D38" s="587"/>
      <c r="E38" s="587"/>
      <c r="F38" s="587"/>
      <c r="G38" s="587"/>
      <c r="H38" s="587"/>
      <c r="I38" s="182" t="s">
        <v>290</v>
      </c>
      <c r="J38" s="587"/>
      <c r="K38" s="587"/>
      <c r="L38" s="587"/>
      <c r="M38" s="587"/>
      <c r="N38" s="587"/>
      <c r="O38" s="587"/>
      <c r="P38" s="587"/>
      <c r="Q38" s="182" t="s">
        <v>290</v>
      </c>
      <c r="R38" s="587"/>
      <c r="S38" s="587"/>
      <c r="T38" s="587"/>
      <c r="U38" s="587"/>
      <c r="V38" s="587"/>
      <c r="W38" s="587"/>
      <c r="X38" s="587"/>
      <c r="Y38" s="182" t="s">
        <v>290</v>
      </c>
      <c r="Z38" s="587"/>
      <c r="AA38" s="587"/>
      <c r="AB38" s="587"/>
      <c r="AC38" s="587"/>
      <c r="AD38" s="587"/>
      <c r="AE38" s="587"/>
      <c r="AF38" s="587"/>
      <c r="AG38" s="589"/>
      <c r="AH38" s="589"/>
      <c r="AI38" s="589"/>
      <c r="AJ38" s="182" t="s">
        <v>290</v>
      </c>
      <c r="AK38" s="38"/>
      <c r="AL38" s="197"/>
    </row>
    <row r="39" spans="1:38" x14ac:dyDescent="0.25">
      <c r="A39" s="11">
        <v>37</v>
      </c>
      <c r="B39" s="106" t="s">
        <v>289</v>
      </c>
      <c r="C39" s="106" t="s">
        <v>289</v>
      </c>
      <c r="D39" s="106" t="s">
        <v>289</v>
      </c>
      <c r="E39" s="106" t="s">
        <v>289</v>
      </c>
      <c r="F39" s="106">
        <v>100.71</v>
      </c>
      <c r="G39" s="106" t="s">
        <v>289</v>
      </c>
      <c r="H39" s="106">
        <v>111.15</v>
      </c>
      <c r="I39" s="37"/>
      <c r="J39" s="106" t="s">
        <v>289</v>
      </c>
      <c r="K39" s="106" t="s">
        <v>289</v>
      </c>
      <c r="L39" s="106">
        <v>150.26</v>
      </c>
      <c r="M39" s="106" t="s">
        <v>289</v>
      </c>
      <c r="N39" s="106" t="s">
        <v>289</v>
      </c>
      <c r="O39" s="106" t="s">
        <v>289</v>
      </c>
      <c r="P39" s="106" t="s">
        <v>289</v>
      </c>
      <c r="Q39" s="37"/>
      <c r="R39" s="106" t="s">
        <v>289</v>
      </c>
      <c r="S39" s="106" t="s">
        <v>289</v>
      </c>
      <c r="T39" s="106" t="s">
        <v>289</v>
      </c>
      <c r="U39" s="106" t="s">
        <v>289</v>
      </c>
      <c r="V39" s="106" t="s">
        <v>289</v>
      </c>
      <c r="W39" s="106" t="s">
        <v>289</v>
      </c>
      <c r="X39" s="106" t="s">
        <v>289</v>
      </c>
      <c r="Y39" s="37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37"/>
      <c r="AK39" s="38"/>
      <c r="AL39" s="197"/>
    </row>
    <row r="40" spans="1:38" x14ac:dyDescent="0.25">
      <c r="A40" s="11">
        <v>38</v>
      </c>
      <c r="B40" s="106" t="s">
        <v>289</v>
      </c>
      <c r="C40" s="106" t="s">
        <v>289</v>
      </c>
      <c r="D40" s="106" t="s">
        <v>289</v>
      </c>
      <c r="E40" s="106" t="s">
        <v>289</v>
      </c>
      <c r="F40" s="106" t="s">
        <v>289</v>
      </c>
      <c r="G40" s="106" t="s">
        <v>289</v>
      </c>
      <c r="H40" s="106" t="s">
        <v>289</v>
      </c>
      <c r="I40" s="37"/>
      <c r="J40" s="106" t="s">
        <v>289</v>
      </c>
      <c r="K40" s="106" t="s">
        <v>289</v>
      </c>
      <c r="L40" s="106" t="s">
        <v>289</v>
      </c>
      <c r="M40" s="106" t="s">
        <v>289</v>
      </c>
      <c r="N40" s="106" t="s">
        <v>289</v>
      </c>
      <c r="O40" s="106" t="s">
        <v>289</v>
      </c>
      <c r="P40" s="106" t="s">
        <v>289</v>
      </c>
      <c r="Q40" s="37"/>
      <c r="R40" s="106" t="s">
        <v>289</v>
      </c>
      <c r="S40" s="106" t="s">
        <v>289</v>
      </c>
      <c r="T40" s="106" t="s">
        <v>289</v>
      </c>
      <c r="U40" s="106" t="s">
        <v>289</v>
      </c>
      <c r="V40" s="106" t="s">
        <v>289</v>
      </c>
      <c r="W40" s="106" t="s">
        <v>289</v>
      </c>
      <c r="X40" s="106" t="s">
        <v>289</v>
      </c>
      <c r="Y40" s="37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37"/>
      <c r="AK40" s="38"/>
      <c r="AL40" s="197"/>
    </row>
    <row r="41" spans="1:38" x14ac:dyDescent="0.25">
      <c r="A41" s="11">
        <v>39</v>
      </c>
      <c r="B41" s="106" t="s">
        <v>289</v>
      </c>
      <c r="C41" s="106" t="s">
        <v>289</v>
      </c>
      <c r="D41" s="106" t="s">
        <v>289</v>
      </c>
      <c r="E41" s="106" t="s">
        <v>289</v>
      </c>
      <c r="F41" s="106" t="s">
        <v>289</v>
      </c>
      <c r="G41" s="106" t="s">
        <v>289</v>
      </c>
      <c r="H41" s="106" t="s">
        <v>289</v>
      </c>
      <c r="I41" s="37"/>
      <c r="J41" s="116" t="s">
        <v>289</v>
      </c>
      <c r="K41" s="116" t="s">
        <v>289</v>
      </c>
      <c r="L41" s="106" t="s">
        <v>289</v>
      </c>
      <c r="M41" s="106" t="s">
        <v>289</v>
      </c>
      <c r="N41" s="106" t="s">
        <v>289</v>
      </c>
      <c r="O41" s="106" t="s">
        <v>289</v>
      </c>
      <c r="P41" s="106" t="s">
        <v>289</v>
      </c>
      <c r="Q41" s="37"/>
      <c r="R41" s="106" t="s">
        <v>289</v>
      </c>
      <c r="S41" s="106" t="s">
        <v>289</v>
      </c>
      <c r="T41" s="106" t="s">
        <v>289</v>
      </c>
      <c r="U41" s="106">
        <v>400.36</v>
      </c>
      <c r="V41" s="106">
        <v>221.66</v>
      </c>
      <c r="W41" s="106" t="s">
        <v>289</v>
      </c>
      <c r="X41" s="106" t="s">
        <v>289</v>
      </c>
      <c r="Y41" s="37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37"/>
      <c r="AK41" s="38"/>
      <c r="AL41" s="197"/>
    </row>
    <row r="42" spans="1:38" x14ac:dyDescent="0.25">
      <c r="A42" s="11">
        <v>40</v>
      </c>
      <c r="B42" s="106">
        <v>400.83</v>
      </c>
      <c r="C42" s="106">
        <v>250.9</v>
      </c>
      <c r="D42" s="106">
        <v>249.91</v>
      </c>
      <c r="E42" s="106">
        <v>367.19</v>
      </c>
      <c r="F42" s="106">
        <v>400.59</v>
      </c>
      <c r="G42" s="106" t="s">
        <v>289</v>
      </c>
      <c r="H42" s="106">
        <v>251.07</v>
      </c>
      <c r="I42" s="37"/>
      <c r="J42" s="106">
        <v>250.36</v>
      </c>
      <c r="K42" s="106">
        <v>400.24</v>
      </c>
      <c r="L42" s="106">
        <v>400.26</v>
      </c>
      <c r="M42" s="106">
        <v>278.72000000000003</v>
      </c>
      <c r="N42" s="106">
        <v>350</v>
      </c>
      <c r="O42" s="106">
        <v>400.4</v>
      </c>
      <c r="P42" s="106">
        <v>450.33</v>
      </c>
      <c r="Q42" s="37"/>
      <c r="R42" s="106">
        <v>249.8</v>
      </c>
      <c r="S42" s="106">
        <v>400.66</v>
      </c>
      <c r="T42" s="106">
        <v>400.97</v>
      </c>
      <c r="U42" s="106">
        <v>350.04</v>
      </c>
      <c r="V42" s="106">
        <v>199.41</v>
      </c>
      <c r="W42" s="106">
        <v>200.25</v>
      </c>
      <c r="X42" s="106"/>
      <c r="Y42" s="37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37"/>
      <c r="AK42" s="38"/>
      <c r="AL42" s="197"/>
    </row>
    <row r="43" spans="1:38" x14ac:dyDescent="0.25">
      <c r="A43" s="11">
        <v>41</v>
      </c>
      <c r="B43" s="106">
        <v>400.42</v>
      </c>
      <c r="C43" s="106">
        <v>300.38</v>
      </c>
      <c r="D43" s="106">
        <v>350.9</v>
      </c>
      <c r="E43" s="106">
        <v>400</v>
      </c>
      <c r="F43" s="106">
        <v>300.42</v>
      </c>
      <c r="G43" s="106">
        <v>252.58</v>
      </c>
      <c r="H43" s="106" t="s">
        <v>289</v>
      </c>
      <c r="I43" s="37"/>
      <c r="J43" s="106">
        <v>350.08</v>
      </c>
      <c r="K43" s="106">
        <v>250.6</v>
      </c>
      <c r="L43" s="106" t="s">
        <v>289</v>
      </c>
      <c r="M43" s="106">
        <v>300.19</v>
      </c>
      <c r="N43" s="106">
        <v>150.29</v>
      </c>
      <c r="O43" s="106" t="s">
        <v>289</v>
      </c>
      <c r="P43" s="106">
        <v>200.2</v>
      </c>
      <c r="Q43" s="37"/>
      <c r="R43" s="106">
        <v>400.35</v>
      </c>
      <c r="S43" s="106">
        <v>350.89</v>
      </c>
      <c r="T43" s="106">
        <v>402.07</v>
      </c>
      <c r="U43" s="106">
        <v>349.88</v>
      </c>
      <c r="V43" s="106">
        <v>300.47000000000003</v>
      </c>
      <c r="W43" s="106">
        <v>400.13</v>
      </c>
      <c r="X43" s="106"/>
      <c r="Y43" s="37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37"/>
      <c r="AK43" s="38"/>
      <c r="AL43" s="197"/>
    </row>
    <row r="44" spans="1:38" x14ac:dyDescent="0.25">
      <c r="A44" s="11">
        <v>42</v>
      </c>
      <c r="B44" s="587"/>
      <c r="C44" s="587"/>
      <c r="D44" s="587"/>
      <c r="E44" s="587"/>
      <c r="F44" s="587"/>
      <c r="G44" s="587"/>
      <c r="H44" s="587"/>
      <c r="I44" s="182" t="s">
        <v>290</v>
      </c>
      <c r="J44" s="587"/>
      <c r="K44" s="587"/>
      <c r="L44" s="587"/>
      <c r="M44" s="587"/>
      <c r="N44" s="587"/>
      <c r="O44" s="587"/>
      <c r="P44" s="587"/>
      <c r="Q44" s="182" t="s">
        <v>290</v>
      </c>
      <c r="R44" s="587"/>
      <c r="S44" s="587"/>
      <c r="T44" s="587"/>
      <c r="U44" s="587"/>
      <c r="V44" s="587"/>
      <c r="W44" s="587"/>
      <c r="X44" s="587"/>
      <c r="Y44" s="182" t="s">
        <v>290</v>
      </c>
      <c r="Z44" s="587"/>
      <c r="AA44" s="587"/>
      <c r="AB44" s="587"/>
      <c r="AC44" s="587"/>
      <c r="AD44" s="587"/>
      <c r="AE44" s="587"/>
      <c r="AF44" s="587"/>
      <c r="AG44" s="589"/>
      <c r="AH44" s="589"/>
      <c r="AI44" s="589"/>
      <c r="AJ44" s="182" t="s">
        <v>290</v>
      </c>
      <c r="AK44" s="38"/>
      <c r="AL44" s="197"/>
    </row>
    <row r="45" spans="1:38" x14ac:dyDescent="0.25">
      <c r="A45" s="11">
        <v>43</v>
      </c>
      <c r="B45" s="106">
        <v>500.61</v>
      </c>
      <c r="C45" s="106">
        <v>500.45</v>
      </c>
      <c r="D45" s="106">
        <v>447.31</v>
      </c>
      <c r="E45" s="106">
        <v>331.12</v>
      </c>
      <c r="F45" s="106">
        <v>300.08999999999997</v>
      </c>
      <c r="G45" s="106">
        <v>301.41000000000003</v>
      </c>
      <c r="H45" s="106">
        <v>498.52</v>
      </c>
      <c r="I45" s="37"/>
      <c r="J45" s="106">
        <v>300.13</v>
      </c>
      <c r="K45" s="106">
        <v>500.21</v>
      </c>
      <c r="L45" s="106">
        <v>201.31</v>
      </c>
      <c r="M45" s="106">
        <v>254.73</v>
      </c>
      <c r="N45" s="106">
        <v>100.52</v>
      </c>
      <c r="O45" s="106">
        <v>100.42</v>
      </c>
      <c r="P45" s="106" t="s">
        <v>289</v>
      </c>
      <c r="Q45" s="37"/>
      <c r="R45" s="106">
        <v>250.76</v>
      </c>
      <c r="S45" s="106">
        <v>290.11</v>
      </c>
      <c r="T45" s="106">
        <v>313.24</v>
      </c>
      <c r="U45" s="106">
        <v>279.63</v>
      </c>
      <c r="V45" s="106">
        <v>390.47</v>
      </c>
      <c r="W45" s="106">
        <v>400.18</v>
      </c>
      <c r="X45" s="106" t="s">
        <v>289</v>
      </c>
      <c r="Y45" s="37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37"/>
      <c r="AK45" s="38"/>
      <c r="AL45" s="197"/>
    </row>
    <row r="46" spans="1:38" x14ac:dyDescent="0.25">
      <c r="A46" s="11">
        <v>44</v>
      </c>
      <c r="B46" s="106" t="s">
        <v>289</v>
      </c>
      <c r="C46" s="106" t="s">
        <v>289</v>
      </c>
      <c r="D46" s="106" t="s">
        <v>289</v>
      </c>
      <c r="E46" s="106" t="s">
        <v>289</v>
      </c>
      <c r="F46" s="106" t="s">
        <v>289</v>
      </c>
      <c r="G46" s="106" t="s">
        <v>289</v>
      </c>
      <c r="H46" s="106" t="s">
        <v>289</v>
      </c>
      <c r="I46" s="37"/>
      <c r="J46" s="106" t="s">
        <v>289</v>
      </c>
      <c r="K46" s="106" t="s">
        <v>289</v>
      </c>
      <c r="L46" s="106" t="s">
        <v>289</v>
      </c>
      <c r="M46" s="106" t="s">
        <v>289</v>
      </c>
      <c r="N46" s="106" t="s">
        <v>289</v>
      </c>
      <c r="O46" s="106" t="s">
        <v>289</v>
      </c>
      <c r="P46" s="106" t="s">
        <v>289</v>
      </c>
      <c r="Q46" s="37"/>
      <c r="R46" s="106" t="s">
        <v>289</v>
      </c>
      <c r="S46" s="106" t="s">
        <v>289</v>
      </c>
      <c r="T46" s="106" t="s">
        <v>289</v>
      </c>
      <c r="U46" s="106" t="s">
        <v>289</v>
      </c>
      <c r="V46" s="106" t="s">
        <v>289</v>
      </c>
      <c r="W46" s="106" t="s">
        <v>289</v>
      </c>
      <c r="X46" s="106" t="s">
        <v>289</v>
      </c>
      <c r="Y46" s="37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37"/>
      <c r="AK46" s="38"/>
      <c r="AL46" s="197"/>
    </row>
    <row r="47" spans="1:38" x14ac:dyDescent="0.25">
      <c r="A47" s="11">
        <v>45</v>
      </c>
      <c r="B47" s="106">
        <v>57.17</v>
      </c>
      <c r="C47" s="106">
        <v>401.45</v>
      </c>
      <c r="D47" s="106">
        <v>300.2</v>
      </c>
      <c r="E47" s="106">
        <v>352.42</v>
      </c>
      <c r="F47" s="106">
        <v>300.62</v>
      </c>
      <c r="G47" s="106">
        <v>300.35000000000002</v>
      </c>
      <c r="H47" s="106">
        <v>351.98</v>
      </c>
      <c r="I47" s="37"/>
      <c r="J47" s="106">
        <v>300.10000000000002</v>
      </c>
      <c r="K47" s="106">
        <v>227.23</v>
      </c>
      <c r="L47" s="106">
        <v>101.75</v>
      </c>
      <c r="M47" s="106">
        <v>300.17</v>
      </c>
      <c r="N47" s="106">
        <v>300.49</v>
      </c>
      <c r="O47" s="106">
        <v>257.95999999999998</v>
      </c>
      <c r="P47" s="106">
        <v>299.99</v>
      </c>
      <c r="Q47" s="37"/>
      <c r="R47" s="106">
        <v>255.45</v>
      </c>
      <c r="S47" s="106">
        <v>296.3</v>
      </c>
      <c r="T47" s="106">
        <v>400.63</v>
      </c>
      <c r="U47" s="106">
        <v>345.01</v>
      </c>
      <c r="V47" s="106">
        <v>299.8</v>
      </c>
      <c r="W47" s="106">
        <v>300.38</v>
      </c>
      <c r="X47" s="106"/>
      <c r="Y47" s="37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37"/>
      <c r="AK47" s="38"/>
      <c r="AL47" s="197"/>
    </row>
    <row r="48" spans="1:38" x14ac:dyDescent="0.25">
      <c r="A48" s="11">
        <v>46</v>
      </c>
      <c r="B48" s="106">
        <v>260.83999999999997</v>
      </c>
      <c r="C48" s="106">
        <v>252.53</v>
      </c>
      <c r="D48" s="106">
        <v>288.86</v>
      </c>
      <c r="E48" s="106">
        <v>364.18</v>
      </c>
      <c r="F48" s="106">
        <v>275.05</v>
      </c>
      <c r="G48" s="106">
        <v>400.1</v>
      </c>
      <c r="H48" s="106">
        <v>300.12</v>
      </c>
      <c r="I48" s="37"/>
      <c r="J48" s="106">
        <v>500.31</v>
      </c>
      <c r="K48" s="106">
        <v>300.38</v>
      </c>
      <c r="L48" s="106">
        <v>282.26</v>
      </c>
      <c r="M48" s="106">
        <v>275.83999999999997</v>
      </c>
      <c r="N48" s="106">
        <v>233.61</v>
      </c>
      <c r="O48" s="106">
        <v>276.7</v>
      </c>
      <c r="P48" s="106">
        <v>300.20999999999998</v>
      </c>
      <c r="Q48" s="37"/>
      <c r="R48" s="106">
        <v>268.91000000000003</v>
      </c>
      <c r="S48" s="106">
        <v>399.12</v>
      </c>
      <c r="T48" s="106">
        <v>259.95999999999998</v>
      </c>
      <c r="U48" s="106">
        <v>251</v>
      </c>
      <c r="V48" s="106">
        <v>226.8</v>
      </c>
      <c r="W48" s="106">
        <v>255.97</v>
      </c>
      <c r="X48" s="106"/>
      <c r="Y48" s="37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37"/>
      <c r="AK48" s="38"/>
      <c r="AL48" s="197"/>
    </row>
    <row r="49" spans="1:38" x14ac:dyDescent="0.25">
      <c r="A49" s="11">
        <v>47</v>
      </c>
      <c r="B49" s="106">
        <v>215.42</v>
      </c>
      <c r="C49" s="106">
        <v>150.72999999999999</v>
      </c>
      <c r="D49" s="106">
        <v>201.92</v>
      </c>
      <c r="E49" s="106">
        <v>230.15</v>
      </c>
      <c r="F49" s="106">
        <v>203.73</v>
      </c>
      <c r="G49" s="106">
        <v>250.88</v>
      </c>
      <c r="H49" s="106">
        <v>300.75</v>
      </c>
      <c r="I49" s="37"/>
      <c r="J49" s="106">
        <v>250.18</v>
      </c>
      <c r="K49" s="106">
        <v>268.11</v>
      </c>
      <c r="L49" s="106">
        <v>278.36</v>
      </c>
      <c r="M49" s="106">
        <v>240.44</v>
      </c>
      <c r="N49" s="106">
        <v>209.96</v>
      </c>
      <c r="O49" s="106">
        <v>229.39</v>
      </c>
      <c r="P49" s="106">
        <v>200.13</v>
      </c>
      <c r="Q49" s="37"/>
      <c r="R49" s="106">
        <v>400.35</v>
      </c>
      <c r="S49" s="106">
        <v>401.06</v>
      </c>
      <c r="T49" s="106">
        <v>280.04000000000002</v>
      </c>
      <c r="U49" s="106">
        <v>403.36</v>
      </c>
      <c r="V49" s="106">
        <v>249.85</v>
      </c>
      <c r="W49" s="106">
        <v>300.89</v>
      </c>
      <c r="X49" s="106"/>
      <c r="Y49" s="37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37"/>
      <c r="AK49" s="38"/>
      <c r="AL49" s="197"/>
    </row>
    <row r="50" spans="1:38" x14ac:dyDescent="0.25">
      <c r="A50" s="11">
        <v>48</v>
      </c>
      <c r="B50" s="106">
        <v>400.19</v>
      </c>
      <c r="C50" s="106">
        <v>300.19</v>
      </c>
      <c r="D50" s="106">
        <v>299.43</v>
      </c>
      <c r="E50" s="106">
        <v>383.19</v>
      </c>
      <c r="F50" s="106">
        <v>250.59</v>
      </c>
      <c r="G50" s="106">
        <v>250.41</v>
      </c>
      <c r="H50" s="106">
        <v>340.61</v>
      </c>
      <c r="I50" s="37"/>
      <c r="J50" s="106">
        <v>300.56</v>
      </c>
      <c r="K50" s="106">
        <v>300.37</v>
      </c>
      <c r="L50" s="106">
        <v>243.02</v>
      </c>
      <c r="M50" s="106">
        <v>351.14</v>
      </c>
      <c r="N50" s="106">
        <v>310.25</v>
      </c>
      <c r="O50" s="106">
        <v>250.24</v>
      </c>
      <c r="P50" s="106">
        <v>323.42</v>
      </c>
      <c r="Q50" s="37"/>
      <c r="R50" s="106">
        <v>314.06</v>
      </c>
      <c r="S50" s="106">
        <v>250.06</v>
      </c>
      <c r="T50" s="106">
        <v>361.03</v>
      </c>
      <c r="U50" s="106">
        <v>304.08</v>
      </c>
      <c r="V50" s="106">
        <v>249.45</v>
      </c>
      <c r="W50" s="106">
        <v>290.02</v>
      </c>
      <c r="X50" s="106"/>
      <c r="Y50" s="37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37"/>
      <c r="AK50" s="38"/>
      <c r="AL50" s="197"/>
    </row>
    <row r="51" spans="1:38" x14ac:dyDescent="0.25">
      <c r="A51" s="11">
        <v>49</v>
      </c>
      <c r="B51" s="106">
        <v>400.2</v>
      </c>
      <c r="C51" s="106">
        <v>251.97</v>
      </c>
      <c r="D51" s="106">
        <v>302.52999999999997</v>
      </c>
      <c r="E51" s="106">
        <v>258.77999999999997</v>
      </c>
      <c r="F51" s="106">
        <v>242.92</v>
      </c>
      <c r="G51" s="106">
        <v>250.82</v>
      </c>
      <c r="H51" s="106">
        <v>250.85</v>
      </c>
      <c r="I51" s="37"/>
      <c r="J51" s="106">
        <v>274.05</v>
      </c>
      <c r="K51" s="106">
        <v>250.41</v>
      </c>
      <c r="L51" s="106">
        <v>262.45</v>
      </c>
      <c r="M51" s="106">
        <v>373.63</v>
      </c>
      <c r="N51" s="106">
        <v>250.58</v>
      </c>
      <c r="O51" s="106">
        <v>250.53</v>
      </c>
      <c r="P51" s="106">
        <v>318.97000000000003</v>
      </c>
      <c r="Q51" s="37"/>
      <c r="R51" s="106">
        <v>246.59</v>
      </c>
      <c r="S51" s="106">
        <v>251.06</v>
      </c>
      <c r="T51" s="106">
        <v>285.39</v>
      </c>
      <c r="U51" s="106">
        <v>288.18</v>
      </c>
      <c r="V51" s="106">
        <v>250.16</v>
      </c>
      <c r="W51" s="106">
        <v>246.77</v>
      </c>
      <c r="X51" s="106"/>
      <c r="Y51" s="37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37"/>
      <c r="AK51" s="38"/>
      <c r="AL51" s="197"/>
    </row>
    <row r="52" spans="1:38" x14ac:dyDescent="0.25">
      <c r="A52" s="11">
        <v>50</v>
      </c>
      <c r="B52" s="106">
        <v>250.46</v>
      </c>
      <c r="C52" s="106">
        <v>250.14</v>
      </c>
      <c r="D52" s="106">
        <v>329.62</v>
      </c>
      <c r="E52" s="106">
        <v>399.9</v>
      </c>
      <c r="F52" s="106">
        <v>345.01</v>
      </c>
      <c r="G52" s="106">
        <v>251.15</v>
      </c>
      <c r="H52" s="106">
        <v>313.97000000000003</v>
      </c>
      <c r="I52" s="37"/>
      <c r="J52" s="106">
        <v>400.36</v>
      </c>
      <c r="K52" s="106">
        <v>302.88</v>
      </c>
      <c r="L52" s="106">
        <v>346.72</v>
      </c>
      <c r="M52" s="106">
        <v>307.06</v>
      </c>
      <c r="N52" s="106">
        <v>252.75</v>
      </c>
      <c r="O52" s="106">
        <v>402.21</v>
      </c>
      <c r="P52" s="106">
        <v>309.47000000000003</v>
      </c>
      <c r="Q52" s="37"/>
      <c r="R52" s="106">
        <v>301.99</v>
      </c>
      <c r="S52" s="106">
        <v>396.41</v>
      </c>
      <c r="T52" s="106">
        <v>402.65</v>
      </c>
      <c r="U52" s="106">
        <v>352.84</v>
      </c>
      <c r="V52" s="106">
        <v>250.23</v>
      </c>
      <c r="W52" s="106">
        <v>250.19</v>
      </c>
      <c r="X52" s="106"/>
      <c r="Y52" s="37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37"/>
      <c r="AK52" s="38"/>
      <c r="AL52" s="197"/>
    </row>
    <row r="53" spans="1:38" x14ac:dyDescent="0.25">
      <c r="A53" s="11">
        <v>51</v>
      </c>
      <c r="B53" s="106">
        <v>300.52999999999997</v>
      </c>
      <c r="C53" s="106">
        <v>350.81</v>
      </c>
      <c r="D53" s="106">
        <v>299.58</v>
      </c>
      <c r="E53" s="106">
        <v>301.02</v>
      </c>
      <c r="F53" s="106">
        <v>299.11</v>
      </c>
      <c r="G53" s="106">
        <v>331.26</v>
      </c>
      <c r="H53" s="106">
        <v>287.72000000000003</v>
      </c>
      <c r="I53" s="37"/>
      <c r="J53" s="106">
        <v>250.21</v>
      </c>
      <c r="K53" s="106">
        <v>250.6</v>
      </c>
      <c r="L53" s="106">
        <v>299.82</v>
      </c>
      <c r="M53" s="106">
        <v>250.45</v>
      </c>
      <c r="N53" s="106">
        <v>301.20999999999998</v>
      </c>
      <c r="O53" s="106">
        <v>300.04000000000002</v>
      </c>
      <c r="P53" s="106">
        <v>400.18</v>
      </c>
      <c r="Q53" s="37"/>
      <c r="R53" s="106">
        <v>300.17</v>
      </c>
      <c r="S53" s="106">
        <v>503.32</v>
      </c>
      <c r="T53" s="106">
        <v>300.89999999999998</v>
      </c>
      <c r="U53" s="106">
        <v>400.06</v>
      </c>
      <c r="V53" s="106">
        <v>301.11</v>
      </c>
      <c r="W53" s="106">
        <v>400.11</v>
      </c>
      <c r="X53" s="106"/>
      <c r="Y53" s="37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37"/>
      <c r="AK53" s="38"/>
      <c r="AL53" s="197"/>
    </row>
    <row r="54" spans="1:38" x14ac:dyDescent="0.25">
      <c r="A54" s="11">
        <v>52</v>
      </c>
      <c r="B54" s="106">
        <v>284.61</v>
      </c>
      <c r="C54" s="106" t="s">
        <v>289</v>
      </c>
      <c r="D54" s="106" t="s">
        <v>289</v>
      </c>
      <c r="E54" s="106" t="s">
        <v>289</v>
      </c>
      <c r="F54" s="116" t="s">
        <v>289</v>
      </c>
      <c r="G54" s="116" t="s">
        <v>289</v>
      </c>
      <c r="H54" s="116">
        <v>252.16</v>
      </c>
      <c r="I54" s="37"/>
      <c r="J54" s="116" t="s">
        <v>289</v>
      </c>
      <c r="K54" s="106" t="s">
        <v>289</v>
      </c>
      <c r="L54" s="106" t="s">
        <v>289</v>
      </c>
      <c r="M54" s="106" t="s">
        <v>289</v>
      </c>
      <c r="N54" s="106" t="s">
        <v>289</v>
      </c>
      <c r="O54" s="106" t="s">
        <v>289</v>
      </c>
      <c r="P54" s="106" t="s">
        <v>289</v>
      </c>
      <c r="Q54" s="37"/>
      <c r="R54" s="106" t="s">
        <v>289</v>
      </c>
      <c r="S54" s="106" t="s">
        <v>289</v>
      </c>
      <c r="T54" s="106" t="s">
        <v>289</v>
      </c>
      <c r="U54" s="106" t="s">
        <v>289</v>
      </c>
      <c r="V54" s="106" t="s">
        <v>289</v>
      </c>
      <c r="W54" s="106" t="s">
        <v>289</v>
      </c>
      <c r="X54" s="106" t="s">
        <v>289</v>
      </c>
      <c r="Y54" s="37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37"/>
      <c r="AK54" s="38"/>
      <c r="AL54" s="197"/>
    </row>
    <row r="55" spans="1:38" x14ac:dyDescent="0.25">
      <c r="A55" s="11">
        <v>53</v>
      </c>
      <c r="B55" s="106">
        <v>250.74</v>
      </c>
      <c r="C55" s="106">
        <v>250.43</v>
      </c>
      <c r="D55" s="106">
        <v>250.03</v>
      </c>
      <c r="E55" s="106">
        <v>284.27</v>
      </c>
      <c r="F55" s="106">
        <v>300.37</v>
      </c>
      <c r="G55" s="106">
        <v>300.37</v>
      </c>
      <c r="H55" s="106">
        <v>200.68</v>
      </c>
      <c r="I55" s="37"/>
      <c r="J55" s="106">
        <v>250.32</v>
      </c>
      <c r="K55" s="106">
        <v>250.3</v>
      </c>
      <c r="L55" s="106">
        <v>199.94</v>
      </c>
      <c r="M55" s="106">
        <v>199.1</v>
      </c>
      <c r="N55" s="106">
        <v>150.22999999999999</v>
      </c>
      <c r="O55" s="106">
        <v>399.87</v>
      </c>
      <c r="P55" s="106">
        <v>250.44</v>
      </c>
      <c r="Q55" s="37"/>
      <c r="R55" s="106">
        <v>249.95</v>
      </c>
      <c r="S55" s="106">
        <v>200.48</v>
      </c>
      <c r="T55" s="106">
        <v>200.93</v>
      </c>
      <c r="U55" s="106">
        <v>298.07</v>
      </c>
      <c r="V55" s="106">
        <v>199.77</v>
      </c>
      <c r="W55" s="106">
        <v>260.02</v>
      </c>
      <c r="X55" s="106"/>
      <c r="Y55" s="37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37"/>
      <c r="AK55" s="38"/>
      <c r="AL55" s="197"/>
    </row>
    <row r="56" spans="1:38" x14ac:dyDescent="0.25">
      <c r="A56" s="11">
        <v>54</v>
      </c>
      <c r="B56" s="106">
        <v>251.04</v>
      </c>
      <c r="C56" s="106">
        <v>250.42</v>
      </c>
      <c r="D56" s="106">
        <v>249.86</v>
      </c>
      <c r="E56" s="106">
        <v>200.43</v>
      </c>
      <c r="F56" s="106">
        <v>200.5</v>
      </c>
      <c r="G56" s="106">
        <v>277.51</v>
      </c>
      <c r="H56" s="106">
        <v>200.04</v>
      </c>
      <c r="I56" s="37"/>
      <c r="J56" s="106">
        <v>400.53</v>
      </c>
      <c r="K56" s="106">
        <v>199.86</v>
      </c>
      <c r="L56" s="106">
        <v>250.41</v>
      </c>
      <c r="M56" s="106">
        <v>199.27</v>
      </c>
      <c r="N56" s="106">
        <v>250.08</v>
      </c>
      <c r="O56" s="106">
        <v>250.95</v>
      </c>
      <c r="P56" s="106">
        <v>200.06</v>
      </c>
      <c r="Q56" s="37"/>
      <c r="R56" s="106">
        <v>250.12</v>
      </c>
      <c r="S56" s="106">
        <v>350.6</v>
      </c>
      <c r="T56" s="106">
        <v>150.29</v>
      </c>
      <c r="U56" s="106">
        <v>324.14</v>
      </c>
      <c r="V56" s="106">
        <v>151.80000000000001</v>
      </c>
      <c r="W56" s="106">
        <v>200.59</v>
      </c>
      <c r="X56" s="106"/>
      <c r="Y56" s="37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37"/>
      <c r="AK56" s="38"/>
      <c r="AL56" s="197"/>
    </row>
    <row r="57" spans="1:38" x14ac:dyDescent="0.25">
      <c r="A57" s="11">
        <v>55</v>
      </c>
      <c r="B57" s="106">
        <v>200.39</v>
      </c>
      <c r="C57" s="106">
        <v>250.98</v>
      </c>
      <c r="D57" s="106">
        <v>251.66</v>
      </c>
      <c r="E57" s="106">
        <v>250.27</v>
      </c>
      <c r="F57" s="106">
        <v>200.43</v>
      </c>
      <c r="G57" s="106">
        <v>300.38</v>
      </c>
      <c r="H57" s="106">
        <v>200.49</v>
      </c>
      <c r="I57" s="37"/>
      <c r="J57" s="106">
        <v>282.49</v>
      </c>
      <c r="K57" s="106">
        <v>202.44</v>
      </c>
      <c r="L57" s="106">
        <v>200.74</v>
      </c>
      <c r="M57" s="106">
        <v>250.61</v>
      </c>
      <c r="N57" s="106">
        <v>205.37</v>
      </c>
      <c r="O57" s="106">
        <v>200.35</v>
      </c>
      <c r="P57" s="106">
        <v>400.17</v>
      </c>
      <c r="Q57" s="37"/>
      <c r="R57" s="106">
        <v>200.22</v>
      </c>
      <c r="S57" s="106">
        <v>200.61</v>
      </c>
      <c r="T57" s="106">
        <v>199.86</v>
      </c>
      <c r="U57" s="106">
        <v>285.18</v>
      </c>
      <c r="V57" s="106">
        <v>350.84</v>
      </c>
      <c r="W57" s="106">
        <v>250.59</v>
      </c>
      <c r="X57" s="106"/>
      <c r="Y57" s="37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37"/>
      <c r="AK57" s="38"/>
      <c r="AL57" s="197"/>
    </row>
    <row r="58" spans="1:38" x14ac:dyDescent="0.25">
      <c r="A58" s="11">
        <v>56</v>
      </c>
      <c r="B58" s="106">
        <v>250.54</v>
      </c>
      <c r="C58" s="106">
        <v>250.96</v>
      </c>
      <c r="D58" s="106">
        <v>200.54</v>
      </c>
      <c r="E58" s="106">
        <v>300.33</v>
      </c>
      <c r="F58" s="106">
        <v>200.64</v>
      </c>
      <c r="G58" s="106">
        <v>300.37</v>
      </c>
      <c r="H58" s="106" t="s">
        <v>289</v>
      </c>
      <c r="I58" s="37"/>
      <c r="J58" s="106">
        <v>200.87</v>
      </c>
      <c r="K58" s="106">
        <v>150.09</v>
      </c>
      <c r="L58" s="106">
        <v>201.28</v>
      </c>
      <c r="M58" s="106">
        <v>201.97</v>
      </c>
      <c r="N58" s="106">
        <v>199.93</v>
      </c>
      <c r="O58" s="106">
        <v>250.18</v>
      </c>
      <c r="P58" s="106">
        <v>250.21</v>
      </c>
      <c r="Q58" s="37"/>
      <c r="R58" s="106">
        <v>199.26</v>
      </c>
      <c r="S58" s="106">
        <v>250.52</v>
      </c>
      <c r="T58" s="106">
        <v>200.1</v>
      </c>
      <c r="U58" s="106">
        <v>168.96</v>
      </c>
      <c r="V58" s="106">
        <v>199.58</v>
      </c>
      <c r="W58" s="106">
        <v>150.30000000000001</v>
      </c>
      <c r="X58" s="106"/>
      <c r="Y58" s="37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37"/>
      <c r="AK58" s="38"/>
      <c r="AL58" s="888"/>
    </row>
    <row r="59" spans="1:38" x14ac:dyDescent="0.25">
      <c r="A59" s="11">
        <v>57</v>
      </c>
      <c r="B59" s="106">
        <v>250.52</v>
      </c>
      <c r="C59" s="106">
        <v>300.54000000000002</v>
      </c>
      <c r="D59" s="106">
        <v>149.74</v>
      </c>
      <c r="E59" s="106">
        <v>351.33</v>
      </c>
      <c r="F59" s="106">
        <v>250.47</v>
      </c>
      <c r="G59" s="106">
        <v>300.45999999999998</v>
      </c>
      <c r="H59" s="106">
        <v>239.71</v>
      </c>
      <c r="I59" s="37"/>
      <c r="J59" s="106">
        <v>200.44</v>
      </c>
      <c r="K59" s="106">
        <v>200.19</v>
      </c>
      <c r="L59" s="106">
        <v>301.06</v>
      </c>
      <c r="M59" s="106">
        <v>201.24</v>
      </c>
      <c r="N59" s="106">
        <v>300.44</v>
      </c>
      <c r="O59" s="106">
        <v>200.21</v>
      </c>
      <c r="P59" s="106">
        <v>250.63</v>
      </c>
      <c r="Q59" s="37"/>
      <c r="R59" s="106">
        <v>199.76</v>
      </c>
      <c r="S59" s="106">
        <v>250.05</v>
      </c>
      <c r="T59" s="106">
        <v>201.99</v>
      </c>
      <c r="U59" s="106">
        <v>253.34</v>
      </c>
      <c r="V59" s="106">
        <v>351.15</v>
      </c>
      <c r="W59" s="106">
        <v>300.70999999999998</v>
      </c>
      <c r="X59" s="106"/>
      <c r="Y59" s="37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37"/>
      <c r="AK59" s="38"/>
      <c r="AL59" s="888"/>
    </row>
    <row r="60" spans="1:38" x14ac:dyDescent="0.25">
      <c r="A60" s="11">
        <v>58</v>
      </c>
      <c r="B60" s="106">
        <v>200.39</v>
      </c>
      <c r="C60" s="106">
        <v>400.8</v>
      </c>
      <c r="D60" s="106">
        <v>200.02</v>
      </c>
      <c r="E60" s="106">
        <v>250.16</v>
      </c>
      <c r="F60" s="106">
        <v>200.41</v>
      </c>
      <c r="G60" s="106">
        <v>250.62</v>
      </c>
      <c r="H60" s="106">
        <v>200.11</v>
      </c>
      <c r="I60" s="37"/>
      <c r="J60" s="106">
        <v>200.78</v>
      </c>
      <c r="K60" s="106">
        <v>200.31</v>
      </c>
      <c r="L60" s="106">
        <v>250.65</v>
      </c>
      <c r="M60" s="106">
        <v>200.31</v>
      </c>
      <c r="N60" s="106">
        <v>250.82</v>
      </c>
      <c r="O60" s="106">
        <v>200.22</v>
      </c>
      <c r="P60" s="106">
        <v>250.18</v>
      </c>
      <c r="Q60" s="37"/>
      <c r="R60" s="106">
        <v>200.16</v>
      </c>
      <c r="S60" s="106">
        <v>348.22</v>
      </c>
      <c r="T60" s="106">
        <v>200.47</v>
      </c>
      <c r="U60" s="106">
        <v>200.16</v>
      </c>
      <c r="V60" s="106">
        <v>300.58999999999997</v>
      </c>
      <c r="W60" s="106">
        <v>250.23</v>
      </c>
      <c r="X60" s="106"/>
      <c r="Y60" s="37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37"/>
      <c r="AK60" s="38"/>
      <c r="AL60" s="888"/>
    </row>
    <row r="61" spans="1:38" ht="15.75" x14ac:dyDescent="0.25">
      <c r="A61" s="11">
        <v>59</v>
      </c>
      <c r="B61" s="106">
        <v>200.18</v>
      </c>
      <c r="C61" s="106">
        <v>250.93</v>
      </c>
      <c r="D61" s="106">
        <v>200.08</v>
      </c>
      <c r="E61" s="106">
        <v>250.57</v>
      </c>
      <c r="F61" s="106">
        <v>217.25</v>
      </c>
      <c r="G61" s="106">
        <v>200.57</v>
      </c>
      <c r="H61" s="106">
        <v>250.41</v>
      </c>
      <c r="I61" s="37"/>
      <c r="J61" s="106">
        <v>250</v>
      </c>
      <c r="K61" s="106">
        <v>199.7</v>
      </c>
      <c r="L61" s="106">
        <v>200.27</v>
      </c>
      <c r="M61" s="106">
        <v>200.63</v>
      </c>
      <c r="N61" s="106">
        <v>250.12</v>
      </c>
      <c r="O61" s="106">
        <v>250.44</v>
      </c>
      <c r="P61" s="106">
        <v>200.38</v>
      </c>
      <c r="Q61" s="37"/>
      <c r="R61" s="106">
        <v>200.26</v>
      </c>
      <c r="S61" s="106">
        <v>200.76</v>
      </c>
      <c r="T61" s="106">
        <v>353.55</v>
      </c>
      <c r="U61" s="106">
        <v>300.49</v>
      </c>
      <c r="V61" s="106">
        <v>351.07</v>
      </c>
      <c r="W61" s="106">
        <v>249.59</v>
      </c>
      <c r="X61" s="106"/>
      <c r="Y61" s="37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37"/>
      <c r="AK61" s="652">
        <v>83848.789999999994</v>
      </c>
      <c r="AL61" s="888"/>
    </row>
    <row r="62" spans="1:38" ht="15.75" x14ac:dyDescent="0.25">
      <c r="A62" s="11">
        <v>60</v>
      </c>
      <c r="B62" s="106">
        <v>250.35</v>
      </c>
      <c r="C62" s="106">
        <v>250.88</v>
      </c>
      <c r="D62" s="106">
        <v>250.33</v>
      </c>
      <c r="E62" s="106">
        <v>250.22</v>
      </c>
      <c r="F62" s="106">
        <v>250.38</v>
      </c>
      <c r="G62" s="106">
        <v>400.92</v>
      </c>
      <c r="H62" s="106">
        <v>350.48</v>
      </c>
      <c r="I62" s="37"/>
      <c r="J62" s="106">
        <v>250.16</v>
      </c>
      <c r="K62" s="106">
        <v>198.9</v>
      </c>
      <c r="L62" s="106">
        <v>250.07</v>
      </c>
      <c r="M62" s="106">
        <v>199.84</v>
      </c>
      <c r="N62" s="106">
        <v>250.25</v>
      </c>
      <c r="O62" s="106">
        <v>250.37</v>
      </c>
      <c r="P62" s="106">
        <v>300.36</v>
      </c>
      <c r="Q62" s="37"/>
      <c r="R62" s="106">
        <v>200.2</v>
      </c>
      <c r="S62" s="106">
        <v>351.86</v>
      </c>
      <c r="T62" s="106">
        <v>250.14</v>
      </c>
      <c r="U62" s="106">
        <v>350.17</v>
      </c>
      <c r="V62" s="106">
        <v>250.07</v>
      </c>
      <c r="W62" s="106">
        <v>151.80000000000001</v>
      </c>
      <c r="X62" s="106"/>
      <c r="Y62" s="37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37"/>
      <c r="AK62" s="652">
        <v>80366.429999999993</v>
      </c>
      <c r="AL62" s="888"/>
    </row>
    <row r="63" spans="1:38" ht="15.75" x14ac:dyDescent="0.25">
      <c r="A63" s="11">
        <v>61</v>
      </c>
      <c r="B63" s="106">
        <v>250.62</v>
      </c>
      <c r="C63" s="106">
        <v>250.55</v>
      </c>
      <c r="D63" s="106">
        <v>200.01</v>
      </c>
      <c r="E63" s="106">
        <v>250.72</v>
      </c>
      <c r="F63" s="106">
        <v>128.03</v>
      </c>
      <c r="G63" s="106">
        <v>416.69</v>
      </c>
      <c r="H63" s="106" t="s">
        <v>289</v>
      </c>
      <c r="I63" s="37"/>
      <c r="J63" s="106" t="s">
        <v>289</v>
      </c>
      <c r="K63" s="106" t="s">
        <v>289</v>
      </c>
      <c r="L63" s="106" t="s">
        <v>289</v>
      </c>
      <c r="M63" s="106" t="s">
        <v>289</v>
      </c>
      <c r="N63" s="106" t="s">
        <v>289</v>
      </c>
      <c r="O63" s="106" t="s">
        <v>289</v>
      </c>
      <c r="P63" s="106" t="s">
        <v>289</v>
      </c>
      <c r="Q63" s="37"/>
      <c r="R63" s="106" t="s">
        <v>289</v>
      </c>
      <c r="S63" s="106" t="s">
        <v>289</v>
      </c>
      <c r="T63" s="106">
        <v>200.73</v>
      </c>
      <c r="U63" s="106">
        <v>296.39999999999998</v>
      </c>
      <c r="V63" s="106">
        <v>234</v>
      </c>
      <c r="W63" s="106">
        <v>199.57</v>
      </c>
      <c r="X63" s="106" t="s">
        <v>289</v>
      </c>
      <c r="Y63" s="37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37"/>
      <c r="AK63" s="652"/>
      <c r="AL63" s="888"/>
    </row>
    <row r="64" spans="1:38" ht="15.75" x14ac:dyDescent="0.25">
      <c r="A64" s="11">
        <v>62</v>
      </c>
      <c r="B64" s="106">
        <v>250.44</v>
      </c>
      <c r="C64" s="106">
        <v>200.19</v>
      </c>
      <c r="D64" s="106">
        <v>249.82</v>
      </c>
      <c r="E64" s="106">
        <v>250.99</v>
      </c>
      <c r="F64" s="106">
        <v>199.92</v>
      </c>
      <c r="G64" s="106">
        <v>316.23</v>
      </c>
      <c r="H64" s="106">
        <v>150.94</v>
      </c>
      <c r="I64" s="37"/>
      <c r="J64" s="106">
        <v>389.18</v>
      </c>
      <c r="K64" s="106">
        <v>350.41</v>
      </c>
      <c r="L64" s="106">
        <v>250.7</v>
      </c>
      <c r="M64" s="106">
        <v>201.24</v>
      </c>
      <c r="N64" s="106">
        <v>250.28</v>
      </c>
      <c r="O64" s="106">
        <v>250.58</v>
      </c>
      <c r="P64" s="106">
        <v>250.13</v>
      </c>
      <c r="Q64" s="37"/>
      <c r="R64" s="106">
        <v>230.4</v>
      </c>
      <c r="S64" s="106">
        <v>249.42</v>
      </c>
      <c r="T64" s="106">
        <v>201.59</v>
      </c>
      <c r="U64" s="106">
        <v>294.68</v>
      </c>
      <c r="V64" s="106">
        <v>377.14</v>
      </c>
      <c r="W64" s="106">
        <v>350.67</v>
      </c>
      <c r="X64" s="106"/>
      <c r="Y64" s="37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37"/>
      <c r="AK64" s="740"/>
      <c r="AL64" s="197"/>
    </row>
    <row r="65" spans="1:38" ht="16.5" thickBot="1" x14ac:dyDescent="0.3">
      <c r="A65" s="62">
        <v>63</v>
      </c>
      <c r="B65" s="589"/>
      <c r="C65" s="589"/>
      <c r="D65" s="589"/>
      <c r="E65" s="589"/>
      <c r="F65" s="589"/>
      <c r="G65" s="589"/>
      <c r="H65" s="589"/>
      <c r="I65" s="182" t="s">
        <v>290</v>
      </c>
      <c r="J65" s="589"/>
      <c r="K65" s="589"/>
      <c r="L65" s="589"/>
      <c r="M65" s="589"/>
      <c r="N65" s="589"/>
      <c r="O65" s="589"/>
      <c r="P65" s="589"/>
      <c r="Q65" s="182" t="s">
        <v>290</v>
      </c>
      <c r="R65" s="589"/>
      <c r="S65" s="589"/>
      <c r="T65" s="589"/>
      <c r="U65" s="589"/>
      <c r="V65" s="589"/>
      <c r="W65" s="589"/>
      <c r="X65" s="589"/>
      <c r="Y65" s="182" t="s">
        <v>290</v>
      </c>
      <c r="Z65" s="589"/>
      <c r="AA65" s="589"/>
      <c r="AB65" s="589"/>
      <c r="AC65" s="589"/>
      <c r="AD65" s="589"/>
      <c r="AE65" s="589"/>
      <c r="AF65" s="589"/>
      <c r="AG65" s="589"/>
      <c r="AH65" s="589"/>
      <c r="AI65" s="589"/>
      <c r="AJ65" s="182" t="s">
        <v>290</v>
      </c>
      <c r="AK65" s="1002"/>
      <c r="AL65" s="204"/>
    </row>
    <row r="66" spans="1:38" ht="18.75" x14ac:dyDescent="0.3">
      <c r="A66" s="281" t="s">
        <v>2</v>
      </c>
      <c r="B66" s="191">
        <f t="shared" ref="B66:H66" si="0">SUM(B3:B65)</f>
        <v>11953.510000000004</v>
      </c>
      <c r="C66" s="191">
        <f t="shared" si="0"/>
        <v>11362.779999999995</v>
      </c>
      <c r="D66" s="191">
        <f t="shared" si="0"/>
        <v>11601.010000000002</v>
      </c>
      <c r="E66" s="191">
        <f t="shared" si="0"/>
        <v>13131.27</v>
      </c>
      <c r="F66" s="191">
        <f t="shared" si="0"/>
        <v>11994.150000000001</v>
      </c>
      <c r="G66" s="191">
        <f t="shared" si="0"/>
        <v>12292.6</v>
      </c>
      <c r="H66" s="191">
        <f t="shared" si="0"/>
        <v>11513.47</v>
      </c>
      <c r="I66" s="158">
        <f>SUM(B66:H66)</f>
        <v>83848.790000000008</v>
      </c>
      <c r="J66" s="191">
        <f t="shared" ref="J66:P66" si="1">SUM(J3:J65)</f>
        <v>12200.490000000002</v>
      </c>
      <c r="K66" s="191">
        <f t="shared" si="1"/>
        <v>11673.77</v>
      </c>
      <c r="L66" s="191">
        <f t="shared" si="1"/>
        <v>11749.330000000004</v>
      </c>
      <c r="M66" s="191">
        <f t="shared" si="1"/>
        <v>11448.759999999998</v>
      </c>
      <c r="N66" s="191">
        <f t="shared" si="1"/>
        <v>11022.850000000002</v>
      </c>
      <c r="O66" s="191">
        <f t="shared" si="1"/>
        <v>10149.51</v>
      </c>
      <c r="P66" s="191">
        <f t="shared" si="1"/>
        <v>12121.719999999994</v>
      </c>
      <c r="Q66" s="158">
        <f>SUM(J66:P66)</f>
        <v>80366.429999999993</v>
      </c>
      <c r="R66" s="163">
        <f t="shared" ref="R66:X66" si="2">SUM(R3:R65)</f>
        <v>11634.830000000002</v>
      </c>
      <c r="S66" s="163">
        <f t="shared" si="2"/>
        <v>13409.169999999998</v>
      </c>
      <c r="T66" s="163">
        <f t="shared" si="2"/>
        <v>13062.64</v>
      </c>
      <c r="U66" s="163">
        <f t="shared" si="2"/>
        <v>14415.859999999999</v>
      </c>
      <c r="V66" s="163">
        <f t="shared" si="2"/>
        <v>13783.379999999996</v>
      </c>
      <c r="W66" s="163">
        <f t="shared" si="2"/>
        <v>12940.959999999997</v>
      </c>
      <c r="X66" s="163">
        <f t="shared" si="2"/>
        <v>0</v>
      </c>
      <c r="Y66" s="221">
        <f>SUM(R66:X66)</f>
        <v>79246.839999999982</v>
      </c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51"/>
      <c r="AK66" s="701">
        <f>SUM(AK61:AK65)</f>
        <v>164215.21999999997</v>
      </c>
      <c r="AL66" s="285"/>
    </row>
    <row r="67" spans="1:38" ht="15.75" thickBot="1" x14ac:dyDescent="0.3">
      <c r="A67" s="264"/>
      <c r="B67" s="265" t="s">
        <v>265</v>
      </c>
      <c r="C67" s="265" t="s">
        <v>260</v>
      </c>
      <c r="D67" s="265" t="s">
        <v>260</v>
      </c>
      <c r="E67" s="265" t="s">
        <v>260</v>
      </c>
      <c r="F67" s="265" t="s">
        <v>265</v>
      </c>
      <c r="G67" s="265" t="s">
        <v>259</v>
      </c>
      <c r="H67" s="265" t="s">
        <v>260</v>
      </c>
      <c r="I67" s="56"/>
      <c r="J67" s="265" t="s">
        <v>260</v>
      </c>
      <c r="K67" s="265" t="s">
        <v>439</v>
      </c>
      <c r="L67" s="265" t="s">
        <v>259</v>
      </c>
      <c r="M67" s="265" t="s">
        <v>259</v>
      </c>
      <c r="N67" s="265" t="s">
        <v>260</v>
      </c>
      <c r="O67" s="265" t="s">
        <v>260</v>
      </c>
      <c r="P67" s="265" t="s">
        <v>259</v>
      </c>
      <c r="Q67" s="56"/>
      <c r="R67" s="265" t="s">
        <v>260</v>
      </c>
      <c r="S67" s="265" t="s">
        <v>259</v>
      </c>
      <c r="T67" s="265" t="s">
        <v>265</v>
      </c>
      <c r="U67" s="265" t="s">
        <v>259</v>
      </c>
      <c r="V67" s="265" t="s">
        <v>259</v>
      </c>
      <c r="W67" s="265" t="s">
        <v>265</v>
      </c>
      <c r="X67" s="265" t="s">
        <v>259</v>
      </c>
      <c r="Y67" s="56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56"/>
      <c r="AK67" s="225"/>
      <c r="AL67" s="228"/>
    </row>
    <row r="68" spans="1:38" ht="24" thickBot="1" x14ac:dyDescent="0.4">
      <c r="A68" s="252" t="s">
        <v>169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60"/>
    </row>
    <row r="69" spans="1:38" ht="16.5" thickBot="1" x14ac:dyDescent="0.3">
      <c r="A69" s="321" t="s">
        <v>7</v>
      </c>
      <c r="B69" s="322">
        <v>1</v>
      </c>
      <c r="C69" s="322">
        <v>2</v>
      </c>
      <c r="D69" s="322">
        <v>3</v>
      </c>
      <c r="E69" s="322">
        <v>4</v>
      </c>
      <c r="F69" s="322">
        <v>5</v>
      </c>
      <c r="G69" s="322">
        <v>6</v>
      </c>
      <c r="H69" s="322">
        <v>7</v>
      </c>
      <c r="I69" s="323" t="s">
        <v>6</v>
      </c>
      <c r="J69" s="322">
        <v>8</v>
      </c>
      <c r="K69" s="322">
        <v>9</v>
      </c>
      <c r="L69" s="322">
        <v>10</v>
      </c>
      <c r="M69" s="322">
        <v>11</v>
      </c>
      <c r="N69" s="322">
        <v>12</v>
      </c>
      <c r="O69" s="322">
        <v>13</v>
      </c>
      <c r="P69" s="322">
        <v>14</v>
      </c>
      <c r="Q69" s="323" t="s">
        <v>6</v>
      </c>
      <c r="R69" s="322">
        <v>15</v>
      </c>
      <c r="S69" s="322">
        <v>16</v>
      </c>
      <c r="T69" s="322">
        <v>17</v>
      </c>
      <c r="U69" s="322">
        <v>18</v>
      </c>
      <c r="V69" s="322">
        <v>19</v>
      </c>
      <c r="W69" s="322">
        <v>20</v>
      </c>
      <c r="X69" s="322">
        <v>21</v>
      </c>
      <c r="Y69" s="323" t="s">
        <v>6</v>
      </c>
      <c r="Z69" s="322">
        <v>22</v>
      </c>
      <c r="AA69" s="322">
        <v>23</v>
      </c>
      <c r="AB69" s="322">
        <v>24</v>
      </c>
      <c r="AC69" s="322">
        <v>25</v>
      </c>
      <c r="AD69" s="322">
        <v>26</v>
      </c>
      <c r="AE69" s="322">
        <v>27</v>
      </c>
      <c r="AF69" s="322">
        <v>28</v>
      </c>
      <c r="AG69" s="322">
        <v>29</v>
      </c>
      <c r="AH69" s="322">
        <v>30</v>
      </c>
      <c r="AI69" s="322">
        <v>31</v>
      </c>
      <c r="AJ69" s="324" t="s">
        <v>6</v>
      </c>
      <c r="AK69" s="325" t="s">
        <v>0</v>
      </c>
      <c r="AL69" s="395" t="s">
        <v>42</v>
      </c>
    </row>
    <row r="70" spans="1:38" x14ac:dyDescent="0.25">
      <c r="A70" s="394">
        <v>23</v>
      </c>
      <c r="B70" s="531">
        <v>0</v>
      </c>
      <c r="C70" s="531">
        <v>0</v>
      </c>
      <c r="D70" s="531">
        <v>0</v>
      </c>
      <c r="E70" s="531">
        <v>0</v>
      </c>
      <c r="F70" s="531">
        <v>0</v>
      </c>
      <c r="G70" s="531">
        <v>0</v>
      </c>
      <c r="H70" s="531">
        <v>0</v>
      </c>
      <c r="I70" s="182" t="s">
        <v>290</v>
      </c>
      <c r="J70" s="531">
        <v>0</v>
      </c>
      <c r="K70" s="531">
        <v>0</v>
      </c>
      <c r="L70" s="531">
        <v>0</v>
      </c>
      <c r="M70" s="531">
        <v>0</v>
      </c>
      <c r="N70" s="531">
        <v>0</v>
      </c>
      <c r="O70" s="531">
        <v>0</v>
      </c>
      <c r="P70" s="531">
        <v>0</v>
      </c>
      <c r="Q70" s="109" t="s">
        <v>290</v>
      </c>
      <c r="R70" s="531">
        <v>0</v>
      </c>
      <c r="S70" s="531">
        <v>0</v>
      </c>
      <c r="T70" s="531">
        <v>0</v>
      </c>
      <c r="U70" s="531">
        <v>0</v>
      </c>
      <c r="V70" s="531">
        <v>0</v>
      </c>
      <c r="W70" s="531">
        <v>0</v>
      </c>
      <c r="X70" s="531">
        <v>0</v>
      </c>
      <c r="Y70" s="160"/>
      <c r="Z70" s="530"/>
      <c r="AA70" s="530"/>
      <c r="AB70" s="530"/>
      <c r="AC70" s="530"/>
      <c r="AD70" s="530"/>
      <c r="AE70" s="530"/>
      <c r="AF70" s="530"/>
      <c r="AG70" s="530"/>
      <c r="AH70" s="530"/>
      <c r="AI70" s="530"/>
      <c r="AJ70" s="160"/>
      <c r="AK70" s="14"/>
      <c r="AL70" s="635" t="s">
        <v>234</v>
      </c>
    </row>
    <row r="71" spans="1:38" x14ac:dyDescent="0.25">
      <c r="A71" s="381">
        <v>83</v>
      </c>
      <c r="B71" s="530"/>
      <c r="C71" s="530"/>
      <c r="D71" s="530"/>
      <c r="E71" s="530"/>
      <c r="F71" s="530"/>
      <c r="G71" s="530"/>
      <c r="H71" s="531"/>
      <c r="I71" s="182" t="s">
        <v>290</v>
      </c>
      <c r="J71" s="530"/>
      <c r="K71" s="531"/>
      <c r="L71" s="578"/>
      <c r="M71" s="578"/>
      <c r="N71" s="578"/>
      <c r="O71" s="578"/>
      <c r="P71" s="530"/>
      <c r="Q71" s="109" t="s">
        <v>290</v>
      </c>
      <c r="R71" s="841"/>
      <c r="S71" s="531"/>
      <c r="T71" s="578"/>
      <c r="U71" s="531"/>
      <c r="V71" s="531"/>
      <c r="W71" s="531"/>
      <c r="X71" s="530"/>
      <c r="Y71" s="37"/>
      <c r="Z71" s="530"/>
      <c r="AA71" s="537"/>
      <c r="AB71" s="530"/>
      <c r="AC71" s="530"/>
      <c r="AD71" s="530"/>
      <c r="AE71" s="537"/>
      <c r="AF71" s="537"/>
      <c r="AG71" s="537"/>
      <c r="AH71" s="537"/>
      <c r="AI71" s="537"/>
      <c r="AJ71" s="37"/>
      <c r="AK71" s="38"/>
      <c r="AL71" s="448" t="s">
        <v>235</v>
      </c>
    </row>
    <row r="72" spans="1:38" x14ac:dyDescent="0.25">
      <c r="A72" s="381">
        <v>90</v>
      </c>
      <c r="B72" s="530"/>
      <c r="C72" s="530"/>
      <c r="D72" s="530"/>
      <c r="E72" s="537"/>
      <c r="F72" s="537"/>
      <c r="G72" s="537"/>
      <c r="H72" s="594"/>
      <c r="I72" s="182" t="s">
        <v>290</v>
      </c>
      <c r="J72" s="530"/>
      <c r="K72" s="531"/>
      <c r="L72" s="578"/>
      <c r="M72" s="778"/>
      <c r="N72" s="778"/>
      <c r="O72" s="778"/>
      <c r="P72" s="537"/>
      <c r="Q72" s="109" t="s">
        <v>290</v>
      </c>
      <c r="R72" s="841"/>
      <c r="S72" s="531"/>
      <c r="T72" s="578"/>
      <c r="U72" s="594"/>
      <c r="V72" s="594"/>
      <c r="W72" s="594"/>
      <c r="X72" s="537"/>
      <c r="Y72" s="111"/>
      <c r="Z72" s="530"/>
      <c r="AA72" s="530"/>
      <c r="AB72" s="530"/>
      <c r="AC72" s="530"/>
      <c r="AD72" s="530"/>
      <c r="AE72" s="530"/>
      <c r="AF72" s="530"/>
      <c r="AG72" s="530"/>
      <c r="AH72" s="530"/>
      <c r="AI72" s="530"/>
      <c r="AJ72" s="111"/>
      <c r="AK72" s="38"/>
      <c r="AL72" s="448"/>
    </row>
    <row r="73" spans="1:38" x14ac:dyDescent="0.25">
      <c r="A73" s="381">
        <v>93</v>
      </c>
      <c r="B73" s="537"/>
      <c r="C73" s="537"/>
      <c r="D73" s="537"/>
      <c r="E73" s="537"/>
      <c r="F73" s="537"/>
      <c r="G73" s="537"/>
      <c r="H73" s="594"/>
      <c r="I73" s="182" t="s">
        <v>290</v>
      </c>
      <c r="J73" s="537"/>
      <c r="K73" s="531"/>
      <c r="L73" s="578"/>
      <c r="M73" s="778"/>
      <c r="N73" s="778"/>
      <c r="O73" s="778"/>
      <c r="P73" s="537"/>
      <c r="Q73" s="109" t="s">
        <v>290</v>
      </c>
      <c r="R73" s="671"/>
      <c r="S73" s="594"/>
      <c r="T73" s="778"/>
      <c r="U73" s="594"/>
      <c r="V73" s="594"/>
      <c r="W73" s="594"/>
      <c r="X73" s="537"/>
      <c r="Y73" s="37"/>
      <c r="Z73" s="537"/>
      <c r="AA73" s="530"/>
      <c r="AB73" s="530"/>
      <c r="AC73" s="530"/>
      <c r="AD73" s="530"/>
      <c r="AE73" s="537"/>
      <c r="AF73" s="530"/>
      <c r="AG73" s="537"/>
      <c r="AH73" s="537"/>
      <c r="AI73" s="537"/>
      <c r="AJ73" s="37"/>
      <c r="AK73" s="38"/>
      <c r="AL73" s="449" t="s">
        <v>236</v>
      </c>
    </row>
    <row r="74" spans="1:38" x14ac:dyDescent="0.25">
      <c r="A74" s="381">
        <v>95</v>
      </c>
      <c r="B74" s="131">
        <v>20.079999999999998</v>
      </c>
      <c r="C74" s="530"/>
      <c r="D74" s="135">
        <v>75.760000000000005</v>
      </c>
      <c r="E74" s="135">
        <v>110.24</v>
      </c>
      <c r="F74" s="532">
        <v>129.24</v>
      </c>
      <c r="G74" s="135">
        <v>103.2</v>
      </c>
      <c r="H74" s="135">
        <v>24.47</v>
      </c>
      <c r="I74" s="37"/>
      <c r="J74" s="131">
        <v>90.38</v>
      </c>
      <c r="K74" s="135">
        <v>91.02</v>
      </c>
      <c r="L74" s="135">
        <v>92.48</v>
      </c>
      <c r="M74" s="135">
        <v>108.92</v>
      </c>
      <c r="N74" s="135">
        <v>98.91</v>
      </c>
      <c r="O74" s="135">
        <v>116.85</v>
      </c>
      <c r="P74" s="135">
        <v>90.18</v>
      </c>
      <c r="Q74" s="37"/>
      <c r="R74" s="131">
        <v>82.73</v>
      </c>
      <c r="S74" s="135">
        <v>90.38</v>
      </c>
      <c r="T74" s="135">
        <v>86.24</v>
      </c>
      <c r="U74" s="135">
        <v>100.11</v>
      </c>
      <c r="V74" s="135">
        <v>100.31</v>
      </c>
      <c r="W74" s="135"/>
      <c r="X74" s="444"/>
      <c r="Y74" s="37"/>
      <c r="Z74" s="131"/>
      <c r="AA74" s="131"/>
      <c r="AB74" s="12"/>
      <c r="AC74" s="12"/>
      <c r="AD74" s="12"/>
      <c r="AE74" s="131"/>
      <c r="AF74" s="131"/>
      <c r="AG74" s="131"/>
      <c r="AH74" s="131"/>
      <c r="AI74" s="131"/>
      <c r="AJ74" s="37"/>
      <c r="AK74" s="38"/>
      <c r="AL74" s="448" t="s">
        <v>237</v>
      </c>
    </row>
    <row r="75" spans="1:38" x14ac:dyDescent="0.25">
      <c r="A75" s="381">
        <v>98</v>
      </c>
      <c r="B75" s="537"/>
      <c r="C75" s="537"/>
      <c r="D75" s="537"/>
      <c r="E75" s="537"/>
      <c r="F75" s="537"/>
      <c r="G75" s="778"/>
      <c r="H75" s="594"/>
      <c r="I75" s="182" t="s">
        <v>290</v>
      </c>
      <c r="J75" s="537"/>
      <c r="K75" s="531"/>
      <c r="L75" s="578"/>
      <c r="M75" s="778"/>
      <c r="N75" s="778"/>
      <c r="O75" s="778"/>
      <c r="P75" s="537"/>
      <c r="Q75" s="109" t="s">
        <v>290</v>
      </c>
      <c r="R75" s="671"/>
      <c r="S75" s="594"/>
      <c r="T75" s="778"/>
      <c r="U75" s="594"/>
      <c r="V75" s="594"/>
      <c r="W75" s="594"/>
      <c r="X75" s="537"/>
      <c r="Y75" s="111"/>
      <c r="Z75" s="530"/>
      <c r="AA75" s="530"/>
      <c r="AB75" s="530"/>
      <c r="AC75" s="530"/>
      <c r="AD75" s="530"/>
      <c r="AE75" s="530"/>
      <c r="AF75" s="530"/>
      <c r="AG75" s="530"/>
      <c r="AH75" s="530"/>
      <c r="AI75" s="530"/>
      <c r="AJ75" s="111"/>
      <c r="AK75" s="38"/>
      <c r="AL75" s="448" t="s">
        <v>238</v>
      </c>
    </row>
    <row r="76" spans="1:38" x14ac:dyDescent="0.25">
      <c r="A76" s="381">
        <v>104</v>
      </c>
      <c r="B76" s="537"/>
      <c r="C76" s="530"/>
      <c r="D76" s="530"/>
      <c r="E76" s="530"/>
      <c r="F76" s="530"/>
      <c r="G76" s="578"/>
      <c r="H76" s="531"/>
      <c r="I76" s="182" t="s">
        <v>290</v>
      </c>
      <c r="J76" s="537"/>
      <c r="K76" s="531"/>
      <c r="L76" s="578"/>
      <c r="M76" s="578"/>
      <c r="N76" s="578"/>
      <c r="O76" s="578"/>
      <c r="P76" s="530"/>
      <c r="Q76" s="109" t="s">
        <v>290</v>
      </c>
      <c r="R76" s="671"/>
      <c r="S76" s="531"/>
      <c r="T76" s="578"/>
      <c r="U76" s="531"/>
      <c r="V76" s="531"/>
      <c r="W76" s="531"/>
      <c r="X76" s="530"/>
      <c r="Y76" s="37"/>
      <c r="Z76" s="12"/>
      <c r="AA76" s="131"/>
      <c r="AB76" s="12"/>
      <c r="AC76" s="12"/>
      <c r="AD76" s="12"/>
      <c r="AE76" s="135"/>
      <c r="AF76" s="770"/>
      <c r="AG76" s="131"/>
      <c r="AH76" s="131"/>
      <c r="AI76" s="131"/>
      <c r="AJ76" s="37"/>
      <c r="AK76" s="38"/>
      <c r="AL76" s="448"/>
    </row>
    <row r="77" spans="1:38" x14ac:dyDescent="0.25">
      <c r="A77" s="393">
        <v>118</v>
      </c>
      <c r="B77" s="537"/>
      <c r="C77" s="537"/>
      <c r="D77" s="537"/>
      <c r="E77" s="537"/>
      <c r="F77" s="537"/>
      <c r="G77" s="778"/>
      <c r="H77" s="594"/>
      <c r="I77" s="182" t="s">
        <v>290</v>
      </c>
      <c r="J77" s="537"/>
      <c r="K77" s="531"/>
      <c r="L77" s="578"/>
      <c r="M77" s="778"/>
      <c r="N77" s="778"/>
      <c r="O77" s="778"/>
      <c r="P77" s="537"/>
      <c r="Q77" s="109" t="s">
        <v>290</v>
      </c>
      <c r="R77" s="671"/>
      <c r="S77" s="594"/>
      <c r="T77" s="778"/>
      <c r="U77" s="594"/>
      <c r="V77" s="594"/>
      <c r="W77" s="594"/>
      <c r="X77" s="537"/>
      <c r="Y77" s="37"/>
      <c r="Z77" s="135"/>
      <c r="AA77" s="135"/>
      <c r="AB77" s="135"/>
      <c r="AC77" s="135"/>
      <c r="AD77" s="135"/>
      <c r="AE77" s="135"/>
      <c r="AF77" s="135"/>
      <c r="AG77" s="131"/>
      <c r="AH77" s="131"/>
      <c r="AI77" s="131"/>
      <c r="AJ77" s="37"/>
      <c r="AK77" s="38"/>
      <c r="AL77" s="112" t="s">
        <v>239</v>
      </c>
    </row>
    <row r="78" spans="1:38" x14ac:dyDescent="0.25">
      <c r="A78" s="382">
        <v>128</v>
      </c>
      <c r="B78" s="131">
        <v>100.37</v>
      </c>
      <c r="C78" s="135">
        <v>87.68</v>
      </c>
      <c r="D78" s="135">
        <v>99.24</v>
      </c>
      <c r="E78" s="135">
        <v>91.61</v>
      </c>
      <c r="F78" s="135">
        <v>78.81</v>
      </c>
      <c r="G78" s="135">
        <v>76.27</v>
      </c>
      <c r="H78" s="155">
        <v>81.45</v>
      </c>
      <c r="I78" s="37"/>
      <c r="J78" s="131">
        <v>78.22</v>
      </c>
      <c r="K78" s="135">
        <v>76.37</v>
      </c>
      <c r="L78" s="135">
        <v>114.76</v>
      </c>
      <c r="M78" s="135">
        <v>75.78</v>
      </c>
      <c r="N78" s="135">
        <v>58.76</v>
      </c>
      <c r="O78" s="135">
        <v>74.97</v>
      </c>
      <c r="P78" s="131">
        <v>70.760000000000005</v>
      </c>
      <c r="Q78" s="37"/>
      <c r="R78" s="131">
        <v>98.43</v>
      </c>
      <c r="S78" s="135">
        <v>85.25</v>
      </c>
      <c r="T78" s="135">
        <v>84.48</v>
      </c>
      <c r="U78" s="135">
        <v>81.650000000000006</v>
      </c>
      <c r="V78" s="135">
        <v>96.27</v>
      </c>
      <c r="W78" s="135">
        <v>81.94</v>
      </c>
      <c r="X78" s="131"/>
      <c r="Y78" s="37"/>
      <c r="Z78" s="12"/>
      <c r="AA78" s="131"/>
      <c r="AB78" s="12"/>
      <c r="AC78" s="12"/>
      <c r="AD78" s="12"/>
      <c r="AE78" s="131"/>
      <c r="AF78" s="131"/>
      <c r="AG78" s="131"/>
      <c r="AH78" s="131"/>
      <c r="AI78" s="131"/>
      <c r="AJ78" s="37"/>
      <c r="AK78" s="38"/>
      <c r="AL78" s="450" t="s">
        <v>240</v>
      </c>
    </row>
    <row r="79" spans="1:38" x14ac:dyDescent="0.25">
      <c r="A79" s="382">
        <v>131</v>
      </c>
      <c r="B79" s="155">
        <v>70.25</v>
      </c>
      <c r="C79" s="135">
        <v>83.34</v>
      </c>
      <c r="D79" s="135">
        <v>110.59</v>
      </c>
      <c r="E79" s="135">
        <v>58.89</v>
      </c>
      <c r="F79" s="135">
        <v>85.94</v>
      </c>
      <c r="G79" s="135">
        <v>94.22</v>
      </c>
      <c r="H79" s="135">
        <v>92.1</v>
      </c>
      <c r="I79" s="37"/>
      <c r="J79" s="155">
        <v>69.739999999999995</v>
      </c>
      <c r="K79" s="135">
        <v>86.54</v>
      </c>
      <c r="L79" s="135">
        <v>75.8</v>
      </c>
      <c r="M79" s="135">
        <v>80.180000000000007</v>
      </c>
      <c r="N79" s="135">
        <v>69.91</v>
      </c>
      <c r="O79" s="135">
        <v>89.64</v>
      </c>
      <c r="P79" s="131">
        <v>94.87</v>
      </c>
      <c r="Q79" s="37"/>
      <c r="R79" s="155">
        <v>83.28</v>
      </c>
      <c r="S79" s="135">
        <v>78.150000000000006</v>
      </c>
      <c r="T79" s="135">
        <v>76.97</v>
      </c>
      <c r="U79" s="135">
        <v>95.95</v>
      </c>
      <c r="V79" s="155">
        <v>94.65</v>
      </c>
      <c r="W79" s="135">
        <v>94.89</v>
      </c>
      <c r="X79" s="131"/>
      <c r="Y79" s="37"/>
      <c r="Z79" s="131"/>
      <c r="AA79" s="131"/>
      <c r="AB79" s="12"/>
      <c r="AC79" s="12"/>
      <c r="AD79" s="135"/>
      <c r="AE79" s="770"/>
      <c r="AF79" s="131"/>
      <c r="AG79" s="131"/>
      <c r="AH79" s="131"/>
      <c r="AI79" s="131"/>
      <c r="AJ79" s="37"/>
      <c r="AK79" s="38"/>
      <c r="AL79" s="450" t="s">
        <v>241</v>
      </c>
    </row>
    <row r="80" spans="1:38" x14ac:dyDescent="0.25">
      <c r="A80" s="382">
        <v>132</v>
      </c>
      <c r="B80" s="12">
        <v>91.14</v>
      </c>
      <c r="C80" s="135">
        <v>98.38</v>
      </c>
      <c r="D80" s="135">
        <v>97.74</v>
      </c>
      <c r="E80" s="135">
        <v>92.31</v>
      </c>
      <c r="F80" s="135">
        <v>64.290000000000006</v>
      </c>
      <c r="G80" s="135">
        <v>57.4</v>
      </c>
      <c r="H80" s="135">
        <v>79.37</v>
      </c>
      <c r="I80" s="37"/>
      <c r="J80" s="12">
        <v>73.28</v>
      </c>
      <c r="K80" s="135">
        <v>100.71</v>
      </c>
      <c r="L80" s="135">
        <v>72.7</v>
      </c>
      <c r="M80" s="135">
        <v>87.49</v>
      </c>
      <c r="N80" s="530"/>
      <c r="O80" s="532">
        <v>127.04</v>
      </c>
      <c r="P80" s="530"/>
      <c r="Q80" s="37"/>
      <c r="R80" s="12">
        <v>114.02</v>
      </c>
      <c r="S80" s="135">
        <v>71.8</v>
      </c>
      <c r="T80" s="135">
        <v>82.39</v>
      </c>
      <c r="U80" s="155">
        <v>53.01</v>
      </c>
      <c r="V80" s="135">
        <v>101.07</v>
      </c>
      <c r="W80" s="135">
        <v>85.42</v>
      </c>
      <c r="X80" s="444"/>
      <c r="Y80" s="37"/>
      <c r="Z80" s="131"/>
      <c r="AA80" s="12"/>
      <c r="AB80" s="12"/>
      <c r="AC80" s="12"/>
      <c r="AD80" s="135"/>
      <c r="AE80" s="135"/>
      <c r="AF80" s="131"/>
      <c r="AG80" s="131"/>
      <c r="AH80" s="131"/>
      <c r="AI80" s="131"/>
      <c r="AJ80" s="37"/>
      <c r="AK80" s="38"/>
      <c r="AL80" s="450"/>
    </row>
    <row r="81" spans="1:40" x14ac:dyDescent="0.25">
      <c r="A81" s="382">
        <v>133</v>
      </c>
      <c r="B81" s="12">
        <v>110</v>
      </c>
      <c r="C81" s="135">
        <v>70.930000000000007</v>
      </c>
      <c r="D81" s="135">
        <v>110.9</v>
      </c>
      <c r="E81" s="135">
        <v>87.26</v>
      </c>
      <c r="F81" s="135">
        <v>76.44</v>
      </c>
      <c r="G81" s="537"/>
      <c r="H81" s="532">
        <v>134.97999999999999</v>
      </c>
      <c r="I81" s="37"/>
      <c r="J81" s="131">
        <v>61.26</v>
      </c>
      <c r="K81" s="135">
        <v>98.67</v>
      </c>
      <c r="L81" s="530"/>
      <c r="M81" s="135">
        <v>103.28</v>
      </c>
      <c r="N81" s="135">
        <v>82.45</v>
      </c>
      <c r="O81" s="135">
        <v>94.2</v>
      </c>
      <c r="P81" s="12">
        <v>89.53</v>
      </c>
      <c r="Q81" s="37"/>
      <c r="R81" s="131">
        <v>97.16</v>
      </c>
      <c r="S81" s="155">
        <v>90.05</v>
      </c>
      <c r="T81" s="135">
        <v>93.03</v>
      </c>
      <c r="U81" s="135">
        <v>56.86</v>
      </c>
      <c r="V81" s="155">
        <v>84.26</v>
      </c>
      <c r="W81" s="155">
        <v>102.24</v>
      </c>
      <c r="X81" s="12"/>
      <c r="Y81" s="37"/>
      <c r="Z81" s="131"/>
      <c r="AA81" s="131"/>
      <c r="AB81" s="12"/>
      <c r="AC81" s="12"/>
      <c r="AD81" s="12"/>
      <c r="AE81" s="135"/>
      <c r="AF81" s="770"/>
      <c r="AG81" s="131"/>
      <c r="AH81" s="131"/>
      <c r="AI81" s="131"/>
      <c r="AJ81" s="37"/>
      <c r="AK81" s="38"/>
      <c r="AL81" s="689" t="s">
        <v>242</v>
      </c>
    </row>
    <row r="82" spans="1:40" x14ac:dyDescent="0.25">
      <c r="A82" s="382">
        <v>134</v>
      </c>
      <c r="B82" s="155">
        <v>108.01</v>
      </c>
      <c r="C82" s="135">
        <v>79.28</v>
      </c>
      <c r="D82" s="135">
        <v>97.39</v>
      </c>
      <c r="E82" s="135">
        <v>80.19</v>
      </c>
      <c r="F82" s="135">
        <v>104.92</v>
      </c>
      <c r="G82" s="135">
        <v>89.83</v>
      </c>
      <c r="H82" s="155">
        <v>78.89</v>
      </c>
      <c r="I82" s="37"/>
      <c r="J82" s="155">
        <v>45.55</v>
      </c>
      <c r="K82" s="135">
        <v>106.7</v>
      </c>
      <c r="L82" s="135">
        <v>74.12</v>
      </c>
      <c r="M82" s="135">
        <v>86.71</v>
      </c>
      <c r="N82" s="135">
        <v>105.16</v>
      </c>
      <c r="O82" s="242">
        <v>84.49</v>
      </c>
      <c r="P82" s="131">
        <v>85.01</v>
      </c>
      <c r="Q82" s="37"/>
      <c r="R82" s="155">
        <v>111.17</v>
      </c>
      <c r="S82" s="155">
        <v>74.23</v>
      </c>
      <c r="T82" s="135">
        <v>113.47</v>
      </c>
      <c r="U82" s="135">
        <v>103.88</v>
      </c>
      <c r="V82" s="155">
        <v>110.24</v>
      </c>
      <c r="W82" s="724">
        <v>99.21</v>
      </c>
      <c r="X82" s="131"/>
      <c r="Y82" s="37"/>
      <c r="Z82" s="131"/>
      <c r="AA82" s="131"/>
      <c r="AB82" s="12"/>
      <c r="AC82" s="12"/>
      <c r="AD82" s="12"/>
      <c r="AE82" s="131"/>
      <c r="AF82" s="131"/>
      <c r="AG82" s="131"/>
      <c r="AH82" s="131"/>
      <c r="AI82" s="131"/>
      <c r="AJ82" s="37"/>
      <c r="AK82" s="38"/>
      <c r="AL82" s="452" t="s">
        <v>243</v>
      </c>
    </row>
    <row r="83" spans="1:40" x14ac:dyDescent="0.25">
      <c r="A83" s="382">
        <v>135</v>
      </c>
      <c r="B83" s="131">
        <v>102.17</v>
      </c>
      <c r="C83" s="135">
        <v>90.38</v>
      </c>
      <c r="D83" s="135">
        <v>92.14</v>
      </c>
      <c r="E83" s="135">
        <v>80.8</v>
      </c>
      <c r="F83" s="135">
        <v>75.88</v>
      </c>
      <c r="G83" s="135">
        <v>60.27</v>
      </c>
      <c r="H83" s="135">
        <v>77.75</v>
      </c>
      <c r="I83" s="37"/>
      <c r="J83" s="131">
        <v>88.04</v>
      </c>
      <c r="K83" s="135">
        <v>109.4</v>
      </c>
      <c r="L83" s="135">
        <v>93.5</v>
      </c>
      <c r="M83" s="135">
        <v>68.430000000000007</v>
      </c>
      <c r="N83" s="135">
        <v>84.49</v>
      </c>
      <c r="O83" s="135">
        <v>95.38</v>
      </c>
      <c r="P83" s="135">
        <v>72.91</v>
      </c>
      <c r="Q83" s="37"/>
      <c r="R83" s="131">
        <v>83.64</v>
      </c>
      <c r="S83" s="155">
        <v>91.98</v>
      </c>
      <c r="T83" s="530"/>
      <c r="U83" s="135">
        <v>31.2</v>
      </c>
      <c r="V83" s="155">
        <v>100.63</v>
      </c>
      <c r="W83" s="135">
        <v>84.66</v>
      </c>
      <c r="X83" s="444"/>
      <c r="Y83" s="37"/>
      <c r="Z83" s="131"/>
      <c r="AA83" s="131"/>
      <c r="AB83" s="12"/>
      <c r="AC83" s="12"/>
      <c r="AD83" s="12"/>
      <c r="AE83" s="445"/>
      <c r="AF83" s="131"/>
      <c r="AG83" s="131"/>
      <c r="AH83" s="131"/>
      <c r="AI83" s="131"/>
      <c r="AJ83" s="37"/>
      <c r="AK83" s="38"/>
      <c r="AL83" s="452" t="s">
        <v>244</v>
      </c>
    </row>
    <row r="84" spans="1:40" x14ac:dyDescent="0.25">
      <c r="A84" s="382">
        <v>136</v>
      </c>
      <c r="B84" s="131">
        <v>31.47</v>
      </c>
      <c r="C84" s="135">
        <v>76.67</v>
      </c>
      <c r="D84" s="135">
        <v>64.09</v>
      </c>
      <c r="E84" s="135">
        <v>76.7</v>
      </c>
      <c r="F84" s="135">
        <v>90.52</v>
      </c>
      <c r="G84" s="135">
        <v>72.150000000000006</v>
      </c>
      <c r="H84" s="135">
        <v>21.85</v>
      </c>
      <c r="I84" s="37"/>
      <c r="J84" s="131">
        <v>59.13</v>
      </c>
      <c r="K84" s="135">
        <v>67.459999999999994</v>
      </c>
      <c r="L84" s="135">
        <v>76.959999999999994</v>
      </c>
      <c r="M84" s="135">
        <v>78.97</v>
      </c>
      <c r="N84" s="135">
        <v>66.400000000000006</v>
      </c>
      <c r="O84" s="135">
        <v>84.78</v>
      </c>
      <c r="P84" s="135">
        <v>54.76</v>
      </c>
      <c r="Q84" s="37"/>
      <c r="R84" s="131">
        <v>71.06</v>
      </c>
      <c r="S84" s="135">
        <v>69.87</v>
      </c>
      <c r="T84" s="155">
        <v>73.239999999999995</v>
      </c>
      <c r="U84" s="135">
        <v>81.98</v>
      </c>
      <c r="V84" s="155">
        <v>80.33</v>
      </c>
      <c r="W84" s="135">
        <v>78.150000000000006</v>
      </c>
      <c r="X84" s="444"/>
      <c r="Y84" s="37"/>
      <c r="Z84" s="12"/>
      <c r="AA84" s="135"/>
      <c r="AB84" s="12"/>
      <c r="AC84" s="12"/>
      <c r="AD84" s="12"/>
      <c r="AE84" s="131"/>
      <c r="AF84" s="445"/>
      <c r="AG84" s="131"/>
      <c r="AH84" s="131"/>
      <c r="AI84" s="131"/>
      <c r="AJ84" s="37"/>
      <c r="AK84" s="38"/>
      <c r="AL84" s="452" t="s">
        <v>245</v>
      </c>
    </row>
    <row r="85" spans="1:40" x14ac:dyDescent="0.25">
      <c r="A85" s="382">
        <v>137</v>
      </c>
      <c r="B85" s="131">
        <v>94.37</v>
      </c>
      <c r="C85" s="135">
        <v>72.599999999999994</v>
      </c>
      <c r="D85" s="135">
        <v>103.4</v>
      </c>
      <c r="E85" s="135">
        <v>104.76</v>
      </c>
      <c r="F85" s="135">
        <v>97.19</v>
      </c>
      <c r="G85" s="135">
        <v>96.41</v>
      </c>
      <c r="H85" s="135">
        <v>87.76</v>
      </c>
      <c r="I85" s="37"/>
      <c r="J85" s="131">
        <v>58.32</v>
      </c>
      <c r="K85" s="135">
        <v>108.91</v>
      </c>
      <c r="L85" s="135">
        <v>118.87</v>
      </c>
      <c r="M85" s="135">
        <v>84.71</v>
      </c>
      <c r="N85" s="135">
        <v>101.32</v>
      </c>
      <c r="O85" s="135">
        <v>78.87</v>
      </c>
      <c r="P85" s="135">
        <v>85.26</v>
      </c>
      <c r="Q85" s="37"/>
      <c r="R85" s="131">
        <v>79.069999999999993</v>
      </c>
      <c r="S85" s="155">
        <v>84.29</v>
      </c>
      <c r="T85" s="155">
        <v>98.63</v>
      </c>
      <c r="U85" s="135">
        <v>79.28</v>
      </c>
      <c r="V85" s="135">
        <v>98.2</v>
      </c>
      <c r="W85" s="135">
        <v>81.12</v>
      </c>
      <c r="X85" s="444"/>
      <c r="Y85" s="37"/>
      <c r="Z85" s="131"/>
      <c r="AA85" s="12"/>
      <c r="AB85" s="12"/>
      <c r="AC85" s="12"/>
      <c r="AD85" s="12"/>
      <c r="AE85" s="131"/>
      <c r="AF85" s="12"/>
      <c r="AG85" s="131"/>
      <c r="AH85" s="131"/>
      <c r="AI85" s="131"/>
      <c r="AJ85" s="37"/>
      <c r="AK85" s="38"/>
      <c r="AL85" s="452" t="s">
        <v>246</v>
      </c>
    </row>
    <row r="86" spans="1:40" x14ac:dyDescent="0.25">
      <c r="A86" s="382">
        <v>138</v>
      </c>
      <c r="B86" s="131">
        <v>80.150000000000006</v>
      </c>
      <c r="C86" s="135">
        <v>93.46</v>
      </c>
      <c r="D86" s="135">
        <v>74.64</v>
      </c>
      <c r="E86" s="135">
        <v>81.61</v>
      </c>
      <c r="F86" s="135">
        <v>75.73</v>
      </c>
      <c r="G86" s="135">
        <v>52.94</v>
      </c>
      <c r="H86" s="135">
        <v>98.5</v>
      </c>
      <c r="I86" s="37"/>
      <c r="J86" s="131">
        <v>56.72</v>
      </c>
      <c r="K86" s="135">
        <v>72.5</v>
      </c>
      <c r="L86" s="135">
        <v>108.05</v>
      </c>
      <c r="M86" s="135">
        <v>77.849999999999994</v>
      </c>
      <c r="N86" s="135">
        <v>81.33</v>
      </c>
      <c r="O86" s="135">
        <v>95.9</v>
      </c>
      <c r="P86" s="12">
        <v>65.83</v>
      </c>
      <c r="Q86" s="37"/>
      <c r="R86" s="131">
        <v>90.96</v>
      </c>
      <c r="S86" s="135">
        <v>63.13</v>
      </c>
      <c r="T86" s="135">
        <v>74.48</v>
      </c>
      <c r="U86" s="155">
        <v>80.17</v>
      </c>
      <c r="V86" s="155">
        <v>104.36</v>
      </c>
      <c r="W86" s="135">
        <v>95.79</v>
      </c>
      <c r="X86" s="12"/>
      <c r="Y86" s="111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37"/>
      <c r="AK86" s="38"/>
      <c r="AL86" s="452" t="s">
        <v>247</v>
      </c>
    </row>
    <row r="87" spans="1:40" x14ac:dyDescent="0.25">
      <c r="A87" s="382">
        <v>139</v>
      </c>
      <c r="B87" s="131">
        <v>72.53</v>
      </c>
      <c r="C87" s="135">
        <v>101.38</v>
      </c>
      <c r="D87" s="135">
        <v>80.25</v>
      </c>
      <c r="E87" s="530"/>
      <c r="F87" s="135">
        <v>94.2</v>
      </c>
      <c r="G87" s="135">
        <v>86.76</v>
      </c>
      <c r="H87" s="155">
        <v>66.959999999999994</v>
      </c>
      <c r="I87" s="37"/>
      <c r="J87" s="131">
        <v>83.45</v>
      </c>
      <c r="K87" s="135">
        <v>62.67</v>
      </c>
      <c r="L87" s="135">
        <v>93.51</v>
      </c>
      <c r="M87" s="135">
        <v>79.39</v>
      </c>
      <c r="N87" s="135">
        <v>77.11</v>
      </c>
      <c r="O87" s="135">
        <v>89.51</v>
      </c>
      <c r="P87" s="131">
        <v>82.41</v>
      </c>
      <c r="Q87" s="37"/>
      <c r="R87" s="131">
        <v>64.45</v>
      </c>
      <c r="S87" s="135">
        <v>68.72</v>
      </c>
      <c r="T87" s="155">
        <v>84.73</v>
      </c>
      <c r="U87" s="155">
        <v>82.52</v>
      </c>
      <c r="V87" s="155">
        <v>105.44</v>
      </c>
      <c r="W87" s="135">
        <v>61.08</v>
      </c>
      <c r="X87" s="131"/>
      <c r="Y87" s="37"/>
      <c r="Z87" s="131"/>
      <c r="AA87" s="131"/>
      <c r="AB87" s="12"/>
      <c r="AC87" s="12"/>
      <c r="AD87" s="12"/>
      <c r="AE87" s="131"/>
      <c r="AF87" s="12"/>
      <c r="AG87" s="131"/>
      <c r="AH87" s="131"/>
      <c r="AI87" s="131"/>
      <c r="AJ87" s="37"/>
      <c r="AK87" s="38"/>
      <c r="AL87" s="450"/>
    </row>
    <row r="88" spans="1:40" x14ac:dyDescent="0.25">
      <c r="A88" s="382">
        <v>140</v>
      </c>
      <c r="B88" s="537"/>
      <c r="C88" s="135">
        <v>127.06</v>
      </c>
      <c r="D88" s="135">
        <v>89.15</v>
      </c>
      <c r="E88" s="135">
        <v>74.28</v>
      </c>
      <c r="F88" s="135">
        <v>70.53</v>
      </c>
      <c r="G88" s="135">
        <v>70.209999999999994</v>
      </c>
      <c r="H88" s="155">
        <v>83.77</v>
      </c>
      <c r="I88" s="37"/>
      <c r="J88" s="155">
        <v>62.22</v>
      </c>
      <c r="K88" s="135">
        <v>73.349999999999994</v>
      </c>
      <c r="L88" s="135">
        <v>75.37</v>
      </c>
      <c r="M88" s="135">
        <v>78.34</v>
      </c>
      <c r="N88" s="135">
        <v>74.150000000000006</v>
      </c>
      <c r="O88" s="135">
        <v>70.17</v>
      </c>
      <c r="P88" s="131">
        <v>81.89</v>
      </c>
      <c r="Q88" s="37"/>
      <c r="R88" s="537"/>
      <c r="S88" s="537"/>
      <c r="T88" s="135">
        <v>71.02</v>
      </c>
      <c r="U88" s="155">
        <v>62.11</v>
      </c>
      <c r="V88" s="135">
        <v>91.01</v>
      </c>
      <c r="W88" s="135">
        <v>85.82</v>
      </c>
      <c r="X88" s="131"/>
      <c r="Y88" s="37"/>
      <c r="Z88" s="131"/>
      <c r="AA88" s="131"/>
      <c r="AB88" s="12"/>
      <c r="AC88" s="12"/>
      <c r="AD88" s="12"/>
      <c r="AE88" s="131"/>
      <c r="AF88" s="12"/>
      <c r="AG88" s="131"/>
      <c r="AH88" s="131"/>
      <c r="AI88" s="131"/>
      <c r="AJ88" s="37"/>
      <c r="AK88" s="38"/>
      <c r="AL88" s="452" t="s">
        <v>248</v>
      </c>
      <c r="AN88" s="196"/>
    </row>
    <row r="89" spans="1:40" x14ac:dyDescent="0.25">
      <c r="A89" s="382">
        <v>141</v>
      </c>
      <c r="B89" s="155">
        <v>110.98</v>
      </c>
      <c r="C89" s="135">
        <v>76.05</v>
      </c>
      <c r="D89" s="530"/>
      <c r="E89" s="530"/>
      <c r="F89" s="135">
        <v>84.39</v>
      </c>
      <c r="G89" s="135">
        <v>74.08</v>
      </c>
      <c r="H89" s="135">
        <v>83.1</v>
      </c>
      <c r="I89" s="37"/>
      <c r="J89" s="155">
        <v>83.67</v>
      </c>
      <c r="K89" s="135">
        <v>118.89</v>
      </c>
      <c r="L89" s="135">
        <v>67.709999999999994</v>
      </c>
      <c r="M89" s="135">
        <v>90.28</v>
      </c>
      <c r="N89" s="135">
        <v>78.62</v>
      </c>
      <c r="O89" s="135">
        <v>88.74</v>
      </c>
      <c r="P89" s="135">
        <v>63.07</v>
      </c>
      <c r="Q89" s="37"/>
      <c r="R89" s="155">
        <v>78.62</v>
      </c>
      <c r="S89" s="155">
        <v>92.24</v>
      </c>
      <c r="T89" s="155">
        <v>84.97</v>
      </c>
      <c r="U89" s="135">
        <v>66.11</v>
      </c>
      <c r="V89" s="135">
        <v>92.2</v>
      </c>
      <c r="W89" s="135">
        <v>69.12</v>
      </c>
      <c r="X89" s="444"/>
      <c r="Y89" s="37"/>
      <c r="Z89" s="12"/>
      <c r="AA89" s="131"/>
      <c r="AB89" s="12"/>
      <c r="AC89" s="12"/>
      <c r="AD89" s="12"/>
      <c r="AE89" s="131"/>
      <c r="AF89" s="131"/>
      <c r="AG89" s="131"/>
      <c r="AH89" s="131"/>
      <c r="AI89" s="131"/>
      <c r="AJ89" s="37"/>
      <c r="AK89" s="38"/>
      <c r="AL89" s="450"/>
      <c r="AN89" s="196"/>
    </row>
    <row r="90" spans="1:40" x14ac:dyDescent="0.25">
      <c r="A90" s="382">
        <v>142</v>
      </c>
      <c r="B90" s="131">
        <v>103.04</v>
      </c>
      <c r="C90" s="135">
        <v>67.5</v>
      </c>
      <c r="D90" s="135">
        <v>86.99</v>
      </c>
      <c r="E90" s="135">
        <v>75.069999999999993</v>
      </c>
      <c r="F90" s="135">
        <v>77.55</v>
      </c>
      <c r="G90" s="135">
        <v>78.12</v>
      </c>
      <c r="H90" s="135">
        <v>82.47</v>
      </c>
      <c r="I90" s="37"/>
      <c r="J90" s="131">
        <v>69.58</v>
      </c>
      <c r="K90" s="135">
        <v>90.49</v>
      </c>
      <c r="L90" s="135">
        <v>80.2</v>
      </c>
      <c r="M90" s="135">
        <v>70.33</v>
      </c>
      <c r="N90" s="135">
        <v>77.27</v>
      </c>
      <c r="O90" s="135">
        <v>72.290000000000006</v>
      </c>
      <c r="P90" s="12">
        <v>95.7</v>
      </c>
      <c r="Q90" s="37"/>
      <c r="R90" s="131">
        <v>80.27</v>
      </c>
      <c r="S90" s="155">
        <v>61.04</v>
      </c>
      <c r="T90" s="135">
        <v>94.44</v>
      </c>
      <c r="U90" s="155">
        <v>97.77</v>
      </c>
      <c r="V90" s="155">
        <v>108.25</v>
      </c>
      <c r="W90" s="135">
        <v>65.41</v>
      </c>
      <c r="X90" s="12"/>
      <c r="Y90" s="37"/>
      <c r="Z90" s="131"/>
      <c r="AA90" s="131"/>
      <c r="AB90" s="12"/>
      <c r="AC90" s="12"/>
      <c r="AD90" s="12"/>
      <c r="AE90" s="131"/>
      <c r="AF90" s="131"/>
      <c r="AG90" s="131"/>
      <c r="AH90" s="131"/>
      <c r="AI90" s="131"/>
      <c r="AJ90" s="37"/>
      <c r="AK90" s="38"/>
      <c r="AL90" s="451" t="s">
        <v>249</v>
      </c>
      <c r="AN90" s="196"/>
    </row>
    <row r="91" spans="1:40" x14ac:dyDescent="0.25">
      <c r="A91" s="382">
        <v>143</v>
      </c>
      <c r="B91" s="155">
        <v>101.63</v>
      </c>
      <c r="C91" s="135">
        <v>69.48</v>
      </c>
      <c r="D91" s="135">
        <v>90.27</v>
      </c>
      <c r="E91" s="530"/>
      <c r="F91" s="530"/>
      <c r="G91" s="530"/>
      <c r="H91" s="537"/>
      <c r="I91" s="37"/>
      <c r="J91" s="537"/>
      <c r="K91" s="530"/>
      <c r="L91" s="135">
        <v>102.61</v>
      </c>
      <c r="M91" s="135">
        <v>95.45</v>
      </c>
      <c r="N91" s="530"/>
      <c r="O91" s="530"/>
      <c r="P91" s="131">
        <v>74.72</v>
      </c>
      <c r="Q91" s="37"/>
      <c r="R91" s="155">
        <v>102.43</v>
      </c>
      <c r="S91" s="135">
        <v>88.8</v>
      </c>
      <c r="T91" s="135">
        <v>96.67</v>
      </c>
      <c r="U91" s="135">
        <v>100.3</v>
      </c>
      <c r="V91" s="135">
        <v>125.36</v>
      </c>
      <c r="W91" s="135">
        <v>79.45</v>
      </c>
      <c r="X91" s="131"/>
      <c r="Y91" s="37"/>
      <c r="Z91" s="131"/>
      <c r="AA91" s="131"/>
      <c r="AB91" s="12"/>
      <c r="AC91" s="12"/>
      <c r="AD91" s="12"/>
      <c r="AE91" s="131"/>
      <c r="AF91" s="131"/>
      <c r="AG91" s="131"/>
      <c r="AH91" s="131"/>
      <c r="AI91" s="131"/>
      <c r="AJ91" s="37"/>
      <c r="AK91" s="38"/>
      <c r="AL91" s="451" t="s">
        <v>250</v>
      </c>
      <c r="AN91" s="196"/>
    </row>
    <row r="92" spans="1:40" x14ac:dyDescent="0.25">
      <c r="A92" s="382">
        <v>144</v>
      </c>
      <c r="B92" s="12">
        <v>69.55</v>
      </c>
      <c r="C92" s="135">
        <v>82.44</v>
      </c>
      <c r="D92" s="135">
        <v>57.64</v>
      </c>
      <c r="E92" s="135">
        <v>67.53</v>
      </c>
      <c r="F92" s="135">
        <v>85.69</v>
      </c>
      <c r="G92" s="135">
        <v>85.29</v>
      </c>
      <c r="H92" s="135">
        <v>71.56</v>
      </c>
      <c r="I92" s="37"/>
      <c r="J92" s="12">
        <v>72.75</v>
      </c>
      <c r="K92" s="135">
        <v>95.6</v>
      </c>
      <c r="L92" s="135">
        <v>59.81</v>
      </c>
      <c r="M92" s="135">
        <v>70.38</v>
      </c>
      <c r="N92" s="135">
        <v>79.010000000000005</v>
      </c>
      <c r="O92" s="135">
        <v>81.95</v>
      </c>
      <c r="P92" s="530"/>
      <c r="Q92" s="37"/>
      <c r="R92" s="532">
        <v>125.78</v>
      </c>
      <c r="S92" s="135">
        <v>70</v>
      </c>
      <c r="T92" s="135">
        <v>85.82</v>
      </c>
      <c r="U92" s="135">
        <v>84.07</v>
      </c>
      <c r="V92" s="155">
        <v>73.849999999999994</v>
      </c>
      <c r="W92" s="135">
        <v>87.86</v>
      </c>
      <c r="X92" s="444"/>
      <c r="Y92" s="37"/>
      <c r="Z92" s="12"/>
      <c r="AA92" s="131"/>
      <c r="AB92" s="12"/>
      <c r="AC92" s="12"/>
      <c r="AD92" s="12"/>
      <c r="AE92" s="131"/>
      <c r="AF92" s="131"/>
      <c r="AG92" s="131"/>
      <c r="AH92" s="131"/>
      <c r="AI92" s="131"/>
      <c r="AJ92" s="37"/>
      <c r="AK92" s="38"/>
      <c r="AL92" s="450"/>
      <c r="AN92" s="196"/>
    </row>
    <row r="93" spans="1:40" x14ac:dyDescent="0.25">
      <c r="A93" s="382">
        <v>145</v>
      </c>
      <c r="B93" s="548">
        <v>133.24</v>
      </c>
      <c r="C93" s="135">
        <v>84.38</v>
      </c>
      <c r="D93" s="135">
        <v>78.16</v>
      </c>
      <c r="E93" s="135">
        <v>88</v>
      </c>
      <c r="F93" s="135">
        <v>91.43</v>
      </c>
      <c r="G93" s="135">
        <v>110.11</v>
      </c>
      <c r="H93" s="135">
        <v>94.12</v>
      </c>
      <c r="I93" s="37"/>
      <c r="J93" s="131">
        <v>100.06</v>
      </c>
      <c r="K93" s="135">
        <v>101.02</v>
      </c>
      <c r="L93" s="135">
        <v>63.65</v>
      </c>
      <c r="M93" s="135">
        <v>58.79</v>
      </c>
      <c r="N93" s="135">
        <v>67.77</v>
      </c>
      <c r="O93" s="135">
        <v>103.05</v>
      </c>
      <c r="P93" s="135">
        <v>98.75</v>
      </c>
      <c r="Q93" s="37"/>
      <c r="R93" s="131">
        <v>83.91</v>
      </c>
      <c r="S93" s="155">
        <v>67.790000000000006</v>
      </c>
      <c r="T93" s="135">
        <v>88.95</v>
      </c>
      <c r="U93" s="135">
        <v>75.16</v>
      </c>
      <c r="V93" s="155">
        <v>92.11</v>
      </c>
      <c r="W93" s="135">
        <v>78.59</v>
      </c>
      <c r="X93" s="444"/>
      <c r="Y93" s="37"/>
      <c r="Z93" s="131"/>
      <c r="AA93" s="12"/>
      <c r="AB93" s="12"/>
      <c r="AC93" s="12"/>
      <c r="AD93" s="12"/>
      <c r="AE93" s="131"/>
      <c r="AF93" s="131"/>
      <c r="AG93" s="131"/>
      <c r="AH93" s="131"/>
      <c r="AI93" s="131"/>
      <c r="AJ93" s="37"/>
      <c r="AK93" s="38"/>
      <c r="AL93" s="453"/>
      <c r="AN93" s="196"/>
    </row>
    <row r="94" spans="1:40" x14ac:dyDescent="0.25">
      <c r="A94" s="382">
        <v>147</v>
      </c>
      <c r="B94" s="135">
        <v>103.32</v>
      </c>
      <c r="C94" s="135">
        <v>71.12</v>
      </c>
      <c r="D94" s="135">
        <v>87.17</v>
      </c>
      <c r="E94" s="135">
        <v>83.7</v>
      </c>
      <c r="F94" s="135">
        <v>100.94</v>
      </c>
      <c r="G94" s="135">
        <v>70.150000000000006</v>
      </c>
      <c r="H94" s="135">
        <v>72.58</v>
      </c>
      <c r="I94" s="37"/>
      <c r="J94" s="135">
        <v>82.24</v>
      </c>
      <c r="K94" s="135">
        <v>95.17</v>
      </c>
      <c r="L94" s="135">
        <v>82.7</v>
      </c>
      <c r="M94" s="135">
        <v>97.07</v>
      </c>
      <c r="N94" s="135">
        <v>59.38</v>
      </c>
      <c r="O94" s="135">
        <v>109.79</v>
      </c>
      <c r="P94" s="135">
        <v>93.04</v>
      </c>
      <c r="Q94" s="37"/>
      <c r="R94" s="530"/>
      <c r="S94" s="530"/>
      <c r="T94" s="530"/>
      <c r="U94" s="537"/>
      <c r="V94" s="530"/>
      <c r="W94" s="135"/>
      <c r="X94" s="444"/>
      <c r="Y94" s="37"/>
      <c r="Z94" s="131"/>
      <c r="AA94" s="131"/>
      <c r="AB94" s="12"/>
      <c r="AC94" s="12"/>
      <c r="AD94" s="12"/>
      <c r="AE94" s="12"/>
      <c r="AF94" s="131"/>
      <c r="AG94" s="131"/>
      <c r="AH94" s="131"/>
      <c r="AI94" s="131"/>
      <c r="AJ94" s="37"/>
      <c r="AK94" s="38"/>
      <c r="AL94" s="453"/>
      <c r="AN94" s="196"/>
    </row>
    <row r="95" spans="1:40" x14ac:dyDescent="0.25">
      <c r="A95" s="382">
        <v>148</v>
      </c>
      <c r="B95" s="530"/>
      <c r="C95" s="530"/>
      <c r="D95" s="530"/>
      <c r="E95" s="135">
        <v>67.989999999999995</v>
      </c>
      <c r="F95" s="530"/>
      <c r="G95" s="530"/>
      <c r="H95" s="533">
        <v>93.97</v>
      </c>
      <c r="I95" s="37"/>
      <c r="J95" s="135">
        <v>81.02</v>
      </c>
      <c r="K95" s="135">
        <v>105.12</v>
      </c>
      <c r="L95" s="135">
        <v>59.27</v>
      </c>
      <c r="M95" s="135">
        <v>90.48</v>
      </c>
      <c r="N95" s="135">
        <v>72.180000000000007</v>
      </c>
      <c r="O95" s="135">
        <v>129.03</v>
      </c>
      <c r="P95" s="135">
        <v>84.15</v>
      </c>
      <c r="Q95" s="37"/>
      <c r="R95" s="135">
        <v>71.94</v>
      </c>
      <c r="S95" s="135">
        <v>88.9</v>
      </c>
      <c r="T95" s="155">
        <v>66.680000000000007</v>
      </c>
      <c r="U95" s="135">
        <v>32.340000000000003</v>
      </c>
      <c r="V95" s="135">
        <v>83.75</v>
      </c>
      <c r="W95" s="135">
        <v>86.28</v>
      </c>
      <c r="X95" s="444"/>
      <c r="Y95" s="37"/>
      <c r="Z95" s="131"/>
      <c r="AA95" s="131"/>
      <c r="AB95" s="12"/>
      <c r="AC95" s="12"/>
      <c r="AD95" s="12"/>
      <c r="AE95" s="131"/>
      <c r="AF95" s="131"/>
      <c r="AG95" s="131"/>
      <c r="AH95" s="131"/>
      <c r="AI95" s="131"/>
      <c r="AJ95" s="37"/>
      <c r="AK95" s="38"/>
      <c r="AL95" s="453"/>
      <c r="AN95" s="196"/>
    </row>
    <row r="96" spans="1:40" x14ac:dyDescent="0.25">
      <c r="A96" s="382">
        <v>149</v>
      </c>
      <c r="B96" s="155">
        <v>82.21</v>
      </c>
      <c r="C96" s="135">
        <v>94.04</v>
      </c>
      <c r="D96" s="135">
        <v>80.38</v>
      </c>
      <c r="E96" s="135">
        <v>87.66</v>
      </c>
      <c r="F96" s="135">
        <v>84.82</v>
      </c>
      <c r="G96" s="135">
        <v>79.63</v>
      </c>
      <c r="H96" s="135">
        <v>54.86</v>
      </c>
      <c r="I96" s="37"/>
      <c r="J96" s="155">
        <v>78.94</v>
      </c>
      <c r="K96" s="135">
        <v>80.88</v>
      </c>
      <c r="L96" s="135">
        <v>87.8</v>
      </c>
      <c r="M96" s="135">
        <v>62.97</v>
      </c>
      <c r="N96" s="135">
        <v>90.23</v>
      </c>
      <c r="O96" s="135">
        <v>74.62</v>
      </c>
      <c r="P96" s="135">
        <v>66.41</v>
      </c>
      <c r="Q96" s="37"/>
      <c r="R96" s="155">
        <v>75.540000000000006</v>
      </c>
      <c r="S96" s="135">
        <v>83.88</v>
      </c>
      <c r="T96" s="135">
        <v>79.510000000000005</v>
      </c>
      <c r="U96" s="135">
        <v>73.12</v>
      </c>
      <c r="V96" s="135">
        <v>77.989999999999995</v>
      </c>
      <c r="W96" s="135">
        <v>74.94</v>
      </c>
      <c r="X96" s="444"/>
      <c r="Y96" s="37"/>
      <c r="Z96" s="131"/>
      <c r="AA96" s="131"/>
      <c r="AB96" s="12"/>
      <c r="AC96" s="12"/>
      <c r="AD96" s="12"/>
      <c r="AE96" s="131"/>
      <c r="AF96" s="131"/>
      <c r="AG96" s="131"/>
      <c r="AH96" s="131"/>
      <c r="AI96" s="131"/>
      <c r="AJ96" s="37"/>
      <c r="AK96" s="38"/>
      <c r="AL96" s="453"/>
      <c r="AN96" s="196"/>
    </row>
    <row r="97" spans="1:40" x14ac:dyDescent="0.25">
      <c r="A97" s="382">
        <v>150</v>
      </c>
      <c r="B97" s="131">
        <v>93.13</v>
      </c>
      <c r="C97" s="135">
        <v>61.73</v>
      </c>
      <c r="D97" s="135">
        <v>51.34</v>
      </c>
      <c r="E97" s="135">
        <v>81.99</v>
      </c>
      <c r="F97" s="135">
        <v>94.52</v>
      </c>
      <c r="G97" s="135">
        <v>95.48</v>
      </c>
      <c r="H97" s="135">
        <v>73.400000000000006</v>
      </c>
      <c r="I97" s="37"/>
      <c r="J97" s="131">
        <v>69.31</v>
      </c>
      <c r="K97" s="135">
        <v>102.62</v>
      </c>
      <c r="L97" s="135">
        <v>83.44</v>
      </c>
      <c r="M97" s="135">
        <v>52.18</v>
      </c>
      <c r="N97" s="135">
        <v>59.48</v>
      </c>
      <c r="O97" s="135">
        <v>89.64</v>
      </c>
      <c r="P97" s="135">
        <v>87.09</v>
      </c>
      <c r="Q97" s="37"/>
      <c r="R97" s="131">
        <v>66.14</v>
      </c>
      <c r="S97" s="135">
        <v>82.18</v>
      </c>
      <c r="T97" s="135">
        <v>75.790000000000006</v>
      </c>
      <c r="U97" s="135">
        <v>96.93</v>
      </c>
      <c r="V97" s="135">
        <v>71.08</v>
      </c>
      <c r="W97" s="135">
        <v>72.27</v>
      </c>
      <c r="X97" s="444"/>
      <c r="Y97" s="37"/>
      <c r="Z97" s="131"/>
      <c r="AA97" s="131"/>
      <c r="AB97" s="12"/>
      <c r="AC97" s="12"/>
      <c r="AD97" s="135"/>
      <c r="AE97" s="770"/>
      <c r="AF97" s="131"/>
      <c r="AG97" s="131"/>
      <c r="AH97" s="131"/>
      <c r="AI97" s="131"/>
      <c r="AJ97" s="37"/>
      <c r="AK97" s="38"/>
      <c r="AL97" s="453"/>
      <c r="AN97" s="196"/>
    </row>
    <row r="98" spans="1:40" x14ac:dyDescent="0.25">
      <c r="A98" s="382">
        <v>151</v>
      </c>
      <c r="B98" s="135">
        <v>107.11</v>
      </c>
      <c r="C98" s="135">
        <v>75.48</v>
      </c>
      <c r="D98" s="135">
        <v>84.35</v>
      </c>
      <c r="E98" s="135">
        <v>65.650000000000006</v>
      </c>
      <c r="F98" s="135">
        <v>94.35</v>
      </c>
      <c r="G98" s="530"/>
      <c r="H98" s="532">
        <v>124.64</v>
      </c>
      <c r="I98" s="37"/>
      <c r="J98" s="135">
        <v>65.38</v>
      </c>
      <c r="K98" s="135">
        <v>96.38</v>
      </c>
      <c r="L98" s="135">
        <v>74.959999999999994</v>
      </c>
      <c r="M98" s="135">
        <v>66.31</v>
      </c>
      <c r="N98" s="135">
        <v>100.67</v>
      </c>
      <c r="O98" s="135">
        <v>74.06</v>
      </c>
      <c r="P98" s="135">
        <v>83.82</v>
      </c>
      <c r="Q98" s="37"/>
      <c r="R98" s="135">
        <v>90.88</v>
      </c>
      <c r="S98" s="155">
        <v>93.74</v>
      </c>
      <c r="T98" s="135">
        <v>98.74</v>
      </c>
      <c r="U98" s="135">
        <v>85.53</v>
      </c>
      <c r="V98" s="135">
        <v>70.98</v>
      </c>
      <c r="W98" s="135">
        <v>97.16</v>
      </c>
      <c r="X98" s="444"/>
      <c r="Y98" s="37"/>
      <c r="Z98" s="12"/>
      <c r="AA98" s="131"/>
      <c r="AB98" s="12"/>
      <c r="AC98" s="12"/>
      <c r="AD98" s="12"/>
      <c r="AE98" s="12"/>
      <c r="AF98" s="131"/>
      <c r="AG98" s="131"/>
      <c r="AH98" s="131"/>
      <c r="AI98" s="131"/>
      <c r="AJ98" s="37"/>
      <c r="AK98" s="38"/>
      <c r="AL98" s="453"/>
      <c r="AN98" s="196"/>
    </row>
    <row r="99" spans="1:40" x14ac:dyDescent="0.25">
      <c r="A99" s="382">
        <v>152</v>
      </c>
      <c r="B99" s="570">
        <v>94.81</v>
      </c>
      <c r="C99" s="533">
        <v>71.67</v>
      </c>
      <c r="D99" s="533">
        <v>82.19</v>
      </c>
      <c r="E99" s="533">
        <v>84.52</v>
      </c>
      <c r="F99" s="533">
        <v>74.709999999999994</v>
      </c>
      <c r="G99" s="570">
        <v>76.53</v>
      </c>
      <c r="H99" s="570">
        <v>81.92</v>
      </c>
      <c r="I99" s="37"/>
      <c r="J99" s="570">
        <v>92.69</v>
      </c>
      <c r="K99" s="533">
        <v>89.84</v>
      </c>
      <c r="L99" s="533">
        <v>99.09</v>
      </c>
      <c r="M99" s="533">
        <v>89.85</v>
      </c>
      <c r="N99" s="533">
        <v>80.010000000000005</v>
      </c>
      <c r="O99" s="533">
        <v>101.59</v>
      </c>
      <c r="P99" s="570">
        <v>82.14</v>
      </c>
      <c r="Q99" s="37"/>
      <c r="R99" s="570">
        <v>79.319999999999993</v>
      </c>
      <c r="S99" s="570">
        <v>74.11</v>
      </c>
      <c r="T99" s="570">
        <v>95.38</v>
      </c>
      <c r="U99" s="570">
        <v>74.459999999999994</v>
      </c>
      <c r="V99" s="570">
        <v>104.03</v>
      </c>
      <c r="W99" s="570">
        <v>69.510000000000005</v>
      </c>
      <c r="X99" s="570"/>
      <c r="Y99" s="111"/>
      <c r="Z99" s="530"/>
      <c r="AA99" s="530"/>
      <c r="AB99" s="530"/>
      <c r="AC99" s="530"/>
      <c r="AD99" s="530"/>
      <c r="AE99" s="530"/>
      <c r="AF99" s="530"/>
      <c r="AG99" s="530"/>
      <c r="AH99" s="530"/>
      <c r="AI99" s="530"/>
      <c r="AJ99" s="111"/>
      <c r="AK99" s="38"/>
      <c r="AL99" s="453"/>
      <c r="AN99" s="196"/>
    </row>
    <row r="100" spans="1:40" x14ac:dyDescent="0.25">
      <c r="A100" s="382">
        <v>153</v>
      </c>
      <c r="B100" s="12">
        <v>79.7</v>
      </c>
      <c r="C100" s="135">
        <v>67.47</v>
      </c>
      <c r="D100" s="135">
        <v>70.02</v>
      </c>
      <c r="E100" s="135">
        <v>46.29</v>
      </c>
      <c r="F100" s="135">
        <v>80.39</v>
      </c>
      <c r="G100" s="135">
        <v>64.819999999999993</v>
      </c>
      <c r="H100" s="135">
        <v>72.47</v>
      </c>
      <c r="I100" s="37"/>
      <c r="J100" s="12">
        <v>67.88</v>
      </c>
      <c r="K100" s="135">
        <v>92</v>
      </c>
      <c r="L100" s="135">
        <v>56.71</v>
      </c>
      <c r="M100" s="135">
        <v>80.8</v>
      </c>
      <c r="N100" s="135">
        <v>70.19</v>
      </c>
      <c r="O100" s="135">
        <v>89.01</v>
      </c>
      <c r="P100" s="12">
        <v>85.36</v>
      </c>
      <c r="Q100" s="37"/>
      <c r="R100" s="12">
        <v>87.37</v>
      </c>
      <c r="S100" s="135">
        <v>79.7</v>
      </c>
      <c r="T100" s="155">
        <v>81.95</v>
      </c>
      <c r="U100" s="135">
        <v>65.98</v>
      </c>
      <c r="V100" s="155">
        <v>87.08</v>
      </c>
      <c r="W100" s="135">
        <v>66.38</v>
      </c>
      <c r="X100" s="12"/>
      <c r="Y100" s="37"/>
      <c r="Z100" s="131"/>
      <c r="AA100" s="131"/>
      <c r="AB100" s="12"/>
      <c r="AC100" s="12"/>
      <c r="AD100" s="12"/>
      <c r="AE100" s="131"/>
      <c r="AF100" s="131"/>
      <c r="AG100" s="131"/>
      <c r="AH100" s="131"/>
      <c r="AI100" s="131"/>
      <c r="AJ100" s="37"/>
      <c r="AK100" s="38"/>
      <c r="AL100" s="453"/>
      <c r="AN100" s="196"/>
    </row>
    <row r="101" spans="1:40" x14ac:dyDescent="0.25">
      <c r="A101" s="382">
        <v>154</v>
      </c>
      <c r="B101" s="131">
        <v>90.45</v>
      </c>
      <c r="C101" s="135">
        <v>71.89</v>
      </c>
      <c r="D101" s="135">
        <v>77.739999999999995</v>
      </c>
      <c r="E101" s="135">
        <v>78.81</v>
      </c>
      <c r="F101" s="135">
        <v>88.28</v>
      </c>
      <c r="G101" s="135">
        <v>99.98</v>
      </c>
      <c r="H101" s="135">
        <v>76.010000000000005</v>
      </c>
      <c r="I101" s="37"/>
      <c r="J101" s="12">
        <v>70.7</v>
      </c>
      <c r="K101" s="135">
        <v>80.77</v>
      </c>
      <c r="L101" s="135">
        <v>77.02</v>
      </c>
      <c r="M101" s="135">
        <v>89.56</v>
      </c>
      <c r="N101" s="135">
        <v>72.16</v>
      </c>
      <c r="O101" s="135">
        <v>67.73</v>
      </c>
      <c r="P101" s="135">
        <v>81.55</v>
      </c>
      <c r="Q101" s="37"/>
      <c r="R101" s="131">
        <v>72.83</v>
      </c>
      <c r="S101" s="155">
        <v>79.349999999999994</v>
      </c>
      <c r="T101" s="135">
        <v>85.82</v>
      </c>
      <c r="U101" s="135">
        <v>78.09</v>
      </c>
      <c r="V101" s="135">
        <v>86.76</v>
      </c>
      <c r="W101" s="135">
        <v>88.27</v>
      </c>
      <c r="X101" s="444"/>
      <c r="Y101" s="37"/>
      <c r="Z101" s="131"/>
      <c r="AA101" s="131"/>
      <c r="AB101" s="12"/>
      <c r="AC101" s="12"/>
      <c r="AD101" s="12"/>
      <c r="AE101" s="131"/>
      <c r="AF101" s="131"/>
      <c r="AG101" s="131"/>
      <c r="AH101" s="131"/>
      <c r="AI101" s="131"/>
      <c r="AJ101" s="37"/>
      <c r="AK101" s="38"/>
      <c r="AL101" s="453"/>
      <c r="AN101" s="196"/>
    </row>
    <row r="102" spans="1:40" x14ac:dyDescent="0.25">
      <c r="A102" s="382">
        <v>155</v>
      </c>
      <c r="B102" s="537"/>
      <c r="C102" s="530"/>
      <c r="D102" s="530"/>
      <c r="E102" s="530"/>
      <c r="F102" s="530"/>
      <c r="G102" s="532">
        <v>129.80000000000001</v>
      </c>
      <c r="H102" s="135">
        <v>46.37</v>
      </c>
      <c r="I102" s="37"/>
      <c r="J102" s="131">
        <v>106.28</v>
      </c>
      <c r="K102" s="135">
        <v>94.89</v>
      </c>
      <c r="L102" s="135">
        <v>99.19</v>
      </c>
      <c r="M102" s="135">
        <v>82.91</v>
      </c>
      <c r="N102" s="135">
        <v>84.9</v>
      </c>
      <c r="O102" s="135">
        <v>109.48</v>
      </c>
      <c r="P102" s="135">
        <v>84.53</v>
      </c>
      <c r="Q102" s="37"/>
      <c r="R102" s="131">
        <v>91.61</v>
      </c>
      <c r="S102" s="135">
        <v>94</v>
      </c>
      <c r="T102" s="135">
        <v>81.94</v>
      </c>
      <c r="U102" s="155">
        <v>97.76</v>
      </c>
      <c r="V102" s="135">
        <v>79.900000000000006</v>
      </c>
      <c r="W102" s="135">
        <v>105.93</v>
      </c>
      <c r="X102" s="444"/>
      <c r="Y102" s="37"/>
      <c r="Z102" s="131"/>
      <c r="AA102" s="131"/>
      <c r="AB102" s="12"/>
      <c r="AC102" s="12"/>
      <c r="AD102" s="12"/>
      <c r="AE102" s="131"/>
      <c r="AF102" s="12"/>
      <c r="AG102" s="131"/>
      <c r="AH102" s="131"/>
      <c r="AI102" s="131"/>
      <c r="AJ102" s="37"/>
      <c r="AK102" s="38"/>
      <c r="AL102" s="453"/>
      <c r="AN102" s="196"/>
    </row>
    <row r="103" spans="1:40" x14ac:dyDescent="0.25">
      <c r="A103" s="382">
        <v>156</v>
      </c>
      <c r="B103" s="131">
        <v>83.58</v>
      </c>
      <c r="C103" s="135">
        <v>73.28</v>
      </c>
      <c r="D103" s="135">
        <v>105.17</v>
      </c>
      <c r="E103" s="135">
        <v>92.66</v>
      </c>
      <c r="F103" s="135">
        <v>65.06</v>
      </c>
      <c r="G103" s="135">
        <v>57.28</v>
      </c>
      <c r="H103" s="135">
        <v>69.42</v>
      </c>
      <c r="I103" s="37"/>
      <c r="J103" s="131">
        <v>81.84</v>
      </c>
      <c r="K103" s="530"/>
      <c r="L103" s="530"/>
      <c r="M103" s="530"/>
      <c r="N103" s="530"/>
      <c r="O103" s="530"/>
      <c r="P103" s="530"/>
      <c r="Q103" s="37"/>
      <c r="R103" s="537"/>
      <c r="S103" s="530"/>
      <c r="T103" s="530"/>
      <c r="U103" s="155">
        <v>101.34</v>
      </c>
      <c r="V103" s="155">
        <v>109.58</v>
      </c>
      <c r="W103" s="135">
        <v>78.84</v>
      </c>
      <c r="X103" s="444"/>
      <c r="Y103" s="37"/>
      <c r="Z103" s="131"/>
      <c r="AA103" s="131"/>
      <c r="AB103" s="12"/>
      <c r="AC103" s="12"/>
      <c r="AD103" s="12"/>
      <c r="AE103" s="131"/>
      <c r="AF103" s="131"/>
      <c r="AG103" s="131"/>
      <c r="AH103" s="131"/>
      <c r="AI103" s="131"/>
      <c r="AJ103" s="37"/>
      <c r="AK103" s="38"/>
      <c r="AL103" s="453"/>
      <c r="AN103" s="196"/>
    </row>
    <row r="104" spans="1:40" x14ac:dyDescent="0.25">
      <c r="A104" s="382">
        <v>157</v>
      </c>
      <c r="B104" s="12">
        <v>78.3</v>
      </c>
      <c r="C104" s="135">
        <v>95.37</v>
      </c>
      <c r="D104" s="135">
        <v>73.45</v>
      </c>
      <c r="E104" s="135">
        <v>72.38</v>
      </c>
      <c r="F104" s="135">
        <v>78.16</v>
      </c>
      <c r="G104" s="135">
        <v>65.540000000000006</v>
      </c>
      <c r="H104" s="135">
        <v>68.11</v>
      </c>
      <c r="I104" s="37"/>
      <c r="J104" s="131">
        <v>89.89</v>
      </c>
      <c r="K104" s="135">
        <v>68.58</v>
      </c>
      <c r="L104" s="135">
        <v>70.77</v>
      </c>
      <c r="M104" s="135">
        <v>72.099999999999994</v>
      </c>
      <c r="N104" s="135">
        <v>66.69</v>
      </c>
      <c r="O104" s="135">
        <v>99.31</v>
      </c>
      <c r="P104" s="12">
        <v>62.22</v>
      </c>
      <c r="Q104" s="37"/>
      <c r="R104" s="131">
        <v>67.319999999999993</v>
      </c>
      <c r="S104" s="155">
        <v>75.180000000000007</v>
      </c>
      <c r="T104" s="155">
        <v>88.98</v>
      </c>
      <c r="U104" s="135">
        <v>77.25</v>
      </c>
      <c r="V104" s="135">
        <v>101</v>
      </c>
      <c r="W104" s="135">
        <v>84.46</v>
      </c>
      <c r="X104" s="12"/>
      <c r="Y104" s="37"/>
      <c r="Z104" s="131"/>
      <c r="AA104" s="131"/>
      <c r="AB104" s="12"/>
      <c r="AC104" s="12"/>
      <c r="AD104" s="12"/>
      <c r="AE104" s="131"/>
      <c r="AF104" s="12"/>
      <c r="AG104" s="131"/>
      <c r="AH104" s="131"/>
      <c r="AI104" s="131"/>
      <c r="AJ104" s="37"/>
      <c r="AK104" s="38"/>
      <c r="AL104" s="453"/>
      <c r="AN104" s="196"/>
    </row>
    <row r="105" spans="1:40" x14ac:dyDescent="0.25">
      <c r="A105" s="382">
        <v>158</v>
      </c>
      <c r="B105" s="131">
        <v>96.88</v>
      </c>
      <c r="C105" s="135">
        <v>80.16</v>
      </c>
      <c r="D105" s="135">
        <v>110.04</v>
      </c>
      <c r="E105" s="135">
        <v>73.28</v>
      </c>
      <c r="F105" s="135">
        <v>88.12</v>
      </c>
      <c r="G105" s="135">
        <v>75.69</v>
      </c>
      <c r="H105" s="135">
        <v>93.7</v>
      </c>
      <c r="I105" s="37"/>
      <c r="J105" s="131">
        <v>88.39</v>
      </c>
      <c r="K105" s="135">
        <v>74.930000000000007</v>
      </c>
      <c r="L105" s="135">
        <v>92.88</v>
      </c>
      <c r="M105" s="135">
        <v>82.47</v>
      </c>
      <c r="N105" s="135">
        <v>75.540000000000006</v>
      </c>
      <c r="O105" s="135">
        <v>96.49</v>
      </c>
      <c r="P105" s="135">
        <v>62.4</v>
      </c>
      <c r="Q105" s="37"/>
      <c r="R105" s="131">
        <v>76.36</v>
      </c>
      <c r="S105" s="155">
        <v>77.150000000000006</v>
      </c>
      <c r="T105" s="155">
        <v>98.38</v>
      </c>
      <c r="U105" s="135">
        <v>83.58</v>
      </c>
      <c r="V105" s="155">
        <v>91.16</v>
      </c>
      <c r="W105" s="135">
        <v>88.27</v>
      </c>
      <c r="X105" s="444"/>
      <c r="Y105" s="37"/>
      <c r="Z105" s="131"/>
      <c r="AA105" s="135"/>
      <c r="AB105" s="12"/>
      <c r="AC105" s="12"/>
      <c r="AD105" s="12"/>
      <c r="AE105" s="131"/>
      <c r="AF105" s="131"/>
      <c r="AG105" s="131"/>
      <c r="AH105" s="131"/>
      <c r="AI105" s="131"/>
      <c r="AJ105" s="37"/>
      <c r="AK105" s="38"/>
      <c r="AL105" s="453"/>
      <c r="AN105" s="196"/>
    </row>
    <row r="106" spans="1:40" x14ac:dyDescent="0.25">
      <c r="A106" s="382">
        <v>159</v>
      </c>
      <c r="B106" s="131">
        <v>78.150000000000006</v>
      </c>
      <c r="C106" s="135">
        <v>105.25</v>
      </c>
      <c r="D106" s="135">
        <v>104.04</v>
      </c>
      <c r="E106" s="135">
        <v>82.27</v>
      </c>
      <c r="F106" s="135">
        <v>98.67</v>
      </c>
      <c r="G106" s="135">
        <v>74.72</v>
      </c>
      <c r="H106" s="135">
        <v>95.45</v>
      </c>
      <c r="I106" s="37"/>
      <c r="J106" s="12">
        <v>67.3</v>
      </c>
      <c r="K106" s="135">
        <v>88.15</v>
      </c>
      <c r="L106" s="135">
        <v>96.46</v>
      </c>
      <c r="M106" s="135">
        <v>87.83</v>
      </c>
      <c r="N106" s="135">
        <v>63.47</v>
      </c>
      <c r="O106" s="135">
        <v>71.400000000000006</v>
      </c>
      <c r="P106" s="135">
        <v>83.42</v>
      </c>
      <c r="Q106" s="37"/>
      <c r="R106" s="131">
        <v>96.55</v>
      </c>
      <c r="S106" s="135">
        <v>77.459999999999994</v>
      </c>
      <c r="T106" s="135">
        <v>82.46</v>
      </c>
      <c r="U106" s="135">
        <v>95.39</v>
      </c>
      <c r="V106" s="155">
        <v>82.66</v>
      </c>
      <c r="W106" s="135">
        <v>82.15</v>
      </c>
      <c r="X106" s="444"/>
      <c r="Y106" s="37"/>
      <c r="Z106" s="12"/>
      <c r="AA106" s="131"/>
      <c r="AB106" s="12"/>
      <c r="AC106" s="12"/>
      <c r="AD106" s="12"/>
      <c r="AE106" s="131"/>
      <c r="AF106" s="131"/>
      <c r="AG106" s="131"/>
      <c r="AH106" s="131"/>
      <c r="AI106" s="131"/>
      <c r="AJ106" s="37"/>
      <c r="AK106" s="38"/>
      <c r="AL106" s="453"/>
      <c r="AN106" s="196"/>
    </row>
    <row r="107" spans="1:40" x14ac:dyDescent="0.25">
      <c r="A107" s="382">
        <v>161</v>
      </c>
      <c r="B107" s="537"/>
      <c r="C107" s="530"/>
      <c r="D107" s="530"/>
      <c r="E107" s="135">
        <v>90.56</v>
      </c>
      <c r="F107" s="135">
        <v>85.47</v>
      </c>
      <c r="G107" s="155">
        <v>68.03</v>
      </c>
      <c r="H107" s="155">
        <v>106.09</v>
      </c>
      <c r="I107" s="37"/>
      <c r="J107" s="131">
        <v>98.86</v>
      </c>
      <c r="K107" s="135">
        <v>83.19</v>
      </c>
      <c r="L107" s="135">
        <v>73.42</v>
      </c>
      <c r="M107" s="135">
        <v>71.98</v>
      </c>
      <c r="N107" s="135">
        <v>70.36</v>
      </c>
      <c r="O107" s="135">
        <v>99.36</v>
      </c>
      <c r="P107" s="131">
        <v>75.19</v>
      </c>
      <c r="Q107" s="37"/>
      <c r="R107" s="131">
        <v>86.58</v>
      </c>
      <c r="S107" s="155">
        <v>90.41</v>
      </c>
      <c r="T107" s="155">
        <v>84.67</v>
      </c>
      <c r="U107" s="155">
        <v>79.63</v>
      </c>
      <c r="V107" s="155">
        <v>83.19</v>
      </c>
      <c r="W107" s="155">
        <v>99.44</v>
      </c>
      <c r="X107" s="131"/>
      <c r="Y107" s="37"/>
      <c r="Z107" s="131"/>
      <c r="AA107" s="131"/>
      <c r="AB107" s="12"/>
      <c r="AC107" s="12"/>
      <c r="AD107" s="12"/>
      <c r="AE107" s="131"/>
      <c r="AF107" s="131"/>
      <c r="AG107" s="131"/>
      <c r="AH107" s="131"/>
      <c r="AI107" s="131"/>
      <c r="AJ107" s="37"/>
      <c r="AK107" s="38"/>
      <c r="AL107" s="453"/>
      <c r="AN107" s="196"/>
    </row>
    <row r="108" spans="1:40" x14ac:dyDescent="0.25">
      <c r="A108" s="382">
        <v>162</v>
      </c>
      <c r="B108" s="131">
        <v>83.95</v>
      </c>
      <c r="C108" s="135">
        <v>62.39</v>
      </c>
      <c r="D108" s="135">
        <v>59.99</v>
      </c>
      <c r="E108" s="135">
        <v>78.53</v>
      </c>
      <c r="F108" s="530"/>
      <c r="G108" s="530"/>
      <c r="H108" s="135">
        <v>58.79</v>
      </c>
      <c r="I108" s="37"/>
      <c r="J108" s="131">
        <v>56.57</v>
      </c>
      <c r="K108" s="135">
        <v>103.48</v>
      </c>
      <c r="L108" s="135">
        <v>70.58</v>
      </c>
      <c r="M108" s="135">
        <v>73.55</v>
      </c>
      <c r="N108" s="135">
        <v>58.69</v>
      </c>
      <c r="O108" s="135">
        <v>79.73</v>
      </c>
      <c r="P108" s="135">
        <v>69.819999999999993</v>
      </c>
      <c r="Q108" s="37"/>
      <c r="R108" s="537"/>
      <c r="S108" s="135">
        <v>101.48</v>
      </c>
      <c r="T108" s="135">
        <v>78.87</v>
      </c>
      <c r="U108" s="530"/>
      <c r="V108" s="155">
        <v>134.28</v>
      </c>
      <c r="W108" s="135">
        <v>80.91</v>
      </c>
      <c r="X108" s="444"/>
      <c r="Y108" s="37"/>
      <c r="Z108" s="131"/>
      <c r="AA108" s="131"/>
      <c r="AB108" s="12"/>
      <c r="AC108" s="12"/>
      <c r="AD108" s="12"/>
      <c r="AE108" s="131"/>
      <c r="AF108" s="131"/>
      <c r="AG108" s="131"/>
      <c r="AH108" s="131"/>
      <c r="AI108" s="131"/>
      <c r="AJ108" s="37"/>
      <c r="AK108" s="38"/>
      <c r="AL108" s="453"/>
      <c r="AN108" s="196"/>
    </row>
    <row r="109" spans="1:40" x14ac:dyDescent="0.25">
      <c r="A109" s="382">
        <v>163</v>
      </c>
      <c r="B109" s="155">
        <v>97.35</v>
      </c>
      <c r="C109" s="135">
        <v>78.06</v>
      </c>
      <c r="D109" s="135">
        <v>91.77</v>
      </c>
      <c r="E109" s="530"/>
      <c r="F109" s="135">
        <v>95.15</v>
      </c>
      <c r="G109" s="135">
        <v>82.09</v>
      </c>
      <c r="H109" s="135">
        <v>85.66</v>
      </c>
      <c r="I109" s="37"/>
      <c r="J109" s="155">
        <v>75.56</v>
      </c>
      <c r="K109" s="135">
        <v>105.26</v>
      </c>
      <c r="L109" s="135">
        <v>84.15</v>
      </c>
      <c r="M109" s="135">
        <v>70.56</v>
      </c>
      <c r="N109" s="135">
        <v>85.26</v>
      </c>
      <c r="O109" s="135">
        <v>94.46</v>
      </c>
      <c r="P109" s="135">
        <v>99.06</v>
      </c>
      <c r="Q109" s="37"/>
      <c r="R109" s="155">
        <v>75.88</v>
      </c>
      <c r="S109" s="155">
        <v>77.95</v>
      </c>
      <c r="T109" s="135">
        <v>105.71</v>
      </c>
      <c r="U109" s="135">
        <v>102.07</v>
      </c>
      <c r="V109" s="135">
        <v>70.58</v>
      </c>
      <c r="W109" s="135">
        <v>102.83</v>
      </c>
      <c r="X109" s="444"/>
      <c r="Y109" s="37"/>
      <c r="Z109" s="131"/>
      <c r="AA109" s="131"/>
      <c r="AB109" s="12"/>
      <c r="AC109" s="12"/>
      <c r="AD109" s="12"/>
      <c r="AE109" s="131"/>
      <c r="AF109" s="131"/>
      <c r="AG109" s="131"/>
      <c r="AH109" s="131"/>
      <c r="AI109" s="131"/>
      <c r="AJ109" s="37"/>
      <c r="AK109" s="38"/>
      <c r="AL109" s="453"/>
      <c r="AN109" s="196"/>
    </row>
    <row r="110" spans="1:40" x14ac:dyDescent="0.25">
      <c r="A110" s="382">
        <v>164</v>
      </c>
      <c r="B110" s="131">
        <v>73.239999999999995</v>
      </c>
      <c r="C110" s="135">
        <v>71.489999999999995</v>
      </c>
      <c r="D110" s="135">
        <v>72.45</v>
      </c>
      <c r="E110" s="135">
        <v>105.03</v>
      </c>
      <c r="F110" s="135">
        <v>79.260000000000005</v>
      </c>
      <c r="G110" s="135">
        <v>81.77</v>
      </c>
      <c r="H110" s="135">
        <v>71.69</v>
      </c>
      <c r="I110" s="37"/>
      <c r="J110" s="131">
        <v>67.319999999999993</v>
      </c>
      <c r="K110" s="135">
        <v>85.73</v>
      </c>
      <c r="L110" s="135">
        <v>82.02</v>
      </c>
      <c r="M110" s="135">
        <v>71.349999999999994</v>
      </c>
      <c r="N110" s="135">
        <v>70.92</v>
      </c>
      <c r="O110" s="135">
        <v>81.14</v>
      </c>
      <c r="P110" s="12">
        <v>69.17</v>
      </c>
      <c r="Q110" s="37"/>
      <c r="R110" s="131">
        <v>18.55</v>
      </c>
      <c r="S110" s="135">
        <v>64.209999999999994</v>
      </c>
      <c r="T110" s="155">
        <v>80.849999999999994</v>
      </c>
      <c r="U110" s="155">
        <v>79.11</v>
      </c>
      <c r="V110" s="135">
        <v>80.680000000000007</v>
      </c>
      <c r="W110" s="135">
        <v>76.28</v>
      </c>
      <c r="X110" s="12"/>
      <c r="Y110" s="37"/>
      <c r="Z110" s="131"/>
      <c r="AA110" s="131"/>
      <c r="AB110" s="12"/>
      <c r="AC110" s="12"/>
      <c r="AD110" s="12"/>
      <c r="AE110" s="131"/>
      <c r="AF110" s="131"/>
      <c r="AG110" s="131"/>
      <c r="AH110" s="131"/>
      <c r="AI110" s="131"/>
      <c r="AJ110" s="37"/>
      <c r="AK110" s="38"/>
      <c r="AL110" s="453"/>
      <c r="AM110" s="13"/>
      <c r="AN110" s="196"/>
    </row>
    <row r="111" spans="1:40" x14ac:dyDescent="0.25">
      <c r="A111" s="382">
        <v>165</v>
      </c>
      <c r="B111" s="155">
        <v>94.77</v>
      </c>
      <c r="C111" s="135">
        <v>77.91</v>
      </c>
      <c r="D111" s="135">
        <v>68.319999999999993</v>
      </c>
      <c r="E111" s="135">
        <v>70.94</v>
      </c>
      <c r="F111" s="135">
        <v>93.41</v>
      </c>
      <c r="G111" s="135">
        <v>75.64</v>
      </c>
      <c r="H111" s="530"/>
      <c r="I111" s="37"/>
      <c r="J111" s="155">
        <v>46.91</v>
      </c>
      <c r="K111" s="135">
        <v>30.17</v>
      </c>
      <c r="L111" s="135">
        <v>79.31</v>
      </c>
      <c r="M111" s="135">
        <v>81.08</v>
      </c>
      <c r="N111" s="135">
        <v>117.35</v>
      </c>
      <c r="O111" s="135">
        <v>58.66</v>
      </c>
      <c r="P111" s="135">
        <v>85.68</v>
      </c>
      <c r="Q111" s="37"/>
      <c r="R111" s="155">
        <v>63.12</v>
      </c>
      <c r="S111" s="155">
        <v>81.790000000000006</v>
      </c>
      <c r="T111" s="135">
        <v>85.11</v>
      </c>
      <c r="U111" s="155">
        <v>58.8</v>
      </c>
      <c r="V111" s="135">
        <v>73.540000000000006</v>
      </c>
      <c r="W111" s="135">
        <v>84.76</v>
      </c>
      <c r="X111" s="444"/>
      <c r="Y111" s="37"/>
      <c r="Z111" s="131"/>
      <c r="AA111" s="131"/>
      <c r="AB111" s="12"/>
      <c r="AC111" s="12"/>
      <c r="AD111" s="12"/>
      <c r="AE111" s="131"/>
      <c r="AF111" s="131"/>
      <c r="AG111" s="131"/>
      <c r="AH111" s="131"/>
      <c r="AI111" s="131"/>
      <c r="AJ111" s="37"/>
      <c r="AK111" s="38"/>
      <c r="AL111" s="453"/>
      <c r="AN111" s="196"/>
    </row>
    <row r="112" spans="1:40" x14ac:dyDescent="0.25">
      <c r="A112" s="382">
        <v>166</v>
      </c>
      <c r="B112" s="135">
        <v>92.82</v>
      </c>
      <c r="C112" s="135">
        <v>62.48</v>
      </c>
      <c r="D112" s="135">
        <v>73.67</v>
      </c>
      <c r="E112" s="135">
        <v>80.290000000000006</v>
      </c>
      <c r="F112" s="135">
        <v>85.54</v>
      </c>
      <c r="G112" s="135">
        <v>95.32</v>
      </c>
      <c r="H112" s="135">
        <v>66.790000000000006</v>
      </c>
      <c r="I112" s="37"/>
      <c r="J112" s="135">
        <v>59.26</v>
      </c>
      <c r="K112" s="135">
        <v>85.43</v>
      </c>
      <c r="L112" s="135">
        <v>82.18</v>
      </c>
      <c r="M112" s="135">
        <v>76.62</v>
      </c>
      <c r="N112" s="135">
        <v>68.430000000000007</v>
      </c>
      <c r="O112" s="135">
        <v>73.88</v>
      </c>
      <c r="P112" s="12">
        <v>73.849999999999994</v>
      </c>
      <c r="Q112" s="37"/>
      <c r="R112" s="135">
        <v>86.77</v>
      </c>
      <c r="S112" s="135">
        <v>77.63</v>
      </c>
      <c r="T112" s="135">
        <v>86.16</v>
      </c>
      <c r="U112" s="135">
        <v>70.989999999999995</v>
      </c>
      <c r="V112" s="135">
        <v>90.2</v>
      </c>
      <c r="W112" s="135">
        <v>71.680000000000007</v>
      </c>
      <c r="X112" s="12"/>
      <c r="Y112" s="37"/>
      <c r="Z112" s="131"/>
      <c r="AA112" s="131"/>
      <c r="AB112" s="12"/>
      <c r="AC112" s="12"/>
      <c r="AD112" s="12"/>
      <c r="AE112" s="131"/>
      <c r="AF112" s="12"/>
      <c r="AG112" s="131"/>
      <c r="AH112" s="131"/>
      <c r="AI112" s="131"/>
      <c r="AJ112" s="37"/>
      <c r="AK112" s="38"/>
      <c r="AL112" s="453"/>
      <c r="AN112" s="196"/>
    </row>
    <row r="113" spans="1:40" x14ac:dyDescent="0.25">
      <c r="A113" s="382">
        <v>167</v>
      </c>
      <c r="B113" s="548">
        <v>173.99</v>
      </c>
      <c r="C113" s="135">
        <v>79.75</v>
      </c>
      <c r="D113" s="135">
        <v>106.52</v>
      </c>
      <c r="E113" s="135">
        <v>62.58</v>
      </c>
      <c r="F113" s="135">
        <v>75.69</v>
      </c>
      <c r="G113" s="135">
        <v>74.09</v>
      </c>
      <c r="H113" s="135">
        <v>81.459999999999994</v>
      </c>
      <c r="I113" s="37"/>
      <c r="J113" s="155">
        <v>97.35</v>
      </c>
      <c r="K113" s="135">
        <v>97.1</v>
      </c>
      <c r="L113" s="135">
        <v>82.81</v>
      </c>
      <c r="M113" s="530"/>
      <c r="N113" s="530"/>
      <c r="O113" s="530"/>
      <c r="P113" s="530"/>
      <c r="Q113" s="37"/>
      <c r="R113" s="537"/>
      <c r="S113" s="155">
        <v>61.04</v>
      </c>
      <c r="T113" s="135">
        <v>105.89</v>
      </c>
      <c r="U113" s="530"/>
      <c r="V113" s="155">
        <v>71.81</v>
      </c>
      <c r="W113" s="135">
        <v>121.36</v>
      </c>
      <c r="X113" s="444"/>
      <c r="Y113" s="37"/>
      <c r="Z113" s="131"/>
      <c r="AA113" s="131"/>
      <c r="AB113" s="12"/>
      <c r="AC113" s="12"/>
      <c r="AD113" s="12"/>
      <c r="AE113" s="131"/>
      <c r="AF113" s="131"/>
      <c r="AG113" s="131"/>
      <c r="AH113" s="131"/>
      <c r="AI113" s="131"/>
      <c r="AJ113" s="37"/>
      <c r="AK113" s="38"/>
      <c r="AL113" s="453"/>
      <c r="AN113" s="196"/>
    </row>
    <row r="114" spans="1:40" x14ac:dyDescent="0.25">
      <c r="A114" s="382">
        <v>168</v>
      </c>
      <c r="B114" s="131">
        <v>105.07</v>
      </c>
      <c r="C114" s="135">
        <v>67.89</v>
      </c>
      <c r="D114" s="135">
        <v>71.56</v>
      </c>
      <c r="E114" s="135">
        <v>80.09</v>
      </c>
      <c r="F114" s="135">
        <v>81.48</v>
      </c>
      <c r="G114" s="135">
        <v>83.1</v>
      </c>
      <c r="H114" s="135">
        <v>85.93</v>
      </c>
      <c r="I114" s="37"/>
      <c r="J114" s="131">
        <v>83.94</v>
      </c>
      <c r="K114" s="135">
        <v>82.01</v>
      </c>
      <c r="L114" s="135">
        <v>80.84</v>
      </c>
      <c r="M114" s="135">
        <v>76.239999999999995</v>
      </c>
      <c r="N114" s="135">
        <v>78.569999999999993</v>
      </c>
      <c r="O114" s="135">
        <v>88.75</v>
      </c>
      <c r="P114" s="12">
        <v>59.18</v>
      </c>
      <c r="Q114" s="37"/>
      <c r="R114" s="131">
        <v>97.12</v>
      </c>
      <c r="S114" s="155">
        <v>74.89</v>
      </c>
      <c r="T114" s="135">
        <v>89</v>
      </c>
      <c r="U114" s="135">
        <v>90.14</v>
      </c>
      <c r="V114" s="135">
        <v>92.97</v>
      </c>
      <c r="W114" s="135">
        <v>83.3</v>
      </c>
      <c r="X114" s="12"/>
      <c r="Y114" s="37"/>
      <c r="Z114" s="131"/>
      <c r="AA114" s="12"/>
      <c r="AB114" s="12"/>
      <c r="AC114" s="12"/>
      <c r="AD114" s="12"/>
      <c r="AE114" s="131"/>
      <c r="AF114" s="131"/>
      <c r="AG114" s="131"/>
      <c r="AH114" s="131"/>
      <c r="AI114" s="131"/>
      <c r="AJ114" s="37"/>
      <c r="AK114" s="38"/>
      <c r="AL114" s="453"/>
      <c r="AN114" s="196"/>
    </row>
    <row r="115" spans="1:40" x14ac:dyDescent="0.25">
      <c r="A115" s="382">
        <v>169</v>
      </c>
      <c r="B115" s="12">
        <v>81.150000000000006</v>
      </c>
      <c r="C115" s="135">
        <v>83.56</v>
      </c>
      <c r="D115" s="135">
        <v>87.29</v>
      </c>
      <c r="E115" s="135">
        <v>90.57</v>
      </c>
      <c r="F115" s="135">
        <v>94.09</v>
      </c>
      <c r="G115" s="135">
        <v>47.72</v>
      </c>
      <c r="H115" s="135">
        <v>52.88</v>
      </c>
      <c r="I115" s="37"/>
      <c r="J115" s="12">
        <v>79.319999999999993</v>
      </c>
      <c r="K115" s="135">
        <v>83.03</v>
      </c>
      <c r="L115" s="135">
        <v>89.91</v>
      </c>
      <c r="M115" s="135">
        <v>85.54</v>
      </c>
      <c r="N115" s="135">
        <v>67.89</v>
      </c>
      <c r="O115" s="135">
        <v>79.06</v>
      </c>
      <c r="P115" s="12">
        <v>73.3</v>
      </c>
      <c r="Q115" s="37"/>
      <c r="R115" s="12">
        <v>85.43</v>
      </c>
      <c r="S115" s="155">
        <v>45.67</v>
      </c>
      <c r="T115" s="135">
        <v>95.88</v>
      </c>
      <c r="U115" s="155">
        <v>64.8</v>
      </c>
      <c r="V115" s="135">
        <v>96.73</v>
      </c>
      <c r="W115" s="135">
        <v>71.430000000000007</v>
      </c>
      <c r="X115" s="12"/>
      <c r="Y115" s="37"/>
      <c r="Z115" s="12"/>
      <c r="AA115" s="131"/>
      <c r="AB115" s="12"/>
      <c r="AC115" s="12"/>
      <c r="AD115" s="12"/>
      <c r="AE115" s="131"/>
      <c r="AF115" s="12"/>
      <c r="AG115" s="131"/>
      <c r="AH115" s="131"/>
      <c r="AI115" s="131"/>
      <c r="AJ115" s="37"/>
      <c r="AK115" s="38"/>
      <c r="AL115" s="453"/>
      <c r="AN115" s="196"/>
    </row>
    <row r="116" spans="1:40" x14ac:dyDescent="0.25">
      <c r="A116" s="382">
        <v>170</v>
      </c>
      <c r="B116" s="155">
        <v>103.85</v>
      </c>
      <c r="C116" s="530"/>
      <c r="D116" s="135">
        <v>110.08</v>
      </c>
      <c r="E116" s="135">
        <v>80.12</v>
      </c>
      <c r="F116" s="135">
        <v>89.01</v>
      </c>
      <c r="G116" s="135">
        <v>90.71</v>
      </c>
      <c r="H116" s="135">
        <v>72</v>
      </c>
      <c r="I116" s="37"/>
      <c r="J116" s="155">
        <v>87.37</v>
      </c>
      <c r="K116" s="135">
        <v>91.67</v>
      </c>
      <c r="L116" s="135">
        <v>72.13</v>
      </c>
      <c r="M116" s="135">
        <v>90.75</v>
      </c>
      <c r="N116" s="135">
        <v>97.24</v>
      </c>
      <c r="O116" s="135">
        <v>104.68</v>
      </c>
      <c r="P116" s="135">
        <v>76.05</v>
      </c>
      <c r="Q116" s="37"/>
      <c r="R116" s="155">
        <v>80.89</v>
      </c>
      <c r="S116" s="135">
        <v>86.59</v>
      </c>
      <c r="T116" s="135">
        <v>72.260000000000005</v>
      </c>
      <c r="U116" s="135">
        <v>108.18</v>
      </c>
      <c r="V116" s="135">
        <v>104.81</v>
      </c>
      <c r="W116" s="135">
        <v>72.180000000000007</v>
      </c>
      <c r="X116" s="444"/>
      <c r="Y116" s="37"/>
      <c r="Z116" s="131"/>
      <c r="AA116" s="131"/>
      <c r="AB116" s="12"/>
      <c r="AC116" s="12"/>
      <c r="AD116" s="12"/>
      <c r="AE116" s="131"/>
      <c r="AF116" s="135"/>
      <c r="AG116" s="131"/>
      <c r="AH116" s="131"/>
      <c r="AI116" s="131"/>
      <c r="AJ116" s="37"/>
      <c r="AK116" s="38"/>
      <c r="AL116" s="453"/>
      <c r="AN116" s="196"/>
    </row>
    <row r="117" spans="1:40" x14ac:dyDescent="0.25">
      <c r="A117" s="382">
        <v>171</v>
      </c>
      <c r="B117" s="131">
        <v>117.97</v>
      </c>
      <c r="C117" s="135">
        <v>80.040000000000006</v>
      </c>
      <c r="D117" s="135">
        <v>71.58</v>
      </c>
      <c r="E117" s="530"/>
      <c r="F117" s="530"/>
      <c r="G117" s="135">
        <v>36.85</v>
      </c>
      <c r="H117" s="135">
        <v>79.599999999999994</v>
      </c>
      <c r="I117" s="37"/>
      <c r="J117" s="12">
        <v>84.1</v>
      </c>
      <c r="K117" s="135">
        <v>83.02</v>
      </c>
      <c r="L117" s="135">
        <v>91.73</v>
      </c>
      <c r="M117" s="135">
        <v>104.23</v>
      </c>
      <c r="N117" s="135">
        <v>101.97</v>
      </c>
      <c r="O117" s="135">
        <v>107.93</v>
      </c>
      <c r="P117" s="135">
        <v>80.8</v>
      </c>
      <c r="Q117" s="37"/>
      <c r="R117" s="131">
        <v>96.93</v>
      </c>
      <c r="S117" s="135">
        <v>67.62</v>
      </c>
      <c r="T117" s="155">
        <v>97.88</v>
      </c>
      <c r="U117" s="135">
        <v>77.069999999999993</v>
      </c>
      <c r="V117" s="155">
        <v>107.36</v>
      </c>
      <c r="W117" s="135">
        <v>31.09</v>
      </c>
      <c r="X117" s="444"/>
      <c r="Y117" s="37"/>
      <c r="Z117" s="131"/>
      <c r="AA117" s="131"/>
      <c r="AB117" s="12"/>
      <c r="AC117" s="12"/>
      <c r="AD117" s="12"/>
      <c r="AE117" s="131"/>
      <c r="AF117" s="131"/>
      <c r="AG117" s="131"/>
      <c r="AH117" s="131"/>
      <c r="AI117" s="131"/>
      <c r="AJ117" s="37"/>
      <c r="AK117" s="38"/>
      <c r="AL117" s="453"/>
      <c r="AN117" s="196"/>
    </row>
    <row r="118" spans="1:40" x14ac:dyDescent="0.25">
      <c r="A118" s="382">
        <v>172</v>
      </c>
      <c r="B118" s="548">
        <v>156.36000000000001</v>
      </c>
      <c r="C118" s="530"/>
      <c r="D118" s="533">
        <v>38.5</v>
      </c>
      <c r="E118" s="530"/>
      <c r="F118" s="530"/>
      <c r="G118" s="537"/>
      <c r="H118" s="537"/>
      <c r="I118" s="37"/>
      <c r="J118" s="537"/>
      <c r="K118" s="530"/>
      <c r="L118" s="530"/>
      <c r="M118" s="533">
        <v>114.01</v>
      </c>
      <c r="N118" s="530"/>
      <c r="O118" s="533">
        <v>40.6</v>
      </c>
      <c r="P118" s="537"/>
      <c r="Q118" s="37"/>
      <c r="R118" s="537"/>
      <c r="S118" s="537"/>
      <c r="T118" s="537"/>
      <c r="U118" s="537"/>
      <c r="V118" s="537"/>
      <c r="W118" s="570"/>
      <c r="X118" s="1000"/>
      <c r="Y118" s="37"/>
      <c r="Z118" s="131"/>
      <c r="AA118" s="135"/>
      <c r="AB118" s="135"/>
      <c r="AC118" s="135"/>
      <c r="AD118" s="135"/>
      <c r="AE118" s="135"/>
      <c r="AF118" s="135"/>
      <c r="AG118" s="131"/>
      <c r="AH118" s="131"/>
      <c r="AI118" s="131"/>
      <c r="AJ118" s="37"/>
      <c r="AK118" s="38"/>
      <c r="AL118" s="453"/>
      <c r="AN118" s="196"/>
    </row>
    <row r="119" spans="1:40" x14ac:dyDescent="0.25">
      <c r="A119" s="382">
        <v>173</v>
      </c>
      <c r="B119" s="537"/>
      <c r="C119" s="537"/>
      <c r="D119" s="537"/>
      <c r="E119" s="537"/>
      <c r="F119" s="537"/>
      <c r="G119" s="548">
        <v>123.84</v>
      </c>
      <c r="H119" s="594"/>
      <c r="I119" s="37"/>
      <c r="J119" s="537"/>
      <c r="K119" s="531"/>
      <c r="L119" s="578"/>
      <c r="M119" s="778"/>
      <c r="N119" s="778"/>
      <c r="O119" s="778"/>
      <c r="P119" s="537"/>
      <c r="Q119" s="182" t="s">
        <v>290</v>
      </c>
      <c r="R119" s="671"/>
      <c r="S119" s="594"/>
      <c r="T119" s="778"/>
      <c r="U119" s="594"/>
      <c r="V119" s="594"/>
      <c r="W119" s="548">
        <v>180.73</v>
      </c>
      <c r="X119" s="537"/>
      <c r="Y119" s="37"/>
      <c r="Z119" s="530"/>
      <c r="AA119" s="530"/>
      <c r="AB119" s="530"/>
      <c r="AC119" s="530"/>
      <c r="AD119" s="530"/>
      <c r="AE119" s="530"/>
      <c r="AF119" s="530"/>
      <c r="AG119" s="530"/>
      <c r="AH119" s="530"/>
      <c r="AI119" s="530"/>
      <c r="AJ119" s="111"/>
      <c r="AK119" s="38"/>
      <c r="AL119" s="453"/>
      <c r="AN119" s="196"/>
    </row>
    <row r="120" spans="1:40" x14ac:dyDescent="0.25">
      <c r="A120" s="385">
        <v>174</v>
      </c>
      <c r="B120" s="12">
        <v>72.8</v>
      </c>
      <c r="C120" s="135">
        <v>115.78</v>
      </c>
      <c r="D120" s="530"/>
      <c r="E120" s="135">
        <v>18.399999999999999</v>
      </c>
      <c r="F120" s="135">
        <v>80.34</v>
      </c>
      <c r="G120" s="155">
        <v>53.03</v>
      </c>
      <c r="H120" s="155">
        <v>60.08</v>
      </c>
      <c r="I120" s="37"/>
      <c r="J120" s="131">
        <v>62.33</v>
      </c>
      <c r="K120" s="135">
        <v>60.1</v>
      </c>
      <c r="L120" s="135">
        <v>72.63</v>
      </c>
      <c r="M120" s="135">
        <v>59.44</v>
      </c>
      <c r="N120" s="135">
        <v>54.44</v>
      </c>
      <c r="O120" s="155">
        <v>74.77</v>
      </c>
      <c r="P120" s="131">
        <v>64.41</v>
      </c>
      <c r="Q120" s="37"/>
      <c r="R120" s="131">
        <v>68.86</v>
      </c>
      <c r="S120" s="155">
        <v>75.650000000000006</v>
      </c>
      <c r="T120" s="155">
        <v>72.709999999999994</v>
      </c>
      <c r="U120" s="135">
        <v>67.709999999999994</v>
      </c>
      <c r="V120" s="135">
        <v>65.25</v>
      </c>
      <c r="W120" s="155">
        <v>59.05</v>
      </c>
      <c r="X120" s="131"/>
      <c r="Y120" s="37"/>
      <c r="Z120" s="131"/>
      <c r="AA120" s="131"/>
      <c r="AB120" s="12"/>
      <c r="AC120" s="12"/>
      <c r="AD120" s="12"/>
      <c r="AE120" s="131"/>
      <c r="AF120" s="131"/>
      <c r="AG120" s="131"/>
      <c r="AH120" s="131"/>
      <c r="AI120" s="131"/>
      <c r="AJ120" s="37"/>
      <c r="AK120" s="38"/>
      <c r="AL120" s="454" t="s">
        <v>251</v>
      </c>
      <c r="AN120" s="196"/>
    </row>
    <row r="121" spans="1:40" x14ac:dyDescent="0.25">
      <c r="A121" s="385">
        <v>175</v>
      </c>
      <c r="B121" s="155">
        <v>68.17</v>
      </c>
      <c r="C121" s="135">
        <v>72.39</v>
      </c>
      <c r="D121" s="135">
        <v>61.9</v>
      </c>
      <c r="E121" s="135">
        <v>57.86</v>
      </c>
      <c r="F121" s="135">
        <v>62.4</v>
      </c>
      <c r="G121" s="135">
        <v>61.99</v>
      </c>
      <c r="H121" s="135">
        <v>61.81</v>
      </c>
      <c r="I121" s="37"/>
      <c r="J121" s="155">
        <v>66.150000000000006</v>
      </c>
      <c r="K121" s="135">
        <v>66.569999999999993</v>
      </c>
      <c r="L121" s="135">
        <v>59.77</v>
      </c>
      <c r="M121" s="135">
        <v>77.56</v>
      </c>
      <c r="N121" s="155">
        <v>64.75</v>
      </c>
      <c r="O121" s="135">
        <v>74.69</v>
      </c>
      <c r="P121" s="135">
        <v>62.12</v>
      </c>
      <c r="Q121" s="37"/>
      <c r="R121" s="155">
        <v>53.03</v>
      </c>
      <c r="S121" s="155">
        <v>83.39</v>
      </c>
      <c r="T121" s="135">
        <v>75.63</v>
      </c>
      <c r="U121" s="135">
        <v>64.37</v>
      </c>
      <c r="V121" s="155">
        <v>72.28</v>
      </c>
      <c r="W121" s="135">
        <v>73.88</v>
      </c>
      <c r="X121" s="444"/>
      <c r="Y121" s="37"/>
      <c r="Z121" s="131"/>
      <c r="AA121" s="131"/>
      <c r="AB121" s="12"/>
      <c r="AC121" s="12"/>
      <c r="AD121" s="12"/>
      <c r="AE121" s="131"/>
      <c r="AF121" s="131"/>
      <c r="AG121" s="131"/>
      <c r="AH121" s="131"/>
      <c r="AI121" s="131"/>
      <c r="AJ121" s="37"/>
      <c r="AK121" s="38"/>
      <c r="AL121" s="455" t="s">
        <v>376</v>
      </c>
      <c r="AN121" s="196"/>
    </row>
    <row r="122" spans="1:40" x14ac:dyDescent="0.25">
      <c r="A122" s="385">
        <v>176</v>
      </c>
      <c r="B122" s="537"/>
      <c r="C122" s="537"/>
      <c r="D122" s="537"/>
      <c r="E122" s="537"/>
      <c r="F122" s="537"/>
      <c r="G122" s="778"/>
      <c r="H122" s="594"/>
      <c r="I122" s="182" t="s">
        <v>290</v>
      </c>
      <c r="J122" s="537"/>
      <c r="K122" s="531"/>
      <c r="L122" s="578"/>
      <c r="M122" s="778"/>
      <c r="N122" s="778"/>
      <c r="O122" s="778"/>
      <c r="P122" s="537"/>
      <c r="Q122" s="39" t="s">
        <v>290</v>
      </c>
      <c r="R122" s="671"/>
      <c r="S122" s="594"/>
      <c r="T122" s="778"/>
      <c r="U122" s="594"/>
      <c r="V122" s="594"/>
      <c r="W122" s="594"/>
      <c r="X122" s="537"/>
      <c r="Y122" s="111"/>
      <c r="Z122" s="530"/>
      <c r="AA122" s="530"/>
      <c r="AB122" s="530"/>
      <c r="AC122" s="530"/>
      <c r="AD122" s="530"/>
      <c r="AE122" s="530"/>
      <c r="AF122" s="530"/>
      <c r="AG122" s="530"/>
      <c r="AH122" s="530"/>
      <c r="AI122" s="530"/>
      <c r="AJ122" s="114"/>
      <c r="AK122" s="44"/>
      <c r="AL122" s="455"/>
      <c r="AN122" s="196"/>
    </row>
    <row r="123" spans="1:40" x14ac:dyDescent="0.25">
      <c r="A123" s="385">
        <v>177</v>
      </c>
      <c r="B123" s="131">
        <v>94.07</v>
      </c>
      <c r="C123" s="155">
        <v>63.22</v>
      </c>
      <c r="D123" s="155">
        <v>57.31</v>
      </c>
      <c r="E123" s="155">
        <v>76.84</v>
      </c>
      <c r="F123" s="155">
        <v>71.95</v>
      </c>
      <c r="G123" s="155">
        <v>75.64</v>
      </c>
      <c r="H123" s="155">
        <v>65.58</v>
      </c>
      <c r="I123" s="37"/>
      <c r="J123" s="131">
        <v>70.36</v>
      </c>
      <c r="K123" s="135">
        <v>78.16</v>
      </c>
      <c r="L123" s="533">
        <v>88</v>
      </c>
      <c r="M123" s="135">
        <v>59.5</v>
      </c>
      <c r="N123" s="135">
        <v>61.61</v>
      </c>
      <c r="O123" s="135">
        <v>69.73</v>
      </c>
      <c r="P123" s="131">
        <v>59.94</v>
      </c>
      <c r="Q123" s="37"/>
      <c r="R123" s="131">
        <v>66.510000000000005</v>
      </c>
      <c r="S123" s="135">
        <v>67.8</v>
      </c>
      <c r="T123" s="155">
        <v>67.86</v>
      </c>
      <c r="U123" s="155">
        <v>81.61</v>
      </c>
      <c r="V123" s="155">
        <v>77.790000000000006</v>
      </c>
      <c r="W123" s="155">
        <v>64.5</v>
      </c>
      <c r="X123" s="131"/>
      <c r="Y123" s="37"/>
      <c r="Z123" s="135"/>
      <c r="AA123" s="131"/>
      <c r="AB123" s="12"/>
      <c r="AC123" s="12"/>
      <c r="AD123" s="12"/>
      <c r="AE123" s="135"/>
      <c r="AF123" s="131"/>
      <c r="AG123" s="131"/>
      <c r="AH123" s="131"/>
      <c r="AI123" s="131"/>
      <c r="AJ123" s="47"/>
      <c r="AK123" s="48"/>
      <c r="AL123" s="455"/>
      <c r="AN123" s="196"/>
    </row>
    <row r="124" spans="1:40" x14ac:dyDescent="0.25">
      <c r="A124" s="385">
        <v>178</v>
      </c>
      <c r="B124" s="131">
        <v>78.989999999999995</v>
      </c>
      <c r="C124" s="155">
        <v>72.08</v>
      </c>
      <c r="D124" s="135">
        <v>58.69</v>
      </c>
      <c r="E124" s="135">
        <v>76.94</v>
      </c>
      <c r="F124" s="135">
        <v>78.319999999999993</v>
      </c>
      <c r="G124" s="135">
        <v>84.86</v>
      </c>
      <c r="H124" s="135">
        <v>48.94</v>
      </c>
      <c r="I124" s="37"/>
      <c r="J124" s="131">
        <v>72.739999999999995</v>
      </c>
      <c r="K124" s="530"/>
      <c r="L124" s="533">
        <v>50.53</v>
      </c>
      <c r="M124" s="135">
        <v>128.56</v>
      </c>
      <c r="N124" s="135">
        <v>70.88</v>
      </c>
      <c r="O124" s="135">
        <v>72.790000000000006</v>
      </c>
      <c r="P124" s="135">
        <v>60.21</v>
      </c>
      <c r="Q124" s="37"/>
      <c r="R124" s="131">
        <v>74.55</v>
      </c>
      <c r="S124" s="155">
        <v>79.28</v>
      </c>
      <c r="T124" s="135">
        <v>73.22</v>
      </c>
      <c r="U124" s="135">
        <v>71.42</v>
      </c>
      <c r="V124" s="135">
        <v>90.2</v>
      </c>
      <c r="W124" s="135">
        <v>56.07</v>
      </c>
      <c r="X124" s="444"/>
      <c r="Y124" s="37"/>
      <c r="Z124" s="131"/>
      <c r="AA124" s="12"/>
      <c r="AB124" s="12"/>
      <c r="AC124" s="12"/>
      <c r="AD124" s="12"/>
      <c r="AE124" s="131"/>
      <c r="AF124" s="131"/>
      <c r="AG124" s="131"/>
      <c r="AH124" s="131"/>
      <c r="AI124" s="131"/>
      <c r="AJ124" s="49"/>
      <c r="AK124" s="48"/>
      <c r="AL124" s="455"/>
      <c r="AN124" s="196"/>
    </row>
    <row r="125" spans="1:40" x14ac:dyDescent="0.25">
      <c r="A125" s="385">
        <v>179</v>
      </c>
      <c r="B125" s="131">
        <v>113.93</v>
      </c>
      <c r="C125" s="155">
        <v>84.77</v>
      </c>
      <c r="D125" s="155">
        <v>87.44</v>
      </c>
      <c r="E125" s="135">
        <v>76.97</v>
      </c>
      <c r="F125" s="155">
        <v>100.37</v>
      </c>
      <c r="G125" s="155">
        <v>97.06</v>
      </c>
      <c r="H125" s="155">
        <v>14.52</v>
      </c>
      <c r="I125" s="37"/>
      <c r="J125" s="131">
        <v>84.27</v>
      </c>
      <c r="K125" s="135">
        <v>110.85</v>
      </c>
      <c r="L125" s="135">
        <v>94.08</v>
      </c>
      <c r="M125" s="135">
        <v>94.55</v>
      </c>
      <c r="N125" s="135">
        <v>92.37</v>
      </c>
      <c r="O125" s="135">
        <v>110.66</v>
      </c>
      <c r="P125" s="12">
        <v>73.400000000000006</v>
      </c>
      <c r="Q125" s="37"/>
      <c r="R125" s="131">
        <v>84.61</v>
      </c>
      <c r="S125" s="155">
        <v>66.12</v>
      </c>
      <c r="T125" s="548">
        <v>127.95</v>
      </c>
      <c r="U125" s="135">
        <v>92.77</v>
      </c>
      <c r="V125" s="537"/>
      <c r="W125" s="155"/>
      <c r="X125" s="131"/>
      <c r="Y125" s="37"/>
      <c r="Z125" s="131"/>
      <c r="AA125" s="131"/>
      <c r="AB125" s="12"/>
      <c r="AC125" s="12"/>
      <c r="AD125" s="12"/>
      <c r="AE125" s="131"/>
      <c r="AF125" s="131"/>
      <c r="AG125" s="131"/>
      <c r="AH125" s="131"/>
      <c r="AI125" s="131"/>
      <c r="AJ125" s="36"/>
      <c r="AK125" s="14"/>
      <c r="AL125" s="455"/>
      <c r="AN125" s="196"/>
    </row>
    <row r="126" spans="1:40" x14ac:dyDescent="0.25">
      <c r="A126" s="385">
        <v>180</v>
      </c>
      <c r="B126" s="131">
        <v>112.25</v>
      </c>
      <c r="C126" s="537"/>
      <c r="D126" s="537"/>
      <c r="E126" s="155">
        <v>39.67</v>
      </c>
      <c r="F126" s="537"/>
      <c r="G126" s="537"/>
      <c r="H126" s="537"/>
      <c r="I126" s="37"/>
      <c r="J126" s="131">
        <v>53.63</v>
      </c>
      <c r="K126" s="135">
        <v>39.369999999999997</v>
      </c>
      <c r="L126" s="530"/>
      <c r="M126" s="530"/>
      <c r="N126" s="135">
        <v>50.43</v>
      </c>
      <c r="O126" s="530"/>
      <c r="P126" s="537"/>
      <c r="Q126" s="37"/>
      <c r="R126" s="537"/>
      <c r="S126" s="537"/>
      <c r="T126" s="155">
        <v>85.23</v>
      </c>
      <c r="U126" s="537"/>
      <c r="V126" s="537"/>
      <c r="W126" s="155">
        <v>44.04</v>
      </c>
      <c r="X126" s="573"/>
      <c r="Y126" s="37"/>
      <c r="Z126" s="135"/>
      <c r="AA126" s="135"/>
      <c r="AB126" s="12"/>
      <c r="AC126" s="135"/>
      <c r="AD126" s="135"/>
      <c r="AE126" s="135"/>
      <c r="AF126" s="135"/>
      <c r="AG126" s="131"/>
      <c r="AH126" s="131"/>
      <c r="AI126" s="131"/>
      <c r="AJ126" s="37"/>
      <c r="AK126" s="38"/>
      <c r="AL126" s="455"/>
      <c r="AN126" s="196"/>
    </row>
    <row r="127" spans="1:40" x14ac:dyDescent="0.25">
      <c r="A127" s="385">
        <v>181</v>
      </c>
      <c r="B127" s="131">
        <v>81.41</v>
      </c>
      <c r="C127" s="155">
        <v>82.42</v>
      </c>
      <c r="D127" s="155">
        <v>69.72</v>
      </c>
      <c r="E127" s="135">
        <v>83.14</v>
      </c>
      <c r="F127" s="155">
        <v>90.55</v>
      </c>
      <c r="G127" s="155">
        <v>53.64</v>
      </c>
      <c r="H127" s="532">
        <v>131.74</v>
      </c>
      <c r="I127" s="37"/>
      <c r="J127" s="131">
        <v>86.69</v>
      </c>
      <c r="K127" s="135">
        <v>78.72</v>
      </c>
      <c r="L127" s="135">
        <v>79.959999999999994</v>
      </c>
      <c r="M127" s="135">
        <v>60.93</v>
      </c>
      <c r="N127" s="135">
        <v>155.91999999999999</v>
      </c>
      <c r="O127" s="135">
        <v>97.66</v>
      </c>
      <c r="P127" s="135">
        <v>80.680000000000007</v>
      </c>
      <c r="Q127" s="37"/>
      <c r="R127" s="131">
        <v>65.87</v>
      </c>
      <c r="S127" s="155">
        <v>77.45</v>
      </c>
      <c r="T127" s="155">
        <v>95.78</v>
      </c>
      <c r="U127" s="135">
        <v>83.27</v>
      </c>
      <c r="V127" s="155">
        <v>91.08</v>
      </c>
      <c r="W127" s="155">
        <v>93.92</v>
      </c>
      <c r="X127" s="444"/>
      <c r="Y127" s="37"/>
      <c r="Z127" s="131"/>
      <c r="AA127" s="131"/>
      <c r="AB127" s="12"/>
      <c r="AC127" s="12"/>
      <c r="AD127" s="12"/>
      <c r="AE127" s="131"/>
      <c r="AF127" s="131"/>
      <c r="AG127" s="131"/>
      <c r="AH127" s="131"/>
      <c r="AI127" s="131"/>
      <c r="AJ127" s="37"/>
      <c r="AK127" s="38"/>
      <c r="AL127" s="455"/>
      <c r="AN127" s="196"/>
    </row>
    <row r="128" spans="1:40" x14ac:dyDescent="0.25">
      <c r="A128" s="385">
        <v>182</v>
      </c>
      <c r="B128" s="131">
        <v>71.23</v>
      </c>
      <c r="C128" s="135">
        <v>75.930000000000007</v>
      </c>
      <c r="D128" s="135">
        <v>78.569999999999993</v>
      </c>
      <c r="E128" s="135">
        <v>71.25</v>
      </c>
      <c r="F128" s="135">
        <v>62.28</v>
      </c>
      <c r="G128" s="135">
        <v>63.93</v>
      </c>
      <c r="H128" s="135">
        <v>79.930000000000007</v>
      </c>
      <c r="I128" s="37"/>
      <c r="J128" s="131">
        <v>41.08</v>
      </c>
      <c r="K128" s="135">
        <v>81.489999999999995</v>
      </c>
      <c r="L128" s="135">
        <v>68.63</v>
      </c>
      <c r="M128" s="135">
        <v>70.459999999999994</v>
      </c>
      <c r="N128" s="530"/>
      <c r="O128" s="530"/>
      <c r="P128" s="135">
        <v>73.13</v>
      </c>
      <c r="Q128" s="37"/>
      <c r="R128" s="131">
        <v>72.36</v>
      </c>
      <c r="S128" s="135">
        <v>88.21</v>
      </c>
      <c r="T128" s="135">
        <v>82.65</v>
      </c>
      <c r="U128" s="135">
        <v>61.03</v>
      </c>
      <c r="V128" s="135">
        <v>82</v>
      </c>
      <c r="W128" s="135">
        <v>52.77</v>
      </c>
      <c r="X128" s="444"/>
      <c r="Y128" s="37"/>
      <c r="Z128" s="131"/>
      <c r="AA128" s="131"/>
      <c r="AB128" s="12"/>
      <c r="AC128" s="12"/>
      <c r="AD128" s="12"/>
      <c r="AE128" s="12"/>
      <c r="AF128" s="131"/>
      <c r="AG128" s="131"/>
      <c r="AH128" s="131"/>
      <c r="AI128" s="131"/>
      <c r="AJ128" s="37"/>
      <c r="AK128" s="38"/>
      <c r="AL128" s="455"/>
      <c r="AN128" s="196"/>
    </row>
    <row r="129" spans="1:40" x14ac:dyDescent="0.25">
      <c r="A129" s="385">
        <v>183</v>
      </c>
      <c r="B129" s="131">
        <v>77.33</v>
      </c>
      <c r="C129" s="155">
        <v>92.93</v>
      </c>
      <c r="D129" s="155">
        <v>69.36</v>
      </c>
      <c r="E129" s="155">
        <v>93.77</v>
      </c>
      <c r="F129" s="155">
        <v>79.84</v>
      </c>
      <c r="G129" s="155">
        <v>67.849999999999994</v>
      </c>
      <c r="H129" s="537"/>
      <c r="I129" s="37"/>
      <c r="J129" s="131">
        <v>39.71</v>
      </c>
      <c r="K129" s="135">
        <v>59.81</v>
      </c>
      <c r="L129" s="135">
        <v>87.23</v>
      </c>
      <c r="M129" s="135">
        <v>77.37</v>
      </c>
      <c r="N129" s="135">
        <v>70.760000000000005</v>
      </c>
      <c r="O129" s="135">
        <v>88.87</v>
      </c>
      <c r="P129" s="131">
        <v>87.28</v>
      </c>
      <c r="Q129" s="37"/>
      <c r="R129" s="131">
        <v>78.78</v>
      </c>
      <c r="S129" s="155">
        <v>66.42</v>
      </c>
      <c r="T129" s="155">
        <v>85.99</v>
      </c>
      <c r="U129" s="155">
        <v>88.92</v>
      </c>
      <c r="V129" s="155">
        <v>83.93</v>
      </c>
      <c r="W129" s="155">
        <v>94.06</v>
      </c>
      <c r="X129" s="573"/>
      <c r="Y129" s="37"/>
      <c r="Z129" s="131"/>
      <c r="AA129" s="131"/>
      <c r="AB129" s="12"/>
      <c r="AC129" s="12"/>
      <c r="AD129" s="12"/>
      <c r="AE129" s="131"/>
      <c r="AF129" s="131"/>
      <c r="AG129" s="131"/>
      <c r="AH129" s="131"/>
      <c r="AI129" s="131"/>
      <c r="AJ129" s="37"/>
      <c r="AK129" s="38"/>
      <c r="AL129" s="455"/>
      <c r="AN129" s="196"/>
    </row>
    <row r="130" spans="1:40" x14ac:dyDescent="0.25">
      <c r="A130" s="385">
        <v>184</v>
      </c>
      <c r="B130" s="155">
        <v>68.16</v>
      </c>
      <c r="C130" s="135">
        <v>83.57</v>
      </c>
      <c r="D130" s="135">
        <v>95.83</v>
      </c>
      <c r="E130" s="135">
        <v>93.38</v>
      </c>
      <c r="F130" s="537"/>
      <c r="G130" s="135">
        <v>86.33</v>
      </c>
      <c r="H130" s="155">
        <v>76.180000000000007</v>
      </c>
      <c r="I130" s="37"/>
      <c r="J130" s="155">
        <v>79.760000000000005</v>
      </c>
      <c r="K130" s="530"/>
      <c r="L130" s="135">
        <v>67.900000000000006</v>
      </c>
      <c r="M130" s="135">
        <v>89.46</v>
      </c>
      <c r="N130" s="135">
        <v>94.42</v>
      </c>
      <c r="O130" s="135">
        <v>60.7</v>
      </c>
      <c r="P130" s="131">
        <v>23.09</v>
      </c>
      <c r="Q130" s="37"/>
      <c r="R130" s="155">
        <v>58.27</v>
      </c>
      <c r="S130" s="135">
        <v>54.84</v>
      </c>
      <c r="T130" s="135">
        <v>59.77</v>
      </c>
      <c r="U130" s="135">
        <v>38.17</v>
      </c>
      <c r="V130" s="155">
        <v>68.36</v>
      </c>
      <c r="W130" s="135">
        <v>66.92</v>
      </c>
      <c r="X130" s="573"/>
      <c r="Y130" s="37"/>
      <c r="Z130" s="131"/>
      <c r="AA130" s="131"/>
      <c r="AB130" s="12"/>
      <c r="AC130" s="12"/>
      <c r="AD130" s="12"/>
      <c r="AE130" s="131"/>
      <c r="AF130" s="131"/>
      <c r="AG130" s="131"/>
      <c r="AH130" s="131"/>
      <c r="AI130" s="131"/>
      <c r="AJ130" s="37"/>
      <c r="AK130" s="38"/>
      <c r="AL130" s="455"/>
      <c r="AN130" s="196"/>
    </row>
    <row r="131" spans="1:40" x14ac:dyDescent="0.25">
      <c r="A131" s="385">
        <v>185</v>
      </c>
      <c r="B131" s="131">
        <v>66.02</v>
      </c>
      <c r="C131" s="155">
        <v>75.959999999999994</v>
      </c>
      <c r="D131" s="135">
        <v>77.150000000000006</v>
      </c>
      <c r="E131" s="135">
        <v>78.95</v>
      </c>
      <c r="F131" s="155">
        <v>81.27</v>
      </c>
      <c r="G131" s="155">
        <v>44.52</v>
      </c>
      <c r="H131" s="155">
        <v>79.010000000000005</v>
      </c>
      <c r="I131" s="37"/>
      <c r="J131" s="537"/>
      <c r="K131" s="532">
        <v>189.57</v>
      </c>
      <c r="L131" s="135">
        <v>63.95</v>
      </c>
      <c r="M131" s="135">
        <v>17.21</v>
      </c>
      <c r="N131" s="135">
        <v>60.24</v>
      </c>
      <c r="O131" s="530"/>
      <c r="P131" s="131">
        <v>101.24</v>
      </c>
      <c r="Q131" s="37"/>
      <c r="R131" s="12">
        <v>87</v>
      </c>
      <c r="S131" s="155">
        <v>76.94</v>
      </c>
      <c r="T131" s="135">
        <v>72.73</v>
      </c>
      <c r="U131" s="135">
        <v>65.930000000000007</v>
      </c>
      <c r="V131" s="155">
        <v>72.14</v>
      </c>
      <c r="W131" s="155"/>
      <c r="X131" s="573"/>
      <c r="Y131" s="37"/>
      <c r="Z131" s="12"/>
      <c r="AA131" s="135"/>
      <c r="AB131" s="12"/>
      <c r="AC131" s="12"/>
      <c r="AD131" s="12"/>
      <c r="AE131" s="131"/>
      <c r="AF131" s="131"/>
      <c r="AG131" s="131"/>
      <c r="AH131" s="131"/>
      <c r="AI131" s="131"/>
      <c r="AJ131" s="37"/>
      <c r="AK131" s="38"/>
      <c r="AL131" s="455"/>
      <c r="AN131" s="196"/>
    </row>
    <row r="132" spans="1:40" x14ac:dyDescent="0.25">
      <c r="A132" s="385">
        <v>186</v>
      </c>
      <c r="B132" s="537"/>
      <c r="C132" s="537"/>
      <c r="D132" s="155">
        <v>102.47</v>
      </c>
      <c r="E132" s="155">
        <v>69.17</v>
      </c>
      <c r="F132" s="155">
        <v>78.34</v>
      </c>
      <c r="G132" s="530"/>
      <c r="H132" s="135">
        <v>106.38</v>
      </c>
      <c r="I132" s="37"/>
      <c r="J132" s="131">
        <v>86.66</v>
      </c>
      <c r="K132" s="135">
        <v>74.790000000000006</v>
      </c>
      <c r="L132" s="135">
        <v>71.739999999999995</v>
      </c>
      <c r="M132" s="135">
        <v>80.8</v>
      </c>
      <c r="N132" s="135">
        <v>72</v>
      </c>
      <c r="O132" s="135">
        <v>71.569999999999993</v>
      </c>
      <c r="P132" s="135">
        <v>65.040000000000006</v>
      </c>
      <c r="Q132" s="37"/>
      <c r="R132" s="131">
        <v>63.96</v>
      </c>
      <c r="S132" s="155">
        <v>80.959999999999994</v>
      </c>
      <c r="T132" s="155">
        <v>70.319999999999993</v>
      </c>
      <c r="U132" s="155">
        <v>71.180000000000007</v>
      </c>
      <c r="V132" s="155">
        <v>67.44</v>
      </c>
      <c r="W132" s="135">
        <v>78.25</v>
      </c>
      <c r="X132" s="444"/>
      <c r="Y132" s="37"/>
      <c r="Z132" s="131"/>
      <c r="AA132" s="131"/>
      <c r="AB132" s="12"/>
      <c r="AC132" s="12"/>
      <c r="AD132" s="12"/>
      <c r="AE132" s="12"/>
      <c r="AF132" s="131"/>
      <c r="AG132" s="131"/>
      <c r="AH132" s="131"/>
      <c r="AI132" s="131"/>
      <c r="AJ132" s="37"/>
      <c r="AK132" s="38"/>
      <c r="AL132" s="455"/>
      <c r="AN132" s="196"/>
    </row>
    <row r="133" spans="1:40" x14ac:dyDescent="0.25">
      <c r="A133" s="385">
        <v>187</v>
      </c>
      <c r="B133" s="537"/>
      <c r="C133" s="537"/>
      <c r="D133" s="537"/>
      <c r="E133" s="537"/>
      <c r="F133" s="537"/>
      <c r="G133" s="778"/>
      <c r="H133" s="594"/>
      <c r="I133" s="182" t="s">
        <v>290</v>
      </c>
      <c r="J133" s="537"/>
      <c r="K133" s="531"/>
      <c r="L133" s="578"/>
      <c r="M133" s="778"/>
      <c r="N133" s="778"/>
      <c r="O133" s="778"/>
      <c r="P133" s="537"/>
      <c r="Q133" s="39" t="s">
        <v>290</v>
      </c>
      <c r="R133" s="671"/>
      <c r="S133" s="594"/>
      <c r="T133" s="778"/>
      <c r="U133" s="594"/>
      <c r="V133" s="594"/>
      <c r="W133" s="594"/>
      <c r="X133" s="537"/>
      <c r="Y133" s="111"/>
      <c r="Z133" s="530"/>
      <c r="AA133" s="530"/>
      <c r="AB133" s="530"/>
      <c r="AC133" s="530"/>
      <c r="AD133" s="530"/>
      <c r="AE133" s="530"/>
      <c r="AF133" s="530"/>
      <c r="AG133" s="530"/>
      <c r="AH133" s="530"/>
      <c r="AI133" s="530"/>
      <c r="AJ133" s="111"/>
      <c r="AK133" s="38"/>
      <c r="AL133" s="455"/>
      <c r="AN133" s="196"/>
    </row>
    <row r="134" spans="1:40" x14ac:dyDescent="0.25">
      <c r="A134" s="385">
        <v>188</v>
      </c>
      <c r="B134" s="131">
        <v>78.569999999999993</v>
      </c>
      <c r="C134" s="135">
        <v>105.36</v>
      </c>
      <c r="D134" s="155">
        <v>84.77</v>
      </c>
      <c r="E134" s="155">
        <v>82.43</v>
      </c>
      <c r="F134" s="155">
        <v>87.44</v>
      </c>
      <c r="G134" s="135">
        <v>81.489999999999995</v>
      </c>
      <c r="H134" s="135">
        <v>67.7</v>
      </c>
      <c r="I134" s="37"/>
      <c r="J134" s="131">
        <v>77.849999999999994</v>
      </c>
      <c r="K134" s="135">
        <v>76.23</v>
      </c>
      <c r="L134" s="135">
        <v>87.47</v>
      </c>
      <c r="M134" s="135">
        <v>68.33</v>
      </c>
      <c r="N134" s="530"/>
      <c r="O134" s="135">
        <v>28.06</v>
      </c>
      <c r="P134" s="135">
        <v>60.17</v>
      </c>
      <c r="Q134" s="37"/>
      <c r="R134" s="131">
        <v>83.56</v>
      </c>
      <c r="S134" s="135">
        <v>81.010000000000005</v>
      </c>
      <c r="T134" s="155">
        <v>60.41</v>
      </c>
      <c r="U134" s="155">
        <v>91.17</v>
      </c>
      <c r="V134" s="155">
        <v>78.44</v>
      </c>
      <c r="W134" s="135"/>
      <c r="X134" s="444"/>
      <c r="Y134" s="37"/>
      <c r="Z134" s="131"/>
      <c r="AA134" s="131"/>
      <c r="AB134" s="12"/>
      <c r="AC134" s="12"/>
      <c r="AD134" s="12"/>
      <c r="AE134" s="131"/>
      <c r="AF134" s="131"/>
      <c r="AG134" s="131"/>
      <c r="AH134" s="131"/>
      <c r="AI134" s="131"/>
      <c r="AJ134" s="37"/>
      <c r="AK134" s="38"/>
      <c r="AL134" s="455"/>
      <c r="AN134" s="196"/>
    </row>
    <row r="135" spans="1:40" x14ac:dyDescent="0.25">
      <c r="A135" s="385">
        <v>189</v>
      </c>
      <c r="B135" s="537"/>
      <c r="C135" s="155">
        <v>62.95</v>
      </c>
      <c r="D135" s="155">
        <v>69.52</v>
      </c>
      <c r="E135" s="155">
        <v>73.98</v>
      </c>
      <c r="F135" s="135">
        <v>79.040000000000006</v>
      </c>
      <c r="G135" s="155">
        <v>89.59</v>
      </c>
      <c r="H135" s="135">
        <v>72.290000000000006</v>
      </c>
      <c r="I135" s="37"/>
      <c r="J135" s="135">
        <v>78.7</v>
      </c>
      <c r="K135" s="135">
        <v>86.94</v>
      </c>
      <c r="L135" s="135">
        <v>67.98</v>
      </c>
      <c r="M135" s="135">
        <v>66.5</v>
      </c>
      <c r="N135" s="135">
        <v>79.040000000000006</v>
      </c>
      <c r="O135" s="135">
        <v>65.069999999999993</v>
      </c>
      <c r="P135" s="135">
        <v>71.37</v>
      </c>
      <c r="Q135" s="37"/>
      <c r="R135" s="155">
        <v>76.48</v>
      </c>
      <c r="S135" s="155">
        <v>76.39</v>
      </c>
      <c r="T135" s="155">
        <v>81.11</v>
      </c>
      <c r="U135" s="155">
        <v>79.02</v>
      </c>
      <c r="V135" s="135">
        <v>89.28</v>
      </c>
      <c r="W135" s="155">
        <v>69.459999999999994</v>
      </c>
      <c r="X135" s="444"/>
      <c r="Y135" s="37"/>
      <c r="Z135" s="131"/>
      <c r="AA135" s="131"/>
      <c r="AB135" s="12"/>
      <c r="AC135" s="12"/>
      <c r="AD135" s="12"/>
      <c r="AE135" s="131"/>
      <c r="AF135" s="12"/>
      <c r="AG135" s="131"/>
      <c r="AH135" s="131"/>
      <c r="AI135" s="131"/>
      <c r="AJ135" s="37"/>
      <c r="AK135" s="38"/>
      <c r="AL135" s="455"/>
      <c r="AN135" s="196"/>
    </row>
    <row r="136" spans="1:40" x14ac:dyDescent="0.25">
      <c r="A136" s="385">
        <v>190</v>
      </c>
      <c r="B136" s="131">
        <v>64.73</v>
      </c>
      <c r="C136" s="155">
        <v>84.14</v>
      </c>
      <c r="D136" s="135">
        <v>88.39</v>
      </c>
      <c r="E136" s="155">
        <v>71.290000000000006</v>
      </c>
      <c r="F136" s="135">
        <v>88.89</v>
      </c>
      <c r="G136" s="135">
        <v>87.2</v>
      </c>
      <c r="H136" s="135">
        <v>91.77</v>
      </c>
      <c r="I136" s="37"/>
      <c r="J136" s="131">
        <v>77.55</v>
      </c>
      <c r="K136" s="135">
        <v>85.08</v>
      </c>
      <c r="L136" s="135">
        <v>99.66</v>
      </c>
      <c r="M136" s="135">
        <v>65.099999999999994</v>
      </c>
      <c r="N136" s="135">
        <v>63.42</v>
      </c>
      <c r="O136" s="135">
        <v>87.85</v>
      </c>
      <c r="P136" s="12">
        <v>78.27</v>
      </c>
      <c r="Q136" s="37"/>
      <c r="R136" s="131">
        <v>65.09</v>
      </c>
      <c r="S136" s="155">
        <v>78.11</v>
      </c>
      <c r="T136" s="135">
        <v>60.07</v>
      </c>
      <c r="U136" s="155">
        <v>84.89</v>
      </c>
      <c r="V136" s="135">
        <v>79.56</v>
      </c>
      <c r="W136" s="135"/>
      <c r="X136" s="12"/>
      <c r="Y136" s="37"/>
      <c r="Z136" s="131"/>
      <c r="AA136" s="131"/>
      <c r="AB136" s="12"/>
      <c r="AC136" s="12"/>
      <c r="AD136" s="12"/>
      <c r="AE136" s="131"/>
      <c r="AF136" s="131"/>
      <c r="AG136" s="131"/>
      <c r="AH136" s="131"/>
      <c r="AI136" s="131"/>
      <c r="AJ136" s="37"/>
      <c r="AK136" s="38"/>
      <c r="AL136" s="455"/>
      <c r="AN136" s="196"/>
    </row>
    <row r="137" spans="1:40" x14ac:dyDescent="0.25">
      <c r="A137" s="385">
        <v>191</v>
      </c>
      <c r="B137" s="548">
        <v>121.34</v>
      </c>
      <c r="C137" s="135">
        <v>83</v>
      </c>
      <c r="D137" s="155">
        <v>95.28</v>
      </c>
      <c r="E137" s="135">
        <v>27.02</v>
      </c>
      <c r="F137" s="135">
        <v>55.06</v>
      </c>
      <c r="G137" s="135">
        <v>79.47</v>
      </c>
      <c r="H137" s="135">
        <v>78.02</v>
      </c>
      <c r="I137" s="37"/>
      <c r="J137" s="131">
        <v>86.25</v>
      </c>
      <c r="K137" s="135">
        <v>64.900000000000006</v>
      </c>
      <c r="L137" s="135">
        <v>80.650000000000006</v>
      </c>
      <c r="M137" s="135">
        <v>100.55</v>
      </c>
      <c r="N137" s="135">
        <v>64.47</v>
      </c>
      <c r="O137" s="135">
        <v>80.28</v>
      </c>
      <c r="P137" s="135">
        <v>65.180000000000007</v>
      </c>
      <c r="Q137" s="37"/>
      <c r="R137" s="131">
        <v>81.58</v>
      </c>
      <c r="S137" s="135">
        <v>74.84</v>
      </c>
      <c r="T137" s="155">
        <v>93.19</v>
      </c>
      <c r="U137" s="135">
        <v>72.58</v>
      </c>
      <c r="V137" s="135">
        <v>96.82</v>
      </c>
      <c r="W137" s="135">
        <v>74.319999999999993</v>
      </c>
      <c r="X137" s="444"/>
      <c r="Y137" s="37"/>
      <c r="Z137" s="131"/>
      <c r="AA137" s="131"/>
      <c r="AB137" s="12"/>
      <c r="AC137" s="12"/>
      <c r="AD137" s="12"/>
      <c r="AE137" s="131"/>
      <c r="AF137" s="12"/>
      <c r="AG137" s="131"/>
      <c r="AH137" s="131"/>
      <c r="AI137" s="131"/>
      <c r="AJ137" s="37"/>
      <c r="AK137" s="38"/>
      <c r="AL137" s="455"/>
      <c r="AN137" s="196"/>
    </row>
    <row r="138" spans="1:40" x14ac:dyDescent="0.25">
      <c r="A138" s="385">
        <v>192</v>
      </c>
      <c r="B138" s="570">
        <v>92.21</v>
      </c>
      <c r="C138" s="533">
        <v>82.4</v>
      </c>
      <c r="D138" s="533">
        <v>36.229999999999997</v>
      </c>
      <c r="E138" s="533">
        <v>78.11</v>
      </c>
      <c r="F138" s="533">
        <v>70.849999999999994</v>
      </c>
      <c r="G138" s="646">
        <v>43.76</v>
      </c>
      <c r="H138" s="533">
        <v>51.85</v>
      </c>
      <c r="I138" s="37"/>
      <c r="J138" s="570">
        <v>90.21</v>
      </c>
      <c r="K138" s="533">
        <v>104.85</v>
      </c>
      <c r="L138" s="533">
        <v>71.86</v>
      </c>
      <c r="M138" s="533">
        <v>90.83</v>
      </c>
      <c r="N138" s="533">
        <v>64.790000000000006</v>
      </c>
      <c r="O138" s="533">
        <v>86.18</v>
      </c>
      <c r="P138" s="533">
        <v>60.71</v>
      </c>
      <c r="Q138" s="37"/>
      <c r="R138" s="570">
        <v>73.72</v>
      </c>
      <c r="S138" s="570">
        <v>87.69</v>
      </c>
      <c r="T138" s="533">
        <v>67.11</v>
      </c>
      <c r="U138" s="533">
        <v>83.37</v>
      </c>
      <c r="V138" s="533">
        <v>92.1</v>
      </c>
      <c r="W138" s="533">
        <v>76.81</v>
      </c>
      <c r="X138" s="533"/>
      <c r="Y138" s="37"/>
      <c r="Z138" s="530"/>
      <c r="AA138" s="537"/>
      <c r="AB138" s="530"/>
      <c r="AC138" s="530"/>
      <c r="AD138" s="530"/>
      <c r="AE138" s="537"/>
      <c r="AF138" s="537"/>
      <c r="AG138" s="537"/>
      <c r="AH138" s="537"/>
      <c r="AI138" s="537"/>
      <c r="AJ138" s="37"/>
      <c r="AK138" s="38"/>
      <c r="AL138" s="455"/>
      <c r="AN138" s="196"/>
    </row>
    <row r="139" spans="1:40" x14ac:dyDescent="0.25">
      <c r="A139" s="385">
        <v>193</v>
      </c>
      <c r="B139" s="537"/>
      <c r="C139" s="530"/>
      <c r="D139" s="537"/>
      <c r="E139" s="530"/>
      <c r="F139" s="537"/>
      <c r="G139" s="155">
        <v>31.49</v>
      </c>
      <c r="H139" s="155">
        <v>27.32</v>
      </c>
      <c r="I139" s="37"/>
      <c r="J139" s="131">
        <v>72.260000000000005</v>
      </c>
      <c r="K139" s="135">
        <v>83.86</v>
      </c>
      <c r="L139" s="530"/>
      <c r="M139" s="135">
        <v>94.52</v>
      </c>
      <c r="N139" s="135">
        <v>73.010000000000005</v>
      </c>
      <c r="O139" s="135">
        <v>77.3</v>
      </c>
      <c r="P139" s="131">
        <v>74.25</v>
      </c>
      <c r="Q139" s="37"/>
      <c r="R139" s="12">
        <v>95.4</v>
      </c>
      <c r="S139" s="135">
        <v>91.93</v>
      </c>
      <c r="T139" s="155">
        <v>80.13</v>
      </c>
      <c r="U139" s="135">
        <v>81.08</v>
      </c>
      <c r="V139" s="155">
        <v>77.52</v>
      </c>
      <c r="W139" s="155">
        <v>78.83</v>
      </c>
      <c r="X139" s="131"/>
      <c r="Y139" s="37"/>
      <c r="Z139" s="131"/>
      <c r="AA139" s="131"/>
      <c r="AB139" s="12"/>
      <c r="AC139" s="12"/>
      <c r="AD139" s="12"/>
      <c r="AE139" s="131"/>
      <c r="AF139" s="131"/>
      <c r="AG139" s="131"/>
      <c r="AH139" s="131"/>
      <c r="AI139" s="131"/>
      <c r="AJ139" s="37"/>
      <c r="AK139" s="38"/>
      <c r="AL139" s="455"/>
      <c r="AN139" s="196"/>
    </row>
    <row r="140" spans="1:40" x14ac:dyDescent="0.25">
      <c r="A140" s="385">
        <v>194</v>
      </c>
      <c r="B140" s="135">
        <v>83.43</v>
      </c>
      <c r="C140" s="155">
        <v>61.91</v>
      </c>
      <c r="D140" s="135">
        <v>84.89</v>
      </c>
      <c r="E140" s="155">
        <v>68.819999999999993</v>
      </c>
      <c r="F140" s="135">
        <v>75.900000000000006</v>
      </c>
      <c r="G140" s="155">
        <v>55.43</v>
      </c>
      <c r="H140" s="155">
        <v>70.55</v>
      </c>
      <c r="I140" s="37"/>
      <c r="J140" s="135">
        <v>60.83</v>
      </c>
      <c r="K140" s="135">
        <v>87.22</v>
      </c>
      <c r="L140" s="135">
        <v>68.06</v>
      </c>
      <c r="M140" s="135">
        <v>70.8</v>
      </c>
      <c r="N140" s="135">
        <v>72.790000000000006</v>
      </c>
      <c r="O140" s="135">
        <v>88.14</v>
      </c>
      <c r="P140" s="131">
        <v>65.19</v>
      </c>
      <c r="Q140" s="37"/>
      <c r="R140" s="135">
        <v>85.86</v>
      </c>
      <c r="S140" s="155">
        <v>60.57</v>
      </c>
      <c r="T140" s="135">
        <v>81.48</v>
      </c>
      <c r="U140" s="155">
        <v>80.31</v>
      </c>
      <c r="V140" s="135">
        <v>15.6</v>
      </c>
      <c r="W140" s="135">
        <v>77.5</v>
      </c>
      <c r="X140" s="131"/>
      <c r="Y140" s="37"/>
      <c r="Z140" s="131"/>
      <c r="AA140" s="12"/>
      <c r="AB140" s="135"/>
      <c r="AC140" s="12"/>
      <c r="AD140" s="12"/>
      <c r="AE140" s="131"/>
      <c r="AF140" s="131"/>
      <c r="AG140" s="131"/>
      <c r="AH140" s="131"/>
      <c r="AI140" s="131"/>
      <c r="AJ140" s="40"/>
      <c r="AK140" s="41"/>
      <c r="AL140" s="455"/>
      <c r="AN140" s="196"/>
    </row>
    <row r="141" spans="1:40" x14ac:dyDescent="0.25">
      <c r="A141" s="385">
        <v>195</v>
      </c>
      <c r="B141" s="131">
        <v>88.48</v>
      </c>
      <c r="C141" s="135">
        <v>73.02</v>
      </c>
      <c r="D141" s="135">
        <v>60.16</v>
      </c>
      <c r="E141" s="155">
        <v>80.12</v>
      </c>
      <c r="F141" s="135">
        <v>95.99</v>
      </c>
      <c r="G141" s="135">
        <v>63.96</v>
      </c>
      <c r="H141" s="135">
        <v>59.75</v>
      </c>
      <c r="I141" s="37"/>
      <c r="J141" s="131">
        <v>77.19</v>
      </c>
      <c r="K141" s="530"/>
      <c r="L141" s="532">
        <v>145.27000000000001</v>
      </c>
      <c r="M141" s="135">
        <v>73.61</v>
      </c>
      <c r="N141" s="135">
        <v>88.58</v>
      </c>
      <c r="O141" s="135">
        <v>78.23</v>
      </c>
      <c r="P141" s="135">
        <v>108.02</v>
      </c>
      <c r="Q141" s="37"/>
      <c r="R141" s="131">
        <v>63.75</v>
      </c>
      <c r="S141" s="135">
        <v>90.34</v>
      </c>
      <c r="T141" s="135">
        <v>77.33</v>
      </c>
      <c r="U141" s="155">
        <v>91.42</v>
      </c>
      <c r="V141" s="135">
        <v>78.95</v>
      </c>
      <c r="W141" s="135">
        <v>69.58</v>
      </c>
      <c r="X141" s="444"/>
      <c r="Y141" s="37"/>
      <c r="Z141" s="131"/>
      <c r="AA141" s="12"/>
      <c r="AB141" s="12"/>
      <c r="AC141" s="12"/>
      <c r="AD141" s="12"/>
      <c r="AE141" s="131"/>
      <c r="AF141" s="131"/>
      <c r="AG141" s="131"/>
      <c r="AH141" s="131"/>
      <c r="AI141" s="131"/>
      <c r="AJ141" s="37"/>
      <c r="AK141" s="38"/>
      <c r="AL141" s="455"/>
      <c r="AN141" s="196"/>
    </row>
    <row r="142" spans="1:40" x14ac:dyDescent="0.25">
      <c r="A142" s="385">
        <v>196</v>
      </c>
      <c r="B142" s="12">
        <v>89.32</v>
      </c>
      <c r="C142" s="155">
        <v>74.5</v>
      </c>
      <c r="D142" s="135">
        <v>91.3</v>
      </c>
      <c r="E142" s="135">
        <v>92.43</v>
      </c>
      <c r="F142" s="135">
        <v>87.57</v>
      </c>
      <c r="G142" s="135">
        <v>92.12</v>
      </c>
      <c r="H142" s="135">
        <v>48.85</v>
      </c>
      <c r="I142" s="37"/>
      <c r="J142" s="530"/>
      <c r="K142" s="530"/>
      <c r="L142" s="135">
        <v>70.349999999999994</v>
      </c>
      <c r="M142" s="135">
        <v>73.209999999999994</v>
      </c>
      <c r="N142" s="135">
        <v>62.53</v>
      </c>
      <c r="O142" s="135">
        <v>69.55</v>
      </c>
      <c r="P142" s="135">
        <v>73.45</v>
      </c>
      <c r="Q142" s="37"/>
      <c r="R142" s="12">
        <v>84.28</v>
      </c>
      <c r="S142" s="155">
        <v>80.88</v>
      </c>
      <c r="T142" s="135">
        <v>84.76</v>
      </c>
      <c r="U142" s="135">
        <v>83.48</v>
      </c>
      <c r="V142" s="135">
        <v>89.43</v>
      </c>
      <c r="W142" s="135">
        <v>72.63</v>
      </c>
      <c r="X142" s="444"/>
      <c r="Y142" s="37"/>
      <c r="Z142" s="131"/>
      <c r="AA142" s="131"/>
      <c r="AB142" s="12"/>
      <c r="AC142" s="12"/>
      <c r="AD142" s="12"/>
      <c r="AE142" s="131"/>
      <c r="AF142" s="131"/>
      <c r="AG142" s="131"/>
      <c r="AH142" s="131"/>
      <c r="AI142" s="131"/>
      <c r="AJ142" s="37"/>
      <c r="AK142" s="38"/>
      <c r="AL142" s="455"/>
      <c r="AN142" s="196"/>
    </row>
    <row r="143" spans="1:40" x14ac:dyDescent="0.25">
      <c r="A143" s="385">
        <v>197</v>
      </c>
      <c r="B143" s="12">
        <v>87.9</v>
      </c>
      <c r="C143" s="155">
        <v>66.47</v>
      </c>
      <c r="D143" s="155">
        <v>77.55</v>
      </c>
      <c r="E143" s="155">
        <v>71.03</v>
      </c>
      <c r="F143" s="135">
        <v>70.36</v>
      </c>
      <c r="G143" s="155">
        <v>52.18</v>
      </c>
      <c r="H143" s="135">
        <v>68.23</v>
      </c>
      <c r="I143" s="37"/>
      <c r="J143" s="12">
        <v>67.099999999999994</v>
      </c>
      <c r="K143" s="135">
        <v>56.92</v>
      </c>
      <c r="L143" s="135">
        <v>52.19</v>
      </c>
      <c r="M143" s="135">
        <v>80.14</v>
      </c>
      <c r="N143" s="135">
        <v>84.16</v>
      </c>
      <c r="O143" s="135">
        <v>60.35</v>
      </c>
      <c r="P143" s="135">
        <v>63.68</v>
      </c>
      <c r="Q143" s="37"/>
      <c r="R143" s="131">
        <v>74.430000000000007</v>
      </c>
      <c r="S143" s="155">
        <v>71.98</v>
      </c>
      <c r="T143" s="155">
        <v>98.74</v>
      </c>
      <c r="U143" s="155">
        <v>69.78</v>
      </c>
      <c r="V143" s="135">
        <v>70.37</v>
      </c>
      <c r="W143" s="155">
        <v>72.48</v>
      </c>
      <c r="X143" s="444"/>
      <c r="Y143" s="37"/>
      <c r="Z143" s="131"/>
      <c r="AA143" s="12"/>
      <c r="AB143" s="12"/>
      <c r="AC143" s="12"/>
      <c r="AD143" s="12"/>
      <c r="AE143" s="131"/>
      <c r="AF143" s="12"/>
      <c r="AG143" s="131"/>
      <c r="AH143" s="131"/>
      <c r="AI143" s="131"/>
      <c r="AJ143" s="37"/>
      <c r="AK143" s="38"/>
      <c r="AL143" s="455"/>
      <c r="AN143" s="196"/>
    </row>
    <row r="144" spans="1:40" x14ac:dyDescent="0.25">
      <c r="A144" s="385">
        <v>198</v>
      </c>
      <c r="B144" s="537"/>
      <c r="C144" s="530"/>
      <c r="D144" s="530"/>
      <c r="E144" s="530"/>
      <c r="F144" s="530"/>
      <c r="G144" s="530"/>
      <c r="H144" s="530"/>
      <c r="I144" s="182" t="s">
        <v>290</v>
      </c>
      <c r="J144" s="537"/>
      <c r="K144" s="530"/>
      <c r="L144" s="530"/>
      <c r="M144" s="531"/>
      <c r="N144" s="135">
        <v>49.47</v>
      </c>
      <c r="O144" s="135">
        <v>59.06</v>
      </c>
      <c r="P144" s="530"/>
      <c r="Q144" s="37"/>
      <c r="R144" s="537"/>
      <c r="S144" s="530"/>
      <c r="T144" s="530"/>
      <c r="U144" s="135">
        <v>25.7</v>
      </c>
      <c r="V144" s="135">
        <v>66.31</v>
      </c>
      <c r="W144" s="135">
        <v>58.21</v>
      </c>
      <c r="X144" s="444"/>
      <c r="Y144" s="37"/>
      <c r="Z144" s="131"/>
      <c r="AA144" s="131"/>
      <c r="AB144" s="12"/>
      <c r="AC144" s="12"/>
      <c r="AD144" s="12"/>
      <c r="AE144" s="131"/>
      <c r="AF144" s="131"/>
      <c r="AG144" s="131"/>
      <c r="AH144" s="131"/>
      <c r="AI144" s="131"/>
      <c r="AJ144" s="37"/>
      <c r="AK144" s="38"/>
      <c r="AL144" s="455"/>
      <c r="AN144" s="196"/>
    </row>
    <row r="145" spans="1:40" x14ac:dyDescent="0.25">
      <c r="A145" s="385">
        <v>199</v>
      </c>
      <c r="B145" s="131">
        <v>75.08</v>
      </c>
      <c r="C145" s="131">
        <v>70.02</v>
      </c>
      <c r="D145" s="12">
        <v>65.97</v>
      </c>
      <c r="E145" s="12">
        <v>73.819999999999993</v>
      </c>
      <c r="F145" s="131">
        <v>78.89</v>
      </c>
      <c r="G145" s="135">
        <v>75.040000000000006</v>
      </c>
      <c r="H145" s="155">
        <v>71.92</v>
      </c>
      <c r="I145" s="37"/>
      <c r="J145" s="131">
        <v>60.35</v>
      </c>
      <c r="K145" s="135">
        <v>83.89</v>
      </c>
      <c r="L145" s="135">
        <v>83.29</v>
      </c>
      <c r="M145" s="135">
        <v>68.06</v>
      </c>
      <c r="N145" s="135">
        <v>61.82</v>
      </c>
      <c r="O145" s="135">
        <v>71.930000000000007</v>
      </c>
      <c r="P145" s="131">
        <v>60.65</v>
      </c>
      <c r="Q145" s="37"/>
      <c r="R145" s="131">
        <v>65.95</v>
      </c>
      <c r="S145" s="155">
        <v>71.88</v>
      </c>
      <c r="T145" s="135">
        <v>80.349999999999994</v>
      </c>
      <c r="U145" s="135">
        <v>79.92</v>
      </c>
      <c r="V145" s="155">
        <v>76.239999999999995</v>
      </c>
      <c r="W145" s="135">
        <v>86.5</v>
      </c>
      <c r="X145" s="131"/>
      <c r="Y145" s="37"/>
      <c r="Z145" s="131"/>
      <c r="AA145" s="131"/>
      <c r="AB145" s="12"/>
      <c r="AC145" s="135"/>
      <c r="AD145" s="135"/>
      <c r="AE145" s="135"/>
      <c r="AF145" s="770"/>
      <c r="AG145" s="131"/>
      <c r="AH145" s="131"/>
      <c r="AI145" s="131"/>
      <c r="AJ145" s="37"/>
      <c r="AK145" s="38"/>
      <c r="AL145" s="455"/>
      <c r="AN145" s="196"/>
    </row>
    <row r="146" spans="1:40" x14ac:dyDescent="0.25">
      <c r="A146" s="385">
        <v>200</v>
      </c>
      <c r="B146" s="537"/>
      <c r="C146" s="537"/>
      <c r="D146" s="537"/>
      <c r="E146" s="537"/>
      <c r="F146" s="537"/>
      <c r="G146" s="778"/>
      <c r="H146" s="594"/>
      <c r="I146" s="182" t="s">
        <v>290</v>
      </c>
      <c r="J146" s="537"/>
      <c r="K146" s="531"/>
      <c r="L146" s="578"/>
      <c r="M146" s="778"/>
      <c r="N146" s="778"/>
      <c r="O146" s="778"/>
      <c r="P146" s="537"/>
      <c r="Q146" s="39" t="s">
        <v>290</v>
      </c>
      <c r="R146" s="671"/>
      <c r="S146" s="594"/>
      <c r="T146" s="778"/>
      <c r="U146" s="594"/>
      <c r="V146" s="594"/>
      <c r="W146" s="594"/>
      <c r="X146" s="537"/>
      <c r="Y146" s="111"/>
      <c r="Z146" s="530"/>
      <c r="AA146" s="530"/>
      <c r="AB146" s="530"/>
      <c r="AC146" s="530"/>
      <c r="AD146" s="530"/>
      <c r="AE146" s="530"/>
      <c r="AF146" s="530"/>
      <c r="AG146" s="530"/>
      <c r="AH146" s="530"/>
      <c r="AI146" s="530"/>
      <c r="AJ146" s="111"/>
      <c r="AK146" s="38"/>
      <c r="AL146" s="455"/>
      <c r="AN146" s="196"/>
    </row>
    <row r="147" spans="1:40" x14ac:dyDescent="0.25">
      <c r="A147" s="385">
        <v>201</v>
      </c>
      <c r="B147" s="12">
        <v>81.77</v>
      </c>
      <c r="C147" s="135">
        <v>80.84</v>
      </c>
      <c r="D147" s="135">
        <v>75.540000000000006</v>
      </c>
      <c r="E147" s="135">
        <v>72.37</v>
      </c>
      <c r="F147" s="155">
        <v>75.650000000000006</v>
      </c>
      <c r="G147" s="135">
        <v>83.13</v>
      </c>
      <c r="H147" s="135">
        <v>88.2</v>
      </c>
      <c r="I147" s="37"/>
      <c r="J147" s="12">
        <v>90.24</v>
      </c>
      <c r="K147" s="135">
        <v>68.400000000000006</v>
      </c>
      <c r="L147" s="135">
        <v>56.09</v>
      </c>
      <c r="M147" s="135">
        <v>83.12</v>
      </c>
      <c r="N147" s="155">
        <v>58.91</v>
      </c>
      <c r="O147" s="135">
        <v>77.180000000000007</v>
      </c>
      <c r="P147" s="131">
        <v>81.010000000000005</v>
      </c>
      <c r="Q147" s="37"/>
      <c r="R147" s="12">
        <v>82.5</v>
      </c>
      <c r="S147" s="135">
        <v>68.099999999999994</v>
      </c>
      <c r="T147" s="135">
        <v>76.569999999999993</v>
      </c>
      <c r="U147" s="135">
        <v>79.37</v>
      </c>
      <c r="V147" s="155">
        <v>81.89</v>
      </c>
      <c r="W147" s="135">
        <v>83.86</v>
      </c>
      <c r="X147" s="131"/>
      <c r="Y147" s="37"/>
      <c r="Z147" s="131"/>
      <c r="AA147" s="131"/>
      <c r="AB147" s="12"/>
      <c r="AC147" s="12"/>
      <c r="AD147" s="12"/>
      <c r="AE147" s="131"/>
      <c r="AF147" s="131"/>
      <c r="AG147" s="131"/>
      <c r="AH147" s="131"/>
      <c r="AI147" s="131"/>
      <c r="AJ147" s="37"/>
      <c r="AK147" s="38"/>
      <c r="AL147" s="455"/>
      <c r="AN147" s="196"/>
    </row>
    <row r="148" spans="1:40" x14ac:dyDescent="0.25">
      <c r="A148" s="385">
        <v>202</v>
      </c>
      <c r="B148" s="135">
        <v>87.68</v>
      </c>
      <c r="C148" s="135">
        <v>74</v>
      </c>
      <c r="D148" s="155">
        <v>62.43</v>
      </c>
      <c r="E148" s="135">
        <v>69.709999999999994</v>
      </c>
      <c r="F148" s="135">
        <v>69.73</v>
      </c>
      <c r="G148" s="135">
        <v>70.069999999999993</v>
      </c>
      <c r="H148" s="135">
        <v>82.3</v>
      </c>
      <c r="I148" s="37"/>
      <c r="J148" s="135">
        <v>60.56</v>
      </c>
      <c r="K148" s="135">
        <v>74.92</v>
      </c>
      <c r="L148" s="135">
        <v>65.47</v>
      </c>
      <c r="M148" s="135">
        <v>58.1</v>
      </c>
      <c r="N148" s="135">
        <v>65.7</v>
      </c>
      <c r="O148" s="135">
        <v>68.56</v>
      </c>
      <c r="P148" s="131">
        <v>55.88</v>
      </c>
      <c r="Q148" s="37"/>
      <c r="R148" s="135">
        <v>64.319999999999993</v>
      </c>
      <c r="S148" s="135">
        <v>24.95</v>
      </c>
      <c r="T148" s="155">
        <v>94.46</v>
      </c>
      <c r="U148" s="135">
        <v>84</v>
      </c>
      <c r="V148" s="530"/>
      <c r="W148" s="135"/>
      <c r="X148" s="573"/>
      <c r="Y148" s="37"/>
      <c r="Z148" s="135"/>
      <c r="AA148" s="135"/>
      <c r="AB148" s="12"/>
      <c r="AC148" s="135"/>
      <c r="AD148" s="12"/>
      <c r="AE148" s="337"/>
      <c r="AF148" s="135"/>
      <c r="AG148" s="131"/>
      <c r="AH148" s="131"/>
      <c r="AI148" s="131"/>
      <c r="AJ148" s="37"/>
      <c r="AK148" s="38"/>
      <c r="AL148" s="455"/>
      <c r="AN148" s="196"/>
    </row>
    <row r="149" spans="1:40" x14ac:dyDescent="0.25">
      <c r="A149" s="385">
        <v>203</v>
      </c>
      <c r="B149" s="537"/>
      <c r="C149" s="155">
        <v>114.81</v>
      </c>
      <c r="D149" s="135">
        <v>94.81</v>
      </c>
      <c r="E149" s="135">
        <v>73.8</v>
      </c>
      <c r="F149" s="135">
        <v>63.25</v>
      </c>
      <c r="G149" s="135">
        <v>60.24</v>
      </c>
      <c r="H149" s="135">
        <v>69.790000000000006</v>
      </c>
      <c r="I149" s="37"/>
      <c r="J149" s="131">
        <v>49.71</v>
      </c>
      <c r="K149" s="135">
        <v>90.76</v>
      </c>
      <c r="L149" s="135">
        <v>98.38</v>
      </c>
      <c r="M149" s="135">
        <v>66.37</v>
      </c>
      <c r="N149" s="135">
        <v>87.78</v>
      </c>
      <c r="O149" s="135">
        <v>79.23</v>
      </c>
      <c r="P149" s="135">
        <v>73.239999999999995</v>
      </c>
      <c r="Q149" s="37"/>
      <c r="R149" s="131">
        <v>65.53</v>
      </c>
      <c r="S149" s="155">
        <v>85.01</v>
      </c>
      <c r="T149" s="135">
        <v>94.91</v>
      </c>
      <c r="U149" s="135">
        <v>68.94</v>
      </c>
      <c r="V149" s="135">
        <v>89.87</v>
      </c>
      <c r="W149" s="135">
        <v>63.91</v>
      </c>
      <c r="X149" s="444"/>
      <c r="Y149" s="37"/>
      <c r="Z149" s="131"/>
      <c r="AA149" s="12"/>
      <c r="AB149" s="12"/>
      <c r="AC149" s="12"/>
      <c r="AD149" s="12"/>
      <c r="AE149" s="131"/>
      <c r="AF149" s="131"/>
      <c r="AG149" s="131"/>
      <c r="AH149" s="131"/>
      <c r="AI149" s="131"/>
      <c r="AJ149" s="37"/>
      <c r="AK149" s="38"/>
      <c r="AL149" s="455"/>
      <c r="AN149" s="196"/>
    </row>
    <row r="150" spans="1:40" x14ac:dyDescent="0.25">
      <c r="A150" s="383">
        <v>204</v>
      </c>
      <c r="B150" s="155">
        <v>88.39</v>
      </c>
      <c r="C150" s="155">
        <v>77.290000000000006</v>
      </c>
      <c r="D150" s="135">
        <v>56.59</v>
      </c>
      <c r="E150" s="135">
        <v>57.76</v>
      </c>
      <c r="F150" s="135">
        <v>103.99</v>
      </c>
      <c r="G150" s="135">
        <v>65.680000000000007</v>
      </c>
      <c r="H150" s="135">
        <v>49.63</v>
      </c>
      <c r="I150" s="37"/>
      <c r="J150" s="155">
        <v>79.040000000000006</v>
      </c>
      <c r="K150" s="135">
        <v>61.47</v>
      </c>
      <c r="L150" s="135">
        <v>115.38</v>
      </c>
      <c r="M150" s="135">
        <v>68.27</v>
      </c>
      <c r="N150" s="135">
        <v>73.73</v>
      </c>
      <c r="O150" s="135">
        <v>44.04</v>
      </c>
      <c r="P150" s="12">
        <v>61.61</v>
      </c>
      <c r="Q150" s="37"/>
      <c r="R150" s="155">
        <v>60.09</v>
      </c>
      <c r="S150" s="155">
        <v>61.49</v>
      </c>
      <c r="T150" s="135">
        <v>96.73</v>
      </c>
      <c r="U150" s="135">
        <v>73.7</v>
      </c>
      <c r="V150" s="135">
        <v>75.63</v>
      </c>
      <c r="W150" s="135">
        <v>75.08</v>
      </c>
      <c r="X150" s="12"/>
      <c r="Y150" s="37"/>
      <c r="Z150" s="131"/>
      <c r="AA150" s="131"/>
      <c r="AB150" s="12"/>
      <c r="AC150" s="12"/>
      <c r="AD150" s="12"/>
      <c r="AE150" s="131"/>
      <c r="AF150" s="131"/>
      <c r="AG150" s="131"/>
      <c r="AH150" s="131"/>
      <c r="AI150" s="131"/>
      <c r="AJ150" s="37"/>
      <c r="AK150" s="38"/>
      <c r="AL150" s="456" t="s">
        <v>252</v>
      </c>
      <c r="AN150" s="196"/>
    </row>
    <row r="151" spans="1:40" x14ac:dyDescent="0.25">
      <c r="A151" s="383">
        <v>205</v>
      </c>
      <c r="B151" s="155">
        <v>94.75</v>
      </c>
      <c r="C151" s="135">
        <v>92.66</v>
      </c>
      <c r="D151" s="135">
        <v>79.400000000000006</v>
      </c>
      <c r="E151" s="135">
        <v>89.01</v>
      </c>
      <c r="F151" s="135">
        <v>115</v>
      </c>
      <c r="G151" s="135">
        <v>70.349999999999994</v>
      </c>
      <c r="H151" s="135">
        <v>75.95</v>
      </c>
      <c r="I151" s="37"/>
      <c r="J151" s="135">
        <v>91.2</v>
      </c>
      <c r="K151" s="135">
        <v>105.18</v>
      </c>
      <c r="L151" s="135">
        <v>77.98</v>
      </c>
      <c r="M151" s="532">
        <v>122.93</v>
      </c>
      <c r="N151" s="135">
        <v>53.87</v>
      </c>
      <c r="O151" s="532">
        <v>124.65</v>
      </c>
      <c r="P151" s="135">
        <v>88.72</v>
      </c>
      <c r="Q151" s="37"/>
      <c r="R151" s="155">
        <v>95.75</v>
      </c>
      <c r="S151" s="530"/>
      <c r="T151" s="530"/>
      <c r="U151" s="532">
        <v>182.86</v>
      </c>
      <c r="V151" s="135">
        <v>87.98</v>
      </c>
      <c r="W151" s="135">
        <v>78.73</v>
      </c>
      <c r="X151" s="444"/>
      <c r="Y151" s="37"/>
      <c r="Z151" s="131"/>
      <c r="AA151" s="131"/>
      <c r="AB151" s="12"/>
      <c r="AC151" s="12"/>
      <c r="AD151" s="12"/>
      <c r="AE151" s="131"/>
      <c r="AF151" s="131"/>
      <c r="AG151" s="131"/>
      <c r="AH151" s="131"/>
      <c r="AI151" s="131"/>
      <c r="AJ151" s="37"/>
      <c r="AK151" s="38"/>
      <c r="AL151" s="372"/>
      <c r="AN151" s="196"/>
    </row>
    <row r="152" spans="1:40" x14ac:dyDescent="0.25">
      <c r="A152" s="383">
        <v>206</v>
      </c>
      <c r="B152" s="12">
        <v>83</v>
      </c>
      <c r="C152" s="135">
        <v>65.19</v>
      </c>
      <c r="D152" s="135">
        <v>92.94</v>
      </c>
      <c r="E152" s="155">
        <v>85.34</v>
      </c>
      <c r="F152" s="135">
        <v>87.5</v>
      </c>
      <c r="G152" s="135">
        <v>77.78</v>
      </c>
      <c r="H152" s="155">
        <v>63.77</v>
      </c>
      <c r="I152" s="37"/>
      <c r="J152" s="131">
        <v>66.59</v>
      </c>
      <c r="K152" s="135">
        <v>108.37</v>
      </c>
      <c r="L152" s="135">
        <v>90.95</v>
      </c>
      <c r="M152" s="155">
        <v>82.32</v>
      </c>
      <c r="N152" s="135">
        <v>84.32</v>
      </c>
      <c r="O152" s="135">
        <v>77.92</v>
      </c>
      <c r="P152" s="131">
        <v>112.59</v>
      </c>
      <c r="Q152" s="37"/>
      <c r="R152" s="131">
        <v>90.76</v>
      </c>
      <c r="S152" s="135">
        <v>81.790000000000006</v>
      </c>
      <c r="T152" s="135">
        <v>75.319999999999993</v>
      </c>
      <c r="U152" s="155">
        <v>73.84</v>
      </c>
      <c r="V152" s="135">
        <v>102.87</v>
      </c>
      <c r="W152" s="135">
        <v>79.099999999999994</v>
      </c>
      <c r="X152" s="131"/>
      <c r="Y152" s="37"/>
      <c r="Z152" s="12"/>
      <c r="AA152" s="131"/>
      <c r="AB152" s="12"/>
      <c r="AC152" s="12"/>
      <c r="AD152" s="12"/>
      <c r="AE152" s="131"/>
      <c r="AF152" s="12"/>
      <c r="AG152" s="131"/>
      <c r="AH152" s="131"/>
      <c r="AI152" s="131"/>
      <c r="AJ152" s="37"/>
      <c r="AK152" s="38"/>
      <c r="AL152" s="372"/>
      <c r="AN152" s="196"/>
    </row>
    <row r="153" spans="1:40" x14ac:dyDescent="0.25">
      <c r="A153" s="383">
        <v>207</v>
      </c>
      <c r="B153" s="135">
        <v>73.7</v>
      </c>
      <c r="C153" s="702">
        <v>80.83</v>
      </c>
      <c r="D153" s="155">
        <v>78.95</v>
      </c>
      <c r="E153" s="135">
        <v>81.97</v>
      </c>
      <c r="F153" s="135">
        <v>96.67</v>
      </c>
      <c r="G153" s="135">
        <v>73.260000000000005</v>
      </c>
      <c r="H153" s="155">
        <v>62.75</v>
      </c>
      <c r="I153" s="37"/>
      <c r="J153" s="155">
        <v>67.73</v>
      </c>
      <c r="K153" s="135">
        <v>107.88</v>
      </c>
      <c r="L153" s="135">
        <v>67.81</v>
      </c>
      <c r="M153" s="135">
        <v>83.88</v>
      </c>
      <c r="N153" s="135">
        <v>64.13</v>
      </c>
      <c r="O153" s="135">
        <v>95.62</v>
      </c>
      <c r="P153" s="131">
        <v>69.56</v>
      </c>
      <c r="Q153" s="37"/>
      <c r="R153" s="155">
        <v>65.39</v>
      </c>
      <c r="S153" s="155">
        <v>71.78</v>
      </c>
      <c r="T153" s="155">
        <v>105.64</v>
      </c>
      <c r="U153" s="135">
        <v>95.1</v>
      </c>
      <c r="V153" s="135">
        <v>95.87</v>
      </c>
      <c r="W153" s="135">
        <v>85.5</v>
      </c>
      <c r="X153" s="131"/>
      <c r="Y153" s="37"/>
      <c r="Z153" s="131"/>
      <c r="AA153" s="131"/>
      <c r="AB153" s="12"/>
      <c r="AC153" s="12"/>
      <c r="AD153" s="12"/>
      <c r="AE153" s="131"/>
      <c r="AF153" s="131"/>
      <c r="AG153" s="131"/>
      <c r="AH153" s="131"/>
      <c r="AI153" s="131"/>
      <c r="AJ153" s="37"/>
      <c r="AK153" s="38"/>
      <c r="AL153" s="372"/>
      <c r="AN153" s="196"/>
    </row>
    <row r="154" spans="1:40" x14ac:dyDescent="0.25">
      <c r="A154" s="383">
        <v>208</v>
      </c>
      <c r="B154" s="131">
        <v>81.13</v>
      </c>
      <c r="C154" s="135">
        <v>60.6</v>
      </c>
      <c r="D154" s="155">
        <v>66.06</v>
      </c>
      <c r="E154" s="135">
        <v>73.62</v>
      </c>
      <c r="F154" s="155">
        <v>84.02</v>
      </c>
      <c r="G154" s="131">
        <v>58.53</v>
      </c>
      <c r="H154" s="135">
        <v>54.4</v>
      </c>
      <c r="I154" s="37"/>
      <c r="J154" s="12">
        <v>72.7</v>
      </c>
      <c r="K154" s="135">
        <v>69.989999999999995</v>
      </c>
      <c r="L154" s="135">
        <v>76.52</v>
      </c>
      <c r="M154" s="135">
        <v>52.82</v>
      </c>
      <c r="N154" s="155">
        <v>41.23</v>
      </c>
      <c r="O154" s="155">
        <v>90.27</v>
      </c>
      <c r="P154" s="131">
        <v>88.66</v>
      </c>
      <c r="Q154" s="37"/>
      <c r="R154" s="12">
        <v>69.2</v>
      </c>
      <c r="S154" s="135">
        <v>84.36</v>
      </c>
      <c r="T154" s="155">
        <v>72.680000000000007</v>
      </c>
      <c r="U154" s="135">
        <v>68.44</v>
      </c>
      <c r="V154" s="155">
        <v>102.21</v>
      </c>
      <c r="W154" s="155">
        <v>52.85</v>
      </c>
      <c r="X154" s="131"/>
      <c r="Y154" s="37"/>
      <c r="Z154" s="131"/>
      <c r="AA154" s="131"/>
      <c r="AB154" s="12"/>
      <c r="AC154" s="12"/>
      <c r="AD154" s="12"/>
      <c r="AE154" s="131"/>
      <c r="AF154" s="131"/>
      <c r="AG154" s="131"/>
      <c r="AH154" s="131"/>
      <c r="AI154" s="131"/>
      <c r="AJ154" s="37"/>
      <c r="AK154" s="38"/>
      <c r="AL154" s="372"/>
      <c r="AN154" s="196"/>
    </row>
    <row r="155" spans="1:40" x14ac:dyDescent="0.25">
      <c r="A155" s="383">
        <v>209</v>
      </c>
      <c r="B155" s="155">
        <v>114.97</v>
      </c>
      <c r="C155" s="155">
        <v>155.32</v>
      </c>
      <c r="D155" s="135">
        <v>105.23</v>
      </c>
      <c r="E155" s="135">
        <v>89.67</v>
      </c>
      <c r="F155" s="135">
        <v>105.4</v>
      </c>
      <c r="G155" s="135">
        <v>76.81</v>
      </c>
      <c r="H155" s="135">
        <v>86.61</v>
      </c>
      <c r="I155" s="37"/>
      <c r="J155" s="155">
        <v>88.08</v>
      </c>
      <c r="K155" s="135">
        <v>101.42</v>
      </c>
      <c r="L155" s="135">
        <v>74.430000000000007</v>
      </c>
      <c r="M155" s="135">
        <v>116.42</v>
      </c>
      <c r="N155" s="135">
        <v>95.78</v>
      </c>
      <c r="O155" s="135">
        <v>83.23</v>
      </c>
      <c r="P155" s="135">
        <v>98.54</v>
      </c>
      <c r="Q155" s="37"/>
      <c r="R155" s="135">
        <v>82</v>
      </c>
      <c r="S155" s="155">
        <v>93.71</v>
      </c>
      <c r="T155" s="135">
        <v>105.94</v>
      </c>
      <c r="U155" s="135">
        <v>99.23</v>
      </c>
      <c r="V155" s="135">
        <v>87.5</v>
      </c>
      <c r="W155" s="135">
        <v>109.24</v>
      </c>
      <c r="X155" s="444"/>
      <c r="Y155" s="37"/>
      <c r="Z155" s="131"/>
      <c r="AA155" s="131"/>
      <c r="AB155" s="12"/>
      <c r="AC155" s="12"/>
      <c r="AD155" s="135"/>
      <c r="AE155" s="444"/>
      <c r="AF155" s="131"/>
      <c r="AG155" s="131"/>
      <c r="AH155" s="131"/>
      <c r="AI155" s="131"/>
      <c r="AJ155" s="37"/>
      <c r="AK155" s="38"/>
      <c r="AL155" s="372"/>
      <c r="AN155" s="196"/>
    </row>
    <row r="156" spans="1:40" x14ac:dyDescent="0.25">
      <c r="A156" s="383">
        <v>210</v>
      </c>
      <c r="B156" s="131">
        <v>109.38</v>
      </c>
      <c r="C156" s="135">
        <v>75.03</v>
      </c>
      <c r="D156" s="135">
        <v>73.66</v>
      </c>
      <c r="E156" s="135">
        <v>84.61</v>
      </c>
      <c r="F156" s="135">
        <v>78.91</v>
      </c>
      <c r="G156" s="135">
        <v>99.11</v>
      </c>
      <c r="H156" s="135">
        <v>73.58</v>
      </c>
      <c r="I156" s="37"/>
      <c r="J156" s="131">
        <v>59.11</v>
      </c>
      <c r="K156" s="135">
        <v>89.65</v>
      </c>
      <c r="L156" s="135">
        <v>43.18</v>
      </c>
      <c r="M156" s="135">
        <v>72.430000000000007</v>
      </c>
      <c r="N156" s="135">
        <v>66.430000000000007</v>
      </c>
      <c r="O156" s="135">
        <v>101.69</v>
      </c>
      <c r="P156" s="135">
        <v>71.75</v>
      </c>
      <c r="Q156" s="37"/>
      <c r="R156" s="12">
        <v>55.3</v>
      </c>
      <c r="S156" s="135">
        <v>89.79</v>
      </c>
      <c r="T156" s="135">
        <v>95</v>
      </c>
      <c r="U156" s="135">
        <v>74.88</v>
      </c>
      <c r="V156" s="135">
        <v>28.95</v>
      </c>
      <c r="W156" s="135"/>
      <c r="X156" s="444"/>
      <c r="Y156" s="37"/>
      <c r="Z156" s="131"/>
      <c r="AA156" s="131"/>
      <c r="AB156" s="12"/>
      <c r="AC156" s="12"/>
      <c r="AD156" s="12"/>
      <c r="AE156" s="12"/>
      <c r="AF156" s="131"/>
      <c r="AG156" s="131"/>
      <c r="AH156" s="131"/>
      <c r="AI156" s="131"/>
      <c r="AJ156" s="37"/>
      <c r="AK156" s="38"/>
      <c r="AL156" s="372"/>
      <c r="AN156" s="196"/>
    </row>
    <row r="157" spans="1:40" x14ac:dyDescent="0.25">
      <c r="A157" s="383">
        <v>211</v>
      </c>
      <c r="B157" s="155">
        <v>111.95</v>
      </c>
      <c r="C157" s="155">
        <v>60.5</v>
      </c>
      <c r="D157" s="135">
        <v>70.81</v>
      </c>
      <c r="E157" s="135">
        <v>82.74</v>
      </c>
      <c r="F157" s="155">
        <v>87.85</v>
      </c>
      <c r="G157" s="135">
        <v>62.41</v>
      </c>
      <c r="H157" s="533">
        <v>65.099999999999994</v>
      </c>
      <c r="I157" s="37"/>
      <c r="J157" s="155">
        <v>55.68</v>
      </c>
      <c r="K157" s="532">
        <v>123.56</v>
      </c>
      <c r="L157" s="135">
        <v>70.489999999999995</v>
      </c>
      <c r="M157" s="532">
        <v>185.5</v>
      </c>
      <c r="N157" s="155">
        <v>70.64</v>
      </c>
      <c r="O157" s="135">
        <v>93.78</v>
      </c>
      <c r="P157" s="131">
        <v>77.31</v>
      </c>
      <c r="Q157" s="37"/>
      <c r="R157" s="155">
        <v>80.040000000000006</v>
      </c>
      <c r="S157" s="155">
        <v>76.56</v>
      </c>
      <c r="T157" s="135">
        <v>66.52</v>
      </c>
      <c r="U157" s="135">
        <v>104.3</v>
      </c>
      <c r="V157" s="155">
        <v>64.62</v>
      </c>
      <c r="W157" s="135">
        <v>71.2</v>
      </c>
      <c r="X157" s="131"/>
      <c r="Y157" s="37"/>
      <c r="Z157" s="131"/>
      <c r="AA157" s="12"/>
      <c r="AB157" s="12"/>
      <c r="AC157" s="12"/>
      <c r="AD157" s="12"/>
      <c r="AE157" s="131"/>
      <c r="AF157" s="12"/>
      <c r="AG157" s="131"/>
      <c r="AH157" s="131"/>
      <c r="AI157" s="131"/>
      <c r="AJ157" s="37"/>
      <c r="AK157" s="38"/>
      <c r="AL157" s="372"/>
      <c r="AN157" s="196"/>
    </row>
    <row r="158" spans="1:40" x14ac:dyDescent="0.25">
      <c r="A158" s="383">
        <v>212</v>
      </c>
      <c r="B158" s="135">
        <v>93.72</v>
      </c>
      <c r="C158" s="155">
        <v>116.22</v>
      </c>
      <c r="D158" s="702">
        <v>90.69</v>
      </c>
      <c r="E158" s="155">
        <v>90.13</v>
      </c>
      <c r="F158" s="155">
        <v>82.26</v>
      </c>
      <c r="G158" s="12">
        <v>82.2</v>
      </c>
      <c r="H158" s="135">
        <v>56.64</v>
      </c>
      <c r="I158" s="37"/>
      <c r="J158" s="135">
        <v>74.930000000000007</v>
      </c>
      <c r="K158" s="135">
        <v>93.07</v>
      </c>
      <c r="L158" s="135">
        <v>102.69</v>
      </c>
      <c r="M158" s="537"/>
      <c r="N158" s="548">
        <v>159.94999999999999</v>
      </c>
      <c r="O158" s="155">
        <v>87.07</v>
      </c>
      <c r="P158" s="135">
        <v>78.45</v>
      </c>
      <c r="Q158" s="37"/>
      <c r="R158" s="135">
        <v>87.61</v>
      </c>
      <c r="S158" s="135">
        <v>84.2</v>
      </c>
      <c r="T158" s="155">
        <v>88.46</v>
      </c>
      <c r="U158" s="135">
        <v>117</v>
      </c>
      <c r="V158" s="155">
        <v>115.22</v>
      </c>
      <c r="W158" s="155">
        <v>86.34</v>
      </c>
      <c r="X158" s="444"/>
      <c r="Y158" s="37"/>
      <c r="Z158" s="131"/>
      <c r="AA158" s="131"/>
      <c r="AB158" s="12"/>
      <c r="AC158" s="12"/>
      <c r="AD158" s="12"/>
      <c r="AE158" s="131"/>
      <c r="AF158" s="131"/>
      <c r="AG158" s="131"/>
      <c r="AH158" s="131"/>
      <c r="AI158" s="131"/>
      <c r="AJ158" s="37"/>
      <c r="AK158" s="38"/>
      <c r="AL158" s="372"/>
      <c r="AN158" s="196"/>
    </row>
    <row r="159" spans="1:40" ht="15.75" x14ac:dyDescent="0.25">
      <c r="A159" s="383">
        <v>213</v>
      </c>
      <c r="B159" s="135">
        <v>81.84</v>
      </c>
      <c r="C159" s="135">
        <v>82.57</v>
      </c>
      <c r="D159" s="135">
        <v>95.5</v>
      </c>
      <c r="E159" s="135">
        <v>62.25</v>
      </c>
      <c r="F159" s="155">
        <v>78.11</v>
      </c>
      <c r="G159" s="135">
        <v>74.25</v>
      </c>
      <c r="H159" s="135">
        <v>82.11</v>
      </c>
      <c r="I159" s="37"/>
      <c r="J159" s="135">
        <v>97.6</v>
      </c>
      <c r="K159" s="135">
        <v>95.06</v>
      </c>
      <c r="L159" s="135">
        <v>54.84</v>
      </c>
      <c r="M159" s="532">
        <v>169.59</v>
      </c>
      <c r="N159" s="155">
        <v>63.71</v>
      </c>
      <c r="O159" s="135">
        <v>85.83</v>
      </c>
      <c r="P159" s="135">
        <v>86.65</v>
      </c>
      <c r="Q159" s="37"/>
      <c r="R159" s="135">
        <v>85.99</v>
      </c>
      <c r="S159" s="135">
        <v>85.45</v>
      </c>
      <c r="T159" s="135">
        <v>91.93</v>
      </c>
      <c r="U159" s="135">
        <v>88.98</v>
      </c>
      <c r="V159" s="155">
        <v>117.33</v>
      </c>
      <c r="W159" s="135">
        <v>72.540000000000006</v>
      </c>
      <c r="X159" s="444"/>
      <c r="Y159" s="37"/>
      <c r="Z159" s="12"/>
      <c r="AA159" s="131"/>
      <c r="AB159" s="12"/>
      <c r="AC159" s="12"/>
      <c r="AD159" s="12"/>
      <c r="AE159" s="131"/>
      <c r="AF159" s="131"/>
      <c r="AG159" s="131"/>
      <c r="AH159" s="131"/>
      <c r="AI159" s="131"/>
      <c r="AJ159" s="37"/>
      <c r="AK159" s="648">
        <v>41269.31</v>
      </c>
      <c r="AL159" s="372"/>
      <c r="AN159" s="196"/>
    </row>
    <row r="160" spans="1:40" ht="15.75" x14ac:dyDescent="0.25">
      <c r="A160" s="383">
        <v>214</v>
      </c>
      <c r="B160" s="131">
        <v>64.87</v>
      </c>
      <c r="C160" s="135">
        <v>95.52</v>
      </c>
      <c r="D160" s="135">
        <v>69.87</v>
      </c>
      <c r="E160" s="135">
        <v>75.27</v>
      </c>
      <c r="F160" s="135">
        <v>92.9</v>
      </c>
      <c r="G160" s="135">
        <v>58.53</v>
      </c>
      <c r="H160" s="532">
        <v>123.55</v>
      </c>
      <c r="I160" s="37"/>
      <c r="J160" s="131">
        <v>52.38</v>
      </c>
      <c r="K160" s="135">
        <v>54.95</v>
      </c>
      <c r="L160" s="135">
        <v>83.04</v>
      </c>
      <c r="M160" s="135">
        <v>70.36</v>
      </c>
      <c r="N160" s="135">
        <v>61.98</v>
      </c>
      <c r="O160" s="135">
        <v>82.03</v>
      </c>
      <c r="P160" s="135">
        <v>83.02</v>
      </c>
      <c r="Q160" s="37"/>
      <c r="R160" s="131">
        <v>91.22</v>
      </c>
      <c r="S160" s="135">
        <v>106</v>
      </c>
      <c r="T160" s="135">
        <v>91.83</v>
      </c>
      <c r="U160" s="135">
        <v>81.69</v>
      </c>
      <c r="V160" s="135">
        <v>106.15</v>
      </c>
      <c r="W160" s="135">
        <v>68.13</v>
      </c>
      <c r="X160" s="444"/>
      <c r="Y160" s="37"/>
      <c r="Z160" s="131"/>
      <c r="AA160" s="131"/>
      <c r="AB160" s="12"/>
      <c r="AC160" s="12"/>
      <c r="AD160" s="12"/>
      <c r="AE160" s="131"/>
      <c r="AF160" s="131"/>
      <c r="AG160" s="131"/>
      <c r="AH160" s="131"/>
      <c r="AI160" s="131"/>
      <c r="AJ160" s="37"/>
      <c r="AK160" s="648">
        <v>42273.54</v>
      </c>
      <c r="AL160" s="372"/>
      <c r="AN160" s="196"/>
    </row>
    <row r="161" spans="1:40" ht="18.75" x14ac:dyDescent="0.3">
      <c r="A161" s="383">
        <v>215</v>
      </c>
      <c r="B161" s="131">
        <v>90.93</v>
      </c>
      <c r="C161" s="135">
        <v>67.14</v>
      </c>
      <c r="D161" s="135">
        <v>67.069999999999993</v>
      </c>
      <c r="E161" s="135">
        <v>83.47</v>
      </c>
      <c r="F161" s="155">
        <v>90.04</v>
      </c>
      <c r="G161" s="135">
        <v>88.69</v>
      </c>
      <c r="H161" s="135">
        <v>76.16</v>
      </c>
      <c r="I161" s="37"/>
      <c r="J161" s="131">
        <v>60.96</v>
      </c>
      <c r="K161" s="135">
        <v>92.99</v>
      </c>
      <c r="L161" s="135">
        <v>91.87</v>
      </c>
      <c r="M161" s="135">
        <v>111.29</v>
      </c>
      <c r="N161" s="155">
        <v>60.21</v>
      </c>
      <c r="O161" s="135">
        <v>88.65</v>
      </c>
      <c r="P161" s="135">
        <v>84.79</v>
      </c>
      <c r="Q161" s="37"/>
      <c r="R161" s="131">
        <v>62.19</v>
      </c>
      <c r="S161" s="135">
        <v>70.31</v>
      </c>
      <c r="T161" s="135">
        <v>95.76</v>
      </c>
      <c r="U161" s="135">
        <v>95.85</v>
      </c>
      <c r="V161" s="135">
        <v>99.4</v>
      </c>
      <c r="W161" s="135">
        <v>57.4</v>
      </c>
      <c r="X161" s="444"/>
      <c r="Y161" s="37"/>
      <c r="Z161" s="131"/>
      <c r="AA161" s="12"/>
      <c r="AB161" s="12"/>
      <c r="AC161" s="12"/>
      <c r="AD161" s="12"/>
      <c r="AE161" s="131"/>
      <c r="AF161" s="131"/>
      <c r="AG161" s="131"/>
      <c r="AH161" s="131"/>
      <c r="AI161" s="131"/>
      <c r="AJ161" s="37"/>
      <c r="AK161" s="339"/>
      <c r="AL161" s="372"/>
      <c r="AN161" s="196"/>
    </row>
    <row r="162" spans="1:40" ht="15.75" thickBot="1" x14ac:dyDescent="0.3">
      <c r="A162" s="384">
        <v>216</v>
      </c>
      <c r="B162" s="152">
        <v>85.97</v>
      </c>
      <c r="C162" s="171">
        <v>54.37</v>
      </c>
      <c r="D162" s="175">
        <v>51.53</v>
      </c>
      <c r="E162" s="175">
        <v>81.17</v>
      </c>
      <c r="F162" s="175">
        <v>64.31</v>
      </c>
      <c r="G162" s="131">
        <v>62.44</v>
      </c>
      <c r="H162" s="175">
        <v>74.900000000000006</v>
      </c>
      <c r="I162" s="43"/>
      <c r="J162" s="152">
        <v>91.04</v>
      </c>
      <c r="K162" s="576"/>
      <c r="L162" s="175">
        <v>71.14</v>
      </c>
      <c r="M162" s="175">
        <v>111.26</v>
      </c>
      <c r="N162" s="175">
        <v>68.37</v>
      </c>
      <c r="O162" s="135">
        <v>67.400000000000006</v>
      </c>
      <c r="P162" s="175">
        <v>54.89</v>
      </c>
      <c r="Q162" s="43"/>
      <c r="R162" s="152">
        <v>65.709999999999994</v>
      </c>
      <c r="S162" s="171">
        <v>55.21</v>
      </c>
      <c r="T162" s="175">
        <v>81.45</v>
      </c>
      <c r="U162" s="175">
        <v>72.22</v>
      </c>
      <c r="V162" s="175">
        <v>88.42</v>
      </c>
      <c r="W162" s="155">
        <v>52.59</v>
      </c>
      <c r="X162" s="771"/>
      <c r="Y162" s="43"/>
      <c r="Z162" s="135"/>
      <c r="AA162" s="152"/>
      <c r="AB162" s="153"/>
      <c r="AC162" s="153"/>
      <c r="AD162" s="153"/>
      <c r="AE162" s="152"/>
      <c r="AF162" s="152"/>
      <c r="AG162" s="152"/>
      <c r="AH162" s="152"/>
      <c r="AI162" s="152"/>
      <c r="AJ162" s="43"/>
      <c r="AK162" s="44"/>
      <c r="AL162" s="457"/>
      <c r="AN162" s="196"/>
    </row>
    <row r="163" spans="1:40" ht="18.75" x14ac:dyDescent="0.3">
      <c r="A163" s="281" t="s">
        <v>2</v>
      </c>
      <c r="B163" s="163">
        <f t="shared" ref="B163:H163" si="3">SUM(B70:B162)</f>
        <v>6596.6100000000006</v>
      </c>
      <c r="C163" s="163">
        <f t="shared" si="3"/>
        <v>5827.75</v>
      </c>
      <c r="D163" s="163">
        <f t="shared" si="3"/>
        <v>5929.5499999999993</v>
      </c>
      <c r="E163" s="163">
        <f>SUM(E70:E162)</f>
        <v>5633.4400000000023</v>
      </c>
      <c r="F163" s="163">
        <f t="shared" si="3"/>
        <v>6061.1100000000006</v>
      </c>
      <c r="G163" s="163">
        <f t="shared" si="3"/>
        <v>5560.0999999999976</v>
      </c>
      <c r="H163" s="163">
        <f t="shared" si="3"/>
        <v>5660.7499999999991</v>
      </c>
      <c r="I163" s="158">
        <f>SUM(B163:H163)</f>
        <v>41269.31</v>
      </c>
      <c r="J163" s="163">
        <f t="shared" ref="J163:P163" si="4">SUM(J70:J162)</f>
        <v>5680.0100000000011</v>
      </c>
      <c r="K163" s="163">
        <f t="shared" si="4"/>
        <v>6366.7099999999991</v>
      </c>
      <c r="L163" s="163">
        <f t="shared" si="4"/>
        <v>6110.93</v>
      </c>
      <c r="M163" s="163">
        <f t="shared" si="4"/>
        <v>6387.8700000000017</v>
      </c>
      <c r="N163" s="163">
        <f t="shared" si="4"/>
        <v>5702.8799999999974</v>
      </c>
      <c r="O163" s="163">
        <f t="shared" si="4"/>
        <v>6388.8199999999988</v>
      </c>
      <c r="P163" s="163">
        <f t="shared" si="4"/>
        <v>5722.0300000000016</v>
      </c>
      <c r="Q163" s="221">
        <f>SUM(J163:P163)</f>
        <v>42359.25</v>
      </c>
      <c r="R163" s="163">
        <f t="shared" ref="R163:X163" si="5">SUM(R70:R162)</f>
        <v>5841.6100000000006</v>
      </c>
      <c r="S163" s="163">
        <f t="shared" si="5"/>
        <v>5804.04</v>
      </c>
      <c r="T163" s="163">
        <f t="shared" si="5"/>
        <v>6475.159999999998</v>
      </c>
      <c r="U163" s="163">
        <f t="shared" si="5"/>
        <v>6194.1899999999978</v>
      </c>
      <c r="V163" s="163">
        <f t="shared" si="5"/>
        <v>6735.6599999999989</v>
      </c>
      <c r="W163" s="163">
        <f t="shared" si="5"/>
        <v>5857.45</v>
      </c>
      <c r="X163" s="163">
        <f t="shared" si="5"/>
        <v>0</v>
      </c>
      <c r="Y163" s="221">
        <f>SUM(R163:X163)</f>
        <v>36908.109999999993</v>
      </c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262"/>
      <c r="AK163" s="696">
        <f>SUM(AK159:AK162)</f>
        <v>83542.850000000006</v>
      </c>
      <c r="AL163" s="235"/>
      <c r="AN163" s="196"/>
    </row>
    <row r="164" spans="1:40" ht="15.75" thickBot="1" x14ac:dyDescent="0.3">
      <c r="A164" s="264"/>
      <c r="B164" s="265" t="s">
        <v>318</v>
      </c>
      <c r="C164" s="265" t="s">
        <v>323</v>
      </c>
      <c r="D164" s="265" t="s">
        <v>324</v>
      </c>
      <c r="E164" s="265" t="s">
        <v>318</v>
      </c>
      <c r="F164" s="265" t="s">
        <v>323</v>
      </c>
      <c r="G164" s="265" t="s">
        <v>324</v>
      </c>
      <c r="H164" s="265" t="s">
        <v>317</v>
      </c>
      <c r="I164" s="56"/>
      <c r="J164" s="265" t="s">
        <v>320</v>
      </c>
      <c r="K164" s="265" t="s">
        <v>318</v>
      </c>
      <c r="L164" s="265" t="s">
        <v>324</v>
      </c>
      <c r="M164" s="265" t="s">
        <v>320</v>
      </c>
      <c r="N164" s="265" t="s">
        <v>321</v>
      </c>
      <c r="O164" s="265" t="s">
        <v>317</v>
      </c>
      <c r="P164" s="265" t="s">
        <v>321</v>
      </c>
      <c r="Q164" s="56"/>
      <c r="R164" s="265" t="s">
        <v>324</v>
      </c>
      <c r="S164" s="265" t="s">
        <v>321</v>
      </c>
      <c r="T164" s="265" t="s">
        <v>317</v>
      </c>
      <c r="U164" s="265" t="s">
        <v>320</v>
      </c>
      <c r="V164" s="265" t="s">
        <v>320</v>
      </c>
      <c r="W164" s="265" t="s">
        <v>324</v>
      </c>
      <c r="X164" s="265" t="s">
        <v>438</v>
      </c>
      <c r="Y164" s="56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56"/>
      <c r="AK164" s="225"/>
      <c r="AL164" s="228"/>
      <c r="AN164" s="196"/>
    </row>
    <row r="165" spans="1:40" ht="24" thickBot="1" x14ac:dyDescent="0.4">
      <c r="A165" s="252" t="s">
        <v>170</v>
      </c>
      <c r="B165" s="258"/>
      <c r="C165" s="258"/>
      <c r="D165" s="258"/>
      <c r="E165" s="258"/>
      <c r="F165" s="258"/>
      <c r="G165" s="254"/>
      <c r="H165" s="254"/>
      <c r="I165" s="259"/>
      <c r="J165" s="259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60"/>
      <c r="AK165" s="261"/>
      <c r="AL165" s="255"/>
      <c r="AN165" s="196"/>
    </row>
    <row r="166" spans="1:40" ht="15.75" x14ac:dyDescent="0.25">
      <c r="A166" s="320" t="s">
        <v>8</v>
      </c>
      <c r="B166" s="322">
        <v>1</v>
      </c>
      <c r="C166" s="322">
        <v>2</v>
      </c>
      <c r="D166" s="322">
        <v>3</v>
      </c>
      <c r="E166" s="322">
        <v>4</v>
      </c>
      <c r="F166" s="322">
        <v>5</v>
      </c>
      <c r="G166" s="322">
        <v>6</v>
      </c>
      <c r="H166" s="322">
        <v>7</v>
      </c>
      <c r="I166" s="323" t="s">
        <v>6</v>
      </c>
      <c r="J166" s="322">
        <v>8</v>
      </c>
      <c r="K166" s="322">
        <v>9</v>
      </c>
      <c r="L166" s="322">
        <v>10</v>
      </c>
      <c r="M166" s="322">
        <v>11</v>
      </c>
      <c r="N166" s="322">
        <v>12</v>
      </c>
      <c r="O166" s="322">
        <v>13</v>
      </c>
      <c r="P166" s="322">
        <v>14</v>
      </c>
      <c r="Q166" s="323" t="s">
        <v>6</v>
      </c>
      <c r="R166" s="322">
        <v>15</v>
      </c>
      <c r="S166" s="322">
        <v>16</v>
      </c>
      <c r="T166" s="322">
        <v>17</v>
      </c>
      <c r="U166" s="322">
        <v>18</v>
      </c>
      <c r="V166" s="322">
        <v>19</v>
      </c>
      <c r="W166" s="322">
        <v>20</v>
      </c>
      <c r="X166" s="322">
        <v>21</v>
      </c>
      <c r="Y166" s="323" t="s">
        <v>6</v>
      </c>
      <c r="Z166" s="322">
        <v>22</v>
      </c>
      <c r="AA166" s="322">
        <v>23</v>
      </c>
      <c r="AB166" s="322">
        <v>24</v>
      </c>
      <c r="AC166" s="322">
        <v>25</v>
      </c>
      <c r="AD166" s="322">
        <v>26</v>
      </c>
      <c r="AE166" s="322">
        <v>27</v>
      </c>
      <c r="AF166" s="322">
        <v>28</v>
      </c>
      <c r="AG166" s="322">
        <v>29</v>
      </c>
      <c r="AH166" s="322">
        <v>30</v>
      </c>
      <c r="AI166" s="322">
        <v>31</v>
      </c>
      <c r="AJ166" s="324" t="s">
        <v>6</v>
      </c>
      <c r="AK166" s="325" t="s">
        <v>0</v>
      </c>
      <c r="AL166" s="395" t="s">
        <v>42</v>
      </c>
      <c r="AN166" s="196"/>
    </row>
    <row r="167" spans="1:40" x14ac:dyDescent="0.25">
      <c r="A167" s="67" t="s">
        <v>9</v>
      </c>
      <c r="B167" s="530"/>
      <c r="C167" s="530"/>
      <c r="D167" s="530"/>
      <c r="E167" s="530"/>
      <c r="F167" s="530"/>
      <c r="G167" s="530"/>
      <c r="H167" s="530"/>
      <c r="I167" s="36"/>
      <c r="J167" s="530"/>
      <c r="K167" s="530"/>
      <c r="L167" s="588"/>
      <c r="M167" s="530"/>
      <c r="N167" s="530"/>
      <c r="O167" s="530"/>
      <c r="P167" s="530"/>
      <c r="Q167" s="36"/>
      <c r="R167" s="530"/>
      <c r="S167" s="530"/>
      <c r="T167" s="530"/>
      <c r="U167" s="530"/>
      <c r="V167" s="588"/>
      <c r="W167" s="588"/>
      <c r="X167" s="588"/>
      <c r="Y167" s="36"/>
      <c r="Z167" s="530"/>
      <c r="AA167" s="530"/>
      <c r="AB167" s="588"/>
      <c r="AC167" s="588"/>
      <c r="AD167" s="588"/>
      <c r="AE167" s="530"/>
      <c r="AF167" s="530"/>
      <c r="AG167" s="530"/>
      <c r="AH167" s="530"/>
      <c r="AI167" s="530"/>
      <c r="AJ167" s="37"/>
      <c r="AK167" s="38"/>
      <c r="AL167" s="197"/>
      <c r="AN167" s="196"/>
    </row>
    <row r="168" spans="1:40" x14ac:dyDescent="0.25">
      <c r="A168" s="67" t="s">
        <v>10</v>
      </c>
      <c r="B168" s="537"/>
      <c r="C168" s="537"/>
      <c r="D168" s="537"/>
      <c r="E168" s="537"/>
      <c r="F168" s="537"/>
      <c r="G168" s="537"/>
      <c r="H168" s="537"/>
      <c r="I168" s="37"/>
      <c r="J168" s="537"/>
      <c r="K168" s="537"/>
      <c r="L168" s="582"/>
      <c r="M168" s="537"/>
      <c r="N168" s="537"/>
      <c r="O168" s="537"/>
      <c r="P168" s="530"/>
      <c r="Q168" s="37"/>
      <c r="R168" s="537"/>
      <c r="S168" s="537"/>
      <c r="T168" s="537"/>
      <c r="U168" s="537"/>
      <c r="V168" s="582"/>
      <c r="W168" s="582"/>
      <c r="X168" s="582"/>
      <c r="Y168" s="37"/>
      <c r="Z168" s="537"/>
      <c r="AA168" s="537"/>
      <c r="AB168" s="582"/>
      <c r="AC168" s="582"/>
      <c r="AD168" s="582"/>
      <c r="AE168" s="537"/>
      <c r="AF168" s="537"/>
      <c r="AG168" s="537"/>
      <c r="AH168" s="537"/>
      <c r="AI168" s="537"/>
      <c r="AJ168" s="37"/>
      <c r="AK168" s="38"/>
      <c r="AL168" s="197"/>
    </row>
    <row r="169" spans="1:40" ht="15" customHeight="1" x14ac:dyDescent="0.25">
      <c r="A169" s="67" t="s">
        <v>45</v>
      </c>
      <c r="B169" s="537"/>
      <c r="C169" s="537"/>
      <c r="D169" s="537"/>
      <c r="E169" s="537"/>
      <c r="F169" s="537"/>
      <c r="G169" s="537"/>
      <c r="H169" s="537"/>
      <c r="I169" s="37"/>
      <c r="J169" s="537"/>
      <c r="K169" s="537"/>
      <c r="L169" s="582"/>
      <c r="M169" s="537"/>
      <c r="N169" s="537"/>
      <c r="O169" s="537"/>
      <c r="P169" s="530"/>
      <c r="Q169" s="37"/>
      <c r="R169" s="537"/>
      <c r="S169" s="537"/>
      <c r="T169" s="537"/>
      <c r="U169" s="537"/>
      <c r="V169" s="582"/>
      <c r="W169" s="582"/>
      <c r="X169" s="582"/>
      <c r="Y169" s="37"/>
      <c r="Z169" s="537"/>
      <c r="AA169" s="537"/>
      <c r="AB169" s="582"/>
      <c r="AC169" s="582"/>
      <c r="AD169" s="582"/>
      <c r="AE169" s="537"/>
      <c r="AF169" s="537"/>
      <c r="AG169" s="537"/>
      <c r="AH169" s="537"/>
      <c r="AI169" s="537"/>
      <c r="AJ169" s="37"/>
      <c r="AK169" s="648">
        <v>698.23</v>
      </c>
      <c r="AL169" s="197"/>
    </row>
    <row r="170" spans="1:40" ht="15" customHeight="1" x14ac:dyDescent="0.25">
      <c r="A170" s="67" t="s">
        <v>11</v>
      </c>
      <c r="B170" s="537"/>
      <c r="C170" s="537"/>
      <c r="D170" s="570">
        <v>242.18</v>
      </c>
      <c r="E170" s="570">
        <v>104.08</v>
      </c>
      <c r="F170" s="537"/>
      <c r="G170" s="533">
        <v>79.900000000000006</v>
      </c>
      <c r="H170" s="570">
        <v>105.44</v>
      </c>
      <c r="I170" s="37"/>
      <c r="J170" s="537"/>
      <c r="K170" s="537"/>
      <c r="L170" s="582"/>
      <c r="M170" s="537"/>
      <c r="N170" s="537"/>
      <c r="O170" s="537"/>
      <c r="P170" s="530"/>
      <c r="Q170" s="37"/>
      <c r="R170" s="537"/>
      <c r="S170" s="537"/>
      <c r="T170" s="537"/>
      <c r="U170" s="537"/>
      <c r="V170" s="582"/>
      <c r="W170" s="582"/>
      <c r="X170" s="582"/>
      <c r="Y170" s="37"/>
      <c r="Z170" s="537"/>
      <c r="AA170" s="537"/>
      <c r="AB170" s="582"/>
      <c r="AC170" s="582"/>
      <c r="AD170" s="582"/>
      <c r="AE170" s="530"/>
      <c r="AF170" s="537"/>
      <c r="AG170" s="537"/>
      <c r="AH170" s="537"/>
      <c r="AI170" s="537"/>
      <c r="AJ170" s="37"/>
      <c r="AK170" s="648">
        <v>200.84</v>
      </c>
      <c r="AL170" s="197"/>
    </row>
    <row r="171" spans="1:40" ht="15" customHeight="1" x14ac:dyDescent="0.3">
      <c r="A171" s="67" t="s">
        <v>12</v>
      </c>
      <c r="B171" s="537"/>
      <c r="C171" s="537"/>
      <c r="D171" s="537"/>
      <c r="E171" s="537"/>
      <c r="F171" s="537"/>
      <c r="G171" s="570">
        <v>166.63</v>
      </c>
      <c r="H171" s="537"/>
      <c r="I171" s="37"/>
      <c r="J171" s="537"/>
      <c r="K171" s="570">
        <v>200.84</v>
      </c>
      <c r="L171" s="582"/>
      <c r="M171" s="537"/>
      <c r="N171" s="537"/>
      <c r="O171" s="537"/>
      <c r="P171" s="530"/>
      <c r="Q171" s="37"/>
      <c r="R171" s="537"/>
      <c r="S171" s="537"/>
      <c r="T171" s="537"/>
      <c r="U171" s="530"/>
      <c r="V171" s="582"/>
      <c r="W171" s="582"/>
      <c r="X171" s="582"/>
      <c r="Y171" s="37"/>
      <c r="Z171" s="537"/>
      <c r="AA171" s="537"/>
      <c r="AB171" s="582"/>
      <c r="AC171" s="582"/>
      <c r="AD171" s="582"/>
      <c r="AE171" s="537"/>
      <c r="AF171" s="530"/>
      <c r="AG171" s="537"/>
      <c r="AH171" s="537"/>
      <c r="AI171" s="537"/>
      <c r="AJ171" s="37"/>
      <c r="AK171" s="339"/>
      <c r="AL171" s="197"/>
    </row>
    <row r="172" spans="1:40" ht="15.75" thickBot="1" x14ac:dyDescent="0.3">
      <c r="A172" s="63" t="s">
        <v>79</v>
      </c>
      <c r="B172" s="581"/>
      <c r="C172" s="576"/>
      <c r="D172" s="581"/>
      <c r="E172" s="581"/>
      <c r="F172" s="581"/>
      <c r="G172" s="581"/>
      <c r="H172" s="581"/>
      <c r="I172" s="43"/>
      <c r="J172" s="581"/>
      <c r="K172" s="581"/>
      <c r="L172" s="585"/>
      <c r="M172" s="581"/>
      <c r="N172" s="581"/>
      <c r="O172" s="581"/>
      <c r="P172" s="576"/>
      <c r="Q172" s="43"/>
      <c r="R172" s="581"/>
      <c r="S172" s="581"/>
      <c r="T172" s="581"/>
      <c r="U172" s="581"/>
      <c r="V172" s="585"/>
      <c r="W172" s="585"/>
      <c r="X172" s="585"/>
      <c r="Y172" s="43"/>
      <c r="Z172" s="581"/>
      <c r="AA172" s="581"/>
      <c r="AB172" s="585"/>
      <c r="AC172" s="585"/>
      <c r="AD172" s="585"/>
      <c r="AE172" s="581"/>
      <c r="AF172" s="581"/>
      <c r="AG172" s="581"/>
      <c r="AH172" s="581"/>
      <c r="AI172" s="581"/>
      <c r="AJ172" s="43"/>
      <c r="AK172" s="44"/>
      <c r="AL172" s="204"/>
    </row>
    <row r="173" spans="1:40" ht="19.5" thickBot="1" x14ac:dyDescent="0.35">
      <c r="A173" s="281" t="s">
        <v>2</v>
      </c>
      <c r="B173" s="241"/>
      <c r="C173" s="241"/>
      <c r="D173" s="241">
        <f>SUM(D167:D172)</f>
        <v>242.18</v>
      </c>
      <c r="E173" s="241">
        <f>SUM(E167:E172)</f>
        <v>104.08</v>
      </c>
      <c r="F173" s="241"/>
      <c r="G173" s="241">
        <f>SUM(G167:G172)</f>
        <v>246.53</v>
      </c>
      <c r="H173" s="241">
        <f>SUM(H167:H172)</f>
        <v>105.44</v>
      </c>
      <c r="I173" s="221">
        <f>SUM(B173:H173)</f>
        <v>698.23</v>
      </c>
      <c r="J173" s="241"/>
      <c r="K173" s="241">
        <f>SUM(K167:K172)</f>
        <v>200.84</v>
      </c>
      <c r="L173" s="241"/>
      <c r="M173" s="241"/>
      <c r="N173" s="191"/>
      <c r="O173" s="191"/>
      <c r="P173" s="241"/>
      <c r="Q173" s="221">
        <f>SUM(J173:P173)</f>
        <v>200.84</v>
      </c>
      <c r="R173" s="241"/>
      <c r="S173" s="241"/>
      <c r="T173" s="241"/>
      <c r="U173" s="241"/>
      <c r="V173" s="241"/>
      <c r="W173" s="241"/>
      <c r="X173" s="241"/>
      <c r="Y173" s="221"/>
      <c r="Z173" s="241"/>
      <c r="AA173" s="191"/>
      <c r="AB173" s="241"/>
      <c r="AC173" s="241"/>
      <c r="AD173" s="241"/>
      <c r="AE173" s="241"/>
      <c r="AF173" s="241"/>
      <c r="AG173" s="191"/>
      <c r="AH173" s="191"/>
      <c r="AI173" s="191"/>
      <c r="AJ173" s="262"/>
      <c r="AK173" s="696">
        <f>SUM(AK169:AK172)</f>
        <v>899.07</v>
      </c>
      <c r="AL173" s="284"/>
    </row>
    <row r="174" spans="1:40" ht="15.75" thickBot="1" x14ac:dyDescent="0.3">
      <c r="A174" s="264"/>
      <c r="B174" s="348"/>
      <c r="C174" s="348"/>
      <c r="D174" s="348"/>
      <c r="E174" s="348"/>
      <c r="F174" s="348"/>
      <c r="G174" s="348"/>
      <c r="H174" s="348"/>
      <c r="I174" s="56"/>
      <c r="J174" s="348"/>
      <c r="K174" s="348"/>
      <c r="L174" s="348"/>
      <c r="M174" s="348"/>
      <c r="N174" s="348"/>
      <c r="O174" s="348"/>
      <c r="P174" s="348"/>
      <c r="Q174" s="56"/>
      <c r="R174" s="348"/>
      <c r="S174" s="348"/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228"/>
    </row>
    <row r="175" spans="1:40" ht="24" thickBot="1" x14ac:dyDescent="0.4">
      <c r="A175" s="252" t="s">
        <v>171</v>
      </c>
      <c r="B175" s="258"/>
      <c r="C175" s="258"/>
      <c r="D175" s="258"/>
      <c r="E175" s="258"/>
      <c r="F175" s="258"/>
      <c r="G175" s="254"/>
      <c r="H175" s="254"/>
      <c r="I175" s="259"/>
      <c r="J175" s="259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60"/>
      <c r="AK175" s="261"/>
      <c r="AL175" s="260"/>
    </row>
    <row r="176" spans="1:40" ht="15.75" x14ac:dyDescent="0.25">
      <c r="A176" s="320" t="s">
        <v>8</v>
      </c>
      <c r="B176" s="322">
        <v>1</v>
      </c>
      <c r="C176" s="322">
        <v>2</v>
      </c>
      <c r="D176" s="322">
        <v>3</v>
      </c>
      <c r="E176" s="322">
        <v>4</v>
      </c>
      <c r="F176" s="322">
        <v>5</v>
      </c>
      <c r="G176" s="322">
        <v>6</v>
      </c>
      <c r="H176" s="322">
        <v>7</v>
      </c>
      <c r="I176" s="323" t="s">
        <v>6</v>
      </c>
      <c r="J176" s="322">
        <v>8</v>
      </c>
      <c r="K176" s="322">
        <v>9</v>
      </c>
      <c r="L176" s="322">
        <v>10</v>
      </c>
      <c r="M176" s="322">
        <v>11</v>
      </c>
      <c r="N176" s="322">
        <v>12</v>
      </c>
      <c r="O176" s="322">
        <v>13</v>
      </c>
      <c r="P176" s="322">
        <v>14</v>
      </c>
      <c r="Q176" s="323" t="s">
        <v>6</v>
      </c>
      <c r="R176" s="322">
        <v>15</v>
      </c>
      <c r="S176" s="322">
        <v>16</v>
      </c>
      <c r="T176" s="322">
        <v>17</v>
      </c>
      <c r="U176" s="322">
        <v>18</v>
      </c>
      <c r="V176" s="322">
        <v>19</v>
      </c>
      <c r="W176" s="322">
        <v>20</v>
      </c>
      <c r="X176" s="322">
        <v>21</v>
      </c>
      <c r="Y176" s="323" t="s">
        <v>6</v>
      </c>
      <c r="Z176" s="322">
        <v>22</v>
      </c>
      <c r="AA176" s="322">
        <v>23</v>
      </c>
      <c r="AB176" s="322">
        <v>24</v>
      </c>
      <c r="AC176" s="322">
        <v>25</v>
      </c>
      <c r="AD176" s="322">
        <v>26</v>
      </c>
      <c r="AE176" s="322">
        <v>27</v>
      </c>
      <c r="AF176" s="322">
        <v>28</v>
      </c>
      <c r="AG176" s="322">
        <v>29</v>
      </c>
      <c r="AH176" s="322">
        <v>30</v>
      </c>
      <c r="AI176" s="322">
        <v>31</v>
      </c>
      <c r="AJ176" s="324" t="s">
        <v>6</v>
      </c>
      <c r="AK176" s="325" t="s">
        <v>0</v>
      </c>
      <c r="AL176" s="395" t="s">
        <v>42</v>
      </c>
    </row>
    <row r="177" spans="1:38" ht="15" customHeight="1" x14ac:dyDescent="0.3">
      <c r="A177" s="67" t="s">
        <v>29</v>
      </c>
      <c r="B177" s="537"/>
      <c r="C177" s="537"/>
      <c r="D177" s="537"/>
      <c r="E177" s="537"/>
      <c r="F177" s="537"/>
      <c r="G177" s="537"/>
      <c r="H177" s="537"/>
      <c r="I177" s="37"/>
      <c r="J177" s="537"/>
      <c r="K177" s="537"/>
      <c r="L177" s="537"/>
      <c r="M177" s="537"/>
      <c r="N177" s="537"/>
      <c r="O177" s="537"/>
      <c r="P177" s="537"/>
      <c r="Q177" s="37"/>
      <c r="R177" s="537"/>
      <c r="S177" s="537"/>
      <c r="T177" s="537"/>
      <c r="U177" s="537"/>
      <c r="V177" s="537"/>
      <c r="W177" s="530"/>
      <c r="X177" s="530"/>
      <c r="Y177" s="37"/>
      <c r="Z177" s="537"/>
      <c r="AA177" s="537"/>
      <c r="AB177" s="537"/>
      <c r="AC177" s="537"/>
      <c r="AD177" s="537"/>
      <c r="AE177" s="537"/>
      <c r="AF177" s="537"/>
      <c r="AG177" s="537"/>
      <c r="AH177" s="537"/>
      <c r="AI177" s="537"/>
      <c r="AJ177" s="37"/>
      <c r="AK177" s="339"/>
      <c r="AL177" s="197"/>
    </row>
    <row r="178" spans="1:38" ht="15" customHeight="1" x14ac:dyDescent="0.3">
      <c r="A178" s="67" t="s">
        <v>13</v>
      </c>
      <c r="B178" s="537"/>
      <c r="C178" s="530"/>
      <c r="D178" s="537"/>
      <c r="E178" s="537"/>
      <c r="F178" s="537"/>
      <c r="G178" s="537"/>
      <c r="H178" s="537"/>
      <c r="I178" s="37"/>
      <c r="J178" s="537"/>
      <c r="K178" s="537"/>
      <c r="L178" s="537"/>
      <c r="M178" s="537"/>
      <c r="N178" s="537"/>
      <c r="O178" s="537"/>
      <c r="P178" s="537"/>
      <c r="Q178" s="37"/>
      <c r="R178" s="537"/>
      <c r="S178" s="537"/>
      <c r="T178" s="537"/>
      <c r="U178" s="537"/>
      <c r="V178" s="537"/>
      <c r="W178" s="530"/>
      <c r="X178" s="530"/>
      <c r="Y178" s="37"/>
      <c r="Z178" s="537"/>
      <c r="AA178" s="537"/>
      <c r="AB178" s="537"/>
      <c r="AC178" s="537"/>
      <c r="AD178" s="537"/>
      <c r="AE178" s="530"/>
      <c r="AF178" s="537"/>
      <c r="AG178" s="537"/>
      <c r="AH178" s="537"/>
      <c r="AI178" s="537"/>
      <c r="AJ178" s="37"/>
      <c r="AK178" s="339"/>
      <c r="AL178" s="197"/>
    </row>
    <row r="179" spans="1:38" ht="18.75" x14ac:dyDescent="0.3">
      <c r="A179" s="63" t="s">
        <v>14</v>
      </c>
      <c r="B179" s="581"/>
      <c r="C179" s="581"/>
      <c r="D179" s="581"/>
      <c r="E179" s="581"/>
      <c r="F179" s="581"/>
      <c r="G179" s="581"/>
      <c r="H179" s="581"/>
      <c r="I179" s="43"/>
      <c r="J179" s="581"/>
      <c r="K179" s="581"/>
      <c r="L179" s="581"/>
      <c r="M179" s="581"/>
      <c r="N179" s="581"/>
      <c r="O179" s="581"/>
      <c r="P179" s="581"/>
      <c r="Q179" s="43"/>
      <c r="R179" s="581"/>
      <c r="S179" s="581"/>
      <c r="T179" s="581"/>
      <c r="U179" s="581"/>
      <c r="V179" s="581"/>
      <c r="W179" s="576"/>
      <c r="X179" s="576"/>
      <c r="Y179" s="43"/>
      <c r="Z179" s="581"/>
      <c r="AA179" s="581"/>
      <c r="AB179" s="581"/>
      <c r="AC179" s="581"/>
      <c r="AD179" s="581"/>
      <c r="AE179" s="581"/>
      <c r="AF179" s="581"/>
      <c r="AG179" s="581"/>
      <c r="AH179" s="581"/>
      <c r="AI179" s="581"/>
      <c r="AJ179" s="43"/>
      <c r="AK179" s="342"/>
      <c r="AL179" s="204"/>
    </row>
    <row r="180" spans="1:38" ht="15" customHeight="1" thickBot="1" x14ac:dyDescent="0.35">
      <c r="A180" s="349"/>
      <c r="B180" s="576"/>
      <c r="C180" s="576"/>
      <c r="D180" s="576"/>
      <c r="E180" s="576"/>
      <c r="F180" s="576"/>
      <c r="G180" s="576"/>
      <c r="H180" s="576"/>
      <c r="I180" s="127"/>
      <c r="J180" s="576"/>
      <c r="K180" s="576"/>
      <c r="L180" s="576"/>
      <c r="M180" s="576"/>
      <c r="N180" s="576"/>
      <c r="O180" s="576"/>
      <c r="P180" s="576"/>
      <c r="Q180" s="45"/>
      <c r="R180" s="576"/>
      <c r="S180" s="576"/>
      <c r="T180" s="576"/>
      <c r="U180" s="576"/>
      <c r="V180" s="576"/>
      <c r="W180" s="576"/>
      <c r="X180" s="576"/>
      <c r="Y180" s="45"/>
      <c r="Z180" s="576"/>
      <c r="AA180" s="576"/>
      <c r="AB180" s="576"/>
      <c r="AC180" s="576"/>
      <c r="AD180" s="576"/>
      <c r="AE180" s="576"/>
      <c r="AF180" s="576"/>
      <c r="AG180" s="576"/>
      <c r="AH180" s="576"/>
      <c r="AI180" s="576"/>
      <c r="AJ180" s="43"/>
      <c r="AK180" s="293"/>
      <c r="AL180" s="204"/>
    </row>
    <row r="181" spans="1:38" ht="18.75" x14ac:dyDescent="0.3">
      <c r="A181" s="281" t="s">
        <v>2</v>
      </c>
      <c r="B181" s="163"/>
      <c r="C181" s="163"/>
      <c r="D181" s="163"/>
      <c r="E181" s="163"/>
      <c r="F181" s="163"/>
      <c r="G181" s="163"/>
      <c r="H181" s="163"/>
      <c r="I181" s="221"/>
      <c r="J181" s="163"/>
      <c r="K181" s="163"/>
      <c r="L181" s="163"/>
      <c r="M181" s="163"/>
      <c r="N181" s="163"/>
      <c r="O181" s="163"/>
      <c r="P181" s="163"/>
      <c r="Q181" s="221"/>
      <c r="R181" s="163"/>
      <c r="S181" s="163"/>
      <c r="T181" s="163"/>
      <c r="U181" s="163"/>
      <c r="V181" s="163"/>
      <c r="W181" s="163"/>
      <c r="X181" s="163"/>
      <c r="Y181" s="221"/>
      <c r="Z181" s="163"/>
      <c r="AA181" s="163"/>
      <c r="AB181" s="163"/>
      <c r="AC181" s="163"/>
      <c r="AD181" s="163"/>
      <c r="AE181" s="163"/>
      <c r="AF181" s="163"/>
      <c r="AG181" s="50"/>
      <c r="AH181" s="50"/>
      <c r="AI181" s="50"/>
      <c r="AJ181" s="262"/>
      <c r="AK181" s="263"/>
      <c r="AL181" s="235"/>
    </row>
    <row r="182" spans="1:38" ht="15.75" thickBot="1" x14ac:dyDescent="0.3">
      <c r="A182" s="264"/>
      <c r="B182" s="265"/>
      <c r="C182" s="265"/>
      <c r="D182" s="265"/>
      <c r="E182" s="265"/>
      <c r="F182" s="265"/>
      <c r="G182" s="265"/>
      <c r="H182" s="265"/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</row>
    <row r="183" spans="1:38" ht="24" thickBot="1" x14ac:dyDescent="0.4">
      <c r="A183" s="252" t="s">
        <v>172</v>
      </c>
      <c r="B183" s="258"/>
      <c r="C183" s="258"/>
      <c r="D183" s="258"/>
      <c r="E183" s="258"/>
      <c r="F183" s="258"/>
      <c r="G183" s="254"/>
      <c r="H183" s="254"/>
      <c r="I183" s="259"/>
      <c r="J183" s="259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60"/>
      <c r="AK183" s="261"/>
      <c r="AL183" s="260"/>
    </row>
    <row r="184" spans="1:38" ht="15.75" x14ac:dyDescent="0.25">
      <c r="A184" s="320" t="s">
        <v>8</v>
      </c>
      <c r="B184" s="322">
        <v>1</v>
      </c>
      <c r="C184" s="322">
        <v>2</v>
      </c>
      <c r="D184" s="322">
        <v>3</v>
      </c>
      <c r="E184" s="322">
        <v>4</v>
      </c>
      <c r="F184" s="322">
        <v>5</v>
      </c>
      <c r="G184" s="322">
        <v>6</v>
      </c>
      <c r="H184" s="322">
        <v>7</v>
      </c>
      <c r="I184" s="323" t="s">
        <v>6</v>
      </c>
      <c r="J184" s="322">
        <v>8</v>
      </c>
      <c r="K184" s="322">
        <v>9</v>
      </c>
      <c r="L184" s="322">
        <v>10</v>
      </c>
      <c r="M184" s="322">
        <v>11</v>
      </c>
      <c r="N184" s="322">
        <v>12</v>
      </c>
      <c r="O184" s="322">
        <v>13</v>
      </c>
      <c r="P184" s="322">
        <v>14</v>
      </c>
      <c r="Q184" s="323" t="s">
        <v>6</v>
      </c>
      <c r="R184" s="322">
        <v>15</v>
      </c>
      <c r="S184" s="322">
        <v>16</v>
      </c>
      <c r="T184" s="322">
        <v>17</v>
      </c>
      <c r="U184" s="322">
        <v>18</v>
      </c>
      <c r="V184" s="322">
        <v>19</v>
      </c>
      <c r="W184" s="322">
        <v>20</v>
      </c>
      <c r="X184" s="322">
        <v>21</v>
      </c>
      <c r="Y184" s="323" t="s">
        <v>6</v>
      </c>
      <c r="Z184" s="322">
        <v>22</v>
      </c>
      <c r="AA184" s="322">
        <v>23</v>
      </c>
      <c r="AB184" s="322">
        <v>24</v>
      </c>
      <c r="AC184" s="322">
        <v>25</v>
      </c>
      <c r="AD184" s="322">
        <v>26</v>
      </c>
      <c r="AE184" s="322">
        <v>27</v>
      </c>
      <c r="AF184" s="322">
        <v>28</v>
      </c>
      <c r="AG184" s="322">
        <v>29</v>
      </c>
      <c r="AH184" s="322">
        <v>30</v>
      </c>
      <c r="AI184" s="322">
        <v>31</v>
      </c>
      <c r="AJ184" s="324" t="s">
        <v>6</v>
      </c>
      <c r="AK184" s="325" t="s">
        <v>0</v>
      </c>
      <c r="AL184" s="395" t="s">
        <v>42</v>
      </c>
    </row>
    <row r="185" spans="1:38" x14ac:dyDescent="0.25">
      <c r="A185" s="67" t="s">
        <v>32</v>
      </c>
      <c r="B185" s="531">
        <v>0</v>
      </c>
      <c r="C185" s="531">
        <v>0</v>
      </c>
      <c r="D185" s="531">
        <v>0</v>
      </c>
      <c r="E185" s="531">
        <v>0</v>
      </c>
      <c r="F185" s="531">
        <v>0</v>
      </c>
      <c r="G185" s="531">
        <v>0</v>
      </c>
      <c r="H185" s="531">
        <v>0</v>
      </c>
      <c r="I185" s="37"/>
      <c r="J185" s="531">
        <v>0</v>
      </c>
      <c r="K185" s="531">
        <v>0</v>
      </c>
      <c r="L185" s="531">
        <v>0</v>
      </c>
      <c r="M185" s="531">
        <v>0</v>
      </c>
      <c r="N185" s="531">
        <v>0</v>
      </c>
      <c r="O185" s="531">
        <v>0</v>
      </c>
      <c r="P185" s="531">
        <v>0</v>
      </c>
      <c r="Q185" s="37"/>
      <c r="R185" s="531">
        <v>0</v>
      </c>
      <c r="S185" s="1">
        <v>30.39</v>
      </c>
      <c r="T185" s="531">
        <v>0</v>
      </c>
      <c r="U185" s="1">
        <v>0</v>
      </c>
      <c r="V185" s="1">
        <v>0</v>
      </c>
      <c r="W185" s="1">
        <v>0</v>
      </c>
      <c r="X185" s="1">
        <v>0</v>
      </c>
      <c r="Y185" s="37"/>
      <c r="Z185" s="2"/>
      <c r="AA185" s="1"/>
      <c r="AB185" s="161"/>
      <c r="AC185" s="161"/>
      <c r="AD185" s="161"/>
      <c r="AE185" s="57"/>
      <c r="AF185" s="161"/>
      <c r="AG185" s="2"/>
      <c r="AH185" s="2"/>
      <c r="AI185" s="2"/>
      <c r="AJ185" s="37"/>
      <c r="AK185" s="38"/>
      <c r="AL185" s="197"/>
    </row>
    <row r="186" spans="1:38" x14ac:dyDescent="0.25">
      <c r="A186" s="67" t="s">
        <v>288</v>
      </c>
      <c r="B186" s="531"/>
      <c r="C186" s="1">
        <v>23.99</v>
      </c>
      <c r="D186" s="531"/>
      <c r="E186" s="531"/>
      <c r="F186" s="531"/>
      <c r="G186" s="530"/>
      <c r="H186" s="530"/>
      <c r="I186" s="37"/>
      <c r="J186" s="530"/>
      <c r="K186" s="530"/>
      <c r="L186" s="530"/>
      <c r="M186" s="530"/>
      <c r="N186" s="530"/>
      <c r="O186" s="530"/>
      <c r="P186" s="530"/>
      <c r="Q186" s="37"/>
      <c r="R186" s="530"/>
      <c r="S186" s="530"/>
      <c r="T186" s="530"/>
      <c r="U186" s="1"/>
      <c r="V186" s="1"/>
      <c r="W186" s="1"/>
      <c r="X186" s="1"/>
      <c r="Y186" s="37"/>
      <c r="Z186" s="2"/>
      <c r="AA186" s="1"/>
      <c r="AB186" s="161"/>
      <c r="AC186" s="161"/>
      <c r="AD186" s="161"/>
      <c r="AE186" s="57"/>
      <c r="AF186" s="161"/>
      <c r="AG186" s="2"/>
      <c r="AH186" s="2"/>
      <c r="AI186" s="2"/>
      <c r="AJ186" s="37"/>
      <c r="AK186" s="38"/>
      <c r="AL186" s="197"/>
    </row>
    <row r="187" spans="1:38" x14ac:dyDescent="0.25">
      <c r="A187" s="67" t="s">
        <v>15</v>
      </c>
      <c r="B187" s="537"/>
      <c r="C187" s="537"/>
      <c r="D187" s="594"/>
      <c r="E187" s="594"/>
      <c r="F187" s="594"/>
      <c r="G187" s="537"/>
      <c r="H187" s="537"/>
      <c r="I187" s="37"/>
      <c r="J187" s="537"/>
      <c r="K187" s="537"/>
      <c r="L187" s="537"/>
      <c r="M187" s="537"/>
      <c r="N187" s="537"/>
      <c r="O187" s="537"/>
      <c r="P187" s="537"/>
      <c r="Q187" s="37"/>
      <c r="R187" s="537"/>
      <c r="S187" s="537"/>
      <c r="T187" s="537"/>
      <c r="U187" s="118"/>
      <c r="V187" s="118"/>
      <c r="W187" s="118"/>
      <c r="X187" s="118"/>
      <c r="Y187" s="37"/>
      <c r="Z187" s="1"/>
      <c r="AA187" s="2"/>
      <c r="AB187" s="161"/>
      <c r="AC187" s="161"/>
      <c r="AD187" s="161"/>
      <c r="AE187" s="161"/>
      <c r="AF187" s="161"/>
      <c r="AG187" s="2"/>
      <c r="AH187" s="2"/>
      <c r="AI187" s="2"/>
      <c r="AJ187" s="37"/>
      <c r="AK187" s="38"/>
      <c r="AL187" s="197"/>
    </row>
    <row r="188" spans="1:38" x14ac:dyDescent="0.25">
      <c r="A188" s="67" t="s">
        <v>34</v>
      </c>
      <c r="B188" s="537"/>
      <c r="C188" s="537"/>
      <c r="D188" s="594"/>
      <c r="E188" s="594"/>
      <c r="F188" s="594"/>
      <c r="G188" s="537"/>
      <c r="H188" s="118">
        <v>23.05</v>
      </c>
      <c r="I188" s="37"/>
      <c r="J188" s="537"/>
      <c r="K188" s="537"/>
      <c r="L188" s="537"/>
      <c r="M188" s="537"/>
      <c r="N188" s="537"/>
      <c r="O188" s="537"/>
      <c r="P188" s="537"/>
      <c r="Q188" s="37"/>
      <c r="R188" s="537"/>
      <c r="S188" s="537"/>
      <c r="T188" s="537"/>
      <c r="U188" s="118"/>
      <c r="V188" s="118"/>
      <c r="W188" s="118"/>
      <c r="X188" s="118"/>
      <c r="Y188" s="37"/>
      <c r="Z188" s="2"/>
      <c r="AA188" s="2"/>
      <c r="AB188" s="161"/>
      <c r="AC188" s="161"/>
      <c r="AD188" s="161"/>
      <c r="AE188" s="161"/>
      <c r="AF188" s="161"/>
      <c r="AG188" s="2"/>
      <c r="AH188" s="2"/>
      <c r="AI188" s="2"/>
      <c r="AJ188" s="37"/>
      <c r="AK188" s="38"/>
      <c r="AL188" s="197"/>
    </row>
    <row r="189" spans="1:38" x14ac:dyDescent="0.25">
      <c r="A189" s="67" t="s">
        <v>297</v>
      </c>
      <c r="B189" s="530"/>
      <c r="C189" s="537"/>
      <c r="D189" s="594"/>
      <c r="E189" s="594"/>
      <c r="F189" s="594"/>
      <c r="G189" s="537"/>
      <c r="H189" s="537"/>
      <c r="I189" s="37"/>
      <c r="J189" s="530"/>
      <c r="K189" s="537"/>
      <c r="L189" s="537"/>
      <c r="M189" s="537"/>
      <c r="N189" s="537"/>
      <c r="O189" s="537"/>
      <c r="P189" s="537"/>
      <c r="Q189" s="37"/>
      <c r="R189" s="530"/>
      <c r="S189" s="1">
        <v>40</v>
      </c>
      <c r="T189" s="537"/>
      <c r="U189" s="118"/>
      <c r="V189" s="118"/>
      <c r="W189" s="118"/>
      <c r="X189" s="118"/>
      <c r="Y189" s="37"/>
      <c r="Z189" s="2"/>
      <c r="AA189" s="2"/>
      <c r="AB189" s="161"/>
      <c r="AC189" s="161"/>
      <c r="AD189" s="161"/>
      <c r="AE189" s="161"/>
      <c r="AF189" s="161"/>
      <c r="AG189" s="2"/>
      <c r="AH189" s="2"/>
      <c r="AI189" s="2"/>
      <c r="AJ189" s="37"/>
      <c r="AK189" s="38"/>
      <c r="AL189" s="197"/>
    </row>
    <row r="190" spans="1:38" x14ac:dyDescent="0.25">
      <c r="A190" s="67" t="s">
        <v>30</v>
      </c>
      <c r="B190" s="118">
        <v>30.46</v>
      </c>
      <c r="C190" s="118">
        <v>21.74</v>
      </c>
      <c r="D190" s="118">
        <v>17.14</v>
      </c>
      <c r="E190" s="537"/>
      <c r="F190" s="537"/>
      <c r="G190" s="537"/>
      <c r="H190" s="537"/>
      <c r="I190" s="37"/>
      <c r="J190" s="537"/>
      <c r="K190" s="570">
        <v>29.99</v>
      </c>
      <c r="L190" s="570">
        <v>27.18</v>
      </c>
      <c r="M190" s="537"/>
      <c r="N190" s="570">
        <v>33.75</v>
      </c>
      <c r="O190" s="570">
        <v>23.65</v>
      </c>
      <c r="P190" s="537"/>
      <c r="Q190" s="37"/>
      <c r="R190" s="537"/>
      <c r="S190" s="537"/>
      <c r="T190" s="1">
        <v>40</v>
      </c>
      <c r="U190" s="118">
        <v>25.94</v>
      </c>
      <c r="V190" s="118">
        <v>14.28</v>
      </c>
      <c r="W190" s="118"/>
      <c r="X190" s="118"/>
      <c r="Y190" s="37"/>
      <c r="Z190" s="2"/>
      <c r="AA190" s="2"/>
      <c r="AB190" s="161"/>
      <c r="AC190" s="161"/>
      <c r="AD190" s="161"/>
      <c r="AE190" s="161"/>
      <c r="AF190" s="161"/>
      <c r="AG190" s="2"/>
      <c r="AH190" s="2"/>
      <c r="AI190" s="2"/>
      <c r="AJ190" s="37"/>
      <c r="AK190" s="38"/>
      <c r="AL190" s="197"/>
    </row>
    <row r="191" spans="1:38" x14ac:dyDescent="0.25">
      <c r="A191" s="67" t="s">
        <v>17</v>
      </c>
      <c r="B191" s="537"/>
      <c r="C191" s="1">
        <v>40</v>
      </c>
      <c r="D191" s="118">
        <v>30.35</v>
      </c>
      <c r="E191" s="537"/>
      <c r="F191" s="118">
        <v>37.26</v>
      </c>
      <c r="G191" s="537"/>
      <c r="H191" s="118">
        <v>26.28</v>
      </c>
      <c r="I191" s="37"/>
      <c r="J191" s="570">
        <v>15.29</v>
      </c>
      <c r="K191" s="537"/>
      <c r="L191" s="537"/>
      <c r="M191" s="537"/>
      <c r="N191" s="537"/>
      <c r="O191" s="537"/>
      <c r="P191" s="570">
        <v>31.64</v>
      </c>
      <c r="Q191" s="37"/>
      <c r="R191" s="537"/>
      <c r="S191" s="537"/>
      <c r="T191" s="118">
        <v>37.21</v>
      </c>
      <c r="U191" s="118"/>
      <c r="V191" s="118"/>
      <c r="W191" s="118"/>
      <c r="X191" s="118"/>
      <c r="Y191" s="37"/>
      <c r="Z191" s="118"/>
      <c r="AA191" s="2"/>
      <c r="AB191" s="161"/>
      <c r="AC191" s="161"/>
      <c r="AD191" s="161"/>
      <c r="AE191" s="161"/>
      <c r="AF191" s="161"/>
      <c r="AG191" s="2"/>
      <c r="AH191" s="2"/>
      <c r="AI191" s="2"/>
      <c r="AJ191" s="37"/>
      <c r="AK191" s="38"/>
      <c r="AL191" s="197"/>
    </row>
    <row r="192" spans="1:38" ht="15" customHeight="1" x14ac:dyDescent="0.3">
      <c r="A192" s="67" t="s">
        <v>16</v>
      </c>
      <c r="B192" s="537"/>
      <c r="C192" s="118">
        <v>34.75</v>
      </c>
      <c r="D192" s="537"/>
      <c r="E192" s="537"/>
      <c r="F192" s="537"/>
      <c r="G192" s="537"/>
      <c r="H192" s="537"/>
      <c r="I192" s="37"/>
      <c r="J192" s="537"/>
      <c r="K192" s="537"/>
      <c r="L192" s="537"/>
      <c r="M192" s="537"/>
      <c r="N192" s="537"/>
      <c r="O192" s="570">
        <v>30.53</v>
      </c>
      <c r="P192" s="537"/>
      <c r="Q192" s="37"/>
      <c r="R192" s="537"/>
      <c r="S192" s="537"/>
      <c r="T192" s="537"/>
      <c r="U192" s="118"/>
      <c r="V192" s="118"/>
      <c r="W192" s="1">
        <v>36.1</v>
      </c>
      <c r="X192" s="118"/>
      <c r="Y192" s="37"/>
      <c r="Z192" s="2"/>
      <c r="AA192" s="2"/>
      <c r="AB192" s="161"/>
      <c r="AC192" s="161"/>
      <c r="AD192" s="161"/>
      <c r="AE192" s="161"/>
      <c r="AF192" s="161"/>
      <c r="AG192" s="2"/>
      <c r="AH192" s="2"/>
      <c r="AI192" s="2"/>
      <c r="AJ192" s="37"/>
      <c r="AK192" s="339"/>
      <c r="AL192" s="197"/>
    </row>
    <row r="193" spans="1:38" ht="14.25" customHeight="1" x14ac:dyDescent="0.25">
      <c r="A193" s="67" t="s">
        <v>33</v>
      </c>
      <c r="B193" s="581"/>
      <c r="C193" s="581"/>
      <c r="D193" s="581"/>
      <c r="E193" s="581"/>
      <c r="F193" s="581"/>
      <c r="G193" s="581"/>
      <c r="H193" s="581"/>
      <c r="I193" s="43"/>
      <c r="J193" s="581"/>
      <c r="K193" s="581"/>
      <c r="L193" s="581"/>
      <c r="M193" s="581"/>
      <c r="N193" s="581"/>
      <c r="O193" s="581"/>
      <c r="P193" s="581"/>
      <c r="Q193" s="43"/>
      <c r="R193" s="119">
        <v>29.58</v>
      </c>
      <c r="S193" s="581"/>
      <c r="T193" s="581"/>
      <c r="U193" s="119"/>
      <c r="V193" s="119"/>
      <c r="W193" s="119"/>
      <c r="X193" s="119"/>
      <c r="Y193" s="43"/>
      <c r="Z193" s="42"/>
      <c r="AA193" s="42"/>
      <c r="AB193" s="177"/>
      <c r="AC193" s="177"/>
      <c r="AD193" s="178"/>
      <c r="AE193" s="177"/>
      <c r="AF193" s="177"/>
      <c r="AG193" s="42"/>
      <c r="AH193" s="42"/>
      <c r="AI193" s="42"/>
      <c r="AJ193" s="43"/>
      <c r="AK193" s="661">
        <v>285.02</v>
      </c>
      <c r="AL193" s="204"/>
    </row>
    <row r="194" spans="1:38" ht="15" customHeight="1" x14ac:dyDescent="0.25">
      <c r="A194" s="63" t="s">
        <v>18</v>
      </c>
      <c r="B194" s="530"/>
      <c r="C194" s="530"/>
      <c r="D194" s="530"/>
      <c r="E194" s="530"/>
      <c r="F194" s="530"/>
      <c r="G194" s="530"/>
      <c r="H194" s="530"/>
      <c r="I194" s="47"/>
      <c r="J194" s="530"/>
      <c r="K194" s="530"/>
      <c r="L194" s="530"/>
      <c r="M194" s="530"/>
      <c r="N194" s="530"/>
      <c r="O194" s="530"/>
      <c r="P194" s="530"/>
      <c r="Q194" s="47"/>
      <c r="R194" s="530"/>
      <c r="S194" s="530"/>
      <c r="T194" s="530"/>
      <c r="U194" s="135"/>
      <c r="V194" s="135"/>
      <c r="W194" s="135"/>
      <c r="X194" s="135"/>
      <c r="Y194" s="47"/>
      <c r="Z194" s="124"/>
      <c r="AA194" s="124"/>
      <c r="AB194" s="135"/>
      <c r="AC194" s="135"/>
      <c r="AD194" s="135"/>
      <c r="AE194" s="135"/>
      <c r="AF194" s="135"/>
      <c r="AG194" s="124"/>
      <c r="AH194" s="124"/>
      <c r="AI194" s="124"/>
      <c r="AJ194" s="37"/>
      <c r="AK194" s="669">
        <v>192.03</v>
      </c>
      <c r="AL194" s="197"/>
    </row>
    <row r="195" spans="1:38" x14ac:dyDescent="0.25">
      <c r="A195" s="63" t="s">
        <v>19</v>
      </c>
      <c r="B195" s="584"/>
      <c r="C195" s="584"/>
      <c r="D195" s="584"/>
      <c r="E195" s="584"/>
      <c r="F195" s="584"/>
      <c r="G195" s="584"/>
      <c r="H195" s="584"/>
      <c r="I195" s="43"/>
      <c r="J195" s="584"/>
      <c r="K195" s="584"/>
      <c r="L195" s="584"/>
      <c r="M195" s="584"/>
      <c r="N195" s="584"/>
      <c r="O195" s="584"/>
      <c r="P195" s="584"/>
      <c r="Q195" s="43"/>
      <c r="R195" s="584"/>
      <c r="S195" s="584"/>
      <c r="T195" s="584"/>
      <c r="U195" s="132"/>
      <c r="V195" s="132"/>
      <c r="W195" s="132"/>
      <c r="X195" s="132"/>
      <c r="Y195" s="43"/>
      <c r="Z195" s="132"/>
      <c r="AA195" s="132"/>
      <c r="AB195" s="164"/>
      <c r="AC195" s="164"/>
      <c r="AD195" s="164"/>
      <c r="AE195" s="164"/>
      <c r="AF195" s="164"/>
      <c r="AG195" s="132"/>
      <c r="AH195" s="132"/>
      <c r="AI195" s="132"/>
      <c r="AJ195" s="43"/>
      <c r="AK195" s="293"/>
      <c r="AL195" s="204"/>
    </row>
    <row r="196" spans="1:38" x14ac:dyDescent="0.25">
      <c r="A196" s="67" t="s">
        <v>102</v>
      </c>
      <c r="B196" s="583"/>
      <c r="C196" s="583"/>
      <c r="D196" s="583"/>
      <c r="E196" s="583"/>
      <c r="F196" s="583"/>
      <c r="G196" s="583"/>
      <c r="H196" s="583"/>
      <c r="I196" s="37"/>
      <c r="J196" s="583"/>
      <c r="K196" s="583"/>
      <c r="L196" s="583"/>
      <c r="M196" s="583"/>
      <c r="N196" s="583"/>
      <c r="O196" s="583"/>
      <c r="P196" s="583"/>
      <c r="Q196" s="37"/>
      <c r="R196" s="583"/>
      <c r="S196" s="583"/>
      <c r="T196" s="583"/>
      <c r="U196" s="112"/>
      <c r="V196" s="112"/>
      <c r="W196" s="112"/>
      <c r="X196" s="112"/>
      <c r="Y196" s="37"/>
      <c r="Z196" s="112"/>
      <c r="AA196" s="112"/>
      <c r="AB196" s="18"/>
      <c r="AC196" s="18"/>
      <c r="AD196" s="18"/>
      <c r="AE196" s="18"/>
      <c r="AF196" s="18"/>
      <c r="AG196" s="337"/>
      <c r="AH196" s="112"/>
      <c r="AI196" s="112"/>
      <c r="AJ196" s="37"/>
      <c r="AK196" s="3"/>
      <c r="AL196" s="197"/>
    </row>
    <row r="197" spans="1:38" ht="18.75" x14ac:dyDescent="0.3">
      <c r="A197" s="402" t="s">
        <v>2</v>
      </c>
      <c r="B197" s="199">
        <f t="shared" ref="B197:H197" si="6">SUM(B185:B196)</f>
        <v>30.46</v>
      </c>
      <c r="C197" s="199">
        <f t="shared" si="6"/>
        <v>120.47999999999999</v>
      </c>
      <c r="D197" s="199">
        <f t="shared" si="6"/>
        <v>47.49</v>
      </c>
      <c r="E197" s="199">
        <f t="shared" si="6"/>
        <v>0</v>
      </c>
      <c r="F197" s="199">
        <f t="shared" si="6"/>
        <v>37.26</v>
      </c>
      <c r="G197" s="199">
        <f t="shared" si="6"/>
        <v>0</v>
      </c>
      <c r="H197" s="199">
        <f t="shared" si="6"/>
        <v>49.33</v>
      </c>
      <c r="I197" s="440">
        <f>SUM(B197:H197)</f>
        <v>285.02</v>
      </c>
      <c r="J197" s="199">
        <f t="shared" ref="J197:P197" si="7">SUM(J185:J196)</f>
        <v>15.29</v>
      </c>
      <c r="K197" s="199">
        <f t="shared" si="7"/>
        <v>29.99</v>
      </c>
      <c r="L197" s="199">
        <f t="shared" si="7"/>
        <v>27.18</v>
      </c>
      <c r="M197" s="199">
        <f t="shared" si="7"/>
        <v>0</v>
      </c>
      <c r="N197" s="199">
        <f t="shared" si="7"/>
        <v>33.75</v>
      </c>
      <c r="O197" s="199">
        <f t="shared" si="7"/>
        <v>54.18</v>
      </c>
      <c r="P197" s="199">
        <f t="shared" si="7"/>
        <v>31.64</v>
      </c>
      <c r="Q197" s="440">
        <f>SUM(J197:P197)</f>
        <v>192.03000000000003</v>
      </c>
      <c r="R197" s="199">
        <f t="shared" ref="R197:X197" si="8">SUM(R185:R196)</f>
        <v>29.58</v>
      </c>
      <c r="S197" s="199">
        <f t="shared" si="8"/>
        <v>70.39</v>
      </c>
      <c r="T197" s="199">
        <f t="shared" si="8"/>
        <v>77.210000000000008</v>
      </c>
      <c r="U197" s="199">
        <f t="shared" si="8"/>
        <v>25.94</v>
      </c>
      <c r="V197" s="199">
        <f t="shared" si="8"/>
        <v>14.28</v>
      </c>
      <c r="W197" s="199">
        <f t="shared" si="8"/>
        <v>36.1</v>
      </c>
      <c r="X197" s="199">
        <f t="shared" si="8"/>
        <v>0</v>
      </c>
      <c r="Y197" s="440">
        <f>SUM(R197:X197)</f>
        <v>253.5</v>
      </c>
      <c r="Z197" s="199"/>
      <c r="AA197" s="199"/>
      <c r="AB197" s="199"/>
      <c r="AC197" s="199"/>
      <c r="AD197" s="199"/>
      <c r="AE197" s="199"/>
      <c r="AF197" s="199"/>
      <c r="AG197" s="199"/>
      <c r="AH197" s="199"/>
      <c r="AI197" s="199"/>
      <c r="AJ197" s="439"/>
      <c r="AK197" s="952">
        <f>SUM(AK193:AK196)</f>
        <v>477.04999999999995</v>
      </c>
      <c r="AL197" s="442"/>
    </row>
    <row r="198" spans="1:38" ht="15.75" thickBot="1" x14ac:dyDescent="0.3">
      <c r="A198" s="264"/>
      <c r="B198" s="265" t="s">
        <v>341</v>
      </c>
      <c r="C198" s="265" t="s">
        <v>363</v>
      </c>
      <c r="D198" s="265" t="s">
        <v>355</v>
      </c>
      <c r="E198" s="265" t="s">
        <v>357</v>
      </c>
      <c r="F198" s="265" t="s">
        <v>357</v>
      </c>
      <c r="G198" s="265" t="s">
        <v>357</v>
      </c>
      <c r="H198" s="265" t="s">
        <v>355</v>
      </c>
      <c r="I198" s="56"/>
      <c r="J198" s="265" t="s">
        <v>341</v>
      </c>
      <c r="K198" s="265" t="s">
        <v>341</v>
      </c>
      <c r="L198" s="265" t="s">
        <v>341</v>
      </c>
      <c r="M198" s="265" t="s">
        <v>357</v>
      </c>
      <c r="N198" s="265" t="s">
        <v>357</v>
      </c>
      <c r="O198" s="265" t="s">
        <v>355</v>
      </c>
      <c r="P198" s="265" t="s">
        <v>341</v>
      </c>
      <c r="Q198" s="56"/>
      <c r="R198" s="265" t="s">
        <v>341</v>
      </c>
      <c r="S198" s="265" t="s">
        <v>355</v>
      </c>
      <c r="T198" s="265" t="s">
        <v>357</v>
      </c>
      <c r="U198" s="265" t="s">
        <v>341</v>
      </c>
      <c r="V198" s="265" t="s">
        <v>341</v>
      </c>
      <c r="W198" s="265" t="s">
        <v>341</v>
      </c>
      <c r="X198" s="265" t="s">
        <v>357</v>
      </c>
      <c r="Y198" s="56"/>
      <c r="Z198" s="265"/>
      <c r="AA198" s="265"/>
      <c r="AB198" s="265"/>
      <c r="AC198" s="265"/>
      <c r="AD198" s="265"/>
      <c r="AE198" s="265"/>
      <c r="AF198" s="265"/>
      <c r="AG198" s="265"/>
      <c r="AH198" s="265"/>
      <c r="AI198" s="265"/>
      <c r="AJ198" s="56"/>
      <c r="AK198" s="225"/>
      <c r="AL198" s="228"/>
    </row>
    <row r="199" spans="1:38" ht="24" thickBot="1" x14ac:dyDescent="0.4">
      <c r="A199" s="294" t="s">
        <v>173</v>
      </c>
      <c r="B199" s="295"/>
      <c r="C199" s="295"/>
      <c r="D199" s="295"/>
      <c r="E199" s="295"/>
      <c r="F199" s="295"/>
      <c r="G199" s="296"/>
      <c r="H199" s="297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8"/>
      <c r="AA199" s="298"/>
      <c r="AB199" s="298"/>
      <c r="AC199" s="298"/>
      <c r="AD199" s="298"/>
      <c r="AE199" s="298"/>
      <c r="AF199" s="298"/>
      <c r="AG199" s="298"/>
      <c r="AH199" s="298"/>
      <c r="AI199" s="298"/>
      <c r="AJ199" s="299"/>
      <c r="AK199" s="300"/>
      <c r="AL199" s="301"/>
    </row>
    <row r="200" spans="1:38" ht="16.5" thickBot="1" x14ac:dyDescent="0.3">
      <c r="A200" s="319" t="s">
        <v>80</v>
      </c>
      <c r="B200" s="322">
        <v>1</v>
      </c>
      <c r="C200" s="322">
        <v>2</v>
      </c>
      <c r="D200" s="322">
        <v>3</v>
      </c>
      <c r="E200" s="322">
        <v>4</v>
      </c>
      <c r="F200" s="322">
        <v>5</v>
      </c>
      <c r="G200" s="322">
        <v>6</v>
      </c>
      <c r="H200" s="322">
        <v>7</v>
      </c>
      <c r="I200" s="323" t="s">
        <v>6</v>
      </c>
      <c r="J200" s="322">
        <v>8</v>
      </c>
      <c r="K200" s="322">
        <v>9</v>
      </c>
      <c r="L200" s="322">
        <v>10</v>
      </c>
      <c r="M200" s="322">
        <v>11</v>
      </c>
      <c r="N200" s="322">
        <v>12</v>
      </c>
      <c r="O200" s="322">
        <v>13</v>
      </c>
      <c r="P200" s="322">
        <v>14</v>
      </c>
      <c r="Q200" s="323" t="s">
        <v>6</v>
      </c>
      <c r="R200" s="322">
        <v>15</v>
      </c>
      <c r="S200" s="322">
        <v>16</v>
      </c>
      <c r="T200" s="322">
        <v>17</v>
      </c>
      <c r="U200" s="322">
        <v>18</v>
      </c>
      <c r="V200" s="322">
        <v>19</v>
      </c>
      <c r="W200" s="322">
        <v>20</v>
      </c>
      <c r="X200" s="322">
        <v>21</v>
      </c>
      <c r="Y200" s="323" t="s">
        <v>6</v>
      </c>
      <c r="Z200" s="322">
        <v>22</v>
      </c>
      <c r="AA200" s="322">
        <v>23</v>
      </c>
      <c r="AB200" s="322">
        <v>24</v>
      </c>
      <c r="AC200" s="322">
        <v>25</v>
      </c>
      <c r="AD200" s="322">
        <v>26</v>
      </c>
      <c r="AE200" s="322">
        <v>27</v>
      </c>
      <c r="AF200" s="322">
        <v>28</v>
      </c>
      <c r="AG200" s="322">
        <v>29</v>
      </c>
      <c r="AH200" s="322">
        <v>30</v>
      </c>
      <c r="AI200" s="322">
        <v>31</v>
      </c>
      <c r="AJ200" s="324" t="s">
        <v>6</v>
      </c>
      <c r="AK200" s="325" t="s">
        <v>0</v>
      </c>
      <c r="AL200" s="395" t="s">
        <v>42</v>
      </c>
    </row>
    <row r="201" spans="1:38" ht="15" customHeight="1" x14ac:dyDescent="0.3">
      <c r="A201" s="347" t="s">
        <v>81</v>
      </c>
      <c r="B201" s="575"/>
      <c r="C201" s="575"/>
      <c r="D201" s="575"/>
      <c r="E201" s="575"/>
      <c r="F201" s="575"/>
      <c r="G201" s="575"/>
      <c r="H201" s="575"/>
      <c r="I201" s="304"/>
      <c r="J201" s="575"/>
      <c r="K201" s="575"/>
      <c r="L201" s="575"/>
      <c r="M201" s="575"/>
      <c r="N201" s="575"/>
      <c r="O201" s="575"/>
      <c r="P201" s="575"/>
      <c r="Q201" s="304"/>
      <c r="R201" s="575"/>
      <c r="S201" s="575"/>
      <c r="T201" s="575"/>
      <c r="U201" s="575"/>
      <c r="V201" s="575"/>
      <c r="W201" s="575"/>
      <c r="X201" s="575"/>
      <c r="Y201" s="304"/>
      <c r="Z201" s="575"/>
      <c r="AA201" s="575"/>
      <c r="AB201" s="575"/>
      <c r="AC201" s="575"/>
      <c r="AD201" s="575"/>
      <c r="AE201" s="575"/>
      <c r="AF201" s="575"/>
      <c r="AG201" s="575"/>
      <c r="AH201" s="575"/>
      <c r="AI201" s="575"/>
      <c r="AJ201" s="305"/>
      <c r="AK201" s="343"/>
      <c r="AL201" s="207"/>
    </row>
    <row r="202" spans="1:38" ht="15" customHeight="1" x14ac:dyDescent="0.3">
      <c r="A202" s="63" t="s">
        <v>82</v>
      </c>
      <c r="B202" s="581"/>
      <c r="C202" s="581"/>
      <c r="D202" s="581"/>
      <c r="E202" s="581"/>
      <c r="F202" s="581"/>
      <c r="G202" s="581"/>
      <c r="H202" s="581"/>
      <c r="I202" s="43"/>
      <c r="J202" s="581"/>
      <c r="K202" s="581"/>
      <c r="L202" s="581"/>
      <c r="M202" s="581"/>
      <c r="N202" s="581"/>
      <c r="O202" s="581"/>
      <c r="P202" s="581"/>
      <c r="Q202" s="43"/>
      <c r="R202" s="581"/>
      <c r="S202" s="581"/>
      <c r="T202" s="581"/>
      <c r="U202" s="581"/>
      <c r="V202" s="581"/>
      <c r="W202" s="581"/>
      <c r="X202" s="581"/>
      <c r="Y202" s="43"/>
      <c r="Z202" s="581"/>
      <c r="AA202" s="581"/>
      <c r="AB202" s="581"/>
      <c r="AC202" s="581"/>
      <c r="AD202" s="581"/>
      <c r="AE202" s="581"/>
      <c r="AF202" s="581"/>
      <c r="AG202" s="581"/>
      <c r="AH202" s="581"/>
      <c r="AI202" s="581"/>
      <c r="AJ202" s="43"/>
      <c r="AK202" s="379"/>
      <c r="AL202" s="204"/>
    </row>
    <row r="203" spans="1:38" ht="15" customHeight="1" x14ac:dyDescent="0.35">
      <c r="A203" s="195"/>
      <c r="B203" s="530"/>
      <c r="C203" s="530"/>
      <c r="D203" s="530"/>
      <c r="E203" s="530"/>
      <c r="F203" s="530"/>
      <c r="G203" s="530"/>
      <c r="H203" s="530"/>
      <c r="I203" s="157"/>
      <c r="J203" s="530"/>
      <c r="K203" s="530"/>
      <c r="L203" s="530"/>
      <c r="M203" s="530"/>
      <c r="N203" s="530"/>
      <c r="O203" s="530"/>
      <c r="P203" s="530"/>
      <c r="Q203" s="47"/>
      <c r="R203" s="530"/>
      <c r="S203" s="530"/>
      <c r="T203" s="530"/>
      <c r="U203" s="530"/>
      <c r="V203" s="530"/>
      <c r="W203" s="530"/>
      <c r="X203" s="530"/>
      <c r="Y203" s="47"/>
      <c r="Z203" s="530"/>
      <c r="AA203" s="530"/>
      <c r="AB203" s="530"/>
      <c r="AC203" s="530"/>
      <c r="AD203" s="530"/>
      <c r="AE203" s="530"/>
      <c r="AF203" s="530"/>
      <c r="AG203" s="530"/>
      <c r="AH203" s="530"/>
      <c r="AI203" s="530"/>
      <c r="AJ203" s="47"/>
      <c r="AK203" s="422"/>
      <c r="AL203" s="292"/>
    </row>
    <row r="204" spans="1:38" ht="16.5" thickBot="1" x14ac:dyDescent="0.3">
      <c r="A204" s="63"/>
      <c r="B204" s="584"/>
      <c r="C204" s="584"/>
      <c r="D204" s="584"/>
      <c r="E204" s="584"/>
      <c r="F204" s="584"/>
      <c r="G204" s="584"/>
      <c r="H204" s="584"/>
      <c r="I204" s="43"/>
      <c r="J204" s="584"/>
      <c r="K204" s="584"/>
      <c r="L204" s="584"/>
      <c r="M204" s="584"/>
      <c r="N204" s="584"/>
      <c r="O204" s="584"/>
      <c r="P204" s="584"/>
      <c r="Q204" s="43"/>
      <c r="R204" s="584"/>
      <c r="S204" s="584"/>
      <c r="T204" s="584"/>
      <c r="U204" s="584"/>
      <c r="V204" s="584"/>
      <c r="W204" s="584"/>
      <c r="X204" s="584"/>
      <c r="Y204" s="43"/>
      <c r="Z204" s="584"/>
      <c r="AA204" s="584"/>
      <c r="AB204" s="584"/>
      <c r="AC204" s="584"/>
      <c r="AD204" s="584"/>
      <c r="AE204" s="584"/>
      <c r="AF204" s="584"/>
      <c r="AG204" s="584"/>
      <c r="AH204" s="584"/>
      <c r="AI204" s="584"/>
      <c r="AJ204" s="43"/>
      <c r="AK204" s="117"/>
      <c r="AL204" s="350"/>
    </row>
    <row r="205" spans="1:38" ht="18" customHeight="1" x14ac:dyDescent="0.35">
      <c r="A205" s="281" t="s">
        <v>2</v>
      </c>
      <c r="B205" s="163"/>
      <c r="C205" s="163"/>
      <c r="D205" s="163"/>
      <c r="E205" s="163"/>
      <c r="F205" s="163"/>
      <c r="G205" s="163"/>
      <c r="H205" s="163"/>
      <c r="I205" s="221"/>
      <c r="J205" s="163"/>
      <c r="K205" s="163"/>
      <c r="L205" s="163"/>
      <c r="M205" s="163"/>
      <c r="N205" s="163"/>
      <c r="O205" s="163"/>
      <c r="P205" s="163"/>
      <c r="Q205" s="221"/>
      <c r="R205" s="163"/>
      <c r="S205" s="163"/>
      <c r="T205" s="163"/>
      <c r="U205" s="163"/>
      <c r="V205" s="163"/>
      <c r="W205" s="163"/>
      <c r="X205" s="163"/>
      <c r="Y205" s="221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51"/>
      <c r="AK205" s="351"/>
      <c r="AL205" s="352"/>
    </row>
    <row r="206" spans="1:38" ht="16.5" thickBot="1" x14ac:dyDescent="0.3">
      <c r="A206" s="264"/>
      <c r="B206" s="265"/>
      <c r="C206" s="265"/>
      <c r="D206" s="265"/>
      <c r="E206" s="265"/>
      <c r="F206" s="265"/>
      <c r="G206" s="265"/>
      <c r="H206" s="265"/>
      <c r="I206" s="56"/>
      <c r="J206" s="265"/>
      <c r="K206" s="265"/>
      <c r="L206" s="265"/>
      <c r="M206" s="265"/>
      <c r="N206" s="265"/>
      <c r="O206" s="265"/>
      <c r="P206" s="265"/>
      <c r="Q206" s="56"/>
      <c r="R206" s="265"/>
      <c r="S206" s="265"/>
      <c r="T206" s="265"/>
      <c r="U206" s="265"/>
      <c r="V206" s="265"/>
      <c r="W206" s="265"/>
      <c r="X206" s="265"/>
      <c r="Y206" s="56"/>
      <c r="Z206" s="265"/>
      <c r="AA206" s="265"/>
      <c r="AB206" s="265"/>
      <c r="AC206" s="265"/>
      <c r="AD206" s="265"/>
      <c r="AE206" s="265"/>
      <c r="AF206" s="265"/>
      <c r="AG206" s="265"/>
      <c r="AH206" s="265"/>
      <c r="AI206" s="265"/>
      <c r="AJ206" s="56"/>
      <c r="AK206" s="353"/>
      <c r="AL206" s="354"/>
    </row>
    <row r="207" spans="1:38" ht="24" thickBot="1" x14ac:dyDescent="0.4">
      <c r="A207" s="294" t="s">
        <v>174</v>
      </c>
      <c r="B207" s="295"/>
      <c r="C207" s="295"/>
      <c r="D207" s="295"/>
      <c r="E207" s="295"/>
      <c r="F207" s="295"/>
      <c r="G207" s="296"/>
      <c r="H207" s="297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8"/>
      <c r="AA207" s="298"/>
      <c r="AB207" s="298"/>
      <c r="AC207" s="298"/>
      <c r="AD207" s="298"/>
      <c r="AE207" s="298"/>
      <c r="AF207" s="298"/>
      <c r="AG207" s="298"/>
      <c r="AH207" s="298"/>
      <c r="AI207" s="298"/>
      <c r="AJ207" s="299"/>
      <c r="AK207" s="300"/>
      <c r="AL207" s="301"/>
    </row>
    <row r="208" spans="1:38" ht="16.5" thickBot="1" x14ac:dyDescent="0.3">
      <c r="A208" s="319" t="s">
        <v>20</v>
      </c>
      <c r="B208" s="322">
        <v>1</v>
      </c>
      <c r="C208" s="322">
        <v>2</v>
      </c>
      <c r="D208" s="322">
        <v>3</v>
      </c>
      <c r="E208" s="322">
        <v>4</v>
      </c>
      <c r="F208" s="322">
        <v>5</v>
      </c>
      <c r="G208" s="322">
        <v>6</v>
      </c>
      <c r="H208" s="322">
        <v>7</v>
      </c>
      <c r="I208" s="323" t="s">
        <v>6</v>
      </c>
      <c r="J208" s="322">
        <v>8</v>
      </c>
      <c r="K208" s="322">
        <v>9</v>
      </c>
      <c r="L208" s="322">
        <v>10</v>
      </c>
      <c r="M208" s="322">
        <v>11</v>
      </c>
      <c r="N208" s="322">
        <v>12</v>
      </c>
      <c r="O208" s="322">
        <v>13</v>
      </c>
      <c r="P208" s="322">
        <v>14</v>
      </c>
      <c r="Q208" s="323" t="s">
        <v>6</v>
      </c>
      <c r="R208" s="322">
        <v>15</v>
      </c>
      <c r="S208" s="322">
        <v>16</v>
      </c>
      <c r="T208" s="322">
        <v>17</v>
      </c>
      <c r="U208" s="322">
        <v>18</v>
      </c>
      <c r="V208" s="322">
        <v>19</v>
      </c>
      <c r="W208" s="322">
        <v>20</v>
      </c>
      <c r="X208" s="322">
        <v>21</v>
      </c>
      <c r="Y208" s="323" t="s">
        <v>6</v>
      </c>
      <c r="Z208" s="322">
        <v>22</v>
      </c>
      <c r="AA208" s="322">
        <v>23</v>
      </c>
      <c r="AB208" s="322">
        <v>24</v>
      </c>
      <c r="AC208" s="322">
        <v>25</v>
      </c>
      <c r="AD208" s="322">
        <v>26</v>
      </c>
      <c r="AE208" s="322">
        <v>27</v>
      </c>
      <c r="AF208" s="322">
        <v>28</v>
      </c>
      <c r="AG208" s="322">
        <v>29</v>
      </c>
      <c r="AH208" s="322">
        <v>30</v>
      </c>
      <c r="AI208" s="322">
        <v>31</v>
      </c>
      <c r="AJ208" s="324" t="s">
        <v>6</v>
      </c>
      <c r="AK208" s="325" t="s">
        <v>0</v>
      </c>
      <c r="AL208" s="395" t="s">
        <v>42</v>
      </c>
    </row>
    <row r="209" spans="1:38" x14ac:dyDescent="0.25">
      <c r="A209" s="302" t="s">
        <v>63</v>
      </c>
      <c r="B209" s="577">
        <v>0</v>
      </c>
      <c r="C209" s="577">
        <v>0</v>
      </c>
      <c r="D209" s="303">
        <v>30.64</v>
      </c>
      <c r="E209" s="577">
        <v>0</v>
      </c>
      <c r="F209" s="577">
        <v>0</v>
      </c>
      <c r="G209" s="577">
        <v>0</v>
      </c>
      <c r="H209" s="303">
        <v>22.08</v>
      </c>
      <c r="I209" s="304"/>
      <c r="J209" s="577">
        <v>0</v>
      </c>
      <c r="K209" s="577">
        <v>0</v>
      </c>
      <c r="L209" s="577">
        <v>0</v>
      </c>
      <c r="M209" s="577">
        <v>0</v>
      </c>
      <c r="N209" s="577">
        <v>0</v>
      </c>
      <c r="O209" s="303">
        <v>31.57</v>
      </c>
      <c r="P209" s="577">
        <v>0</v>
      </c>
      <c r="Q209" s="304"/>
      <c r="R209" s="577">
        <v>0</v>
      </c>
      <c r="S209" s="577">
        <v>0</v>
      </c>
      <c r="T209" s="577">
        <v>0</v>
      </c>
      <c r="U209" s="663">
        <v>0</v>
      </c>
      <c r="V209" s="663">
        <v>0</v>
      </c>
      <c r="W209" s="663">
        <v>35.630000000000003</v>
      </c>
      <c r="X209" s="303">
        <v>0</v>
      </c>
      <c r="Y209" s="304"/>
      <c r="Z209" s="303"/>
      <c r="AA209" s="303"/>
      <c r="AB209" s="411"/>
      <c r="AC209" s="411"/>
      <c r="AD209" s="411"/>
      <c r="AE209" s="303"/>
      <c r="AF209" s="303"/>
      <c r="AG209" s="303"/>
      <c r="AH209" s="303"/>
      <c r="AI209" s="303"/>
      <c r="AJ209" s="305"/>
      <c r="AK209" s="184"/>
      <c r="AL209" s="207"/>
    </row>
    <row r="210" spans="1:38" x14ac:dyDescent="0.25">
      <c r="A210" s="65" t="s">
        <v>64</v>
      </c>
      <c r="B210" s="537"/>
      <c r="C210" s="594"/>
      <c r="D210" s="537"/>
      <c r="E210" s="118">
        <v>23.64</v>
      </c>
      <c r="F210" s="537"/>
      <c r="G210" s="537"/>
      <c r="H210" s="537"/>
      <c r="I210" s="37"/>
      <c r="J210" s="594"/>
      <c r="K210" s="594"/>
      <c r="L210" s="537"/>
      <c r="M210" s="118">
        <v>32.56</v>
      </c>
      <c r="N210" s="537"/>
      <c r="O210" s="537"/>
      <c r="P210" s="537"/>
      <c r="Q210" s="37"/>
      <c r="R210" s="537"/>
      <c r="S210" s="118">
        <v>25.59</v>
      </c>
      <c r="T210" s="537"/>
      <c r="U210" s="665"/>
      <c r="V210" s="665"/>
      <c r="W210" s="665"/>
      <c r="X210" s="118"/>
      <c r="Y210" s="37"/>
      <c r="Z210" s="2"/>
      <c r="AA210" s="2"/>
      <c r="AB210" s="57"/>
      <c r="AC210" s="57"/>
      <c r="AD210" s="57"/>
      <c r="AE210" s="118"/>
      <c r="AF210" s="2"/>
      <c r="AG210" s="2"/>
      <c r="AH210" s="2"/>
      <c r="AI210" s="2"/>
      <c r="AJ210" s="37"/>
      <c r="AK210" s="38"/>
      <c r="AL210" s="197"/>
    </row>
    <row r="211" spans="1:38" x14ac:dyDescent="0.25">
      <c r="A211" s="65" t="s">
        <v>77</v>
      </c>
      <c r="B211" s="537"/>
      <c r="C211" s="594"/>
      <c r="D211" s="537"/>
      <c r="E211" s="537"/>
      <c r="F211" s="537"/>
      <c r="G211" s="537"/>
      <c r="H211" s="118">
        <v>37.72</v>
      </c>
      <c r="I211" s="37"/>
      <c r="J211" s="594"/>
      <c r="K211" s="594"/>
      <c r="L211" s="537"/>
      <c r="M211" s="537"/>
      <c r="N211" s="537"/>
      <c r="O211" s="537"/>
      <c r="P211" s="537"/>
      <c r="Q211" s="37"/>
      <c r="R211" s="1">
        <v>40</v>
      </c>
      <c r="S211" s="537"/>
      <c r="T211" s="537"/>
      <c r="U211" s="665"/>
      <c r="V211" s="665"/>
      <c r="W211" s="665"/>
      <c r="X211" s="118"/>
      <c r="Y211" s="37"/>
      <c r="Z211" s="2"/>
      <c r="AA211" s="2"/>
      <c r="AB211" s="57"/>
      <c r="AC211" s="57"/>
      <c r="AD211" s="57"/>
      <c r="AE211" s="118"/>
      <c r="AF211" s="2"/>
      <c r="AG211" s="2"/>
      <c r="AH211" s="2"/>
      <c r="AI211" s="2"/>
      <c r="AJ211" s="37"/>
      <c r="AK211" s="38"/>
      <c r="AL211" s="197"/>
    </row>
    <row r="212" spans="1:38" x14ac:dyDescent="0.25">
      <c r="A212" s="65" t="s">
        <v>65</v>
      </c>
      <c r="B212" s="118">
        <v>22.76</v>
      </c>
      <c r="C212" s="594"/>
      <c r="D212" s="118">
        <v>35.36</v>
      </c>
      <c r="E212" s="118">
        <v>20.79</v>
      </c>
      <c r="F212" s="118">
        <v>18.78</v>
      </c>
      <c r="G212" s="118">
        <v>21.06</v>
      </c>
      <c r="H212" s="530"/>
      <c r="I212" s="37"/>
      <c r="J212" s="118">
        <v>34.56</v>
      </c>
      <c r="K212" s="1">
        <v>29.8</v>
      </c>
      <c r="L212" s="537"/>
      <c r="M212" s="537"/>
      <c r="N212" s="537"/>
      <c r="O212" s="537"/>
      <c r="P212" s="530"/>
      <c r="Q212" s="37"/>
      <c r="R212" s="118">
        <v>23.21</v>
      </c>
      <c r="S212" s="537"/>
      <c r="T212" s="118">
        <v>39.44</v>
      </c>
      <c r="U212" s="665">
        <v>40</v>
      </c>
      <c r="V212" s="665">
        <v>33.799999999999997</v>
      </c>
      <c r="W212" s="665"/>
      <c r="X212" s="1"/>
      <c r="Y212" s="37"/>
      <c r="Z212" s="2"/>
      <c r="AA212" s="2"/>
      <c r="AB212" s="57"/>
      <c r="AC212" s="57"/>
      <c r="AD212" s="57"/>
      <c r="AE212" s="118"/>
      <c r="AF212" s="2"/>
      <c r="AG212" s="2"/>
      <c r="AH212" s="2"/>
      <c r="AI212" s="2"/>
      <c r="AJ212" s="47"/>
      <c r="AK212" s="48"/>
      <c r="AL212" s="197"/>
    </row>
    <row r="213" spans="1:38" x14ac:dyDescent="0.25">
      <c r="A213" s="65" t="s">
        <v>66</v>
      </c>
      <c r="B213" s="537"/>
      <c r="C213" s="594"/>
      <c r="D213" s="537"/>
      <c r="E213" s="1">
        <v>40</v>
      </c>
      <c r="F213" s="530"/>
      <c r="G213" s="118">
        <v>30.85</v>
      </c>
      <c r="H213" s="537"/>
      <c r="I213" s="37"/>
      <c r="J213" s="537"/>
      <c r="K213" s="537"/>
      <c r="L213" s="537"/>
      <c r="M213" s="1">
        <v>40</v>
      </c>
      <c r="N213" s="537"/>
      <c r="O213" s="537"/>
      <c r="P213" s="537"/>
      <c r="Q213" s="37"/>
      <c r="R213" s="537"/>
      <c r="S213" s="537"/>
      <c r="T213" s="537"/>
      <c r="U213" s="665"/>
      <c r="V213" s="665">
        <v>38.880000000000003</v>
      </c>
      <c r="W213" s="665"/>
      <c r="X213" s="118"/>
      <c r="Y213" s="37"/>
      <c r="Z213" s="2"/>
      <c r="AA213" s="2"/>
      <c r="AB213" s="57"/>
      <c r="AC213" s="57"/>
      <c r="AD213" s="57"/>
      <c r="AE213" s="118"/>
      <c r="AF213" s="2"/>
      <c r="AG213" s="2"/>
      <c r="AH213" s="2"/>
      <c r="AI213" s="2"/>
      <c r="AJ213" s="37"/>
      <c r="AK213" s="38"/>
      <c r="AL213" s="197"/>
    </row>
    <row r="214" spans="1:38" x14ac:dyDescent="0.25">
      <c r="A214" s="65" t="s">
        <v>67</v>
      </c>
      <c r="B214" s="537"/>
      <c r="C214" s="118">
        <v>31.41</v>
      </c>
      <c r="D214" s="537"/>
      <c r="E214" s="530"/>
      <c r="F214" s="530"/>
      <c r="G214" s="537"/>
      <c r="H214" s="537"/>
      <c r="I214" s="37"/>
      <c r="J214" s="118">
        <v>40.44</v>
      </c>
      <c r="K214" s="537"/>
      <c r="L214" s="537"/>
      <c r="M214" s="537"/>
      <c r="N214" s="530"/>
      <c r="O214" s="1">
        <v>40</v>
      </c>
      <c r="P214" s="537"/>
      <c r="Q214" s="37"/>
      <c r="R214" s="537"/>
      <c r="S214" s="118">
        <v>37.44</v>
      </c>
      <c r="T214" s="537"/>
      <c r="U214" s="665"/>
      <c r="V214" s="665"/>
      <c r="W214" s="665"/>
      <c r="X214" s="118"/>
      <c r="Y214" s="37"/>
      <c r="Z214" s="2"/>
      <c r="AA214" s="2"/>
      <c r="AB214" s="57"/>
      <c r="AC214" s="57"/>
      <c r="AD214" s="57"/>
      <c r="AE214" s="118"/>
      <c r="AF214" s="2"/>
      <c r="AG214" s="336"/>
      <c r="AH214" s="2"/>
      <c r="AI214" s="2"/>
      <c r="AJ214" s="37"/>
      <c r="AK214" s="38"/>
      <c r="AL214" s="197"/>
    </row>
    <row r="215" spans="1:38" x14ac:dyDescent="0.25">
      <c r="A215" s="65" t="s">
        <v>68</v>
      </c>
      <c r="B215" s="537"/>
      <c r="C215" s="537"/>
      <c r="D215" s="537"/>
      <c r="E215" s="530"/>
      <c r="F215" s="530"/>
      <c r="G215" s="537"/>
      <c r="H215" s="537"/>
      <c r="I215" s="37"/>
      <c r="J215" s="537"/>
      <c r="K215" s="537"/>
      <c r="L215" s="537"/>
      <c r="M215" s="537"/>
      <c r="N215" s="537"/>
      <c r="O215" s="1">
        <v>40</v>
      </c>
      <c r="P215" s="537"/>
      <c r="Q215" s="37"/>
      <c r="R215" s="537"/>
      <c r="S215" s="537"/>
      <c r="T215" s="537"/>
      <c r="U215" s="665"/>
      <c r="V215" s="665"/>
      <c r="W215" s="665"/>
      <c r="X215" s="118"/>
      <c r="Y215" s="37"/>
      <c r="Z215" s="2"/>
      <c r="AA215" s="2"/>
      <c r="AB215" s="57"/>
      <c r="AC215" s="57"/>
      <c r="AD215" s="57"/>
      <c r="AE215" s="118"/>
      <c r="AF215" s="2"/>
      <c r="AG215" s="2"/>
      <c r="AH215" s="2"/>
      <c r="AI215" s="2"/>
      <c r="AJ215" s="37"/>
      <c r="AK215" s="38"/>
      <c r="AL215" s="197"/>
    </row>
    <row r="216" spans="1:38" x14ac:dyDescent="0.25">
      <c r="A216" s="65" t="s">
        <v>78</v>
      </c>
      <c r="B216" s="537"/>
      <c r="C216" s="537"/>
      <c r="D216" s="537"/>
      <c r="E216" s="530"/>
      <c r="F216" s="530"/>
      <c r="G216" s="537"/>
      <c r="H216" s="537"/>
      <c r="I216" s="37"/>
      <c r="J216" s="537"/>
      <c r="K216" s="537"/>
      <c r="L216" s="537"/>
      <c r="M216" s="537"/>
      <c r="N216" s="537"/>
      <c r="O216" s="537"/>
      <c r="P216" s="537"/>
      <c r="Q216" s="37"/>
      <c r="R216" s="537"/>
      <c r="S216" s="537"/>
      <c r="T216" s="537"/>
      <c r="U216" s="665"/>
      <c r="V216" s="665"/>
      <c r="W216" s="665"/>
      <c r="X216" s="118"/>
      <c r="Y216" s="37"/>
      <c r="Z216" s="2"/>
      <c r="AA216" s="2"/>
      <c r="AB216" s="57"/>
      <c r="AC216" s="57"/>
      <c r="AD216" s="57"/>
      <c r="AE216" s="118"/>
      <c r="AF216" s="2"/>
      <c r="AG216" s="2"/>
      <c r="AH216" s="2"/>
      <c r="AI216" s="2"/>
      <c r="AJ216" s="37"/>
      <c r="AK216" s="38"/>
      <c r="AL216" s="197"/>
    </row>
    <row r="217" spans="1:38" x14ac:dyDescent="0.25">
      <c r="A217" s="65" t="s">
        <v>69</v>
      </c>
      <c r="B217" s="537"/>
      <c r="C217" s="537"/>
      <c r="D217" s="537"/>
      <c r="E217" s="530"/>
      <c r="F217" s="530"/>
      <c r="G217" s="537"/>
      <c r="H217" s="537"/>
      <c r="I217" s="37"/>
      <c r="J217" s="537"/>
      <c r="K217" s="1">
        <v>40</v>
      </c>
      <c r="L217" s="537"/>
      <c r="M217" s="537"/>
      <c r="N217" s="537"/>
      <c r="O217" s="537"/>
      <c r="P217" s="537"/>
      <c r="Q217" s="37"/>
      <c r="R217" s="537"/>
      <c r="S217" s="537"/>
      <c r="T217" s="537"/>
      <c r="U217" s="665"/>
      <c r="V217" s="665"/>
      <c r="W217" s="665">
        <v>31.29</v>
      </c>
      <c r="X217" s="118"/>
      <c r="Y217" s="37"/>
      <c r="Z217" s="2"/>
      <c r="AA217" s="2"/>
      <c r="AB217" s="57"/>
      <c r="AC217" s="57"/>
      <c r="AD217" s="57"/>
      <c r="AE217" s="118"/>
      <c r="AF217" s="2"/>
      <c r="AG217" s="2"/>
      <c r="AH217" s="2"/>
      <c r="AI217" s="2"/>
      <c r="AJ217" s="37"/>
      <c r="AK217" s="38"/>
      <c r="AL217" s="197"/>
    </row>
    <row r="218" spans="1:38" x14ac:dyDescent="0.25">
      <c r="A218" s="65" t="s">
        <v>70</v>
      </c>
      <c r="B218" s="537"/>
      <c r="C218" s="537"/>
      <c r="D218" s="537"/>
      <c r="E218" s="1">
        <v>40</v>
      </c>
      <c r="F218" s="530"/>
      <c r="G218" s="537"/>
      <c r="H218" s="537"/>
      <c r="I218" s="37"/>
      <c r="J218" s="537"/>
      <c r="K218" s="1">
        <v>40</v>
      </c>
      <c r="L218" s="537"/>
      <c r="M218" s="118">
        <v>29.09</v>
      </c>
      <c r="N218" s="537"/>
      <c r="O218" s="537"/>
      <c r="P218" s="537"/>
      <c r="Q218" s="37"/>
      <c r="R218" s="537"/>
      <c r="S218" s="537"/>
      <c r="T218" s="1">
        <v>40</v>
      </c>
      <c r="U218" s="665"/>
      <c r="V218" s="665">
        <v>34.22</v>
      </c>
      <c r="W218" s="665"/>
      <c r="X218" s="118"/>
      <c r="Y218" s="37"/>
      <c r="Z218" s="2"/>
      <c r="AA218" s="118"/>
      <c r="AB218" s="57"/>
      <c r="AC218" s="57"/>
      <c r="AD218" s="57"/>
      <c r="AE218" s="118"/>
      <c r="AF218" s="118"/>
      <c r="AG218" s="2"/>
      <c r="AH218" s="2"/>
      <c r="AI218" s="2"/>
      <c r="AJ218" s="37"/>
      <c r="AK218" s="38"/>
      <c r="AL218" s="197"/>
    </row>
    <row r="219" spans="1:38" x14ac:dyDescent="0.25">
      <c r="A219" s="65" t="s">
        <v>71</v>
      </c>
      <c r="B219" s="537"/>
      <c r="C219" s="537"/>
      <c r="D219" s="118">
        <v>50.21</v>
      </c>
      <c r="E219" s="530"/>
      <c r="F219" s="530"/>
      <c r="G219" s="537"/>
      <c r="H219" s="537"/>
      <c r="I219" s="37"/>
      <c r="J219" s="537"/>
      <c r="K219" s="537"/>
      <c r="L219" s="537"/>
      <c r="M219" s="537"/>
      <c r="N219" s="530"/>
      <c r="O219" s="537"/>
      <c r="P219" s="1">
        <v>40</v>
      </c>
      <c r="Q219" s="37"/>
      <c r="R219" s="537"/>
      <c r="S219" s="537"/>
      <c r="T219" s="530"/>
      <c r="U219" s="665"/>
      <c r="V219" s="665"/>
      <c r="W219" s="665"/>
      <c r="X219" s="118"/>
      <c r="Y219" s="37"/>
      <c r="Z219" s="2"/>
      <c r="AA219" s="2"/>
      <c r="AB219" s="57"/>
      <c r="AC219" s="57"/>
      <c r="AD219" s="57"/>
      <c r="AE219" s="118"/>
      <c r="AF219" s="2"/>
      <c r="AG219" s="2"/>
      <c r="AH219" s="2"/>
      <c r="AI219" s="2"/>
      <c r="AJ219" s="37"/>
      <c r="AK219" s="38"/>
      <c r="AL219" s="197"/>
    </row>
    <row r="220" spans="1:38" x14ac:dyDescent="0.25">
      <c r="A220" s="65" t="s">
        <v>72</v>
      </c>
      <c r="B220" s="537"/>
      <c r="C220" s="1">
        <v>40</v>
      </c>
      <c r="D220" s="537"/>
      <c r="E220" s="530"/>
      <c r="F220" s="530"/>
      <c r="G220" s="118">
        <v>37.659999999999997</v>
      </c>
      <c r="H220" s="537"/>
      <c r="I220" s="37"/>
      <c r="J220" s="537"/>
      <c r="K220" s="537"/>
      <c r="L220" s="537"/>
      <c r="M220" s="537"/>
      <c r="N220" s="537"/>
      <c r="O220" s="537"/>
      <c r="P220" s="537"/>
      <c r="Q220" s="37"/>
      <c r="R220" s="537"/>
      <c r="S220" s="537"/>
      <c r="T220" s="1">
        <v>40</v>
      </c>
      <c r="U220" s="665"/>
      <c r="V220" s="665">
        <v>19.39</v>
      </c>
      <c r="W220" s="665"/>
      <c r="X220" s="118"/>
      <c r="Y220" s="37"/>
      <c r="Z220" s="2"/>
      <c r="AA220" s="2"/>
      <c r="AB220" s="57"/>
      <c r="AC220" s="57"/>
      <c r="AD220" s="57"/>
      <c r="AE220" s="118"/>
      <c r="AF220" s="2"/>
      <c r="AG220" s="2"/>
      <c r="AH220" s="2"/>
      <c r="AI220" s="2"/>
      <c r="AJ220" s="37"/>
      <c r="AK220" s="38"/>
      <c r="AL220" s="197"/>
    </row>
    <row r="221" spans="1:38" x14ac:dyDescent="0.25">
      <c r="A221" s="65" t="s">
        <v>73</v>
      </c>
      <c r="B221" s="537"/>
      <c r="C221" s="1">
        <v>40</v>
      </c>
      <c r="D221" s="537"/>
      <c r="E221" s="530"/>
      <c r="F221" s="530"/>
      <c r="G221" s="537"/>
      <c r="H221" s="537"/>
      <c r="I221" s="37"/>
      <c r="J221" s="537"/>
      <c r="K221" s="118">
        <v>39.270000000000003</v>
      </c>
      <c r="L221" s="537"/>
      <c r="M221" s="537"/>
      <c r="N221" s="530"/>
      <c r="O221" s="537"/>
      <c r="P221" s="537"/>
      <c r="Q221" s="37"/>
      <c r="R221" s="537"/>
      <c r="S221" s="537"/>
      <c r="T221" s="537"/>
      <c r="U221" s="665"/>
      <c r="V221" s="665"/>
      <c r="W221" s="665">
        <v>40</v>
      </c>
      <c r="X221" s="118"/>
      <c r="Y221" s="37"/>
      <c r="Z221" s="2"/>
      <c r="AA221" s="1"/>
      <c r="AB221" s="57"/>
      <c r="AC221" s="57"/>
      <c r="AD221" s="57"/>
      <c r="AE221" s="118"/>
      <c r="AF221" s="2"/>
      <c r="AG221" s="2"/>
      <c r="AH221" s="2"/>
      <c r="AI221" s="2"/>
      <c r="AJ221" s="37"/>
      <c r="AK221" s="38"/>
      <c r="AL221" s="197"/>
    </row>
    <row r="222" spans="1:38" x14ac:dyDescent="0.25">
      <c r="A222" s="65" t="s">
        <v>74</v>
      </c>
      <c r="B222" s="1">
        <v>40</v>
      </c>
      <c r="C222" s="530"/>
      <c r="D222" s="1">
        <v>26.8</v>
      </c>
      <c r="E222" s="530"/>
      <c r="F222" s="1">
        <v>22.58</v>
      </c>
      <c r="G222" s="530"/>
      <c r="H222" s="537"/>
      <c r="I222" s="37"/>
      <c r="J222" s="118">
        <v>28.58</v>
      </c>
      <c r="K222" s="537"/>
      <c r="L222" s="537"/>
      <c r="M222" s="118">
        <v>26.1</v>
      </c>
      <c r="N222" s="537"/>
      <c r="O222" s="1">
        <v>24.71</v>
      </c>
      <c r="P222" s="537"/>
      <c r="Q222" s="37"/>
      <c r="R222" s="537"/>
      <c r="S222" s="537"/>
      <c r="T222" s="118">
        <v>38.56</v>
      </c>
      <c r="U222" s="665"/>
      <c r="V222" s="665"/>
      <c r="W222" s="665"/>
      <c r="X222" s="118"/>
      <c r="Y222" s="37"/>
      <c r="Z222" s="2"/>
      <c r="AA222" s="1"/>
      <c r="AB222" s="57"/>
      <c r="AC222" s="57"/>
      <c r="AD222" s="57"/>
      <c r="AE222" s="118"/>
      <c r="AF222" s="1"/>
      <c r="AG222" s="2"/>
      <c r="AH222" s="2"/>
      <c r="AI222" s="2"/>
      <c r="AJ222" s="37"/>
      <c r="AK222" s="38"/>
      <c r="AL222" s="197"/>
    </row>
    <row r="223" spans="1:38" x14ac:dyDescent="0.25">
      <c r="A223" s="65" t="s">
        <v>76</v>
      </c>
      <c r="B223" s="537"/>
      <c r="C223" s="530"/>
      <c r="D223" s="537"/>
      <c r="E223" s="1">
        <v>40</v>
      </c>
      <c r="F223" s="530"/>
      <c r="G223" s="118">
        <v>25.51</v>
      </c>
      <c r="H223" s="537"/>
      <c r="I223" s="37"/>
      <c r="J223" s="537"/>
      <c r="K223" s="118">
        <v>27.28</v>
      </c>
      <c r="L223" s="537"/>
      <c r="M223" s="537"/>
      <c r="N223" s="537"/>
      <c r="O223" s="118">
        <v>37.65</v>
      </c>
      <c r="P223" s="537"/>
      <c r="Q223" s="37"/>
      <c r="R223" s="537"/>
      <c r="S223" s="118">
        <v>31.74</v>
      </c>
      <c r="T223" s="537"/>
      <c r="U223" s="665"/>
      <c r="V223" s="665"/>
      <c r="W223" s="665"/>
      <c r="X223" s="118"/>
      <c r="Y223" s="37"/>
      <c r="Z223" s="2"/>
      <c r="AA223" s="2"/>
      <c r="AB223" s="57"/>
      <c r="AC223" s="57"/>
      <c r="AD223" s="57"/>
      <c r="AE223" s="118"/>
      <c r="AF223" s="2"/>
      <c r="AG223" s="2"/>
      <c r="AH223" s="2"/>
      <c r="AI223" s="2"/>
      <c r="AJ223" s="37"/>
      <c r="AK223" s="38"/>
      <c r="AL223" s="197"/>
    </row>
    <row r="224" spans="1:38" x14ac:dyDescent="0.25">
      <c r="A224" s="65" t="s">
        <v>75</v>
      </c>
      <c r="B224" s="537"/>
      <c r="C224" s="530"/>
      <c r="D224" s="537"/>
      <c r="E224" s="530"/>
      <c r="F224" s="530"/>
      <c r="G224" s="537"/>
      <c r="H224" s="537"/>
      <c r="I224" s="37"/>
      <c r="J224" s="537"/>
      <c r="K224" s="530"/>
      <c r="L224" s="537"/>
      <c r="M224" s="537"/>
      <c r="N224" s="537"/>
      <c r="O224" s="537"/>
      <c r="P224" s="537"/>
      <c r="Q224" s="37"/>
      <c r="R224" s="537"/>
      <c r="S224" s="530"/>
      <c r="T224" s="537"/>
      <c r="U224" s="665"/>
      <c r="V224" s="665"/>
      <c r="W224" s="665"/>
      <c r="X224" s="118"/>
      <c r="Y224" s="37"/>
      <c r="Z224" s="2"/>
      <c r="AA224" s="2"/>
      <c r="AB224" s="57"/>
      <c r="AC224" s="57"/>
      <c r="AD224" s="57"/>
      <c r="AE224" s="118"/>
      <c r="AF224" s="2"/>
      <c r="AG224" s="2"/>
      <c r="AH224" s="2"/>
      <c r="AI224" s="2"/>
      <c r="AJ224" s="37"/>
      <c r="AK224" s="38"/>
      <c r="AL224" s="197"/>
    </row>
    <row r="225" spans="1:39" x14ac:dyDescent="0.25">
      <c r="A225" s="65" t="s">
        <v>49</v>
      </c>
      <c r="B225" s="537"/>
      <c r="C225" s="530"/>
      <c r="D225" s="537"/>
      <c r="E225" s="530"/>
      <c r="F225" s="530"/>
      <c r="G225" s="537"/>
      <c r="H225" s="537"/>
      <c r="I225" s="37"/>
      <c r="J225" s="537"/>
      <c r="K225" s="537"/>
      <c r="L225" s="537"/>
      <c r="M225" s="537"/>
      <c r="N225" s="537"/>
      <c r="O225" s="537"/>
      <c r="P225" s="537"/>
      <c r="Q225" s="37"/>
      <c r="R225" s="537"/>
      <c r="S225" s="537"/>
      <c r="T225" s="537"/>
      <c r="U225" s="665"/>
      <c r="V225" s="665"/>
      <c r="W225" s="665"/>
      <c r="X225" s="118"/>
      <c r="Y225" s="37"/>
      <c r="Z225" s="2"/>
      <c r="AA225" s="2"/>
      <c r="AB225" s="57"/>
      <c r="AC225" s="57"/>
      <c r="AD225" s="57"/>
      <c r="AE225" s="118"/>
      <c r="AF225" s="2"/>
      <c r="AG225" s="2"/>
      <c r="AH225" s="2"/>
      <c r="AI225" s="2"/>
      <c r="AJ225" s="37"/>
      <c r="AK225" s="38"/>
      <c r="AL225" s="197"/>
    </row>
    <row r="226" spans="1:39" x14ac:dyDescent="0.25">
      <c r="A226" s="65" t="s">
        <v>435</v>
      </c>
      <c r="B226" s="537"/>
      <c r="C226" s="530"/>
      <c r="D226" s="537"/>
      <c r="E226" s="530"/>
      <c r="F226" s="530"/>
      <c r="G226" s="537"/>
      <c r="H226" s="537"/>
      <c r="I226" s="37"/>
      <c r="J226" s="537"/>
      <c r="K226" s="537"/>
      <c r="L226" s="537"/>
      <c r="M226" s="537"/>
      <c r="N226" s="537"/>
      <c r="O226" s="537"/>
      <c r="P226" s="537"/>
      <c r="Q226" s="37"/>
      <c r="R226" s="537"/>
      <c r="S226" s="537"/>
      <c r="T226" s="118">
        <v>25.54</v>
      </c>
      <c r="U226" s="665"/>
      <c r="V226" s="665"/>
      <c r="W226" s="665"/>
      <c r="X226" s="118"/>
      <c r="Y226" s="37"/>
      <c r="Z226" s="2"/>
      <c r="AA226" s="2"/>
      <c r="AB226" s="57"/>
      <c r="AC226" s="57"/>
      <c r="AD226" s="57"/>
      <c r="AE226" s="118"/>
      <c r="AF226" s="2"/>
      <c r="AG226" s="2"/>
      <c r="AH226" s="2"/>
      <c r="AI226" s="2"/>
      <c r="AJ226" s="37"/>
      <c r="AK226" s="38"/>
      <c r="AL226" s="197"/>
    </row>
    <row r="227" spans="1:39" x14ac:dyDescent="0.25">
      <c r="A227" s="65" t="s">
        <v>50</v>
      </c>
      <c r="B227" s="537"/>
      <c r="C227" s="530"/>
      <c r="D227" s="537"/>
      <c r="E227" s="530"/>
      <c r="F227" s="530"/>
      <c r="G227" s="537"/>
      <c r="H227" s="537"/>
      <c r="I227" s="37"/>
      <c r="J227" s="537"/>
      <c r="K227" s="537"/>
      <c r="L227" s="537"/>
      <c r="M227" s="537"/>
      <c r="N227" s="530"/>
      <c r="O227" s="537"/>
      <c r="P227" s="537"/>
      <c r="Q227" s="37"/>
      <c r="R227" s="537"/>
      <c r="S227" s="537"/>
      <c r="T227" s="537"/>
      <c r="U227" s="665"/>
      <c r="V227" s="665"/>
      <c r="W227" s="665"/>
      <c r="X227" s="118"/>
      <c r="Y227" s="37"/>
      <c r="Z227" s="2"/>
      <c r="AA227" s="2"/>
      <c r="AB227" s="57"/>
      <c r="AC227" s="57"/>
      <c r="AD227" s="57"/>
      <c r="AE227" s="118"/>
      <c r="AF227" s="2"/>
      <c r="AG227" s="2"/>
      <c r="AH227" s="2"/>
      <c r="AI227" s="2"/>
      <c r="AJ227" s="37"/>
      <c r="AK227" s="38"/>
      <c r="AL227" s="197"/>
    </row>
    <row r="228" spans="1:39" x14ac:dyDescent="0.25">
      <c r="A228" s="65" t="s">
        <v>51</v>
      </c>
      <c r="B228" s="537"/>
      <c r="C228" s="530"/>
      <c r="D228" s="537"/>
      <c r="E228" s="530"/>
      <c r="F228" s="530"/>
      <c r="G228" s="537"/>
      <c r="H228" s="537"/>
      <c r="I228" s="37"/>
      <c r="J228" s="537"/>
      <c r="K228" s="537"/>
      <c r="L228" s="537"/>
      <c r="M228" s="537"/>
      <c r="N228" s="537"/>
      <c r="O228" s="537"/>
      <c r="P228" s="537"/>
      <c r="Q228" s="37"/>
      <c r="R228" s="537"/>
      <c r="S228" s="537"/>
      <c r="T228" s="537"/>
      <c r="U228" s="665">
        <v>40</v>
      </c>
      <c r="V228" s="665"/>
      <c r="W228" s="665"/>
      <c r="X228" s="118"/>
      <c r="Y228" s="37"/>
      <c r="Z228" s="2"/>
      <c r="AA228" s="2"/>
      <c r="AB228" s="57"/>
      <c r="AC228" s="57"/>
      <c r="AD228" s="57"/>
      <c r="AE228" s="118"/>
      <c r="AF228" s="2"/>
      <c r="AG228" s="2"/>
      <c r="AH228" s="2"/>
      <c r="AI228" s="2"/>
      <c r="AJ228" s="37"/>
      <c r="AK228" s="38"/>
      <c r="AL228" s="197"/>
    </row>
    <row r="229" spans="1:39" x14ac:dyDescent="0.25">
      <c r="A229" s="65" t="s">
        <v>52</v>
      </c>
      <c r="B229" s="537"/>
      <c r="C229" s="530"/>
      <c r="D229" s="537"/>
      <c r="E229" s="530"/>
      <c r="F229" s="530"/>
      <c r="G229" s="118">
        <v>35.29</v>
      </c>
      <c r="H229" s="537"/>
      <c r="I229" s="37"/>
      <c r="J229" s="537"/>
      <c r="K229" s="537"/>
      <c r="L229" s="537"/>
      <c r="M229" s="537"/>
      <c r="N229" s="537"/>
      <c r="O229" s="537"/>
      <c r="P229" s="537"/>
      <c r="Q229" s="37"/>
      <c r="R229" s="537"/>
      <c r="S229" s="537"/>
      <c r="T229" s="537"/>
      <c r="U229" s="665"/>
      <c r="V229" s="665"/>
      <c r="W229" s="665"/>
      <c r="X229" s="118"/>
      <c r="Y229" s="37"/>
      <c r="Z229" s="2"/>
      <c r="AA229" s="2"/>
      <c r="AB229" s="57"/>
      <c r="AC229" s="57"/>
      <c r="AD229" s="57"/>
      <c r="AE229" s="118"/>
      <c r="AF229" s="2"/>
      <c r="AG229" s="2"/>
      <c r="AH229" s="2"/>
      <c r="AI229" s="2"/>
      <c r="AJ229" s="37"/>
      <c r="AK229" s="38"/>
      <c r="AL229" s="197"/>
    </row>
    <row r="230" spans="1:39" x14ac:dyDescent="0.25">
      <c r="A230" s="65" t="s">
        <v>53</v>
      </c>
      <c r="B230" s="537"/>
      <c r="C230" s="530"/>
      <c r="D230" s="537"/>
      <c r="E230" s="530"/>
      <c r="F230" s="530"/>
      <c r="G230" s="537"/>
      <c r="H230" s="537"/>
      <c r="I230" s="37"/>
      <c r="J230" s="537"/>
      <c r="K230" s="537"/>
      <c r="L230" s="537"/>
      <c r="M230" s="537"/>
      <c r="N230" s="537"/>
      <c r="O230" s="537"/>
      <c r="P230" s="537"/>
      <c r="Q230" s="37"/>
      <c r="R230" s="537"/>
      <c r="S230" s="537"/>
      <c r="T230" s="537"/>
      <c r="U230" s="665"/>
      <c r="V230" s="665"/>
      <c r="W230" s="665"/>
      <c r="X230" s="118"/>
      <c r="Y230" s="37"/>
      <c r="Z230" s="2"/>
      <c r="AA230" s="2"/>
      <c r="AB230" s="57"/>
      <c r="AC230" s="57"/>
      <c r="AD230" s="57"/>
      <c r="AE230" s="118"/>
      <c r="AF230" s="2"/>
      <c r="AG230" s="2"/>
      <c r="AH230" s="2"/>
      <c r="AI230" s="2"/>
      <c r="AJ230" s="37"/>
      <c r="AK230" s="38"/>
      <c r="AL230" s="197"/>
    </row>
    <row r="231" spans="1:39" x14ac:dyDescent="0.25">
      <c r="A231" s="65" t="s">
        <v>98</v>
      </c>
      <c r="B231" s="537"/>
      <c r="C231" s="530"/>
      <c r="D231" s="537"/>
      <c r="E231" s="530"/>
      <c r="F231" s="530"/>
      <c r="G231" s="537"/>
      <c r="H231" s="1">
        <v>40</v>
      </c>
      <c r="I231" s="37"/>
      <c r="J231" s="537"/>
      <c r="K231" s="537"/>
      <c r="L231" s="537"/>
      <c r="M231" s="537"/>
      <c r="N231" s="537"/>
      <c r="O231" s="537"/>
      <c r="P231" s="537"/>
      <c r="Q231" s="37"/>
      <c r="R231" s="537"/>
      <c r="S231" s="1">
        <v>80</v>
      </c>
      <c r="T231" s="537"/>
      <c r="U231" s="665"/>
      <c r="V231" s="665"/>
      <c r="W231" s="665"/>
      <c r="X231" s="118"/>
      <c r="Y231" s="37"/>
      <c r="Z231" s="2"/>
      <c r="AA231" s="2"/>
      <c r="AB231" s="57"/>
      <c r="AC231" s="57"/>
      <c r="AD231" s="57"/>
      <c r="AE231" s="118"/>
      <c r="AF231" s="2"/>
      <c r="AG231" s="2"/>
      <c r="AH231" s="2"/>
      <c r="AI231" s="2"/>
      <c r="AJ231" s="37"/>
      <c r="AK231" s="38"/>
      <c r="AL231" s="197"/>
    </row>
    <row r="232" spans="1:39" ht="18.75" x14ac:dyDescent="0.3">
      <c r="A232" s="65" t="s">
        <v>83</v>
      </c>
      <c r="B232" s="581"/>
      <c r="C232" s="153">
        <v>40</v>
      </c>
      <c r="D232" s="967">
        <v>20</v>
      </c>
      <c r="E232" s="153">
        <v>14.22</v>
      </c>
      <c r="F232" s="576"/>
      <c r="G232" s="153">
        <v>27.88</v>
      </c>
      <c r="H232" s="581"/>
      <c r="I232" s="269"/>
      <c r="J232" s="581"/>
      <c r="K232" s="153">
        <v>40</v>
      </c>
      <c r="L232" s="581"/>
      <c r="M232" s="581"/>
      <c r="N232" s="581"/>
      <c r="O232" s="576"/>
      <c r="P232" s="581"/>
      <c r="Q232" s="269"/>
      <c r="R232" s="581"/>
      <c r="S232" s="581"/>
      <c r="T232" s="1004">
        <v>25.95</v>
      </c>
      <c r="U232" s="436"/>
      <c r="V232" s="436"/>
      <c r="W232" s="367">
        <v>22.24</v>
      </c>
      <c r="X232" s="268"/>
      <c r="Y232" s="269"/>
      <c r="Z232" s="270"/>
      <c r="AA232" s="152"/>
      <c r="AB232" s="175"/>
      <c r="AC232" s="239"/>
      <c r="AD232" s="175"/>
      <c r="AE232" s="152"/>
      <c r="AF232" s="270"/>
      <c r="AG232" s="356"/>
      <c r="AH232" s="270"/>
      <c r="AI232" s="270"/>
      <c r="AJ232" s="269"/>
      <c r="AK232" s="271"/>
      <c r="AL232" s="204"/>
    </row>
    <row r="233" spans="1:39" x14ac:dyDescent="0.25">
      <c r="A233" s="65" t="s">
        <v>84</v>
      </c>
      <c r="B233" s="587"/>
      <c r="C233" s="588"/>
      <c r="D233" s="242">
        <v>39.83</v>
      </c>
      <c r="E233" s="587"/>
      <c r="F233" s="588"/>
      <c r="G233" s="583"/>
      <c r="H233" s="583"/>
      <c r="I233" s="49"/>
      <c r="J233" s="587"/>
      <c r="K233" s="242">
        <v>26.05</v>
      </c>
      <c r="L233" s="587"/>
      <c r="M233" s="242">
        <v>40</v>
      </c>
      <c r="N233" s="242">
        <v>24.61</v>
      </c>
      <c r="O233" s="583"/>
      <c r="P233" s="711">
        <v>40</v>
      </c>
      <c r="Q233" s="49"/>
      <c r="R233" s="587"/>
      <c r="S233" s="588"/>
      <c r="T233" s="587"/>
      <c r="U233" s="242"/>
      <c r="V233" s="242"/>
      <c r="W233" s="242">
        <v>26.95</v>
      </c>
      <c r="X233" s="18"/>
      <c r="Y233" s="49"/>
      <c r="Z233" s="134"/>
      <c r="AA233" s="134"/>
      <c r="AB233" s="432"/>
      <c r="AC233" s="159"/>
      <c r="AD233" s="432"/>
      <c r="AE233" s="134"/>
      <c r="AF233" s="240"/>
      <c r="AG233" s="247"/>
      <c r="AH233" s="134"/>
      <c r="AI233" s="134"/>
      <c r="AJ233" s="49"/>
      <c r="AK233" s="133"/>
      <c r="AL233" s="197"/>
    </row>
    <row r="234" spans="1:39" x14ac:dyDescent="0.25">
      <c r="A234" s="65" t="s">
        <v>85</v>
      </c>
      <c r="B234" s="587"/>
      <c r="C234" s="587"/>
      <c r="D234" s="587"/>
      <c r="E234" s="587"/>
      <c r="F234" s="587"/>
      <c r="G234" s="583"/>
      <c r="H234" s="583"/>
      <c r="I234" s="49"/>
      <c r="J234" s="242">
        <v>25.55</v>
      </c>
      <c r="K234" s="587"/>
      <c r="L234" s="587"/>
      <c r="M234" s="588"/>
      <c r="N234" s="583"/>
      <c r="O234" s="240">
        <v>29.79</v>
      </c>
      <c r="P234" s="583"/>
      <c r="Q234" s="49"/>
      <c r="R234" s="587"/>
      <c r="S234" s="587"/>
      <c r="T234" s="587"/>
      <c r="U234" s="242"/>
      <c r="V234" s="242"/>
      <c r="W234" s="242">
        <v>31.68</v>
      </c>
      <c r="X234" s="18"/>
      <c r="Y234" s="49"/>
      <c r="Z234" s="134"/>
      <c r="AA234" s="134"/>
      <c r="AB234" s="432"/>
      <c r="AC234" s="159"/>
      <c r="AD234" s="432"/>
      <c r="AE234" s="134"/>
      <c r="AF234" s="134"/>
      <c r="AG234" s="247"/>
      <c r="AH234" s="134"/>
      <c r="AI234" s="134"/>
      <c r="AJ234" s="49"/>
      <c r="AK234" s="133"/>
      <c r="AL234" s="197"/>
      <c r="AM234" s="187"/>
    </row>
    <row r="235" spans="1:39" ht="18.75" x14ac:dyDescent="0.3">
      <c r="A235" s="65" t="s">
        <v>62</v>
      </c>
      <c r="B235" s="583"/>
      <c r="C235" s="583"/>
      <c r="D235" s="582"/>
      <c r="E235" s="587"/>
      <c r="F235" s="587"/>
      <c r="G235" s="583"/>
      <c r="H235" s="583"/>
      <c r="I235" s="244"/>
      <c r="J235" s="583"/>
      <c r="K235" s="583"/>
      <c r="L235" s="582"/>
      <c r="M235" s="588"/>
      <c r="N235" s="583"/>
      <c r="O235" s="582"/>
      <c r="P235" s="583"/>
      <c r="Q235" s="244"/>
      <c r="R235" s="583"/>
      <c r="S235" s="445">
        <v>40</v>
      </c>
      <c r="T235" s="582"/>
      <c r="U235" s="242"/>
      <c r="V235" s="242"/>
      <c r="W235" s="242"/>
      <c r="X235" s="112"/>
      <c r="Y235" s="244"/>
      <c r="Z235" s="112"/>
      <c r="AA235" s="112"/>
      <c r="AB235" s="115"/>
      <c r="AC235" s="242"/>
      <c r="AD235" s="242"/>
      <c r="AE235" s="112"/>
      <c r="AF235" s="112"/>
      <c r="AG235" s="337"/>
      <c r="AH235" s="112"/>
      <c r="AI235" s="112"/>
      <c r="AJ235" s="244"/>
      <c r="AK235" s="170"/>
      <c r="AL235" s="197"/>
    </row>
    <row r="236" spans="1:39" ht="15.75" customHeight="1" x14ac:dyDescent="0.35">
      <c r="A236" s="65" t="s">
        <v>61</v>
      </c>
      <c r="B236" s="537"/>
      <c r="C236" s="537"/>
      <c r="D236" s="537"/>
      <c r="E236" s="12">
        <v>40</v>
      </c>
      <c r="F236" s="12">
        <v>40</v>
      </c>
      <c r="G236" s="537"/>
      <c r="H236" s="530"/>
      <c r="I236" s="289"/>
      <c r="J236" s="537"/>
      <c r="K236" s="12">
        <v>40</v>
      </c>
      <c r="L236" s="537"/>
      <c r="M236" s="445">
        <v>40</v>
      </c>
      <c r="N236" s="537"/>
      <c r="O236" s="582"/>
      <c r="P236" s="533">
        <v>40</v>
      </c>
      <c r="Q236" s="289"/>
      <c r="R236" s="537"/>
      <c r="S236" s="537"/>
      <c r="T236" s="537"/>
      <c r="U236" s="432"/>
      <c r="V236" s="432">
        <v>40</v>
      </c>
      <c r="W236" s="242">
        <v>31.48</v>
      </c>
      <c r="X236" s="12"/>
      <c r="Y236" s="289"/>
      <c r="Z236" s="131"/>
      <c r="AA236" s="287"/>
      <c r="AB236" s="433"/>
      <c r="AC236" s="135"/>
      <c r="AD236" s="434"/>
      <c r="AE236" s="365"/>
      <c r="AF236" s="131"/>
      <c r="AG236" s="431"/>
      <c r="AH236" s="287"/>
      <c r="AI236" s="287"/>
      <c r="AJ236" s="289"/>
      <c r="AK236" s="255"/>
      <c r="AL236" s="292"/>
    </row>
    <row r="237" spans="1:39" x14ac:dyDescent="0.25">
      <c r="A237" s="66" t="s">
        <v>86</v>
      </c>
      <c r="B237" s="584"/>
      <c r="C237" s="584"/>
      <c r="D237" s="584"/>
      <c r="E237" s="589"/>
      <c r="F237" s="586"/>
      <c r="G237" s="584"/>
      <c r="H237" s="584"/>
      <c r="I237" s="290"/>
      <c r="J237" s="367">
        <v>26.6</v>
      </c>
      <c r="K237" s="584"/>
      <c r="L237" s="584"/>
      <c r="M237" s="586"/>
      <c r="N237" s="585"/>
      <c r="O237" s="338">
        <v>21.75</v>
      </c>
      <c r="P237" s="584"/>
      <c r="Q237" s="290"/>
      <c r="R237" s="584"/>
      <c r="S237" s="584"/>
      <c r="T237" s="584"/>
      <c r="U237" s="436"/>
      <c r="V237" s="367"/>
      <c r="W237" s="367">
        <v>24</v>
      </c>
      <c r="X237" s="288"/>
      <c r="Y237" s="290"/>
      <c r="Z237" s="288"/>
      <c r="AA237" s="288"/>
      <c r="AB237" s="435"/>
      <c r="AC237" s="435"/>
      <c r="AD237" s="436"/>
      <c r="AE237" s="288"/>
      <c r="AF237" s="338"/>
      <c r="AG237" s="427"/>
      <c r="AH237" s="288"/>
      <c r="AI237" s="288"/>
      <c r="AJ237" s="290"/>
      <c r="AK237" s="291"/>
      <c r="AL237" s="204"/>
    </row>
    <row r="238" spans="1:39" x14ac:dyDescent="0.25">
      <c r="A238" s="66" t="s">
        <v>100</v>
      </c>
      <c r="B238" s="589"/>
      <c r="C238" s="589"/>
      <c r="D238" s="589"/>
      <c r="E238" s="584"/>
      <c r="F238" s="584"/>
      <c r="G238" s="584"/>
      <c r="H238" s="584"/>
      <c r="I238" s="290"/>
      <c r="J238" s="589"/>
      <c r="K238" s="589"/>
      <c r="L238" s="589"/>
      <c r="M238" s="586"/>
      <c r="N238" s="584"/>
      <c r="O238" s="585"/>
      <c r="P238" s="584"/>
      <c r="Q238" s="290"/>
      <c r="R238" s="589"/>
      <c r="S238" s="589"/>
      <c r="T238" s="589"/>
      <c r="U238" s="367"/>
      <c r="V238" s="367"/>
      <c r="W238" s="367"/>
      <c r="X238" s="164"/>
      <c r="Y238" s="290"/>
      <c r="Z238" s="288"/>
      <c r="AA238" s="288"/>
      <c r="AB238" s="435"/>
      <c r="AC238" s="435"/>
      <c r="AD238" s="436"/>
      <c r="AE238" s="288"/>
      <c r="AF238" s="288"/>
      <c r="AG238" s="427"/>
      <c r="AH238" s="288"/>
      <c r="AI238" s="332"/>
      <c r="AJ238" s="290"/>
      <c r="AK238" s="46"/>
      <c r="AL238" s="204"/>
    </row>
    <row r="239" spans="1:39" x14ac:dyDescent="0.25">
      <c r="A239" s="66" t="s">
        <v>35</v>
      </c>
      <c r="B239" s="589"/>
      <c r="C239" s="589"/>
      <c r="D239" s="589"/>
      <c r="E239" s="584"/>
      <c r="F239" s="584"/>
      <c r="G239" s="584"/>
      <c r="H239" s="584"/>
      <c r="I239" s="290"/>
      <c r="J239" s="589"/>
      <c r="K239" s="589"/>
      <c r="L239" s="589"/>
      <c r="M239" s="586"/>
      <c r="N239" s="584"/>
      <c r="O239" s="585"/>
      <c r="P239" s="584"/>
      <c r="Q239" s="290"/>
      <c r="R239" s="589"/>
      <c r="S239" s="589"/>
      <c r="T239" s="589"/>
      <c r="U239" s="367"/>
      <c r="V239" s="367"/>
      <c r="W239" s="367"/>
      <c r="X239" s="164"/>
      <c r="Y239" s="290"/>
      <c r="Z239" s="288"/>
      <c r="AA239" s="288"/>
      <c r="AB239" s="435"/>
      <c r="AC239" s="435"/>
      <c r="AD239" s="436"/>
      <c r="AE239" s="288"/>
      <c r="AF239" s="288"/>
      <c r="AG239" s="443"/>
      <c r="AH239" s="288"/>
      <c r="AI239" s="332"/>
      <c r="AJ239" s="290"/>
      <c r="AK239" s="46"/>
      <c r="AL239" s="204"/>
    </row>
    <row r="240" spans="1:39" ht="18.75" x14ac:dyDescent="0.3">
      <c r="A240" s="514" t="s">
        <v>442</v>
      </c>
      <c r="B240" s="589"/>
      <c r="C240" s="367">
        <v>36.49</v>
      </c>
      <c r="D240" s="589"/>
      <c r="E240" s="584"/>
      <c r="F240" s="338">
        <v>18.84</v>
      </c>
      <c r="G240" s="584"/>
      <c r="H240" s="585"/>
      <c r="I240" s="290"/>
      <c r="J240" s="367">
        <v>26.09</v>
      </c>
      <c r="K240" s="589"/>
      <c r="L240" s="589"/>
      <c r="M240" s="367">
        <v>24.76</v>
      </c>
      <c r="N240" s="584"/>
      <c r="O240" s="338">
        <v>13.32</v>
      </c>
      <c r="P240" s="585"/>
      <c r="Q240" s="290"/>
      <c r="R240" s="589"/>
      <c r="S240" s="367">
        <v>32.119999999999997</v>
      </c>
      <c r="T240" s="589"/>
      <c r="U240" s="367"/>
      <c r="V240" s="367">
        <v>28.71</v>
      </c>
      <c r="W240" s="367"/>
      <c r="X240" s="338"/>
      <c r="Y240" s="290"/>
      <c r="Z240" s="288"/>
      <c r="AA240" s="288"/>
      <c r="AB240" s="436"/>
      <c r="AC240" s="435"/>
      <c r="AD240" s="436"/>
      <c r="AE240" s="288"/>
      <c r="AF240" s="288"/>
      <c r="AG240" s="288"/>
      <c r="AH240" s="288"/>
      <c r="AI240" s="332"/>
      <c r="AJ240" s="290"/>
      <c r="AK240" s="342"/>
      <c r="AL240" s="204"/>
    </row>
    <row r="241" spans="1:38" ht="18.75" x14ac:dyDescent="0.3">
      <c r="A241" s="514" t="s">
        <v>88</v>
      </c>
      <c r="B241" s="587"/>
      <c r="C241" s="587"/>
      <c r="D241" s="587"/>
      <c r="E241" s="583"/>
      <c r="F241" s="588"/>
      <c r="G241" s="583"/>
      <c r="H241" s="583"/>
      <c r="I241" s="49"/>
      <c r="J241" s="587"/>
      <c r="K241" s="587"/>
      <c r="L241" s="587"/>
      <c r="M241" s="583"/>
      <c r="N241" s="588"/>
      <c r="O241" s="583"/>
      <c r="P241" s="583"/>
      <c r="Q241" s="49"/>
      <c r="R241" s="587"/>
      <c r="S241" s="587"/>
      <c r="T241" s="587"/>
      <c r="U241" s="242"/>
      <c r="V241" s="242"/>
      <c r="W241" s="242"/>
      <c r="X241" s="18"/>
      <c r="Y241" s="49"/>
      <c r="Z241" s="134"/>
      <c r="AA241" s="134"/>
      <c r="AB241" s="159"/>
      <c r="AC241" s="159"/>
      <c r="AD241" s="432"/>
      <c r="AE241" s="134"/>
      <c r="AF241" s="134"/>
      <c r="AG241" s="134"/>
      <c r="AH241" s="134"/>
      <c r="AI241" s="134"/>
      <c r="AJ241" s="49"/>
      <c r="AK241" s="378"/>
      <c r="AL241" s="309"/>
    </row>
    <row r="242" spans="1:38" ht="18.75" x14ac:dyDescent="0.3">
      <c r="A242" s="514" t="s">
        <v>443</v>
      </c>
      <c r="B242" s="587"/>
      <c r="C242" s="587"/>
      <c r="D242" s="587"/>
      <c r="E242" s="583"/>
      <c r="F242" s="588"/>
      <c r="G242" s="583"/>
      <c r="H242" s="583"/>
      <c r="I242" s="49"/>
      <c r="J242" s="587"/>
      <c r="K242" s="587"/>
      <c r="L242" s="587"/>
      <c r="M242" s="583"/>
      <c r="N242" s="588"/>
      <c r="O242" s="583"/>
      <c r="P242" s="583"/>
      <c r="Q242" s="49"/>
      <c r="R242" s="587"/>
      <c r="S242" s="587"/>
      <c r="T242" s="587"/>
      <c r="U242" s="242"/>
      <c r="V242" s="242">
        <v>38.229999999999997</v>
      </c>
      <c r="W242" s="242"/>
      <c r="X242" s="18"/>
      <c r="Y242" s="49"/>
      <c r="Z242" s="134"/>
      <c r="AA242" s="134"/>
      <c r="AB242" s="159"/>
      <c r="AC242" s="159"/>
      <c r="AD242" s="432"/>
      <c r="AE242" s="134"/>
      <c r="AF242" s="134"/>
      <c r="AG242" s="134"/>
      <c r="AH242" s="134"/>
      <c r="AI242" s="134"/>
      <c r="AJ242" s="49"/>
      <c r="AK242" s="378"/>
      <c r="AL242" s="309"/>
    </row>
    <row r="243" spans="1:38" ht="18.75" x14ac:dyDescent="0.3">
      <c r="A243" s="514" t="s">
        <v>441</v>
      </c>
      <c r="B243" s="587"/>
      <c r="C243" s="587"/>
      <c r="D243" s="587"/>
      <c r="E243" s="583"/>
      <c r="F243" s="588"/>
      <c r="G243" s="583"/>
      <c r="H243" s="583"/>
      <c r="I243" s="49"/>
      <c r="J243" s="587"/>
      <c r="K243" s="587"/>
      <c r="L243" s="587"/>
      <c r="M243" s="583"/>
      <c r="N243" s="242">
        <v>37.06</v>
      </c>
      <c r="O243" s="583"/>
      <c r="P243" s="583"/>
      <c r="Q243" s="49"/>
      <c r="R243" s="587"/>
      <c r="S243" s="587"/>
      <c r="T243" s="587"/>
      <c r="U243" s="242"/>
      <c r="V243" s="242"/>
      <c r="W243" s="242"/>
      <c r="X243" s="18"/>
      <c r="Y243" s="49"/>
      <c r="Z243" s="134"/>
      <c r="AA243" s="134"/>
      <c r="AB243" s="159"/>
      <c r="AC243" s="159"/>
      <c r="AD243" s="432"/>
      <c r="AE243" s="134"/>
      <c r="AF243" s="134"/>
      <c r="AG243" s="134"/>
      <c r="AH243" s="134"/>
      <c r="AI243" s="134"/>
      <c r="AJ243" s="49"/>
      <c r="AK243" s="378"/>
      <c r="AL243" s="309"/>
    </row>
    <row r="244" spans="1:38" ht="18.75" x14ac:dyDescent="0.3">
      <c r="A244" s="514" t="s">
        <v>427</v>
      </c>
      <c r="B244" s="587"/>
      <c r="C244" s="587"/>
      <c r="D244" s="587"/>
      <c r="E244" s="583"/>
      <c r="F244" s="242">
        <v>40</v>
      </c>
      <c r="G244" s="583"/>
      <c r="H244" s="583"/>
      <c r="I244" s="49"/>
      <c r="J244" s="587"/>
      <c r="K244" s="587"/>
      <c r="L244" s="242">
        <v>40</v>
      </c>
      <c r="M244" s="583"/>
      <c r="N244" s="588"/>
      <c r="O244" s="583"/>
      <c r="P244" s="583"/>
      <c r="Q244" s="49"/>
      <c r="R244" s="711">
        <v>40</v>
      </c>
      <c r="S244" s="587"/>
      <c r="T244" s="587"/>
      <c r="U244" s="242"/>
      <c r="V244" s="242"/>
      <c r="W244" s="242">
        <v>40</v>
      </c>
      <c r="X244" s="18"/>
      <c r="Y244" s="49"/>
      <c r="Z244" s="242"/>
      <c r="AA244" s="134"/>
      <c r="AB244" s="159"/>
      <c r="AC244" s="159"/>
      <c r="AD244" s="159"/>
      <c r="AE244" s="242"/>
      <c r="AF244" s="134"/>
      <c r="AG244" s="134"/>
      <c r="AH244" s="134"/>
      <c r="AI244" s="134"/>
      <c r="AJ244" s="49"/>
      <c r="AK244" s="378"/>
      <c r="AL244" s="309"/>
    </row>
    <row r="245" spans="1:38" x14ac:dyDescent="0.25">
      <c r="A245" s="514" t="s">
        <v>433</v>
      </c>
      <c r="B245" s="583"/>
      <c r="C245" s="583"/>
      <c r="D245" s="588"/>
      <c r="E245" s="583"/>
      <c r="F245" s="588"/>
      <c r="G245" s="583"/>
      <c r="H245" s="583"/>
      <c r="I245" s="369"/>
      <c r="J245" s="583"/>
      <c r="K245" s="583"/>
      <c r="L245" s="588"/>
      <c r="M245" s="583"/>
      <c r="N245" s="588"/>
      <c r="O245" s="583"/>
      <c r="P245" s="583"/>
      <c r="Q245" s="516"/>
      <c r="R245" s="583"/>
      <c r="S245" s="583"/>
      <c r="T245" s="588"/>
      <c r="U245" s="242"/>
      <c r="V245" s="242"/>
      <c r="W245" s="242"/>
      <c r="X245" s="150"/>
      <c r="Y245" s="516"/>
      <c r="Z245" s="112"/>
      <c r="AA245" s="112"/>
      <c r="AB245" s="115"/>
      <c r="AC245" s="115"/>
      <c r="AD245" s="115"/>
      <c r="AE245" s="112"/>
      <c r="AF245" s="112"/>
      <c r="AG245" s="112"/>
      <c r="AH245" s="112"/>
      <c r="AI245" s="112"/>
      <c r="AJ245" s="516"/>
      <c r="AK245" s="333"/>
      <c r="AL245" s="309"/>
    </row>
    <row r="246" spans="1:38" x14ac:dyDescent="0.25">
      <c r="A246" s="514" t="s">
        <v>87</v>
      </c>
      <c r="B246" s="581"/>
      <c r="C246" s="581"/>
      <c r="D246" s="581"/>
      <c r="E246" s="581"/>
      <c r="F246" s="581"/>
      <c r="G246" s="581"/>
      <c r="H246" s="581"/>
      <c r="I246" s="357"/>
      <c r="J246" s="581"/>
      <c r="K246" s="581"/>
      <c r="L246" s="581"/>
      <c r="M246" s="153">
        <v>40</v>
      </c>
      <c r="N246" s="581"/>
      <c r="O246" s="581"/>
      <c r="P246" s="581"/>
      <c r="Q246" s="357"/>
      <c r="R246" s="581"/>
      <c r="S246" s="581"/>
      <c r="T246" s="581"/>
      <c r="U246" s="436"/>
      <c r="V246" s="367"/>
      <c r="W246" s="1009"/>
      <c r="X246" s="356"/>
      <c r="Y246" s="357"/>
      <c r="Z246" s="356"/>
      <c r="AA246" s="356"/>
      <c r="AB246" s="175"/>
      <c r="AC246" s="175"/>
      <c r="AD246" s="175"/>
      <c r="AE246" s="152"/>
      <c r="AF246" s="356"/>
      <c r="AG246" s="356"/>
      <c r="AH246" s="356"/>
      <c r="AI246" s="356"/>
      <c r="AJ246" s="357"/>
      <c r="AK246" s="358"/>
      <c r="AL246" s="359"/>
    </row>
    <row r="247" spans="1:38" ht="15.75" x14ac:dyDescent="0.25">
      <c r="A247" s="514" t="s">
        <v>434</v>
      </c>
      <c r="B247" s="581"/>
      <c r="C247" s="581"/>
      <c r="D247" s="581"/>
      <c r="E247" s="581"/>
      <c r="F247" s="581"/>
      <c r="G247" s="581"/>
      <c r="H247" s="581"/>
      <c r="I247" s="357"/>
      <c r="J247" s="581"/>
      <c r="K247" s="581"/>
      <c r="L247" s="581"/>
      <c r="M247" s="581"/>
      <c r="N247" s="581"/>
      <c r="O247" s="581"/>
      <c r="P247" s="581"/>
      <c r="Q247" s="357"/>
      <c r="R247" s="581"/>
      <c r="S247" s="581"/>
      <c r="T247" s="581"/>
      <c r="U247" s="436"/>
      <c r="V247" s="367"/>
      <c r="W247" s="1009"/>
      <c r="X247" s="356"/>
      <c r="Y247" s="357"/>
      <c r="Z247" s="356"/>
      <c r="AA247" s="356"/>
      <c r="AB247" s="175"/>
      <c r="AC247" s="175"/>
      <c r="AD247" s="175"/>
      <c r="AE247" s="152"/>
      <c r="AF247" s="356"/>
      <c r="AG247" s="356"/>
      <c r="AH247" s="356"/>
      <c r="AI247" s="356"/>
      <c r="AJ247" s="357"/>
      <c r="AK247" s="117">
        <v>1200.83</v>
      </c>
      <c r="AL247" s="359"/>
    </row>
    <row r="248" spans="1:38" ht="15.75" x14ac:dyDescent="0.25">
      <c r="A248" s="514" t="s">
        <v>99</v>
      </c>
      <c r="B248" s="586"/>
      <c r="C248" s="586"/>
      <c r="D248" s="367">
        <v>31.31</v>
      </c>
      <c r="E248" s="586"/>
      <c r="F248" s="586"/>
      <c r="G248" s="586"/>
      <c r="H248" s="586"/>
      <c r="I248" s="374"/>
      <c r="J248" s="586"/>
      <c r="K248" s="586"/>
      <c r="L248" s="586"/>
      <c r="M248" s="586"/>
      <c r="N248" s="586"/>
      <c r="O248" s="586"/>
      <c r="P248" s="586"/>
      <c r="Q248" s="290"/>
      <c r="R248" s="586"/>
      <c r="S248" s="586"/>
      <c r="T248" s="586"/>
      <c r="U248" s="367"/>
      <c r="V248" s="367"/>
      <c r="W248" s="367"/>
      <c r="X248" s="367"/>
      <c r="Y248" s="290"/>
      <c r="Z248" s="288"/>
      <c r="AA248" s="288"/>
      <c r="AB248" s="435"/>
      <c r="AC248" s="435"/>
      <c r="AD248" s="435"/>
      <c r="AE248" s="288"/>
      <c r="AF248" s="288"/>
      <c r="AG248" s="288"/>
      <c r="AH248" s="288"/>
      <c r="AI248" s="288"/>
      <c r="AJ248" s="290"/>
      <c r="AK248" s="117">
        <v>1237.19</v>
      </c>
      <c r="AL248" s="204"/>
    </row>
    <row r="249" spans="1:38" ht="15.75" x14ac:dyDescent="0.25">
      <c r="A249" s="515" t="s">
        <v>91</v>
      </c>
      <c r="B249" s="588"/>
      <c r="C249" s="588"/>
      <c r="D249" s="588"/>
      <c r="E249" s="588"/>
      <c r="F249" s="588"/>
      <c r="G249" s="588"/>
      <c r="H249" s="588"/>
      <c r="I249" s="409"/>
      <c r="J249" s="588"/>
      <c r="K249" s="588"/>
      <c r="L249" s="588"/>
      <c r="M249" s="588"/>
      <c r="N249" s="588"/>
      <c r="O249" s="588"/>
      <c r="P249" s="711">
        <v>40</v>
      </c>
      <c r="Q249" s="410"/>
      <c r="R249" s="588"/>
      <c r="S249" s="588"/>
      <c r="T249" s="588"/>
      <c r="U249" s="242"/>
      <c r="V249" s="242"/>
      <c r="W249" s="242"/>
      <c r="X249" s="242"/>
      <c r="Y249" s="49"/>
      <c r="Z249" s="134"/>
      <c r="AA249" s="240"/>
      <c r="AB249" s="159"/>
      <c r="AC249" s="159"/>
      <c r="AD249" s="159"/>
      <c r="AE249" s="134"/>
      <c r="AF249" s="240"/>
      <c r="AG249" s="134"/>
      <c r="AH249" s="134"/>
      <c r="AI249" s="134"/>
      <c r="AJ249" s="49"/>
      <c r="AK249" s="133"/>
      <c r="AL249" s="197"/>
    </row>
    <row r="250" spans="1:38" ht="19.5" thickBot="1" x14ac:dyDescent="0.35">
      <c r="A250" s="66" t="s">
        <v>101</v>
      </c>
      <c r="B250" s="591"/>
      <c r="C250" s="591"/>
      <c r="D250" s="591"/>
      <c r="E250" s="591"/>
      <c r="F250" s="591"/>
      <c r="G250" s="396">
        <v>79.12</v>
      </c>
      <c r="H250" s="591"/>
      <c r="I250" s="334"/>
      <c r="J250" s="591"/>
      <c r="K250" s="591"/>
      <c r="L250" s="591"/>
      <c r="M250" s="591"/>
      <c r="N250" s="591"/>
      <c r="O250" s="591"/>
      <c r="P250" s="591"/>
      <c r="Q250" s="334"/>
      <c r="R250" s="591"/>
      <c r="S250" s="591"/>
      <c r="T250" s="591"/>
      <c r="U250" s="872"/>
      <c r="V250" s="872"/>
      <c r="W250" s="872"/>
      <c r="X250" s="396"/>
      <c r="Y250" s="334"/>
      <c r="Z250" s="396"/>
      <c r="AA250" s="396"/>
      <c r="AB250" s="437"/>
      <c r="AC250" s="437"/>
      <c r="AD250" s="437"/>
      <c r="AE250" s="396"/>
      <c r="AF250" s="396"/>
      <c r="AG250" s="396"/>
      <c r="AH250" s="396"/>
      <c r="AI250" s="396"/>
      <c r="AJ250" s="334"/>
      <c r="AK250" s="397"/>
      <c r="AL250" s="228"/>
    </row>
    <row r="251" spans="1:38" ht="15.75" x14ac:dyDescent="0.25">
      <c r="A251" s="63" t="s">
        <v>2</v>
      </c>
      <c r="B251" s="241">
        <f t="shared" ref="B251:H251" si="9">SUM(B209:B250)</f>
        <v>62.760000000000005</v>
      </c>
      <c r="C251" s="241">
        <f t="shared" si="9"/>
        <v>187.9</v>
      </c>
      <c r="D251" s="241">
        <f t="shared" si="9"/>
        <v>234.15000000000003</v>
      </c>
      <c r="E251" s="241">
        <f t="shared" si="9"/>
        <v>218.65</v>
      </c>
      <c r="F251" s="241">
        <f t="shared" si="9"/>
        <v>140.19999999999999</v>
      </c>
      <c r="G251" s="241">
        <f t="shared" si="9"/>
        <v>257.37</v>
      </c>
      <c r="H251" s="241">
        <f t="shared" si="9"/>
        <v>99.8</v>
      </c>
      <c r="I251" s="380">
        <f>SUM(B251:H251)</f>
        <v>1200.8300000000002</v>
      </c>
      <c r="J251" s="241">
        <f t="shared" ref="J251:P251" si="10">SUM(J209:J250)</f>
        <v>181.82</v>
      </c>
      <c r="K251" s="241">
        <f t="shared" si="10"/>
        <v>282.39999999999998</v>
      </c>
      <c r="L251" s="241">
        <f t="shared" si="10"/>
        <v>40</v>
      </c>
      <c r="M251" s="241">
        <f t="shared" si="10"/>
        <v>272.51</v>
      </c>
      <c r="N251" s="241">
        <f t="shared" si="10"/>
        <v>61.67</v>
      </c>
      <c r="O251" s="241">
        <f t="shared" si="10"/>
        <v>238.79</v>
      </c>
      <c r="P251" s="241">
        <f t="shared" si="10"/>
        <v>160</v>
      </c>
      <c r="Q251" s="380">
        <f>SUM(J251:P251)</f>
        <v>1237.19</v>
      </c>
      <c r="R251" s="241">
        <f t="shared" ref="R251:X251" si="11">SUM(R209:R250)</f>
        <v>103.21000000000001</v>
      </c>
      <c r="S251" s="241">
        <f t="shared" si="11"/>
        <v>246.89</v>
      </c>
      <c r="T251" s="241">
        <f t="shared" si="11"/>
        <v>209.48999999999998</v>
      </c>
      <c r="U251" s="241">
        <f t="shared" si="11"/>
        <v>80</v>
      </c>
      <c r="V251" s="241">
        <f t="shared" si="11"/>
        <v>233.23000000000002</v>
      </c>
      <c r="W251" s="241">
        <f t="shared" si="11"/>
        <v>283.27</v>
      </c>
      <c r="X251" s="241">
        <f t="shared" si="11"/>
        <v>0</v>
      </c>
      <c r="Y251" s="380">
        <f>SUM(R251:X251)</f>
        <v>1156.0900000000001</v>
      </c>
      <c r="Z251" s="241"/>
      <c r="AA251" s="241"/>
      <c r="AB251" s="241"/>
      <c r="AC251" s="241"/>
      <c r="AD251" s="241"/>
      <c r="AE251" s="241"/>
      <c r="AF251" s="241"/>
      <c r="AG251" s="241"/>
      <c r="AH251" s="424"/>
      <c r="AI251" s="425"/>
      <c r="AJ251" s="360"/>
      <c r="AK251" s="696">
        <f>SUM(AK247:AK250)</f>
        <v>2438.02</v>
      </c>
      <c r="AL251" s="284"/>
    </row>
    <row r="252" spans="1:38" ht="19.5" thickBot="1" x14ac:dyDescent="0.35">
      <c r="A252" s="272"/>
      <c r="B252" s="265" t="s">
        <v>356</v>
      </c>
      <c r="C252" s="265" t="s">
        <v>342</v>
      </c>
      <c r="D252" s="265" t="s">
        <v>358</v>
      </c>
      <c r="E252" s="265" t="s">
        <v>358</v>
      </c>
      <c r="F252" s="265" t="s">
        <v>342</v>
      </c>
      <c r="G252" s="265" t="s">
        <v>373</v>
      </c>
      <c r="H252" s="265" t="s">
        <v>368</v>
      </c>
      <c r="I252" s="334"/>
      <c r="J252" s="265" t="s">
        <v>352</v>
      </c>
      <c r="K252" s="265" t="s">
        <v>373</v>
      </c>
      <c r="L252" s="265" t="s">
        <v>371</v>
      </c>
      <c r="M252" s="265" t="s">
        <v>373</v>
      </c>
      <c r="N252" s="265" t="s">
        <v>356</v>
      </c>
      <c r="O252" s="265" t="s">
        <v>373</v>
      </c>
      <c r="P252" s="265" t="s">
        <v>368</v>
      </c>
      <c r="Q252" s="334"/>
      <c r="R252" s="265" t="s">
        <v>368</v>
      </c>
      <c r="S252" s="265" t="s">
        <v>342</v>
      </c>
      <c r="T252" s="265" t="s">
        <v>352</v>
      </c>
      <c r="U252" s="265" t="s">
        <v>356</v>
      </c>
      <c r="V252" s="265" t="s">
        <v>358</v>
      </c>
      <c r="W252" s="265" t="s">
        <v>417</v>
      </c>
      <c r="X252" s="265" t="s">
        <v>424</v>
      </c>
      <c r="Y252" s="334"/>
      <c r="Z252" s="265"/>
      <c r="AA252" s="265"/>
      <c r="AB252" s="265"/>
      <c r="AC252" s="265"/>
      <c r="AD252" s="265"/>
      <c r="AE252" s="265"/>
      <c r="AF252" s="265"/>
      <c r="AG252" s="265"/>
      <c r="AH252" s="265"/>
      <c r="AI252" s="265"/>
      <c r="AJ252" s="334"/>
      <c r="AK252" s="273"/>
      <c r="AL252" s="228"/>
    </row>
    <row r="253" spans="1:38" ht="24" thickBot="1" x14ac:dyDescent="0.4">
      <c r="A253" s="252" t="s">
        <v>175</v>
      </c>
      <c r="B253" s="258"/>
      <c r="C253" s="258"/>
      <c r="D253" s="258"/>
      <c r="E253" s="258"/>
      <c r="F253" s="258"/>
      <c r="G253" s="254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4"/>
      <c r="Z253" s="254"/>
      <c r="AA253" s="254"/>
      <c r="AB253" s="254"/>
      <c r="AC253" s="254"/>
      <c r="AD253" s="254"/>
      <c r="AE253" s="254"/>
      <c r="AF253" s="254"/>
      <c r="AG253" s="254"/>
      <c r="AH253" s="254"/>
      <c r="AI253" s="254"/>
      <c r="AJ253" s="260"/>
      <c r="AK253" s="261"/>
      <c r="AL253" s="260"/>
    </row>
    <row r="254" spans="1:38" ht="16.5" thickBot="1" x14ac:dyDescent="0.3">
      <c r="A254" s="222" t="s">
        <v>2</v>
      </c>
      <c r="B254" s="322">
        <v>1</v>
      </c>
      <c r="C254" s="322">
        <v>2</v>
      </c>
      <c r="D254" s="322">
        <v>3</v>
      </c>
      <c r="E254" s="322">
        <v>4</v>
      </c>
      <c r="F254" s="322">
        <v>5</v>
      </c>
      <c r="G254" s="322">
        <v>6</v>
      </c>
      <c r="H254" s="322">
        <v>7</v>
      </c>
      <c r="I254" s="323" t="s">
        <v>6</v>
      </c>
      <c r="J254" s="322">
        <v>8</v>
      </c>
      <c r="K254" s="322">
        <v>9</v>
      </c>
      <c r="L254" s="322">
        <v>10</v>
      </c>
      <c r="M254" s="322">
        <v>11</v>
      </c>
      <c r="N254" s="322">
        <v>12</v>
      </c>
      <c r="O254" s="322">
        <v>13</v>
      </c>
      <c r="P254" s="322">
        <v>14</v>
      </c>
      <c r="Q254" s="323" t="s">
        <v>6</v>
      </c>
      <c r="R254" s="322">
        <v>15</v>
      </c>
      <c r="S254" s="322">
        <v>16</v>
      </c>
      <c r="T254" s="322">
        <v>17</v>
      </c>
      <c r="U254" s="322">
        <v>18</v>
      </c>
      <c r="V254" s="322">
        <v>19</v>
      </c>
      <c r="W254" s="322">
        <v>20</v>
      </c>
      <c r="X254" s="322">
        <v>21</v>
      </c>
      <c r="Y254" s="323" t="s">
        <v>6</v>
      </c>
      <c r="Z254" s="322">
        <v>22</v>
      </c>
      <c r="AA254" s="322">
        <v>23</v>
      </c>
      <c r="AB254" s="322">
        <v>24</v>
      </c>
      <c r="AC254" s="322">
        <v>25</v>
      </c>
      <c r="AD254" s="322">
        <v>26</v>
      </c>
      <c r="AE254" s="322">
        <v>27</v>
      </c>
      <c r="AF254" s="322">
        <v>28</v>
      </c>
      <c r="AG254" s="322">
        <v>29</v>
      </c>
      <c r="AH254" s="322">
        <v>30</v>
      </c>
      <c r="AI254" s="322">
        <v>31</v>
      </c>
      <c r="AJ254" s="324" t="s">
        <v>6</v>
      </c>
      <c r="AK254" s="325" t="s">
        <v>0</v>
      </c>
      <c r="AL254" s="395" t="s">
        <v>42</v>
      </c>
    </row>
    <row r="255" spans="1:38" ht="15.75" x14ac:dyDescent="0.25">
      <c r="A255" s="64" t="s">
        <v>57</v>
      </c>
      <c r="B255" s="1">
        <v>50</v>
      </c>
      <c r="C255" s="1">
        <v>49.44</v>
      </c>
      <c r="D255" s="1">
        <v>48.96</v>
      </c>
      <c r="E255" s="1">
        <v>45.07</v>
      </c>
      <c r="F255" s="1">
        <v>43.59</v>
      </c>
      <c r="G255" s="1">
        <v>50</v>
      </c>
      <c r="H255" s="1">
        <v>50</v>
      </c>
      <c r="I255" s="36"/>
      <c r="J255" s="1">
        <v>50</v>
      </c>
      <c r="K255" s="1">
        <v>47.07</v>
      </c>
      <c r="L255" s="1">
        <v>49.82</v>
      </c>
      <c r="M255" s="1">
        <v>50</v>
      </c>
      <c r="N255" s="1">
        <v>50</v>
      </c>
      <c r="O255" s="1">
        <v>50</v>
      </c>
      <c r="P255" s="1">
        <v>50</v>
      </c>
      <c r="Q255" s="36"/>
      <c r="R255" s="1">
        <v>50</v>
      </c>
      <c r="S255" s="1">
        <v>50</v>
      </c>
      <c r="T255" s="1">
        <v>49.6</v>
      </c>
      <c r="U255" s="1">
        <v>50</v>
      </c>
      <c r="V255" s="1">
        <v>50</v>
      </c>
      <c r="W255" s="1">
        <v>48.68</v>
      </c>
      <c r="X255" s="1">
        <v>0</v>
      </c>
      <c r="Y255" s="36"/>
      <c r="Z255" s="1"/>
      <c r="AA255" s="1"/>
      <c r="AB255" s="1"/>
      <c r="AC255" s="1"/>
      <c r="AD255" s="1"/>
      <c r="AE255" s="1"/>
      <c r="AF255" s="1"/>
      <c r="AG255" s="1"/>
      <c r="AH255" s="1"/>
      <c r="AI255" s="55"/>
      <c r="AJ255" s="36"/>
      <c r="AK255" s="648">
        <v>1019.76</v>
      </c>
      <c r="AL255" s="197"/>
    </row>
    <row r="256" spans="1:38" ht="15.75" x14ac:dyDescent="0.25">
      <c r="A256" s="11" t="s">
        <v>58</v>
      </c>
      <c r="B256" s="1">
        <v>45.58</v>
      </c>
      <c r="C256" s="1">
        <v>43.85</v>
      </c>
      <c r="D256" s="1">
        <v>49.62</v>
      </c>
      <c r="E256" s="1">
        <v>50</v>
      </c>
      <c r="F256" s="1">
        <v>50</v>
      </c>
      <c r="G256" s="1">
        <v>50</v>
      </c>
      <c r="H256" s="1">
        <v>50</v>
      </c>
      <c r="I256" s="37"/>
      <c r="J256" s="1">
        <v>47.74</v>
      </c>
      <c r="K256" s="1">
        <v>49.63</v>
      </c>
      <c r="L256" s="1">
        <v>50</v>
      </c>
      <c r="M256" s="1">
        <v>50</v>
      </c>
      <c r="N256" s="1">
        <v>49.96</v>
      </c>
      <c r="O256" s="1">
        <v>50</v>
      </c>
      <c r="P256" s="1">
        <v>50</v>
      </c>
      <c r="Q256" s="37"/>
      <c r="R256" s="1">
        <v>50</v>
      </c>
      <c r="S256" s="1">
        <v>49.97</v>
      </c>
      <c r="T256" s="1">
        <v>49.78</v>
      </c>
      <c r="U256" s="1">
        <v>48.32</v>
      </c>
      <c r="V256" s="1">
        <v>49.42</v>
      </c>
      <c r="W256" s="1">
        <v>49.87</v>
      </c>
      <c r="X256" s="1"/>
      <c r="Y256" s="37"/>
      <c r="Z256" s="1"/>
      <c r="AA256" s="1"/>
      <c r="AB256" s="118"/>
      <c r="AC256" s="1"/>
      <c r="AD256" s="118"/>
      <c r="AE256" s="1"/>
      <c r="AF256" s="1"/>
      <c r="AG256" s="336"/>
      <c r="AH256" s="2"/>
      <c r="AI256" s="52"/>
      <c r="AJ256" s="37"/>
      <c r="AK256" s="652">
        <v>1005.29</v>
      </c>
      <c r="AL256" s="197"/>
    </row>
    <row r="257" spans="1:40" ht="15.75" x14ac:dyDescent="0.25">
      <c r="A257" s="62" t="s">
        <v>59</v>
      </c>
      <c r="B257" s="123">
        <v>46.58</v>
      </c>
      <c r="C257" s="123">
        <v>50</v>
      </c>
      <c r="D257" s="123">
        <v>50</v>
      </c>
      <c r="E257" s="123">
        <v>50</v>
      </c>
      <c r="F257" s="123">
        <v>50</v>
      </c>
      <c r="G257" s="123">
        <v>47.07</v>
      </c>
      <c r="H257" s="123">
        <v>50</v>
      </c>
      <c r="I257" s="43"/>
      <c r="J257" s="123">
        <v>50</v>
      </c>
      <c r="K257" s="123">
        <v>46.96</v>
      </c>
      <c r="L257" s="123">
        <v>50</v>
      </c>
      <c r="M257" s="123">
        <v>39.83</v>
      </c>
      <c r="N257" s="123">
        <v>34.049999999999997</v>
      </c>
      <c r="O257" s="123">
        <v>45.94</v>
      </c>
      <c r="P257" s="123">
        <v>44.29</v>
      </c>
      <c r="Q257" s="43"/>
      <c r="R257" s="123">
        <v>50</v>
      </c>
      <c r="S257" s="123">
        <v>50</v>
      </c>
      <c r="T257" s="123">
        <v>49.49</v>
      </c>
      <c r="U257" s="123">
        <v>50</v>
      </c>
      <c r="V257" s="123">
        <v>48.67</v>
      </c>
      <c r="W257" s="123">
        <v>50</v>
      </c>
      <c r="X257" s="123"/>
      <c r="Y257" s="43"/>
      <c r="Z257" s="123"/>
      <c r="AA257" s="123"/>
      <c r="AB257" s="123"/>
      <c r="AC257" s="123"/>
      <c r="AD257" s="119"/>
      <c r="AE257" s="123"/>
      <c r="AF257" s="123"/>
      <c r="AG257" s="366"/>
      <c r="AH257" s="42"/>
      <c r="AI257" s="243"/>
      <c r="AJ257" s="43"/>
      <c r="AK257" s="661"/>
      <c r="AL257" s="204"/>
    </row>
    <row r="258" spans="1:40" ht="15" customHeight="1" thickBot="1" x14ac:dyDescent="0.35">
      <c r="A258" s="349"/>
      <c r="B258" s="274"/>
      <c r="C258" s="274"/>
      <c r="D258" s="274"/>
      <c r="E258" s="274"/>
      <c r="F258" s="274"/>
      <c r="G258" s="275"/>
      <c r="H258" s="275"/>
      <c r="I258" s="269"/>
      <c r="J258" s="274"/>
      <c r="K258" s="274"/>
      <c r="L258" s="274"/>
      <c r="M258" s="274"/>
      <c r="N258" s="274"/>
      <c r="O258" s="275"/>
      <c r="P258" s="275"/>
      <c r="Q258" s="269"/>
      <c r="R258" s="274"/>
      <c r="S258" s="274"/>
      <c r="T258" s="274"/>
      <c r="U258" s="274"/>
      <c r="V258" s="274"/>
      <c r="W258" s="275"/>
      <c r="X258" s="275"/>
      <c r="Y258" s="269"/>
      <c r="Z258" s="275"/>
      <c r="AA258" s="153"/>
      <c r="AB258" s="268"/>
      <c r="AC258" s="275"/>
      <c r="AD258" s="268"/>
      <c r="AE258" s="275"/>
      <c r="AF258" s="275"/>
      <c r="AG258" s="429"/>
      <c r="AH258" s="270"/>
      <c r="AI258" s="270"/>
      <c r="AJ258" s="269"/>
      <c r="AK258" s="1001"/>
      <c r="AL258" s="204"/>
    </row>
    <row r="259" spans="1:40" ht="18.75" x14ac:dyDescent="0.3">
      <c r="A259" s="281" t="s">
        <v>2</v>
      </c>
      <c r="B259" s="307">
        <f t="shared" ref="B259:H259" si="12">SUM(B255:B258)</f>
        <v>142.16</v>
      </c>
      <c r="C259" s="307">
        <f t="shared" si="12"/>
        <v>143.29</v>
      </c>
      <c r="D259" s="307">
        <f t="shared" si="12"/>
        <v>148.57999999999998</v>
      </c>
      <c r="E259" s="307">
        <f t="shared" si="12"/>
        <v>145.07</v>
      </c>
      <c r="F259" s="307">
        <f t="shared" si="12"/>
        <v>143.59</v>
      </c>
      <c r="G259" s="307">
        <f t="shared" si="12"/>
        <v>147.07</v>
      </c>
      <c r="H259" s="307">
        <f t="shared" si="12"/>
        <v>150</v>
      </c>
      <c r="I259" s="376">
        <f>SUM(B259:H259)</f>
        <v>1019.76</v>
      </c>
      <c r="J259" s="307">
        <f t="shared" ref="J259:P259" si="13">SUM(J255:J258)</f>
        <v>147.74</v>
      </c>
      <c r="K259" s="307">
        <f t="shared" si="13"/>
        <v>143.66</v>
      </c>
      <c r="L259" s="307">
        <f t="shared" si="13"/>
        <v>149.82</v>
      </c>
      <c r="M259" s="307">
        <f t="shared" si="13"/>
        <v>139.82999999999998</v>
      </c>
      <c r="N259" s="307">
        <f t="shared" si="13"/>
        <v>134.01</v>
      </c>
      <c r="O259" s="307">
        <f t="shared" si="13"/>
        <v>145.94</v>
      </c>
      <c r="P259" s="307">
        <f t="shared" si="13"/>
        <v>144.29</v>
      </c>
      <c r="Q259" s="376">
        <f>SUM(J259:P259)</f>
        <v>1005.29</v>
      </c>
      <c r="R259" s="307">
        <f t="shared" ref="R259:X259" si="14">SUM(R255:R258)</f>
        <v>150</v>
      </c>
      <c r="S259" s="307">
        <f t="shared" si="14"/>
        <v>149.97</v>
      </c>
      <c r="T259" s="307">
        <f t="shared" si="14"/>
        <v>148.87</v>
      </c>
      <c r="U259" s="307">
        <f t="shared" si="14"/>
        <v>148.32</v>
      </c>
      <c r="V259" s="307">
        <f t="shared" si="14"/>
        <v>148.09</v>
      </c>
      <c r="W259" s="307">
        <f t="shared" si="14"/>
        <v>148.55000000000001</v>
      </c>
      <c r="X259" s="307">
        <f t="shared" si="14"/>
        <v>0</v>
      </c>
      <c r="Y259" s="376">
        <f>SUM(R259:X259)</f>
        <v>893.80000000000018</v>
      </c>
      <c r="Z259" s="307"/>
      <c r="AA259" s="307"/>
      <c r="AB259" s="307"/>
      <c r="AC259" s="307"/>
      <c r="AD259" s="307"/>
      <c r="AE259" s="307"/>
      <c r="AF259" s="307"/>
      <c r="AG259" s="428"/>
      <c r="AH259" s="308"/>
      <c r="AI259" s="308"/>
      <c r="AJ259" s="310"/>
      <c r="AK259" s="695">
        <f>SUM(AK255:AK258)</f>
        <v>2025.05</v>
      </c>
      <c r="AL259" s="284"/>
    </row>
    <row r="260" spans="1:40" ht="15.75" thickBot="1" x14ac:dyDescent="0.3">
      <c r="A260" s="264"/>
      <c r="B260" s="265" t="s">
        <v>285</v>
      </c>
      <c r="C260" s="265" t="s">
        <v>285</v>
      </c>
      <c r="D260" s="265" t="s">
        <v>285</v>
      </c>
      <c r="E260" s="265" t="s">
        <v>285</v>
      </c>
      <c r="F260" s="265" t="s">
        <v>285</v>
      </c>
      <c r="G260" s="265" t="s">
        <v>285</v>
      </c>
      <c r="H260" s="265" t="s">
        <v>285</v>
      </c>
      <c r="I260" s="361"/>
      <c r="J260" s="265" t="s">
        <v>285</v>
      </c>
      <c r="K260" s="265" t="s">
        <v>285</v>
      </c>
      <c r="L260" s="265" t="s">
        <v>285</v>
      </c>
      <c r="M260" s="265" t="s">
        <v>285</v>
      </c>
      <c r="N260" s="265" t="s">
        <v>285</v>
      </c>
      <c r="O260" s="265" t="s">
        <v>285</v>
      </c>
      <c r="P260" s="265" t="s">
        <v>285</v>
      </c>
      <c r="Q260" s="361"/>
      <c r="R260" s="265" t="s">
        <v>285</v>
      </c>
      <c r="S260" s="265" t="s">
        <v>285</v>
      </c>
      <c r="T260" s="265" t="s">
        <v>285</v>
      </c>
      <c r="U260" s="265" t="s">
        <v>285</v>
      </c>
      <c r="V260" s="265" t="s">
        <v>285</v>
      </c>
      <c r="W260" s="265" t="s">
        <v>285</v>
      </c>
      <c r="X260" s="265" t="s">
        <v>285</v>
      </c>
      <c r="Y260" s="361"/>
      <c r="Z260" s="265"/>
      <c r="AA260" s="265"/>
      <c r="AB260" s="265"/>
      <c r="AC260" s="265"/>
      <c r="AD260" s="265"/>
      <c r="AE260" s="265"/>
      <c r="AF260" s="265"/>
      <c r="AG260" s="265"/>
      <c r="AH260" s="265"/>
      <c r="AI260" s="265"/>
      <c r="AJ260" s="361"/>
      <c r="AK260" s="362"/>
      <c r="AL260" s="363"/>
    </row>
    <row r="261" spans="1:40" ht="24" thickBot="1" x14ac:dyDescent="0.4">
      <c r="A261" s="252" t="s">
        <v>176</v>
      </c>
      <c r="B261" s="258"/>
      <c r="C261" s="258"/>
      <c r="D261" s="258"/>
      <c r="E261" s="258"/>
      <c r="F261" s="258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254"/>
      <c r="AG261" s="254"/>
      <c r="AH261" s="254"/>
      <c r="AI261" s="254"/>
      <c r="AJ261" s="260"/>
      <c r="AK261" s="261"/>
      <c r="AL261" s="260"/>
    </row>
    <row r="262" spans="1:40" ht="15.75" x14ac:dyDescent="0.25">
      <c r="A262" s="11" t="s">
        <v>54</v>
      </c>
      <c r="B262" s="1">
        <v>31.39</v>
      </c>
      <c r="C262" s="1">
        <v>29.61</v>
      </c>
      <c r="D262" s="1">
        <v>31.04</v>
      </c>
      <c r="E262" s="1">
        <v>40</v>
      </c>
      <c r="F262" s="1">
        <v>40</v>
      </c>
      <c r="G262" s="1">
        <v>31.17</v>
      </c>
      <c r="H262" s="1">
        <v>40</v>
      </c>
      <c r="I262" s="37"/>
      <c r="J262" s="1">
        <v>40</v>
      </c>
      <c r="K262" s="1">
        <v>41.26</v>
      </c>
      <c r="L262" s="1">
        <v>30.46</v>
      </c>
      <c r="M262" s="1">
        <v>36.159999999999997</v>
      </c>
      <c r="N262" s="1">
        <v>39.72</v>
      </c>
      <c r="O262" s="1">
        <v>40</v>
      </c>
      <c r="P262" s="1">
        <v>39.89</v>
      </c>
      <c r="Q262" s="37"/>
      <c r="R262" s="1">
        <v>40</v>
      </c>
      <c r="S262" s="1">
        <v>33.69</v>
      </c>
      <c r="T262" s="1">
        <v>28.93</v>
      </c>
      <c r="U262" s="1">
        <v>37.909999999999997</v>
      </c>
      <c r="V262" s="1">
        <v>40</v>
      </c>
      <c r="W262" s="1">
        <v>32.72</v>
      </c>
      <c r="X262" s="1">
        <v>0</v>
      </c>
      <c r="Y262" s="37"/>
      <c r="Z262" s="118"/>
      <c r="AA262" s="1"/>
      <c r="AB262" s="1"/>
      <c r="AC262" s="1"/>
      <c r="AD262" s="1"/>
      <c r="AE262" s="118"/>
      <c r="AF262" s="118"/>
      <c r="AG262" s="2"/>
      <c r="AH262" s="2"/>
      <c r="AI262" s="52"/>
      <c r="AJ262" s="37"/>
      <c r="AK262" s="648">
        <v>765.16</v>
      </c>
      <c r="AL262" s="197"/>
    </row>
    <row r="263" spans="1:40" ht="15.75" x14ac:dyDescent="0.25">
      <c r="A263" s="11" t="s">
        <v>55</v>
      </c>
      <c r="B263" s="1">
        <v>36.99</v>
      </c>
      <c r="C263" s="1">
        <v>39.33</v>
      </c>
      <c r="D263" s="1">
        <v>40</v>
      </c>
      <c r="E263" s="1">
        <v>32.79</v>
      </c>
      <c r="F263" s="1">
        <v>40</v>
      </c>
      <c r="G263" s="1">
        <v>37.549999999999997</v>
      </c>
      <c r="H263" s="1">
        <v>40</v>
      </c>
      <c r="I263" s="37"/>
      <c r="J263" s="1">
        <v>40</v>
      </c>
      <c r="K263" s="1">
        <v>40</v>
      </c>
      <c r="L263" s="1">
        <v>34.6</v>
      </c>
      <c r="M263" s="1">
        <v>36.82</v>
      </c>
      <c r="N263" s="1">
        <v>39.93</v>
      </c>
      <c r="O263" s="1">
        <v>40</v>
      </c>
      <c r="P263" s="1">
        <v>36.86</v>
      </c>
      <c r="Q263" s="37"/>
      <c r="R263" s="1">
        <v>32.869999999999997</v>
      </c>
      <c r="S263" s="1">
        <v>34.14</v>
      </c>
      <c r="T263" s="1">
        <v>27.1</v>
      </c>
      <c r="U263" s="1">
        <v>34.99</v>
      </c>
      <c r="V263" s="1">
        <v>34.54</v>
      </c>
      <c r="W263" s="1">
        <v>40</v>
      </c>
      <c r="X263" s="1"/>
      <c r="Y263" s="37"/>
      <c r="Z263" s="118"/>
      <c r="AA263" s="1"/>
      <c r="AB263" s="1"/>
      <c r="AC263" s="1"/>
      <c r="AD263" s="1"/>
      <c r="AE263" s="118"/>
      <c r="AF263" s="118"/>
      <c r="AG263" s="2"/>
      <c r="AH263" s="2"/>
      <c r="AI263" s="52"/>
      <c r="AJ263" s="37"/>
      <c r="AK263" s="648">
        <v>787.17</v>
      </c>
      <c r="AL263" s="197"/>
    </row>
    <row r="264" spans="1:40" ht="15.75" x14ac:dyDescent="0.25">
      <c r="A264" s="62" t="s">
        <v>56</v>
      </c>
      <c r="B264" s="123">
        <v>35.44</v>
      </c>
      <c r="C264" s="123">
        <v>30.98</v>
      </c>
      <c r="D264" s="123">
        <v>32.369999999999997</v>
      </c>
      <c r="E264" s="123">
        <v>40</v>
      </c>
      <c r="F264" s="123">
        <v>36.5</v>
      </c>
      <c r="G264" s="123">
        <v>40</v>
      </c>
      <c r="H264" s="123">
        <v>40</v>
      </c>
      <c r="I264" s="43"/>
      <c r="J264" s="123">
        <v>24.53</v>
      </c>
      <c r="K264" s="123">
        <v>27.49</v>
      </c>
      <c r="L264" s="123">
        <v>40</v>
      </c>
      <c r="M264" s="123">
        <v>40</v>
      </c>
      <c r="N264" s="123">
        <v>40.119999999999997</v>
      </c>
      <c r="O264" s="123">
        <v>40</v>
      </c>
      <c r="P264" s="123">
        <v>39.33</v>
      </c>
      <c r="Q264" s="43"/>
      <c r="R264" s="123">
        <v>38.49</v>
      </c>
      <c r="S264" s="123">
        <v>33.97</v>
      </c>
      <c r="T264" s="123">
        <v>37.85</v>
      </c>
      <c r="U264" s="123">
        <v>40</v>
      </c>
      <c r="V264" s="123">
        <v>40</v>
      </c>
      <c r="W264" s="123">
        <v>40</v>
      </c>
      <c r="X264" s="123"/>
      <c r="Y264" s="43"/>
      <c r="Z264" s="119"/>
      <c r="AA264" s="123"/>
      <c r="AB264" s="123"/>
      <c r="AC264" s="123"/>
      <c r="AD264" s="123"/>
      <c r="AE264" s="119"/>
      <c r="AF264" s="119"/>
      <c r="AG264" s="42"/>
      <c r="AH264" s="42"/>
      <c r="AI264" s="243"/>
      <c r="AJ264" s="43"/>
      <c r="AK264" s="661"/>
      <c r="AL264" s="204"/>
    </row>
    <row r="265" spans="1:40" ht="15" customHeight="1" thickBot="1" x14ac:dyDescent="0.35">
      <c r="A265" s="67"/>
      <c r="B265" s="124"/>
      <c r="C265" s="124"/>
      <c r="D265" s="124"/>
      <c r="E265" s="124"/>
      <c r="F265" s="124"/>
      <c r="G265" s="124"/>
      <c r="H265" s="124"/>
      <c r="I265" s="47"/>
      <c r="J265" s="274"/>
      <c r="K265" s="274"/>
      <c r="L265" s="274"/>
      <c r="M265" s="274"/>
      <c r="N265" s="274"/>
      <c r="O265" s="275"/>
      <c r="P265" s="275"/>
      <c r="Q265" s="47"/>
      <c r="R265" s="274"/>
      <c r="S265" s="274"/>
      <c r="T265" s="274"/>
      <c r="U265" s="274"/>
      <c r="V265" s="274"/>
      <c r="W265" s="275"/>
      <c r="X265" s="275"/>
      <c r="Y265" s="47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37"/>
      <c r="AK265" s="742"/>
      <c r="AL265" s="197"/>
    </row>
    <row r="266" spans="1:40" ht="18.75" x14ac:dyDescent="0.3">
      <c r="A266" s="402" t="s">
        <v>2</v>
      </c>
      <c r="B266" s="403">
        <f t="shared" ref="B266:H266" si="15">SUM(B262:B265)</f>
        <v>103.82</v>
      </c>
      <c r="C266" s="403">
        <f t="shared" si="15"/>
        <v>99.92</v>
      </c>
      <c r="D266" s="403">
        <f t="shared" si="15"/>
        <v>103.41</v>
      </c>
      <c r="E266" s="403">
        <f t="shared" si="15"/>
        <v>112.78999999999999</v>
      </c>
      <c r="F266" s="403">
        <f t="shared" si="15"/>
        <v>116.5</v>
      </c>
      <c r="G266" s="403">
        <f t="shared" si="15"/>
        <v>108.72</v>
      </c>
      <c r="H266" s="403">
        <f t="shared" si="15"/>
        <v>120</v>
      </c>
      <c r="I266" s="404">
        <f>SUM(B266:H266)</f>
        <v>765.16</v>
      </c>
      <c r="J266" s="307">
        <f t="shared" ref="J266:P266" si="16">SUM(J262:J265)</f>
        <v>104.53</v>
      </c>
      <c r="K266" s="307">
        <f t="shared" si="16"/>
        <v>108.74999999999999</v>
      </c>
      <c r="L266" s="307">
        <f t="shared" si="16"/>
        <v>105.06</v>
      </c>
      <c r="M266" s="307">
        <f t="shared" si="16"/>
        <v>112.97999999999999</v>
      </c>
      <c r="N266" s="307">
        <f t="shared" si="16"/>
        <v>119.77000000000001</v>
      </c>
      <c r="O266" s="307">
        <f t="shared" si="16"/>
        <v>120</v>
      </c>
      <c r="P266" s="307">
        <f t="shared" si="16"/>
        <v>116.08</v>
      </c>
      <c r="Q266" s="404">
        <f>SUM(J266:P266)</f>
        <v>787.17</v>
      </c>
      <c r="R266" s="307">
        <f t="shared" ref="R266:X266" si="17">SUM(R262:R265)</f>
        <v>111.36000000000001</v>
      </c>
      <c r="S266" s="307">
        <f t="shared" si="17"/>
        <v>101.8</v>
      </c>
      <c r="T266" s="307">
        <f t="shared" si="17"/>
        <v>93.88</v>
      </c>
      <c r="U266" s="307">
        <f t="shared" si="17"/>
        <v>112.9</v>
      </c>
      <c r="V266" s="307">
        <f t="shared" si="17"/>
        <v>114.53999999999999</v>
      </c>
      <c r="W266" s="307">
        <f t="shared" si="17"/>
        <v>112.72</v>
      </c>
      <c r="X266" s="307">
        <f t="shared" si="17"/>
        <v>0</v>
      </c>
      <c r="Y266" s="404">
        <f>SUM(R266:X266)</f>
        <v>647.20000000000005</v>
      </c>
      <c r="Z266" s="405"/>
      <c r="AA266" s="403"/>
      <c r="AB266" s="403"/>
      <c r="AC266" s="403"/>
      <c r="AD266" s="403"/>
      <c r="AE266" s="405"/>
      <c r="AF266" s="403"/>
      <c r="AG266" s="430"/>
      <c r="AH266" s="406"/>
      <c r="AI266" s="406"/>
      <c r="AJ266" s="407"/>
      <c r="AK266" s="694">
        <f>SUM(AK262:AK265)</f>
        <v>1552.33</v>
      </c>
      <c r="AL266" s="408"/>
    </row>
    <row r="267" spans="1:40" ht="15.75" thickBot="1" x14ac:dyDescent="0.3">
      <c r="A267" s="364"/>
      <c r="B267" s="265" t="s">
        <v>285</v>
      </c>
      <c r="C267" s="265" t="s">
        <v>285</v>
      </c>
      <c r="D267" s="265" t="s">
        <v>285</v>
      </c>
      <c r="E267" s="265" t="s">
        <v>285</v>
      </c>
      <c r="F267" s="265" t="s">
        <v>285</v>
      </c>
      <c r="G267" s="265" t="s">
        <v>285</v>
      </c>
      <c r="H267" s="265" t="s">
        <v>285</v>
      </c>
      <c r="I267" s="361"/>
      <c r="J267" s="265" t="s">
        <v>285</v>
      </c>
      <c r="K267" s="265" t="s">
        <v>285</v>
      </c>
      <c r="L267" s="265" t="s">
        <v>285</v>
      </c>
      <c r="M267" s="265" t="s">
        <v>285</v>
      </c>
      <c r="N267" s="265" t="s">
        <v>285</v>
      </c>
      <c r="O267" s="265" t="s">
        <v>285</v>
      </c>
      <c r="P267" s="265" t="s">
        <v>285</v>
      </c>
      <c r="Q267" s="361"/>
      <c r="R267" s="265" t="s">
        <v>285</v>
      </c>
      <c r="S267" s="265" t="s">
        <v>285</v>
      </c>
      <c r="T267" s="265" t="s">
        <v>285</v>
      </c>
      <c r="U267" s="265" t="s">
        <v>285</v>
      </c>
      <c r="V267" s="265" t="s">
        <v>285</v>
      </c>
      <c r="W267" s="265" t="s">
        <v>285</v>
      </c>
      <c r="X267" s="265" t="s">
        <v>285</v>
      </c>
      <c r="Y267" s="361"/>
      <c r="Z267" s="265"/>
      <c r="AA267" s="265"/>
      <c r="AB267" s="265"/>
      <c r="AC267" s="265"/>
      <c r="AD267" s="265"/>
      <c r="AE267" s="265"/>
      <c r="AF267" s="265"/>
      <c r="AG267" s="265"/>
      <c r="AH267" s="265"/>
      <c r="AI267" s="265"/>
      <c r="AJ267" s="361"/>
      <c r="AK267" s="362"/>
      <c r="AL267" s="363"/>
    </row>
    <row r="268" spans="1:40" ht="24" thickBot="1" x14ac:dyDescent="0.4">
      <c r="A268" s="276" t="s">
        <v>177</v>
      </c>
      <c r="B268" s="258"/>
      <c r="C268" s="258"/>
      <c r="D268" s="258"/>
      <c r="E268" s="258"/>
      <c r="F268" s="258"/>
      <c r="G268" s="254"/>
      <c r="H268" s="254"/>
      <c r="I268" s="254"/>
      <c r="J268" s="25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4"/>
      <c r="AC268" s="254"/>
      <c r="AD268" s="254"/>
      <c r="AE268" s="254"/>
      <c r="AF268" s="254"/>
      <c r="AG268" s="254"/>
      <c r="AH268" s="254"/>
      <c r="AI268" s="254"/>
      <c r="AJ268" s="260"/>
      <c r="AK268" s="261"/>
      <c r="AL268" s="260"/>
    </row>
    <row r="269" spans="1:40" ht="16.5" thickBot="1" x14ac:dyDescent="0.3">
      <c r="A269" s="320" t="s">
        <v>24</v>
      </c>
      <c r="B269" s="322">
        <v>1</v>
      </c>
      <c r="C269" s="322">
        <v>2</v>
      </c>
      <c r="D269" s="322">
        <v>3</v>
      </c>
      <c r="E269" s="322">
        <v>4</v>
      </c>
      <c r="F269" s="322">
        <v>5</v>
      </c>
      <c r="G269" s="322">
        <v>6</v>
      </c>
      <c r="H269" s="322">
        <v>7</v>
      </c>
      <c r="I269" s="323" t="s">
        <v>6</v>
      </c>
      <c r="J269" s="322">
        <v>8</v>
      </c>
      <c r="K269" s="322">
        <v>9</v>
      </c>
      <c r="L269" s="322">
        <v>10</v>
      </c>
      <c r="M269" s="322">
        <v>11</v>
      </c>
      <c r="N269" s="322">
        <v>12</v>
      </c>
      <c r="O269" s="322">
        <v>13</v>
      </c>
      <c r="P269" s="322">
        <v>14</v>
      </c>
      <c r="Q269" s="323" t="s">
        <v>6</v>
      </c>
      <c r="R269" s="322">
        <v>15</v>
      </c>
      <c r="S269" s="322">
        <v>16</v>
      </c>
      <c r="T269" s="322">
        <v>17</v>
      </c>
      <c r="U269" s="322">
        <v>18</v>
      </c>
      <c r="V269" s="322">
        <v>19</v>
      </c>
      <c r="W269" s="322">
        <v>20</v>
      </c>
      <c r="X269" s="322">
        <v>21</v>
      </c>
      <c r="Y269" s="323" t="s">
        <v>6</v>
      </c>
      <c r="Z269" s="322">
        <v>22</v>
      </c>
      <c r="AA269" s="322">
        <v>23</v>
      </c>
      <c r="AB269" s="322">
        <v>24</v>
      </c>
      <c r="AC269" s="322">
        <v>25</v>
      </c>
      <c r="AD269" s="322">
        <v>26</v>
      </c>
      <c r="AE269" s="322">
        <v>27</v>
      </c>
      <c r="AF269" s="322">
        <v>28</v>
      </c>
      <c r="AG269" s="322">
        <v>29</v>
      </c>
      <c r="AH269" s="322">
        <v>30</v>
      </c>
      <c r="AI269" s="322">
        <v>31</v>
      </c>
      <c r="AJ269" s="324" t="s">
        <v>6</v>
      </c>
      <c r="AK269" s="325" t="s">
        <v>0</v>
      </c>
      <c r="AL269" s="395" t="s">
        <v>42</v>
      </c>
      <c r="AN269" s="180"/>
    </row>
    <row r="270" spans="1:40" x14ac:dyDescent="0.25">
      <c r="A270" s="64" t="s">
        <v>92</v>
      </c>
      <c r="B270" s="530"/>
      <c r="C270" s="530"/>
      <c r="D270" s="530"/>
      <c r="E270" s="530"/>
      <c r="F270" s="530"/>
      <c r="G270" s="530"/>
      <c r="H270" s="530"/>
      <c r="I270" s="36"/>
      <c r="J270" s="530"/>
      <c r="K270" s="530"/>
      <c r="L270" s="530"/>
      <c r="M270" s="530"/>
      <c r="N270" s="530"/>
      <c r="O270" s="530"/>
      <c r="P270" s="530"/>
      <c r="Q270" s="36"/>
      <c r="R270" s="530"/>
      <c r="S270" s="530"/>
      <c r="T270" s="530"/>
      <c r="U270" s="530"/>
      <c r="V270" s="530"/>
      <c r="W270" s="530"/>
      <c r="X270" s="530"/>
      <c r="Y270" s="36"/>
      <c r="Z270" s="530"/>
      <c r="AA270" s="530"/>
      <c r="AB270" s="530"/>
      <c r="AC270" s="530"/>
      <c r="AD270" s="530"/>
      <c r="AE270" s="530"/>
      <c r="AF270" s="530"/>
      <c r="AG270" s="530"/>
      <c r="AH270" s="530"/>
      <c r="AI270" s="857"/>
      <c r="AJ270" s="36"/>
      <c r="AK270" s="38"/>
      <c r="AL270" s="197"/>
      <c r="AN270" s="180"/>
    </row>
    <row r="271" spans="1:40" ht="18.75" x14ac:dyDescent="0.3">
      <c r="A271" s="11" t="s">
        <v>94</v>
      </c>
      <c r="B271" s="537"/>
      <c r="C271" s="537"/>
      <c r="D271" s="537"/>
      <c r="E271" s="537"/>
      <c r="F271" s="537"/>
      <c r="G271" s="537"/>
      <c r="H271" s="537"/>
      <c r="I271" s="37"/>
      <c r="J271" s="537"/>
      <c r="K271" s="537"/>
      <c r="L271" s="537"/>
      <c r="M271" s="537"/>
      <c r="N271" s="537"/>
      <c r="O271" s="537"/>
      <c r="P271" s="537"/>
      <c r="Q271" s="37"/>
      <c r="R271" s="537"/>
      <c r="S271" s="530"/>
      <c r="T271" s="530"/>
      <c r="U271" s="537"/>
      <c r="V271" s="537"/>
      <c r="W271" s="537"/>
      <c r="X271" s="537"/>
      <c r="Y271" s="37"/>
      <c r="Z271" s="537"/>
      <c r="AA271" s="537"/>
      <c r="AB271" s="537"/>
      <c r="AC271" s="537"/>
      <c r="AD271" s="537"/>
      <c r="AE271" s="537"/>
      <c r="AF271" s="537"/>
      <c r="AG271" s="537"/>
      <c r="AH271" s="537"/>
      <c r="AI271" s="858"/>
      <c r="AJ271" s="37"/>
      <c r="AK271" s="340"/>
      <c r="AL271" s="197"/>
      <c r="AN271" s="180"/>
    </row>
    <row r="272" spans="1:40" ht="18.75" x14ac:dyDescent="0.3">
      <c r="A272" s="11" t="s">
        <v>95</v>
      </c>
      <c r="B272" s="537"/>
      <c r="C272" s="537"/>
      <c r="D272" s="537"/>
      <c r="E272" s="537"/>
      <c r="F272" s="537"/>
      <c r="G272" s="537"/>
      <c r="H272" s="537"/>
      <c r="I272" s="37"/>
      <c r="J272" s="537"/>
      <c r="K272" s="537"/>
      <c r="L272" s="537"/>
      <c r="M272" s="537"/>
      <c r="N272" s="537"/>
      <c r="O272" s="537"/>
      <c r="P272" s="537"/>
      <c r="Q272" s="37"/>
      <c r="R272" s="537"/>
      <c r="S272" s="537"/>
      <c r="T272" s="537"/>
      <c r="U272" s="537"/>
      <c r="V272" s="530"/>
      <c r="W272" s="537"/>
      <c r="X272" s="537"/>
      <c r="Y272" s="37"/>
      <c r="Z272" s="537"/>
      <c r="AA272" s="537"/>
      <c r="AB272" s="537"/>
      <c r="AC272" s="537"/>
      <c r="AD272" s="537"/>
      <c r="AE272" s="537"/>
      <c r="AF272" s="537"/>
      <c r="AG272" s="537"/>
      <c r="AH272" s="537"/>
      <c r="AI272" s="858"/>
      <c r="AJ272" s="37"/>
      <c r="AK272" s="340"/>
      <c r="AL272" s="197"/>
      <c r="AN272" s="180"/>
    </row>
    <row r="273" spans="1:40" ht="18.75" x14ac:dyDescent="0.3">
      <c r="A273" s="11" t="s">
        <v>96</v>
      </c>
      <c r="B273" s="537"/>
      <c r="C273" s="537"/>
      <c r="D273" s="537"/>
      <c r="E273" s="537"/>
      <c r="F273" s="537"/>
      <c r="G273" s="537"/>
      <c r="H273" s="537"/>
      <c r="I273" s="37"/>
      <c r="J273" s="537"/>
      <c r="K273" s="537"/>
      <c r="L273" s="537"/>
      <c r="M273" s="537"/>
      <c r="N273" s="537"/>
      <c r="O273" s="537"/>
      <c r="P273" s="537"/>
      <c r="Q273" s="37"/>
      <c r="R273" s="537"/>
      <c r="S273" s="537"/>
      <c r="T273" s="537"/>
      <c r="U273" s="537"/>
      <c r="V273" s="537"/>
      <c r="W273" s="537"/>
      <c r="X273" s="537"/>
      <c r="Y273" s="37"/>
      <c r="Z273" s="537"/>
      <c r="AA273" s="537"/>
      <c r="AB273" s="537"/>
      <c r="AC273" s="537"/>
      <c r="AD273" s="537"/>
      <c r="AE273" s="537"/>
      <c r="AF273" s="537"/>
      <c r="AG273" s="537"/>
      <c r="AH273" s="537"/>
      <c r="AI273" s="858"/>
      <c r="AJ273" s="37"/>
      <c r="AK273" s="340"/>
      <c r="AL273" s="197"/>
      <c r="AN273" s="180"/>
    </row>
    <row r="274" spans="1:40" x14ac:dyDescent="0.25">
      <c r="A274" s="11" t="s">
        <v>97</v>
      </c>
      <c r="B274" s="530"/>
      <c r="C274" s="530"/>
      <c r="D274" s="530"/>
      <c r="E274" s="530"/>
      <c r="F274" s="530"/>
      <c r="G274" s="530"/>
      <c r="H274" s="530"/>
      <c r="I274" s="37"/>
      <c r="J274" s="530"/>
      <c r="K274" s="530"/>
      <c r="L274" s="530"/>
      <c r="M274" s="530"/>
      <c r="N274" s="530"/>
      <c r="O274" s="530"/>
      <c r="P274" s="530"/>
      <c r="Q274" s="37"/>
      <c r="R274" s="530"/>
      <c r="S274" s="530"/>
      <c r="T274" s="530"/>
      <c r="U274" s="530"/>
      <c r="V274" s="530"/>
      <c r="W274" s="533">
        <v>2000</v>
      </c>
      <c r="X274" s="530"/>
      <c r="Y274" s="37"/>
      <c r="Z274" s="530"/>
      <c r="AA274" s="530"/>
      <c r="AB274" s="530"/>
      <c r="AC274" s="530"/>
      <c r="AD274" s="530"/>
      <c r="AE274" s="530"/>
      <c r="AF274" s="530"/>
      <c r="AG274" s="530"/>
      <c r="AH274" s="530"/>
      <c r="AI274" s="857"/>
      <c r="AJ274" s="37"/>
      <c r="AK274" s="38"/>
      <c r="AL274" s="197"/>
      <c r="AN274" s="180"/>
    </row>
    <row r="275" spans="1:40" ht="15.75" thickBot="1" x14ac:dyDescent="0.3">
      <c r="A275" s="11" t="s">
        <v>93</v>
      </c>
      <c r="B275" s="576"/>
      <c r="C275" s="576"/>
      <c r="D275" s="576"/>
      <c r="E275" s="576"/>
      <c r="F275" s="576"/>
      <c r="G275" s="576"/>
      <c r="H275" s="576"/>
      <c r="I275" s="43"/>
      <c r="J275" s="576"/>
      <c r="K275" s="576"/>
      <c r="L275" s="576"/>
      <c r="M275" s="576"/>
      <c r="N275" s="576"/>
      <c r="O275" s="576"/>
      <c r="P275" s="576"/>
      <c r="Q275" s="43"/>
      <c r="R275" s="576"/>
      <c r="S275" s="576"/>
      <c r="T275" s="576"/>
      <c r="U275" s="576"/>
      <c r="V275" s="576"/>
      <c r="W275" s="576"/>
      <c r="X275" s="576"/>
      <c r="Y275" s="43"/>
      <c r="Z275" s="576"/>
      <c r="AA275" s="576"/>
      <c r="AB275" s="576"/>
      <c r="AC275" s="576"/>
      <c r="AD275" s="576"/>
      <c r="AE275" s="576"/>
      <c r="AF275" s="576"/>
      <c r="AG275" s="576"/>
      <c r="AH275" s="576"/>
      <c r="AI275" s="859"/>
      <c r="AJ275" s="43"/>
      <c r="AK275" s="44"/>
      <c r="AL275" s="204"/>
      <c r="AN275" s="180"/>
    </row>
    <row r="276" spans="1:40" ht="16.5" thickBot="1" x14ac:dyDescent="0.3">
      <c r="A276" s="11" t="s">
        <v>60</v>
      </c>
      <c r="B276" s="687"/>
      <c r="C276" s="687"/>
      <c r="D276" s="687"/>
      <c r="E276" s="687"/>
      <c r="F276" s="687"/>
      <c r="G276" s="687"/>
      <c r="H276" s="687"/>
      <c r="I276" s="375"/>
      <c r="J276" s="687"/>
      <c r="K276" s="687"/>
      <c r="L276" s="687"/>
      <c r="M276" s="687"/>
      <c r="N276" s="687"/>
      <c r="O276" s="687"/>
      <c r="P276" s="687"/>
      <c r="Q276" s="375"/>
      <c r="R276" s="687"/>
      <c r="S276" s="687"/>
      <c r="T276" s="687"/>
      <c r="U276" s="687"/>
      <c r="V276" s="687"/>
      <c r="W276" s="687"/>
      <c r="X276" s="687"/>
      <c r="Y276" s="278"/>
      <c r="Z276" s="687"/>
      <c r="AA276" s="687"/>
      <c r="AB276" s="687"/>
      <c r="AC276" s="687"/>
      <c r="AD276" s="687"/>
      <c r="AE276" s="687"/>
      <c r="AF276" s="687"/>
      <c r="AG276" s="687"/>
      <c r="AH276" s="687"/>
      <c r="AI276" s="860"/>
      <c r="AJ276" s="278"/>
      <c r="AK276" s="168"/>
      <c r="AL276" s="401"/>
      <c r="AN276" s="166"/>
    </row>
    <row r="277" spans="1:40" ht="19.5" thickBot="1" x14ac:dyDescent="0.35">
      <c r="A277" s="280" t="s">
        <v>2</v>
      </c>
      <c r="B277" s="277"/>
      <c r="C277" s="277"/>
      <c r="D277" s="277"/>
      <c r="E277" s="277"/>
      <c r="F277" s="277"/>
      <c r="G277" s="277"/>
      <c r="H277" s="277"/>
      <c r="I277" s="375"/>
      <c r="J277" s="277"/>
      <c r="K277" s="277"/>
      <c r="L277" s="277"/>
      <c r="M277" s="277"/>
      <c r="N277" s="277"/>
      <c r="O277" s="277"/>
      <c r="P277" s="277"/>
      <c r="Q277" s="375"/>
      <c r="R277" s="277"/>
      <c r="S277" s="277"/>
      <c r="T277" s="277"/>
      <c r="U277" s="277"/>
      <c r="V277" s="277"/>
      <c r="W277" s="277">
        <f>SUM(W270:W276)</f>
        <v>2000</v>
      </c>
      <c r="X277" s="277"/>
      <c r="Y277" s="375"/>
      <c r="Z277" s="277"/>
      <c r="AA277" s="277"/>
      <c r="AB277" s="277"/>
      <c r="AC277" s="277"/>
      <c r="AD277" s="277"/>
      <c r="AE277" s="277"/>
      <c r="AF277" s="277"/>
      <c r="AG277" s="277"/>
      <c r="AH277" s="277"/>
      <c r="AI277" s="423"/>
      <c r="AJ277" s="278"/>
      <c r="AK277" s="279"/>
      <c r="AL277" s="283"/>
      <c r="AN277" s="180"/>
    </row>
    <row r="278" spans="1:40" ht="27" thickBot="1" x14ac:dyDescent="0.45">
      <c r="A278" s="311" t="s">
        <v>178</v>
      </c>
      <c r="B278" s="219"/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  <c r="AB278" s="219"/>
      <c r="AC278" s="219"/>
      <c r="AD278" s="219"/>
      <c r="AE278" s="219"/>
      <c r="AF278" s="219"/>
      <c r="AG278" s="219"/>
      <c r="AH278" s="219"/>
      <c r="AI278" s="219"/>
      <c r="AJ278" s="219"/>
      <c r="AK278" s="219"/>
      <c r="AL278" s="312"/>
      <c r="AN278" s="180"/>
    </row>
    <row r="279" spans="1:40" ht="16.5" thickBot="1" x14ac:dyDescent="0.3">
      <c r="A279" s="319" t="s">
        <v>8</v>
      </c>
      <c r="B279" s="322">
        <v>1</v>
      </c>
      <c r="C279" s="322">
        <v>2</v>
      </c>
      <c r="D279" s="322">
        <v>3</v>
      </c>
      <c r="E279" s="322">
        <v>4</v>
      </c>
      <c r="F279" s="322">
        <v>5</v>
      </c>
      <c r="G279" s="322">
        <v>6</v>
      </c>
      <c r="H279" s="322">
        <v>7</v>
      </c>
      <c r="I279" s="323" t="s">
        <v>6</v>
      </c>
      <c r="J279" s="322">
        <v>8</v>
      </c>
      <c r="K279" s="322">
        <v>9</v>
      </c>
      <c r="L279" s="322">
        <v>10</v>
      </c>
      <c r="M279" s="322">
        <v>11</v>
      </c>
      <c r="N279" s="322">
        <v>12</v>
      </c>
      <c r="O279" s="322">
        <v>13</v>
      </c>
      <c r="P279" s="322">
        <v>14</v>
      </c>
      <c r="Q279" s="323" t="s">
        <v>6</v>
      </c>
      <c r="R279" s="322">
        <v>15</v>
      </c>
      <c r="S279" s="322">
        <v>16</v>
      </c>
      <c r="T279" s="322">
        <v>17</v>
      </c>
      <c r="U279" s="322">
        <v>18</v>
      </c>
      <c r="V279" s="322">
        <v>19</v>
      </c>
      <c r="W279" s="322">
        <v>20</v>
      </c>
      <c r="X279" s="322">
        <v>21</v>
      </c>
      <c r="Y279" s="323" t="s">
        <v>6</v>
      </c>
      <c r="Z279" s="322">
        <v>22</v>
      </c>
      <c r="AA279" s="322">
        <v>23</v>
      </c>
      <c r="AB279" s="322">
        <v>24</v>
      </c>
      <c r="AC279" s="322">
        <v>25</v>
      </c>
      <c r="AD279" s="322">
        <v>26</v>
      </c>
      <c r="AE279" s="322">
        <v>27</v>
      </c>
      <c r="AF279" s="322">
        <v>28</v>
      </c>
      <c r="AG279" s="322">
        <v>29</v>
      </c>
      <c r="AH279" s="322">
        <v>30</v>
      </c>
      <c r="AI279" s="322">
        <v>31</v>
      </c>
      <c r="AJ279" s="324" t="s">
        <v>6</v>
      </c>
      <c r="AK279" s="325" t="s">
        <v>0</v>
      </c>
      <c r="AL279" s="395" t="s">
        <v>42</v>
      </c>
      <c r="AN279" s="166"/>
    </row>
    <row r="280" spans="1:40" x14ac:dyDescent="0.25">
      <c r="A280" s="61" t="s">
        <v>25</v>
      </c>
      <c r="B280" s="303">
        <v>11953.51</v>
      </c>
      <c r="C280" s="303">
        <v>11362.78</v>
      </c>
      <c r="D280" s="303">
        <v>11601.01</v>
      </c>
      <c r="E280" s="303">
        <v>13131.27</v>
      </c>
      <c r="F280" s="303">
        <v>11994.15</v>
      </c>
      <c r="G280" s="303">
        <v>12292.6</v>
      </c>
      <c r="H280" s="313">
        <v>11513.47</v>
      </c>
      <c r="I280" s="304"/>
      <c r="J280" s="303">
        <v>12200.49</v>
      </c>
      <c r="K280" s="303">
        <v>11673.77</v>
      </c>
      <c r="L280" s="303">
        <v>11749.33</v>
      </c>
      <c r="M280" s="303">
        <v>11448.76</v>
      </c>
      <c r="N280" s="303">
        <v>11022.85</v>
      </c>
      <c r="O280" s="303">
        <v>10149.51</v>
      </c>
      <c r="P280" s="303">
        <v>12121.72</v>
      </c>
      <c r="Q280" s="305"/>
      <c r="R280" s="303">
        <v>11634.83</v>
      </c>
      <c r="S280" s="303">
        <v>13409.17</v>
      </c>
      <c r="T280" s="303">
        <v>13062.64</v>
      </c>
      <c r="U280" s="303">
        <v>14415.86</v>
      </c>
      <c r="V280" s="303">
        <v>13783.18</v>
      </c>
      <c r="W280" s="303">
        <v>12940.96</v>
      </c>
      <c r="X280" s="303">
        <v>0</v>
      </c>
      <c r="Y280" s="305"/>
      <c r="Z280" s="303"/>
      <c r="AA280" s="303"/>
      <c r="AB280" s="303"/>
      <c r="AC280" s="303"/>
      <c r="AD280" s="303"/>
      <c r="AE280" s="303"/>
      <c r="AF280" s="303"/>
      <c r="AG280" s="303"/>
      <c r="AH280" s="303"/>
      <c r="AI280" s="303"/>
      <c r="AJ280" s="305"/>
      <c r="AK280" s="314"/>
      <c r="AL280" s="315"/>
    </row>
    <row r="281" spans="1:40" ht="15.75" x14ac:dyDescent="0.25">
      <c r="A281" s="11" t="s">
        <v>36</v>
      </c>
      <c r="B281" s="1">
        <v>6596.61</v>
      </c>
      <c r="C281" s="1">
        <v>5827.75</v>
      </c>
      <c r="D281" s="1">
        <v>5929.55</v>
      </c>
      <c r="E281" s="1">
        <v>5633.44</v>
      </c>
      <c r="F281" s="1">
        <v>6061.11</v>
      </c>
      <c r="G281" s="1">
        <v>5560.1</v>
      </c>
      <c r="H281" s="173">
        <v>5660.75</v>
      </c>
      <c r="I281" s="36"/>
      <c r="J281" s="173">
        <v>5680.01</v>
      </c>
      <c r="K281" s="1">
        <v>6366.71</v>
      </c>
      <c r="L281" s="1">
        <v>6110.93</v>
      </c>
      <c r="M281" s="1">
        <v>6387.87</v>
      </c>
      <c r="N281" s="1">
        <v>5702.88</v>
      </c>
      <c r="O281" s="1">
        <v>6388.82</v>
      </c>
      <c r="P281" s="1">
        <v>5722.03</v>
      </c>
      <c r="Q281" s="37"/>
      <c r="R281" s="1">
        <v>5841.61</v>
      </c>
      <c r="S281" s="1">
        <v>5804.04</v>
      </c>
      <c r="T281" s="1">
        <v>6475.16</v>
      </c>
      <c r="U281" s="1">
        <v>6194.19</v>
      </c>
      <c r="V281" s="118">
        <v>6735.66</v>
      </c>
      <c r="W281" s="1">
        <v>5857.45</v>
      </c>
      <c r="X281" s="1"/>
      <c r="Y281" s="37"/>
      <c r="Z281" s="1"/>
      <c r="AA281" s="1"/>
      <c r="AB281" s="1"/>
      <c r="AC281" s="1"/>
      <c r="AD281" s="1"/>
      <c r="AE281" s="1"/>
      <c r="AF281" s="118"/>
      <c r="AG281" s="1"/>
      <c r="AH281" s="1"/>
      <c r="AI281" s="1"/>
      <c r="AJ281" s="37"/>
      <c r="AK281" s="236"/>
      <c r="AL281" s="223"/>
      <c r="AM281" s="12"/>
    </row>
    <row r="282" spans="1:40" ht="15.75" x14ac:dyDescent="0.25">
      <c r="A282" s="11" t="s">
        <v>46</v>
      </c>
      <c r="B282" s="531">
        <v>0</v>
      </c>
      <c r="C282" s="531">
        <v>0</v>
      </c>
      <c r="D282" s="531">
        <v>242.18</v>
      </c>
      <c r="E282" s="531">
        <v>104.08</v>
      </c>
      <c r="F282" s="531">
        <v>0</v>
      </c>
      <c r="G282" s="533">
        <v>246.53</v>
      </c>
      <c r="H282" s="711">
        <v>105.44</v>
      </c>
      <c r="I282" s="36"/>
      <c r="J282" s="531">
        <v>0</v>
      </c>
      <c r="K282" s="533">
        <v>200.84</v>
      </c>
      <c r="L282" s="531">
        <v>0</v>
      </c>
      <c r="M282" s="531">
        <v>0</v>
      </c>
      <c r="N282" s="531">
        <v>0</v>
      </c>
      <c r="O282" s="531">
        <v>0</v>
      </c>
      <c r="P282" s="531">
        <v>0</v>
      </c>
      <c r="Q282" s="37"/>
      <c r="R282" s="531">
        <v>0</v>
      </c>
      <c r="S282" s="531">
        <v>0</v>
      </c>
      <c r="T282" s="531">
        <v>0</v>
      </c>
      <c r="U282" s="531">
        <v>0</v>
      </c>
      <c r="V282" s="531">
        <v>0</v>
      </c>
      <c r="W282" s="531">
        <v>0</v>
      </c>
      <c r="X282" s="531">
        <v>0</v>
      </c>
      <c r="Y282" s="37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37"/>
      <c r="AK282" s="237"/>
      <c r="AL282" s="223"/>
      <c r="AM282" s="533"/>
    </row>
    <row r="283" spans="1:40" ht="18.75" x14ac:dyDescent="0.3">
      <c r="A283" s="11" t="s">
        <v>47</v>
      </c>
      <c r="B283" s="531">
        <v>0</v>
      </c>
      <c r="C283" s="531">
        <v>0</v>
      </c>
      <c r="D283" s="531">
        <v>0</v>
      </c>
      <c r="E283" s="531">
        <v>0</v>
      </c>
      <c r="F283" s="531">
        <v>0</v>
      </c>
      <c r="G283" s="531">
        <v>0</v>
      </c>
      <c r="H283" s="963">
        <v>0</v>
      </c>
      <c r="I283" s="36"/>
      <c r="J283" s="531">
        <v>0</v>
      </c>
      <c r="K283" s="531">
        <v>0</v>
      </c>
      <c r="L283" s="531">
        <v>0</v>
      </c>
      <c r="M283" s="531">
        <v>0</v>
      </c>
      <c r="N283" s="531">
        <v>0</v>
      </c>
      <c r="O283" s="531">
        <v>0</v>
      </c>
      <c r="P283" s="531">
        <v>0</v>
      </c>
      <c r="Q283" s="37"/>
      <c r="R283" s="531">
        <v>0</v>
      </c>
      <c r="S283" s="531">
        <v>0</v>
      </c>
      <c r="T283" s="531">
        <v>0</v>
      </c>
      <c r="U283" s="531">
        <v>0</v>
      </c>
      <c r="V283" s="531">
        <v>0</v>
      </c>
      <c r="W283" s="531">
        <v>0</v>
      </c>
      <c r="X283" s="531">
        <v>0</v>
      </c>
      <c r="Y283" s="37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37"/>
      <c r="AK283" s="238"/>
      <c r="AL283" s="223"/>
      <c r="AM283" s="533"/>
    </row>
    <row r="284" spans="1:40" ht="15" customHeight="1" x14ac:dyDescent="0.3">
      <c r="A284" s="11" t="s">
        <v>48</v>
      </c>
      <c r="B284" s="1">
        <v>30.46</v>
      </c>
      <c r="C284" s="1">
        <v>120.48</v>
      </c>
      <c r="D284" s="1">
        <v>47.49</v>
      </c>
      <c r="E284" s="1">
        <v>0</v>
      </c>
      <c r="F284" s="1">
        <v>37.26</v>
      </c>
      <c r="G284" s="1">
        <v>0</v>
      </c>
      <c r="H284" s="173">
        <v>49.33</v>
      </c>
      <c r="I284" s="36"/>
      <c r="J284" s="1">
        <v>15.29</v>
      </c>
      <c r="K284" s="1">
        <v>29.99</v>
      </c>
      <c r="L284" s="1">
        <v>27.18</v>
      </c>
      <c r="M284" s="1">
        <v>0</v>
      </c>
      <c r="N284" s="1">
        <v>33.75</v>
      </c>
      <c r="O284" s="1">
        <v>54.18</v>
      </c>
      <c r="P284" s="1">
        <v>31.64</v>
      </c>
      <c r="Q284" s="37"/>
      <c r="R284" s="1">
        <v>29.58</v>
      </c>
      <c r="S284" s="1">
        <v>70.39</v>
      </c>
      <c r="T284" s="1">
        <v>77.209999999999994</v>
      </c>
      <c r="U284" s="1">
        <v>25.94</v>
      </c>
      <c r="V284" s="1">
        <v>14.28</v>
      </c>
      <c r="W284" s="1">
        <v>36.1</v>
      </c>
      <c r="X284" s="1"/>
      <c r="Y284" s="37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37"/>
      <c r="AK284" s="238"/>
      <c r="AL284" s="223"/>
      <c r="AM284" s="12"/>
    </row>
    <row r="285" spans="1:40" ht="15" customHeight="1" x14ac:dyDescent="0.3">
      <c r="A285" s="11" t="s">
        <v>37</v>
      </c>
      <c r="B285" s="1">
        <v>62.76</v>
      </c>
      <c r="C285" s="1">
        <v>187.9</v>
      </c>
      <c r="D285" s="1">
        <v>234.15</v>
      </c>
      <c r="E285" s="1">
        <v>218.65</v>
      </c>
      <c r="F285" s="1">
        <v>140.19999999999999</v>
      </c>
      <c r="G285" s="1">
        <v>257.37</v>
      </c>
      <c r="H285" s="173">
        <v>99.8</v>
      </c>
      <c r="I285" s="36"/>
      <c r="J285" s="1">
        <v>181.82</v>
      </c>
      <c r="K285" s="1">
        <v>282.39999999999998</v>
      </c>
      <c r="L285" s="1">
        <v>40</v>
      </c>
      <c r="M285" s="1">
        <v>272.51</v>
      </c>
      <c r="N285" s="1">
        <v>61.67</v>
      </c>
      <c r="O285" s="1">
        <v>238.79</v>
      </c>
      <c r="P285" s="1">
        <v>160</v>
      </c>
      <c r="Q285" s="37"/>
      <c r="R285" s="1">
        <v>103.21</v>
      </c>
      <c r="S285" s="1">
        <v>246.89</v>
      </c>
      <c r="T285" s="1">
        <v>209.49</v>
      </c>
      <c r="U285" s="1">
        <v>80</v>
      </c>
      <c r="V285" s="1">
        <v>233.23</v>
      </c>
      <c r="W285" s="1">
        <v>283.27</v>
      </c>
      <c r="X285" s="1"/>
      <c r="Y285" s="37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37"/>
      <c r="AK285" s="238"/>
      <c r="AL285" s="223"/>
      <c r="AM285" s="12"/>
    </row>
    <row r="286" spans="1:40" ht="15" customHeight="1" x14ac:dyDescent="0.25">
      <c r="A286" s="11" t="s">
        <v>26</v>
      </c>
      <c r="B286" s="1">
        <v>142.16</v>
      </c>
      <c r="C286" s="1">
        <v>143.29</v>
      </c>
      <c r="D286" s="1">
        <v>148.58000000000001</v>
      </c>
      <c r="E286" s="1">
        <v>145.07</v>
      </c>
      <c r="F286" s="1">
        <v>143.59</v>
      </c>
      <c r="G286" s="118">
        <v>147.07</v>
      </c>
      <c r="H286" s="173">
        <v>150</v>
      </c>
      <c r="I286" s="36"/>
      <c r="J286" s="1">
        <v>147.74</v>
      </c>
      <c r="K286" s="1">
        <v>143.66</v>
      </c>
      <c r="L286" s="1">
        <v>149.82</v>
      </c>
      <c r="M286" s="1">
        <v>139.83000000000001</v>
      </c>
      <c r="N286" s="1">
        <v>134.01</v>
      </c>
      <c r="O286" s="1">
        <v>145.94</v>
      </c>
      <c r="P286" s="1">
        <v>144.29</v>
      </c>
      <c r="Q286" s="37"/>
      <c r="R286" s="1">
        <v>150</v>
      </c>
      <c r="S286" s="1">
        <v>149.97</v>
      </c>
      <c r="T286" s="1">
        <v>148.87</v>
      </c>
      <c r="U286" s="1">
        <v>148.32</v>
      </c>
      <c r="V286" s="1">
        <v>148.09</v>
      </c>
      <c r="W286" s="1">
        <v>148.55000000000001</v>
      </c>
      <c r="X286" s="1"/>
      <c r="Y286" s="37"/>
      <c r="Z286" s="118"/>
      <c r="AA286" s="1"/>
      <c r="AB286" s="1"/>
      <c r="AC286" s="1"/>
      <c r="AD286" s="1"/>
      <c r="AE286" s="1"/>
      <c r="AF286" s="1"/>
      <c r="AG286" s="1"/>
      <c r="AH286" s="1"/>
      <c r="AI286" s="1"/>
      <c r="AJ286" s="37"/>
      <c r="AK286" s="747">
        <v>129087.1</v>
      </c>
      <c r="AL286" s="223"/>
      <c r="AM286" s="12"/>
    </row>
    <row r="287" spans="1:40" ht="15" customHeight="1" x14ac:dyDescent="0.25">
      <c r="A287" s="11" t="s">
        <v>27</v>
      </c>
      <c r="B287" s="1">
        <v>103.82</v>
      </c>
      <c r="C287" s="1">
        <v>99.92</v>
      </c>
      <c r="D287" s="1">
        <v>103.41</v>
      </c>
      <c r="E287" s="1">
        <v>112.79</v>
      </c>
      <c r="F287" s="1">
        <v>116.5</v>
      </c>
      <c r="G287" s="118">
        <v>108.72</v>
      </c>
      <c r="H287" s="173">
        <v>120</v>
      </c>
      <c r="I287" s="36"/>
      <c r="J287" s="1">
        <v>104.53</v>
      </c>
      <c r="K287" s="1">
        <v>108.75</v>
      </c>
      <c r="L287" s="1">
        <v>105.06</v>
      </c>
      <c r="M287" s="1">
        <v>112.98</v>
      </c>
      <c r="N287" s="1">
        <v>119.77</v>
      </c>
      <c r="O287" s="1">
        <v>120</v>
      </c>
      <c r="P287" s="1">
        <v>116.08</v>
      </c>
      <c r="Q287" s="37"/>
      <c r="R287" s="118">
        <v>111.36</v>
      </c>
      <c r="S287" s="1">
        <v>101.8</v>
      </c>
      <c r="T287" s="118">
        <v>93.88</v>
      </c>
      <c r="U287" s="1">
        <v>112.9</v>
      </c>
      <c r="V287" s="1">
        <v>114.54</v>
      </c>
      <c r="W287" s="1">
        <v>112.72</v>
      </c>
      <c r="X287" s="1"/>
      <c r="Y287" s="37"/>
      <c r="Z287" s="1"/>
      <c r="AA287" s="1"/>
      <c r="AB287" s="1"/>
      <c r="AC287" s="1"/>
      <c r="AD287" s="1"/>
      <c r="AE287" s="118"/>
      <c r="AF287" s="1"/>
      <c r="AG287" s="1"/>
      <c r="AH287" s="1"/>
      <c r="AI287" s="1"/>
      <c r="AJ287" s="37"/>
      <c r="AK287" s="747">
        <v>126148.2</v>
      </c>
      <c r="AL287" s="223"/>
      <c r="AM287" s="12"/>
    </row>
    <row r="288" spans="1:40" ht="15.75" x14ac:dyDescent="0.25">
      <c r="A288" s="62" t="s">
        <v>89</v>
      </c>
      <c r="B288" s="531">
        <v>0</v>
      </c>
      <c r="C288" s="531">
        <v>0</v>
      </c>
      <c r="D288" s="531">
        <v>0</v>
      </c>
      <c r="E288" s="531">
        <v>0</v>
      </c>
      <c r="F288" s="531">
        <v>0</v>
      </c>
      <c r="G288" s="531">
        <v>0</v>
      </c>
      <c r="H288" s="963">
        <v>0</v>
      </c>
      <c r="I288" s="126"/>
      <c r="J288" s="963">
        <v>0</v>
      </c>
      <c r="K288" s="963">
        <v>0</v>
      </c>
      <c r="L288" s="963">
        <v>0</v>
      </c>
      <c r="M288" s="963">
        <v>0</v>
      </c>
      <c r="N288" s="963">
        <v>0</v>
      </c>
      <c r="O288" s="963">
        <v>0</v>
      </c>
      <c r="P288" s="963">
        <v>0</v>
      </c>
      <c r="Q288" s="43"/>
      <c r="R288" s="596">
        <v>0</v>
      </c>
      <c r="S288" s="596">
        <v>0</v>
      </c>
      <c r="T288" s="596">
        <v>0</v>
      </c>
      <c r="U288" s="596">
        <v>0</v>
      </c>
      <c r="V288" s="596">
        <v>0</v>
      </c>
      <c r="W288" s="596">
        <v>0</v>
      </c>
      <c r="X288" s="596">
        <v>0</v>
      </c>
      <c r="Y288" s="43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43"/>
      <c r="AK288" s="748"/>
      <c r="AL288" s="229"/>
      <c r="AM288" s="711"/>
    </row>
    <row r="289" spans="1:39" ht="16.5" thickBot="1" x14ac:dyDescent="0.3">
      <c r="A289" s="62" t="s">
        <v>28</v>
      </c>
      <c r="B289" s="531">
        <v>0</v>
      </c>
      <c r="C289" s="531">
        <v>0</v>
      </c>
      <c r="D289" s="531">
        <v>0</v>
      </c>
      <c r="E289" s="531">
        <v>0</v>
      </c>
      <c r="F289" s="531">
        <v>0</v>
      </c>
      <c r="G289" s="531">
        <v>0</v>
      </c>
      <c r="H289" s="963">
        <v>0</v>
      </c>
      <c r="I289" s="126"/>
      <c r="J289" s="963">
        <v>0</v>
      </c>
      <c r="K289" s="963">
        <v>0</v>
      </c>
      <c r="L289" s="963">
        <v>0</v>
      </c>
      <c r="M289" s="963">
        <v>0</v>
      </c>
      <c r="N289" s="963">
        <v>0</v>
      </c>
      <c r="O289" s="963">
        <v>0</v>
      </c>
      <c r="P289" s="963">
        <v>0</v>
      </c>
      <c r="Q289" s="43"/>
      <c r="R289" s="596">
        <v>0</v>
      </c>
      <c r="S289" s="596">
        <v>0</v>
      </c>
      <c r="T289" s="596">
        <v>0</v>
      </c>
      <c r="U289" s="596">
        <v>0</v>
      </c>
      <c r="V289" s="596">
        <v>0</v>
      </c>
      <c r="W289" s="596">
        <v>2000</v>
      </c>
      <c r="X289" s="596">
        <v>0</v>
      </c>
      <c r="Y289" s="43"/>
      <c r="Z289" s="123"/>
      <c r="AA289" s="123"/>
      <c r="AB289" s="123"/>
      <c r="AC289" s="123"/>
      <c r="AD289" s="123"/>
      <c r="AE289" s="123"/>
      <c r="AF289" s="123"/>
      <c r="AG289" s="123"/>
      <c r="AH289" s="123"/>
      <c r="AI289" s="123"/>
      <c r="AJ289" s="43"/>
      <c r="AK289" s="749"/>
      <c r="AL289" s="229"/>
      <c r="AM289" s="711"/>
    </row>
    <row r="290" spans="1:39" ht="18.75" x14ac:dyDescent="0.3">
      <c r="A290" s="230" t="s">
        <v>2</v>
      </c>
      <c r="B290" s="232">
        <f t="shared" ref="B290:H290" si="18">SUM(B280:B289)</f>
        <v>18889.319999999996</v>
      </c>
      <c r="C290" s="232">
        <f t="shared" si="18"/>
        <v>17742.12</v>
      </c>
      <c r="D290" s="232">
        <f t="shared" si="18"/>
        <v>18306.370000000006</v>
      </c>
      <c r="E290" s="232">
        <f t="shared" si="18"/>
        <v>19345.300000000003</v>
      </c>
      <c r="F290" s="232">
        <f>SUM(F280:F289)</f>
        <v>18492.809999999998</v>
      </c>
      <c r="G290" s="232">
        <f t="shared" si="18"/>
        <v>18612.39</v>
      </c>
      <c r="H290" s="248">
        <f t="shared" si="18"/>
        <v>17698.79</v>
      </c>
      <c r="I290" s="249">
        <f>SUM(B290:H290)</f>
        <v>129087.1</v>
      </c>
      <c r="J290" s="231">
        <f t="shared" ref="J290:P290" si="19">SUM(J280:J289)</f>
        <v>18329.88</v>
      </c>
      <c r="K290" s="231">
        <f t="shared" si="19"/>
        <v>18806.120000000003</v>
      </c>
      <c r="L290" s="231">
        <f t="shared" si="19"/>
        <v>18182.320000000003</v>
      </c>
      <c r="M290" s="231">
        <f t="shared" si="19"/>
        <v>18361.95</v>
      </c>
      <c r="N290" s="231">
        <f t="shared" si="19"/>
        <v>17074.929999999997</v>
      </c>
      <c r="O290" s="231">
        <f t="shared" si="19"/>
        <v>17097.240000000002</v>
      </c>
      <c r="P290" s="231">
        <f t="shared" si="19"/>
        <v>18295.760000000002</v>
      </c>
      <c r="Q290" s="249">
        <f>SUM(J290:P290)</f>
        <v>126148.20000000001</v>
      </c>
      <c r="R290" s="233">
        <f t="shared" ref="R290:X290" si="20">SUM(R280:R289)</f>
        <v>17870.59</v>
      </c>
      <c r="S290" s="233">
        <f t="shared" si="20"/>
        <v>19782.259999999998</v>
      </c>
      <c r="T290" s="233">
        <f t="shared" si="20"/>
        <v>20067.25</v>
      </c>
      <c r="U290" s="233">
        <f t="shared" si="20"/>
        <v>20977.21</v>
      </c>
      <c r="V290" s="233">
        <f t="shared" si="20"/>
        <v>21028.98</v>
      </c>
      <c r="W290" s="233">
        <f t="shared" si="20"/>
        <v>21379.05</v>
      </c>
      <c r="X290" s="233">
        <f t="shared" si="20"/>
        <v>0</v>
      </c>
      <c r="Y290" s="249">
        <f>SUM(R290:X290)</f>
        <v>121105.34</v>
      </c>
      <c r="Z290" s="233"/>
      <c r="AA290" s="233"/>
      <c r="AB290" s="233"/>
      <c r="AC290" s="233"/>
      <c r="AD290" s="233"/>
      <c r="AE290" s="233"/>
      <c r="AF290" s="233"/>
      <c r="AG290" s="233"/>
      <c r="AH290" s="233"/>
      <c r="AI290" s="233"/>
      <c r="AJ290" s="249"/>
      <c r="AK290" s="232">
        <f>SUM(AK286:AK289)</f>
        <v>255235.3</v>
      </c>
      <c r="AL290" s="235"/>
      <c r="AM290" s="1003"/>
    </row>
    <row r="291" spans="1:39" ht="15.75" thickBot="1" x14ac:dyDescent="0.3">
      <c r="A291" s="224"/>
      <c r="B291" s="335"/>
      <c r="C291" s="225"/>
      <c r="D291" s="225" t="s">
        <v>440</v>
      </c>
      <c r="E291" s="225"/>
      <c r="F291" s="225"/>
      <c r="G291" s="225"/>
      <c r="H291" s="225"/>
      <c r="I291" s="56"/>
      <c r="J291" s="225"/>
      <c r="K291" s="225"/>
      <c r="L291" s="225"/>
      <c r="M291" s="225"/>
      <c r="N291" s="225"/>
      <c r="O291" s="225"/>
      <c r="P291" s="225"/>
      <c r="Q291" s="56"/>
      <c r="R291" s="225"/>
      <c r="S291" s="225"/>
      <c r="T291" s="225"/>
      <c r="U291" s="225"/>
      <c r="V291" s="225"/>
      <c r="W291" s="225"/>
      <c r="X291" s="225"/>
      <c r="Y291" s="56"/>
      <c r="Z291" s="226"/>
      <c r="AA291" s="225"/>
      <c r="AB291" s="227"/>
      <c r="AC291" s="225"/>
      <c r="AD291" s="225"/>
      <c r="AE291" s="225"/>
      <c r="AF291" s="225"/>
      <c r="AG291" s="225"/>
      <c r="AH291" s="225"/>
      <c r="AI291" s="225"/>
      <c r="AJ291" s="56"/>
      <c r="AK291" s="225"/>
      <c r="AL291" s="228"/>
    </row>
    <row r="292" spans="1:39" ht="27" thickBot="1" x14ac:dyDescent="0.45">
      <c r="A292" s="311" t="s">
        <v>437</v>
      </c>
      <c r="B292" s="219"/>
      <c r="C292" s="219"/>
      <c r="D292" s="219"/>
      <c r="E292" s="219"/>
      <c r="F292" s="219"/>
      <c r="G292" s="219"/>
      <c r="H292" s="782"/>
      <c r="I292" s="784"/>
      <c r="J292" s="785"/>
      <c r="K292" s="785"/>
      <c r="L292" s="785"/>
      <c r="M292" s="785"/>
      <c r="N292" s="785"/>
      <c r="O292" s="785"/>
      <c r="P292" s="785"/>
      <c r="Q292" s="785"/>
      <c r="R292" s="785"/>
      <c r="S292" s="785"/>
      <c r="T292" s="785"/>
      <c r="U292" s="785"/>
      <c r="V292" s="785"/>
      <c r="W292" s="785"/>
      <c r="X292" s="785"/>
      <c r="Y292" s="785"/>
      <c r="Z292" s="785"/>
      <c r="AA292" s="785"/>
      <c r="AB292" s="785"/>
      <c r="AC292" s="785"/>
      <c r="AD292" s="785"/>
      <c r="AE292" s="785"/>
      <c r="AF292" s="785"/>
      <c r="AG292" s="785"/>
      <c r="AH292" s="785"/>
      <c r="AI292" s="785"/>
      <c r="AJ292" s="785"/>
      <c r="AK292" s="785"/>
      <c r="AL292" s="972"/>
      <c r="AM292" s="978"/>
    </row>
    <row r="293" spans="1:39" ht="16.5" thickBot="1" x14ac:dyDescent="0.3">
      <c r="A293" s="706" t="s">
        <v>397</v>
      </c>
      <c r="B293" s="707">
        <v>1</v>
      </c>
      <c r="C293" s="328">
        <v>2</v>
      </c>
      <c r="D293" s="328">
        <v>3</v>
      </c>
      <c r="E293" s="328">
        <v>4</v>
      </c>
      <c r="F293" s="328">
        <v>5</v>
      </c>
      <c r="G293" s="328">
        <v>6</v>
      </c>
      <c r="H293" s="705">
        <v>7</v>
      </c>
      <c r="I293" s="779" t="s">
        <v>6</v>
      </c>
      <c r="J293" s="322">
        <v>8</v>
      </c>
      <c r="K293" s="322">
        <v>9</v>
      </c>
      <c r="L293" s="322">
        <v>10</v>
      </c>
      <c r="M293" s="322">
        <v>11</v>
      </c>
      <c r="N293" s="322">
        <v>12</v>
      </c>
      <c r="O293" s="322">
        <v>13</v>
      </c>
      <c r="P293" s="322">
        <v>14</v>
      </c>
      <c r="Q293" s="323" t="s">
        <v>6</v>
      </c>
      <c r="R293" s="322">
        <v>15</v>
      </c>
      <c r="S293" s="322">
        <v>16</v>
      </c>
      <c r="T293" s="322">
        <v>17</v>
      </c>
      <c r="U293" s="322">
        <v>18</v>
      </c>
      <c r="V293" s="322">
        <v>19</v>
      </c>
      <c r="W293" s="322">
        <v>20</v>
      </c>
      <c r="X293" s="322">
        <v>21</v>
      </c>
      <c r="Y293" s="323" t="s">
        <v>6</v>
      </c>
      <c r="Z293" s="322">
        <v>22</v>
      </c>
      <c r="AA293" s="322">
        <v>23</v>
      </c>
      <c r="AB293" s="322">
        <v>24</v>
      </c>
      <c r="AC293" s="322">
        <v>25</v>
      </c>
      <c r="AD293" s="322">
        <v>26</v>
      </c>
      <c r="AE293" s="322">
        <v>27</v>
      </c>
      <c r="AF293" s="322">
        <v>28</v>
      </c>
      <c r="AG293" s="322">
        <v>29</v>
      </c>
      <c r="AH293" s="322">
        <v>30</v>
      </c>
      <c r="AI293" s="322">
        <v>31</v>
      </c>
      <c r="AJ293" s="324" t="s">
        <v>6</v>
      </c>
      <c r="AK293" s="325" t="s">
        <v>0</v>
      </c>
      <c r="AL293" s="973" t="s">
        <v>42</v>
      </c>
      <c r="AM293" s="914" t="s">
        <v>42</v>
      </c>
    </row>
    <row r="294" spans="1:39" ht="15.75" thickBot="1" x14ac:dyDescent="0.3">
      <c r="A294" s="797" t="s">
        <v>399</v>
      </c>
      <c r="B294" s="837">
        <v>16002</v>
      </c>
      <c r="C294" s="837">
        <v>16116</v>
      </c>
      <c r="D294" s="411">
        <v>16112</v>
      </c>
      <c r="E294" s="411">
        <v>11896</v>
      </c>
      <c r="F294" s="411">
        <v>11900</v>
      </c>
      <c r="G294" s="411">
        <v>8913</v>
      </c>
      <c r="H294" s="314">
        <v>16086</v>
      </c>
      <c r="I294" s="304"/>
      <c r="J294" s="314">
        <v>16082</v>
      </c>
      <c r="K294" s="790">
        <v>16090</v>
      </c>
      <c r="L294" s="790">
        <v>16090</v>
      </c>
      <c r="M294" s="790">
        <v>16090</v>
      </c>
      <c r="N294" s="790">
        <v>16086</v>
      </c>
      <c r="O294" s="790">
        <v>13141</v>
      </c>
      <c r="P294" s="790">
        <v>12195</v>
      </c>
      <c r="Q294" s="305"/>
      <c r="R294" s="790">
        <v>12187</v>
      </c>
      <c r="S294" s="790">
        <v>2214</v>
      </c>
      <c r="T294" s="790">
        <v>16585</v>
      </c>
      <c r="U294" s="790">
        <v>3380</v>
      </c>
      <c r="V294" s="790">
        <v>0</v>
      </c>
      <c r="W294" s="790">
        <v>0</v>
      </c>
      <c r="X294" s="790">
        <v>0</v>
      </c>
      <c r="Y294" s="305"/>
      <c r="Z294" s="790"/>
      <c r="AA294" s="790"/>
      <c r="AB294" s="790"/>
      <c r="AC294" s="790"/>
      <c r="AD294" s="790"/>
      <c r="AE294" s="790"/>
      <c r="AF294" s="790"/>
      <c r="AG294" s="790"/>
      <c r="AH294" s="790"/>
      <c r="AI294" s="790"/>
      <c r="AJ294" s="305"/>
      <c r="AK294" s="314"/>
      <c r="AL294" s="974"/>
      <c r="AM294" s="915"/>
    </row>
    <row r="295" spans="1:39" ht="16.5" thickBot="1" x14ac:dyDescent="0.3">
      <c r="A295" s="797" t="s">
        <v>400</v>
      </c>
      <c r="B295" s="837">
        <v>5760</v>
      </c>
      <c r="C295" s="837">
        <v>912</v>
      </c>
      <c r="D295" s="57">
        <v>0</v>
      </c>
      <c r="E295" s="57">
        <v>7971</v>
      </c>
      <c r="F295" s="57">
        <v>12585</v>
      </c>
      <c r="G295" s="57">
        <v>12596</v>
      </c>
      <c r="H295" s="242">
        <v>12009</v>
      </c>
      <c r="I295" s="36"/>
      <c r="J295" s="445">
        <v>12002</v>
      </c>
      <c r="K295" s="12">
        <v>12002</v>
      </c>
      <c r="L295" s="12">
        <v>2846</v>
      </c>
      <c r="M295" s="12">
        <v>15900</v>
      </c>
      <c r="N295" s="12">
        <v>15912</v>
      </c>
      <c r="O295" s="12">
        <v>15915</v>
      </c>
      <c r="P295" s="12">
        <v>15927</v>
      </c>
      <c r="Q295" s="37"/>
      <c r="R295" s="12">
        <v>15923</v>
      </c>
      <c r="S295" s="12">
        <v>15919</v>
      </c>
      <c r="T295" s="12">
        <v>15927</v>
      </c>
      <c r="U295" s="12">
        <v>15927</v>
      </c>
      <c r="V295" s="12">
        <v>15923</v>
      </c>
      <c r="W295" s="12"/>
      <c r="X295" s="12"/>
      <c r="Y295" s="37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37"/>
      <c r="AK295" s="236"/>
      <c r="AL295" s="888"/>
      <c r="AM295" s="915"/>
    </row>
    <row r="296" spans="1:39" ht="16.5" thickBot="1" x14ac:dyDescent="0.3">
      <c r="A296" s="797" t="s">
        <v>401</v>
      </c>
      <c r="B296" s="837">
        <v>2691</v>
      </c>
      <c r="C296" s="837">
        <v>15465</v>
      </c>
      <c r="D296" s="57">
        <v>15461</v>
      </c>
      <c r="E296" s="57">
        <v>11616</v>
      </c>
      <c r="F296" s="57">
        <v>13766</v>
      </c>
      <c r="G296" s="57">
        <v>13766</v>
      </c>
      <c r="H296" s="135">
        <v>13069</v>
      </c>
      <c r="I296" s="36"/>
      <c r="J296" s="12">
        <v>6831</v>
      </c>
      <c r="K296" s="12">
        <v>16517</v>
      </c>
      <c r="L296" s="135">
        <v>9466</v>
      </c>
      <c r="M296" s="12">
        <v>15635</v>
      </c>
      <c r="N296" s="12">
        <v>15635</v>
      </c>
      <c r="O296" s="12">
        <v>13043</v>
      </c>
      <c r="P296" s="12">
        <v>5972</v>
      </c>
      <c r="Q296" s="37"/>
      <c r="R296" s="12">
        <v>7986</v>
      </c>
      <c r="S296" s="12">
        <v>1926</v>
      </c>
      <c r="T296" s="12">
        <v>15968</v>
      </c>
      <c r="U296" s="12">
        <v>15972</v>
      </c>
      <c r="V296" s="12">
        <v>13906</v>
      </c>
      <c r="W296" s="12"/>
      <c r="X296" s="12"/>
      <c r="Y296" s="37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37"/>
      <c r="AK296" s="237"/>
      <c r="AL296" s="888"/>
      <c r="AM296" s="915"/>
    </row>
    <row r="297" spans="1:39" ht="19.5" thickBot="1" x14ac:dyDescent="0.35">
      <c r="A297" s="797" t="s">
        <v>402</v>
      </c>
      <c r="B297" s="837">
        <v>12649</v>
      </c>
      <c r="C297" s="837">
        <v>8368</v>
      </c>
      <c r="D297" s="791">
        <v>2887</v>
      </c>
      <c r="E297" s="791">
        <v>15881</v>
      </c>
      <c r="F297" s="791">
        <v>15844</v>
      </c>
      <c r="G297" s="791">
        <v>9341</v>
      </c>
      <c r="H297" s="791">
        <v>13682</v>
      </c>
      <c r="I297" s="249"/>
      <c r="J297" s="791">
        <v>13678</v>
      </c>
      <c r="K297" s="791">
        <v>13682</v>
      </c>
      <c r="L297" s="791">
        <v>13682</v>
      </c>
      <c r="M297" s="791">
        <v>10401</v>
      </c>
      <c r="N297" s="791">
        <v>3485</v>
      </c>
      <c r="O297" s="791">
        <v>0</v>
      </c>
      <c r="P297" s="791">
        <v>15885</v>
      </c>
      <c r="Q297" s="249"/>
      <c r="R297" s="12">
        <v>15715</v>
      </c>
      <c r="S297" s="792">
        <v>15495</v>
      </c>
      <c r="T297" s="792">
        <v>10991</v>
      </c>
      <c r="U297" s="792">
        <v>3978</v>
      </c>
      <c r="V297" s="792">
        <v>0</v>
      </c>
      <c r="W297" s="792"/>
      <c r="X297" s="792"/>
      <c r="Y297" s="249"/>
      <c r="Z297" s="792"/>
      <c r="AA297" s="792"/>
      <c r="AB297" s="792"/>
      <c r="AC297" s="792"/>
      <c r="AD297" s="792"/>
      <c r="AE297" s="792"/>
      <c r="AF297" s="792"/>
      <c r="AG297" s="792"/>
      <c r="AH297" s="792"/>
      <c r="AI297" s="792"/>
      <c r="AJ297" s="249"/>
      <c r="AK297" s="795"/>
      <c r="AL297" s="975"/>
      <c r="AM297" s="915"/>
    </row>
    <row r="298" spans="1:39" ht="15.75" thickBot="1" x14ac:dyDescent="0.3">
      <c r="A298" s="797" t="s">
        <v>398</v>
      </c>
      <c r="B298" s="807">
        <v>7997</v>
      </c>
      <c r="C298" s="807">
        <v>7993</v>
      </c>
      <c r="D298" s="807">
        <v>7990</v>
      </c>
      <c r="E298" s="807">
        <v>7993</v>
      </c>
      <c r="F298" s="807">
        <v>7993</v>
      </c>
      <c r="G298" s="807">
        <v>7997</v>
      </c>
      <c r="H298" s="807">
        <v>7997</v>
      </c>
      <c r="I298" s="56"/>
      <c r="J298" s="807">
        <v>7993</v>
      </c>
      <c r="K298" s="807">
        <v>7993</v>
      </c>
      <c r="L298" s="807">
        <v>7993</v>
      </c>
      <c r="M298" s="807">
        <v>7990</v>
      </c>
      <c r="N298" s="807">
        <v>7990</v>
      </c>
      <c r="O298" s="807">
        <v>7990</v>
      </c>
      <c r="P298" s="807">
        <v>7993</v>
      </c>
      <c r="Q298" s="56"/>
      <c r="R298" s="807">
        <v>7990</v>
      </c>
      <c r="S298" s="807">
        <v>7990</v>
      </c>
      <c r="T298" s="807">
        <v>7990</v>
      </c>
      <c r="U298" s="807">
        <v>7990</v>
      </c>
      <c r="V298" s="807">
        <v>7990</v>
      </c>
      <c r="W298" s="807"/>
      <c r="X298" s="807"/>
      <c r="Y298" s="56"/>
      <c r="Z298" s="807"/>
      <c r="AA298" s="807"/>
      <c r="AB298" s="807"/>
      <c r="AC298" s="807"/>
      <c r="AD298" s="807"/>
      <c r="AE298" s="807"/>
      <c r="AF298" s="807"/>
      <c r="AG298" s="807"/>
      <c r="AH298" s="807"/>
      <c r="AI298" s="807"/>
      <c r="AJ298" s="780"/>
      <c r="AK298" s="789"/>
      <c r="AL298" s="970"/>
      <c r="AM298" s="915"/>
    </row>
    <row r="299" spans="1:39" ht="15.75" thickBot="1" x14ac:dyDescent="0.3">
      <c r="A299" s="797" t="s">
        <v>403</v>
      </c>
      <c r="B299" s="837">
        <v>19526</v>
      </c>
      <c r="C299" s="837">
        <v>19519</v>
      </c>
      <c r="D299" s="837">
        <v>8455</v>
      </c>
      <c r="E299" s="837">
        <v>15965</v>
      </c>
      <c r="F299" s="837">
        <v>13383</v>
      </c>
      <c r="G299" s="837">
        <v>3720</v>
      </c>
      <c r="H299" s="135">
        <v>15283</v>
      </c>
      <c r="I299" s="56"/>
      <c r="J299" s="135">
        <v>3364</v>
      </c>
      <c r="K299" s="837">
        <v>16135</v>
      </c>
      <c r="L299" s="793">
        <v>16127</v>
      </c>
      <c r="M299" s="793">
        <v>19466</v>
      </c>
      <c r="N299" s="793">
        <v>10950</v>
      </c>
      <c r="O299" s="793">
        <v>3633</v>
      </c>
      <c r="P299" s="793">
        <v>15143</v>
      </c>
      <c r="Q299" s="56"/>
      <c r="R299" s="837">
        <v>19591</v>
      </c>
      <c r="S299" s="793">
        <v>19583</v>
      </c>
      <c r="T299" s="837">
        <v>14674</v>
      </c>
      <c r="U299" s="793">
        <v>14674</v>
      </c>
      <c r="V299" s="793">
        <v>4413</v>
      </c>
      <c r="W299" s="793"/>
      <c r="X299" s="793"/>
      <c r="Y299" s="56"/>
      <c r="Z299" s="793"/>
      <c r="AA299" s="793"/>
      <c r="AB299" s="793"/>
      <c r="AC299" s="793"/>
      <c r="AD299" s="793"/>
      <c r="AE299" s="793"/>
      <c r="AF299" s="793"/>
      <c r="AG299" s="793"/>
      <c r="AH299" s="793"/>
      <c r="AI299" s="789"/>
      <c r="AJ299" s="780"/>
      <c r="AK299" s="789"/>
      <c r="AL299" s="970"/>
      <c r="AM299" s="915"/>
    </row>
    <row r="300" spans="1:39" ht="15.75" thickBot="1" x14ac:dyDescent="0.3">
      <c r="A300" s="797" t="s">
        <v>404</v>
      </c>
      <c r="B300" s="883">
        <v>0</v>
      </c>
      <c r="C300" s="883">
        <v>0</v>
      </c>
      <c r="D300" s="883">
        <v>0</v>
      </c>
      <c r="E300" s="883">
        <v>0</v>
      </c>
      <c r="F300" s="883">
        <v>0</v>
      </c>
      <c r="G300" s="883">
        <v>0</v>
      </c>
      <c r="H300" s="883">
        <v>0</v>
      </c>
      <c r="I300" s="56"/>
      <c r="J300" s="883">
        <v>0</v>
      </c>
      <c r="K300" s="883">
        <v>0</v>
      </c>
      <c r="L300" s="883">
        <v>0</v>
      </c>
      <c r="M300" s="883">
        <v>0</v>
      </c>
      <c r="N300" s="883">
        <v>0</v>
      </c>
      <c r="O300" s="883">
        <v>0</v>
      </c>
      <c r="P300" s="883">
        <v>0</v>
      </c>
      <c r="Q300" s="56"/>
      <c r="R300" s="883">
        <v>0</v>
      </c>
      <c r="S300" s="883">
        <v>0</v>
      </c>
      <c r="T300" s="883">
        <v>0</v>
      </c>
      <c r="U300" s="883">
        <v>0</v>
      </c>
      <c r="V300" s="883">
        <v>0</v>
      </c>
      <c r="W300" s="883"/>
      <c r="X300" s="883"/>
      <c r="Y300" s="56"/>
      <c r="Z300" s="883"/>
      <c r="AA300" s="883"/>
      <c r="AB300" s="883"/>
      <c r="AC300" s="883"/>
      <c r="AD300" s="883"/>
      <c r="AE300" s="883"/>
      <c r="AF300" s="883"/>
      <c r="AG300" s="882"/>
      <c r="AH300" s="882"/>
      <c r="AI300" s="806"/>
      <c r="AJ300" s="780"/>
      <c r="AK300" s="789"/>
      <c r="AL300" s="970"/>
      <c r="AM300" s="915"/>
    </row>
    <row r="301" spans="1:39" ht="16.5" thickBot="1" x14ac:dyDescent="0.3">
      <c r="A301" s="62" t="s">
        <v>405</v>
      </c>
      <c r="B301" s="596">
        <v>0</v>
      </c>
      <c r="C301" s="596">
        <v>0</v>
      </c>
      <c r="D301" s="596">
        <v>0</v>
      </c>
      <c r="E301" s="596">
        <v>0</v>
      </c>
      <c r="F301" s="596">
        <v>0</v>
      </c>
      <c r="G301" s="596">
        <v>0</v>
      </c>
      <c r="H301" s="596">
        <v>0</v>
      </c>
      <c r="I301" s="56"/>
      <c r="J301" s="596">
        <v>0</v>
      </c>
      <c r="K301" s="596">
        <v>0</v>
      </c>
      <c r="L301" s="596">
        <v>0</v>
      </c>
      <c r="M301" s="596">
        <v>0</v>
      </c>
      <c r="N301" s="596">
        <v>0</v>
      </c>
      <c r="O301" s="596">
        <v>0</v>
      </c>
      <c r="P301" s="596">
        <v>0</v>
      </c>
      <c r="Q301" s="56"/>
      <c r="R301" s="596">
        <v>0</v>
      </c>
      <c r="S301" s="596">
        <v>0</v>
      </c>
      <c r="T301" s="596">
        <v>0</v>
      </c>
      <c r="U301" s="596">
        <v>0</v>
      </c>
      <c r="V301" s="596">
        <v>0</v>
      </c>
      <c r="W301" s="596"/>
      <c r="X301" s="596"/>
      <c r="Y301" s="56"/>
      <c r="Z301" s="596"/>
      <c r="AA301" s="596"/>
      <c r="AB301" s="596"/>
      <c r="AC301" s="596"/>
      <c r="AD301" s="596"/>
      <c r="AE301" s="596"/>
      <c r="AF301" s="596"/>
      <c r="AG301" s="882"/>
      <c r="AH301" s="882"/>
      <c r="AI301" s="806"/>
      <c r="AJ301" s="780"/>
      <c r="AK301" s="899"/>
      <c r="AL301" s="970"/>
      <c r="AM301" s="915"/>
    </row>
    <row r="302" spans="1:39" ht="16.5" thickBot="1" x14ac:dyDescent="0.3">
      <c r="A302" s="67" t="s">
        <v>413</v>
      </c>
      <c r="B302" s="830">
        <v>24000</v>
      </c>
      <c r="C302" s="830"/>
      <c r="D302" s="815">
        <v>40000</v>
      </c>
      <c r="E302" s="815">
        <v>24000</v>
      </c>
      <c r="F302" s="809"/>
      <c r="G302" s="815">
        <v>40000</v>
      </c>
      <c r="H302" s="815"/>
      <c r="I302" s="56"/>
      <c r="J302" s="815">
        <v>40000</v>
      </c>
      <c r="K302" s="815"/>
      <c r="L302" s="815">
        <v>40000</v>
      </c>
      <c r="M302" s="846"/>
      <c r="N302" s="815"/>
      <c r="O302" s="815">
        <v>40000</v>
      </c>
      <c r="P302" s="815">
        <v>24000</v>
      </c>
      <c r="Q302" s="56"/>
      <c r="R302" s="815"/>
      <c r="S302" s="815">
        <v>40000</v>
      </c>
      <c r="T302" s="815"/>
      <c r="U302" s="815"/>
      <c r="V302" s="1010">
        <v>40000</v>
      </c>
      <c r="W302" s="815"/>
      <c r="X302" s="815"/>
      <c r="Y302" s="56"/>
      <c r="Z302" s="815"/>
      <c r="AA302" s="815"/>
      <c r="AB302" s="815"/>
      <c r="AC302" s="815"/>
      <c r="AD302" s="789"/>
      <c r="AE302" s="815"/>
      <c r="AF302" s="815"/>
      <c r="AG302" s="815"/>
      <c r="AH302" s="789"/>
      <c r="AI302" s="789"/>
      <c r="AJ302" s="780"/>
      <c r="AK302" s="899"/>
      <c r="AL302" s="970"/>
      <c r="AM302" s="915"/>
    </row>
    <row r="303" spans="1:39" ht="16.5" thickBot="1" x14ac:dyDescent="0.3">
      <c r="A303" s="67" t="s">
        <v>407</v>
      </c>
      <c r="B303" s="837">
        <f t="shared" ref="B303:G303" si="21">SUM(B294:B302)</f>
        <v>88625</v>
      </c>
      <c r="C303" s="837">
        <f t="shared" si="21"/>
        <v>68373</v>
      </c>
      <c r="D303" s="837">
        <f t="shared" si="21"/>
        <v>90905</v>
      </c>
      <c r="E303" s="837">
        <v>95322</v>
      </c>
      <c r="F303" s="837">
        <f t="shared" si="21"/>
        <v>75471</v>
      </c>
      <c r="G303" s="837">
        <f t="shared" si="21"/>
        <v>96333</v>
      </c>
      <c r="H303" s="837">
        <f>SUM(H294:H302)</f>
        <v>78126</v>
      </c>
      <c r="I303" s="56"/>
      <c r="J303" s="793">
        <f t="shared" ref="J303:O303" si="22">SUM(J294:J302)</f>
        <v>99950</v>
      </c>
      <c r="K303" s="793">
        <f t="shared" si="22"/>
        <v>82419</v>
      </c>
      <c r="L303" s="837">
        <f t="shared" si="22"/>
        <v>106204</v>
      </c>
      <c r="M303" s="793">
        <f t="shared" si="22"/>
        <v>85482</v>
      </c>
      <c r="N303" s="793">
        <f t="shared" si="22"/>
        <v>70058</v>
      </c>
      <c r="O303" s="793">
        <f t="shared" si="22"/>
        <v>93722</v>
      </c>
      <c r="P303" s="793">
        <f>SUM(P294:P302)</f>
        <v>97115</v>
      </c>
      <c r="Q303" s="56"/>
      <c r="R303" s="793">
        <f t="shared" ref="R303:W303" si="23">SUM(R294:R302)</f>
        <v>79392</v>
      </c>
      <c r="S303" s="793">
        <f t="shared" si="23"/>
        <v>103127</v>
      </c>
      <c r="T303" s="793">
        <f t="shared" si="23"/>
        <v>82135</v>
      </c>
      <c r="U303" s="793">
        <f t="shared" si="23"/>
        <v>61921</v>
      </c>
      <c r="V303" s="793">
        <v>82232</v>
      </c>
      <c r="W303" s="793">
        <f t="shared" si="23"/>
        <v>0</v>
      </c>
      <c r="X303" s="793">
        <v>0</v>
      </c>
      <c r="Y303" s="56"/>
      <c r="Z303" s="793"/>
      <c r="AA303" s="793"/>
      <c r="AB303" s="793"/>
      <c r="AC303" s="793"/>
      <c r="AD303" s="793"/>
      <c r="AE303" s="793"/>
      <c r="AF303" s="793"/>
      <c r="AG303" s="793"/>
      <c r="AH303" s="793"/>
      <c r="AI303" s="789"/>
      <c r="AJ303" s="780"/>
      <c r="AK303" s="899"/>
      <c r="AL303" s="970"/>
      <c r="AM303" s="915"/>
    </row>
    <row r="304" spans="1:39" ht="16.5" thickBot="1" x14ac:dyDescent="0.3">
      <c r="A304" s="797" t="s">
        <v>408</v>
      </c>
      <c r="B304" s="798">
        <f t="shared" ref="B304:G304" si="24">SUM(B303)</f>
        <v>88625</v>
      </c>
      <c r="C304" s="798">
        <f t="shared" si="24"/>
        <v>68373</v>
      </c>
      <c r="D304" s="896">
        <f t="shared" si="24"/>
        <v>90905</v>
      </c>
      <c r="E304" s="896">
        <v>95322</v>
      </c>
      <c r="F304" s="896">
        <f t="shared" si="24"/>
        <v>75471</v>
      </c>
      <c r="G304" s="896">
        <f t="shared" si="24"/>
        <v>96333</v>
      </c>
      <c r="H304" s="896">
        <f>SUM(H303)</f>
        <v>78126</v>
      </c>
      <c r="I304" s="839"/>
      <c r="J304" s="798">
        <f t="shared" ref="J304:O304" si="25">SUM(J303)</f>
        <v>99950</v>
      </c>
      <c r="K304" s="798">
        <f t="shared" si="25"/>
        <v>82419</v>
      </c>
      <c r="L304" s="798">
        <f t="shared" si="25"/>
        <v>106204</v>
      </c>
      <c r="M304" s="798">
        <f t="shared" si="25"/>
        <v>85482</v>
      </c>
      <c r="N304" s="798">
        <f t="shared" si="25"/>
        <v>70058</v>
      </c>
      <c r="O304" s="798">
        <f t="shared" si="25"/>
        <v>93722</v>
      </c>
      <c r="P304" s="798">
        <f>SUM(P303)</f>
        <v>97115</v>
      </c>
      <c r="Q304" s="56"/>
      <c r="R304" s="798">
        <f t="shared" ref="R304:W304" si="26">SUM(R303)</f>
        <v>79392</v>
      </c>
      <c r="S304" s="798">
        <f t="shared" si="26"/>
        <v>103127</v>
      </c>
      <c r="T304" s="798">
        <f t="shared" si="26"/>
        <v>82135</v>
      </c>
      <c r="U304" s="798">
        <f t="shared" si="26"/>
        <v>61921</v>
      </c>
      <c r="V304" s="798">
        <f t="shared" si="26"/>
        <v>82232</v>
      </c>
      <c r="W304" s="798">
        <f t="shared" si="26"/>
        <v>0</v>
      </c>
      <c r="X304" s="798">
        <v>0</v>
      </c>
      <c r="Y304" s="56"/>
      <c r="Z304" s="798"/>
      <c r="AA304" s="798"/>
      <c r="AB304" s="798"/>
      <c r="AC304" s="798"/>
      <c r="AD304" s="798"/>
      <c r="AE304" s="798"/>
      <c r="AF304" s="798"/>
      <c r="AG304" s="798"/>
      <c r="AH304" s="798"/>
      <c r="AI304" s="789"/>
      <c r="AJ304" s="780"/>
      <c r="AK304" s="899"/>
      <c r="AL304" s="970"/>
      <c r="AM304" s="969"/>
    </row>
    <row r="305" spans="1:39" ht="16.5" thickBot="1" x14ac:dyDescent="0.3">
      <c r="A305" s="797" t="s">
        <v>409</v>
      </c>
      <c r="B305" s="855">
        <v>18889.32</v>
      </c>
      <c r="C305" s="855">
        <v>17742.12</v>
      </c>
      <c r="D305" s="884">
        <v>18306.37</v>
      </c>
      <c r="E305" s="884">
        <v>19345.3</v>
      </c>
      <c r="F305" s="884">
        <v>18492.810000000001</v>
      </c>
      <c r="G305" s="884">
        <v>18612.39</v>
      </c>
      <c r="H305" s="884">
        <v>17698.79</v>
      </c>
      <c r="I305" s="840">
        <f>SUM(B305:H305)</f>
        <v>129087.1</v>
      </c>
      <c r="J305" s="855">
        <v>18329.88</v>
      </c>
      <c r="K305" s="855">
        <v>18806.12</v>
      </c>
      <c r="L305" s="855">
        <v>18182.32</v>
      </c>
      <c r="M305" s="855">
        <v>18361.95</v>
      </c>
      <c r="N305" s="855">
        <v>17074.93</v>
      </c>
      <c r="O305" s="855">
        <v>17097.240000000002</v>
      </c>
      <c r="P305" s="855">
        <v>18295.759999999998</v>
      </c>
      <c r="Q305" s="839">
        <f>SUM(J305:P305)</f>
        <v>126148.20000000001</v>
      </c>
      <c r="R305" s="855">
        <v>17870.59</v>
      </c>
      <c r="S305" s="855">
        <v>19782.259999999998</v>
      </c>
      <c r="T305" s="855">
        <v>20067.25</v>
      </c>
      <c r="U305" s="855">
        <v>20977.21</v>
      </c>
      <c r="V305" s="855">
        <v>21028.98</v>
      </c>
      <c r="W305" s="855">
        <v>0</v>
      </c>
      <c r="X305" s="855">
        <v>0</v>
      </c>
      <c r="Y305" s="839">
        <f>SUM(R305:X305)</f>
        <v>99726.29</v>
      </c>
      <c r="Z305" s="855"/>
      <c r="AA305" s="894"/>
      <c r="AB305" s="855"/>
      <c r="AC305" s="855"/>
      <c r="AD305" s="894"/>
      <c r="AE305" s="894"/>
      <c r="AF305" s="894"/>
      <c r="AG305" s="894"/>
      <c r="AH305" s="798"/>
      <c r="AI305" s="789"/>
      <c r="AJ305" s="874"/>
      <c r="AK305" s="899"/>
      <c r="AL305" s="970"/>
      <c r="AM305" s="969"/>
    </row>
    <row r="306" spans="1:39" ht="15.75" thickBot="1" x14ac:dyDescent="0.3">
      <c r="A306" s="797" t="s">
        <v>410</v>
      </c>
      <c r="B306" s="813">
        <v>69735.679999999993</v>
      </c>
      <c r="C306" s="807">
        <v>50630.879999999997</v>
      </c>
      <c r="D306" s="712">
        <v>72598.63</v>
      </c>
      <c r="E306" s="712">
        <v>75976.7</v>
      </c>
      <c r="F306" s="712">
        <v>56978.19</v>
      </c>
      <c r="G306" s="712">
        <v>77720.61</v>
      </c>
      <c r="H306" s="712">
        <v>60427.21</v>
      </c>
      <c r="I306" s="840"/>
      <c r="J306" s="793">
        <v>81620.12</v>
      </c>
      <c r="K306" s="793">
        <v>63612.88</v>
      </c>
      <c r="L306" s="793">
        <v>88021.68</v>
      </c>
      <c r="M306" s="793">
        <v>67120.05</v>
      </c>
      <c r="N306" s="793">
        <v>52983.07</v>
      </c>
      <c r="O306" s="793">
        <v>76624.759999999995</v>
      </c>
      <c r="P306" s="837">
        <v>78818.240000000005</v>
      </c>
      <c r="Q306" s="56"/>
      <c r="R306" s="793">
        <v>61521.41</v>
      </c>
      <c r="S306" s="793">
        <v>83344.740000000005</v>
      </c>
      <c r="T306" s="793">
        <v>62067.75</v>
      </c>
      <c r="U306" s="793">
        <v>40943.79</v>
      </c>
      <c r="V306" s="793">
        <v>61203.02</v>
      </c>
      <c r="W306" s="793">
        <v>0</v>
      </c>
      <c r="X306" s="793">
        <v>0</v>
      </c>
      <c r="Y306" s="56"/>
      <c r="Z306" s="793"/>
      <c r="AA306" s="788"/>
      <c r="AB306" s="793"/>
      <c r="AC306" s="793"/>
      <c r="AD306" s="788"/>
      <c r="AE306" s="788"/>
      <c r="AF306" s="788"/>
      <c r="AG306" s="788"/>
      <c r="AH306" s="837"/>
      <c r="AI306" s="789"/>
      <c r="AJ306" s="780"/>
      <c r="AK306" s="789"/>
      <c r="AL306" s="970"/>
      <c r="AM306" s="915"/>
    </row>
    <row r="307" spans="1:39" ht="16.5" thickBot="1" x14ac:dyDescent="0.3">
      <c r="A307" s="797"/>
      <c r="B307" s="815"/>
      <c r="C307" s="815"/>
      <c r="D307" s="815"/>
      <c r="E307" s="837"/>
      <c r="F307" s="837"/>
      <c r="G307" s="837"/>
      <c r="H307" s="837"/>
      <c r="I307" s="839"/>
      <c r="J307" s="815"/>
      <c r="K307" s="815"/>
      <c r="L307" s="789"/>
      <c r="M307" s="815"/>
      <c r="N307" s="815"/>
      <c r="O307" s="846"/>
      <c r="P307" s="815"/>
      <c r="Q307" s="56"/>
      <c r="R307" s="815"/>
      <c r="S307" s="789"/>
      <c r="T307" s="815"/>
      <c r="U307" s="789"/>
      <c r="V307" s="815"/>
      <c r="W307" s="815"/>
      <c r="X307" s="789"/>
      <c r="Y307" s="56"/>
      <c r="Z307" s="815"/>
      <c r="AA307" s="815"/>
      <c r="AB307" s="815"/>
      <c r="AC307" s="789"/>
      <c r="AD307" s="789"/>
      <c r="AE307" s="815"/>
      <c r="AF307" s="815"/>
      <c r="AG307" s="789"/>
      <c r="AH307" s="789"/>
      <c r="AI307" s="789"/>
      <c r="AJ307" s="780"/>
      <c r="AK307" s="889">
        <v>129087.1</v>
      </c>
      <c r="AL307" s="970"/>
      <c r="AM307" s="915"/>
    </row>
    <row r="308" spans="1:39" ht="16.5" thickBot="1" x14ac:dyDescent="0.3">
      <c r="A308" s="797"/>
      <c r="B308" s="837"/>
      <c r="C308" s="837"/>
      <c r="D308" s="809"/>
      <c r="E308" s="837"/>
      <c r="F308" s="837"/>
      <c r="G308" s="837"/>
      <c r="H308" s="837"/>
      <c r="I308" s="56"/>
      <c r="J308" s="815"/>
      <c r="K308" s="815"/>
      <c r="L308" s="789"/>
      <c r="M308" s="815"/>
      <c r="N308" s="793"/>
      <c r="O308" s="789"/>
      <c r="P308" s="815"/>
      <c r="Q308" s="56"/>
      <c r="R308" s="815"/>
      <c r="S308" s="789"/>
      <c r="T308" s="789"/>
      <c r="U308" s="789"/>
      <c r="V308" s="815"/>
      <c r="W308" s="815"/>
      <c r="X308" s="789"/>
      <c r="Y308" s="56"/>
      <c r="Z308" s="815"/>
      <c r="AA308" s="815"/>
      <c r="AB308" s="794"/>
      <c r="AC308" s="789"/>
      <c r="AD308" s="789"/>
      <c r="AE308" s="815"/>
      <c r="AF308" s="789"/>
      <c r="AG308" s="789"/>
      <c r="AH308" s="789"/>
      <c r="AI308" s="789"/>
      <c r="AJ308" s="780"/>
      <c r="AK308" s="889">
        <v>126148.2</v>
      </c>
      <c r="AL308" s="970"/>
      <c r="AM308" s="915"/>
    </row>
    <row r="309" spans="1:39" ht="16.5" thickBot="1" x14ac:dyDescent="0.3">
      <c r="A309" s="797"/>
      <c r="B309" s="837"/>
      <c r="C309" s="837"/>
      <c r="D309" s="809"/>
      <c r="E309" s="837"/>
      <c r="F309" s="837"/>
      <c r="G309" s="837"/>
      <c r="H309" s="837"/>
      <c r="I309" s="56"/>
      <c r="J309" s="789"/>
      <c r="K309" s="793"/>
      <c r="L309" s="789"/>
      <c r="M309" s="793"/>
      <c r="N309" s="793"/>
      <c r="O309" s="789"/>
      <c r="P309" s="793"/>
      <c r="Q309" s="56"/>
      <c r="R309" s="793"/>
      <c r="S309" s="789"/>
      <c r="T309" s="793"/>
      <c r="U309" s="789"/>
      <c r="V309" s="793"/>
      <c r="W309" s="793"/>
      <c r="X309" s="789"/>
      <c r="Y309" s="56"/>
      <c r="Z309" s="793"/>
      <c r="AA309" s="793"/>
      <c r="AB309" s="793"/>
      <c r="AC309" s="789"/>
      <c r="AD309" s="789"/>
      <c r="AE309" s="789"/>
      <c r="AF309" s="789"/>
      <c r="AG309" s="789"/>
      <c r="AH309" s="789"/>
      <c r="AI309" s="789"/>
      <c r="AJ309" s="780"/>
      <c r="AK309" s="899"/>
      <c r="AL309" s="970"/>
      <c r="AM309" s="915"/>
    </row>
    <row r="310" spans="1:39" ht="15.75" thickBot="1" x14ac:dyDescent="0.3">
      <c r="A310" s="797"/>
      <c r="B310" s="813"/>
      <c r="C310" s="837"/>
      <c r="D310" s="808"/>
      <c r="E310" s="837"/>
      <c r="F310" s="808"/>
      <c r="G310" s="807"/>
      <c r="H310" s="807"/>
      <c r="I310" s="43"/>
      <c r="J310" s="801"/>
      <c r="K310" s="771"/>
      <c r="L310" s="801"/>
      <c r="M310" s="802"/>
      <c r="N310" s="802"/>
      <c r="O310" s="801"/>
      <c r="P310" s="802"/>
      <c r="Q310" s="43"/>
      <c r="R310" s="801"/>
      <c r="S310" s="801"/>
      <c r="T310" s="801"/>
      <c r="U310" s="801"/>
      <c r="V310" s="801"/>
      <c r="W310" s="801"/>
      <c r="X310" s="801"/>
      <c r="Y310" s="43"/>
      <c r="Z310" s="153"/>
      <c r="AA310" s="801"/>
      <c r="AB310" s="802"/>
      <c r="AC310" s="801"/>
      <c r="AD310" s="801"/>
      <c r="AE310" s="801"/>
      <c r="AF310" s="801"/>
      <c r="AG310" s="801"/>
      <c r="AH310" s="801"/>
      <c r="AI310" s="801"/>
      <c r="AJ310" s="104"/>
      <c r="AK310" s="801"/>
      <c r="AL310" s="971"/>
      <c r="AM310" s="915"/>
    </row>
    <row r="311" spans="1:39" x14ac:dyDescent="0.25">
      <c r="A311" s="67" t="s">
        <v>419</v>
      </c>
      <c r="B311" s="867">
        <v>1362.68</v>
      </c>
      <c r="C311" s="893"/>
      <c r="D311" s="867">
        <v>3378.07</v>
      </c>
      <c r="E311" s="867">
        <v>505</v>
      </c>
      <c r="F311" s="844">
        <v>645.19000000000005</v>
      </c>
      <c r="G311" s="867">
        <v>405.39</v>
      </c>
      <c r="H311" s="867">
        <v>477.21</v>
      </c>
      <c r="I311" s="37"/>
      <c r="J311" s="844">
        <v>798.88</v>
      </c>
      <c r="K311" s="844">
        <v>2591.12</v>
      </c>
      <c r="L311" s="844">
        <v>2539.6799999999998</v>
      </c>
      <c r="M311" s="844">
        <v>2940.95</v>
      </c>
      <c r="N311" s="844">
        <v>738.93</v>
      </c>
      <c r="O311" s="844">
        <v>3509.76</v>
      </c>
      <c r="P311" s="844">
        <v>573.76</v>
      </c>
      <c r="Q311" s="37"/>
      <c r="R311" s="844">
        <v>1605.59</v>
      </c>
      <c r="S311" s="988">
        <v>1209.74</v>
      </c>
      <c r="T311" s="844">
        <v>146.75</v>
      </c>
      <c r="U311" s="844"/>
      <c r="V311" s="844"/>
      <c r="W311" s="844"/>
      <c r="X311" s="844"/>
      <c r="Y311" s="37"/>
      <c r="Z311" s="867"/>
      <c r="AA311" s="844"/>
      <c r="AB311" s="844"/>
      <c r="AC311" s="867"/>
      <c r="AD311" s="844"/>
      <c r="AE311" s="844"/>
      <c r="AF311" s="867"/>
      <c r="AG311" s="844"/>
      <c r="AH311" s="105"/>
      <c r="AI311" s="105"/>
      <c r="AJ311" s="105"/>
      <c r="AK311" s="105"/>
      <c r="AL311" s="976"/>
      <c r="AM311" s="916"/>
    </row>
    <row r="312" spans="1:39" ht="16.5" thickBot="1" x14ac:dyDescent="0.3">
      <c r="A312" s="63"/>
      <c r="B312" s="835"/>
      <c r="C312" s="835"/>
      <c r="D312" s="835"/>
      <c r="E312" s="835"/>
      <c r="F312" s="835"/>
      <c r="G312" s="836"/>
      <c r="H312" s="835"/>
      <c r="I312" s="890"/>
      <c r="J312" s="836"/>
      <c r="K312" s="836"/>
      <c r="L312" s="104"/>
      <c r="M312" s="835"/>
      <c r="N312" s="835"/>
      <c r="O312" s="104"/>
      <c r="P312" s="835"/>
      <c r="Q312" s="866"/>
      <c r="R312" s="104"/>
      <c r="S312" s="104"/>
      <c r="T312" s="104"/>
      <c r="U312" s="104"/>
      <c r="V312" s="104"/>
      <c r="W312" s="104"/>
      <c r="X312" s="104"/>
      <c r="Y312" s="43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995">
        <f>SUM(AK307:AK311)</f>
        <v>255235.3</v>
      </c>
      <c r="AL312" s="971"/>
      <c r="AM312" s="917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8"/>
  <sheetViews>
    <sheetView topLeftCell="A274" workbookViewId="0">
      <selection activeCell="A276" sqref="A276"/>
    </sheetView>
  </sheetViews>
  <sheetFormatPr defaultRowHeight="15" x14ac:dyDescent="0.25"/>
  <cols>
    <col min="1" max="1" width="7.5703125" customWidth="1"/>
    <col min="2" max="2" width="12.42578125" customWidth="1"/>
    <col min="3" max="4" width="1.140625" customWidth="1"/>
    <col min="5" max="5" width="1.5703125" customWidth="1"/>
    <col min="6" max="6" width="1.42578125" customWidth="1"/>
    <col min="7" max="7" width="1.28515625" customWidth="1"/>
    <col min="8" max="8" width="1.140625" customWidth="1"/>
    <col min="9" max="9" width="1.5703125" customWidth="1"/>
    <col min="10" max="10" width="10.7109375" customWidth="1"/>
    <col min="11" max="11" width="1.140625" customWidth="1"/>
    <col min="12" max="14" width="1.28515625" customWidth="1"/>
    <col min="15" max="15" width="1.140625" customWidth="1"/>
    <col min="16" max="17" width="1.42578125" customWidth="1"/>
    <col min="18" max="18" width="10.7109375" customWidth="1"/>
    <col min="19" max="19" width="1" customWidth="1"/>
    <col min="20" max="20" width="1.42578125" customWidth="1"/>
    <col min="21" max="21" width="1.28515625" customWidth="1"/>
    <col min="22" max="22" width="1" customWidth="1"/>
    <col min="23" max="23" width="1.28515625" customWidth="1"/>
    <col min="24" max="24" width="6.5703125" customWidth="1"/>
    <col min="25" max="25" width="8.7109375" customWidth="1"/>
    <col min="26" max="26" width="10.7109375" customWidth="1"/>
    <col min="27" max="36" width="9.28515625" customWidth="1"/>
    <col min="37" max="37" width="10.7109375" customWidth="1"/>
    <col min="38" max="38" width="13.140625" customWidth="1"/>
  </cols>
  <sheetData>
    <row r="1" spans="1:39" ht="24" thickBot="1" x14ac:dyDescent="0.4">
      <c r="A1" s="256" t="s">
        <v>179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  <c r="AM1" s="209"/>
    </row>
    <row r="2" spans="1:39" ht="15.75" x14ac:dyDescent="0.25">
      <c r="A2" s="321" t="s">
        <v>3</v>
      </c>
      <c r="B2" s="322">
        <v>1</v>
      </c>
      <c r="C2" s="322">
        <v>2</v>
      </c>
      <c r="D2" s="322">
        <v>3</v>
      </c>
      <c r="E2" s="322">
        <v>4</v>
      </c>
      <c r="F2" s="322">
        <v>5</v>
      </c>
      <c r="G2" s="322">
        <v>6</v>
      </c>
      <c r="H2" s="322">
        <v>7</v>
      </c>
      <c r="I2" s="323" t="s">
        <v>6</v>
      </c>
      <c r="J2" s="322">
        <v>8</v>
      </c>
      <c r="K2" s="322">
        <v>9</v>
      </c>
      <c r="L2" s="322">
        <v>10</v>
      </c>
      <c r="M2" s="322">
        <v>11</v>
      </c>
      <c r="N2" s="322">
        <v>12</v>
      </c>
      <c r="O2" s="322">
        <v>13</v>
      </c>
      <c r="P2" s="322">
        <v>14</v>
      </c>
      <c r="Q2" s="323" t="s">
        <v>6</v>
      </c>
      <c r="R2" s="322">
        <v>15</v>
      </c>
      <c r="S2" s="322">
        <v>16</v>
      </c>
      <c r="T2" s="322">
        <v>17</v>
      </c>
      <c r="U2" s="322">
        <v>18</v>
      </c>
      <c r="V2" s="322">
        <v>19</v>
      </c>
      <c r="W2" s="322">
        <v>20</v>
      </c>
      <c r="X2" s="322">
        <v>21</v>
      </c>
      <c r="Y2" s="323" t="s">
        <v>6</v>
      </c>
      <c r="Z2" s="322">
        <v>22</v>
      </c>
      <c r="AA2" s="322">
        <v>23</v>
      </c>
      <c r="AB2" s="322">
        <v>24</v>
      </c>
      <c r="AC2" s="322">
        <v>25</v>
      </c>
      <c r="AD2" s="322">
        <v>26</v>
      </c>
      <c r="AE2" s="322">
        <v>27</v>
      </c>
      <c r="AF2" s="322">
        <v>28</v>
      </c>
      <c r="AG2" s="322">
        <v>29</v>
      </c>
      <c r="AH2" s="322">
        <v>30</v>
      </c>
      <c r="AI2" s="322">
        <v>31</v>
      </c>
      <c r="AJ2" s="324" t="s">
        <v>6</v>
      </c>
      <c r="AK2" s="325" t="s">
        <v>0</v>
      </c>
      <c r="AL2" s="395" t="s">
        <v>42</v>
      </c>
      <c r="AM2" s="198" t="s">
        <v>42</v>
      </c>
    </row>
    <row r="3" spans="1:39" x14ac:dyDescent="0.25">
      <c r="A3" s="11">
        <v>1</v>
      </c>
      <c r="B3" s="106"/>
      <c r="C3" s="106"/>
      <c r="D3" s="106"/>
      <c r="E3" s="106"/>
      <c r="F3" s="106"/>
      <c r="G3" s="106"/>
      <c r="H3" s="106"/>
      <c r="I3" s="157"/>
      <c r="J3" s="106"/>
      <c r="K3" s="106"/>
      <c r="L3" s="106"/>
      <c r="M3" s="106"/>
      <c r="N3" s="106"/>
      <c r="O3" s="106"/>
      <c r="P3" s="106"/>
      <c r="Q3" s="35"/>
      <c r="R3" s="106"/>
      <c r="S3" s="106"/>
      <c r="T3" s="106"/>
      <c r="U3" s="106"/>
      <c r="V3" s="106"/>
      <c r="W3" s="106"/>
      <c r="X3" s="106"/>
      <c r="Y3" s="3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36"/>
      <c r="AK3" s="14"/>
      <c r="AL3" s="203"/>
      <c r="AM3" s="203"/>
    </row>
    <row r="4" spans="1:39" x14ac:dyDescent="0.25">
      <c r="A4" s="11">
        <v>2</v>
      </c>
      <c r="B4" s="106"/>
      <c r="C4" s="106"/>
      <c r="D4" s="106"/>
      <c r="E4" s="106"/>
      <c r="F4" s="106"/>
      <c r="G4" s="106"/>
      <c r="H4" s="106"/>
      <c r="I4" s="37"/>
      <c r="J4" s="106"/>
      <c r="K4" s="106"/>
      <c r="L4" s="106"/>
      <c r="M4" s="106"/>
      <c r="N4" s="106"/>
      <c r="O4" s="106"/>
      <c r="P4" s="106"/>
      <c r="Q4" s="37"/>
      <c r="R4" s="106"/>
      <c r="S4" s="106"/>
      <c r="T4" s="106"/>
      <c r="U4" s="106"/>
      <c r="V4" s="106"/>
      <c r="W4" s="106"/>
      <c r="X4" s="106"/>
      <c r="Y4" s="37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37"/>
      <c r="AK4" s="38"/>
      <c r="AL4" s="154"/>
      <c r="AM4" s="197"/>
    </row>
    <row r="5" spans="1:39" x14ac:dyDescent="0.25">
      <c r="A5" s="11">
        <v>3</v>
      </c>
      <c r="B5" s="106"/>
      <c r="C5" s="106"/>
      <c r="D5" s="106"/>
      <c r="E5" s="106"/>
      <c r="F5" s="106"/>
      <c r="G5" s="106"/>
      <c r="H5" s="106"/>
      <c r="I5" s="37"/>
      <c r="J5" s="106"/>
      <c r="K5" s="106"/>
      <c r="L5" s="106"/>
      <c r="M5" s="106"/>
      <c r="N5" s="106"/>
      <c r="O5" s="106"/>
      <c r="P5" s="106"/>
      <c r="Q5" s="37"/>
      <c r="R5" s="106"/>
      <c r="S5" s="106"/>
      <c r="T5" s="106"/>
      <c r="U5" s="106"/>
      <c r="V5" s="106"/>
      <c r="W5" s="106"/>
      <c r="X5" s="106"/>
      <c r="Y5" s="37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37"/>
      <c r="AK5" s="38"/>
      <c r="AL5" s="176"/>
      <c r="AM5" s="197"/>
    </row>
    <row r="6" spans="1:39" x14ac:dyDescent="0.25">
      <c r="A6" s="11">
        <v>4</v>
      </c>
      <c r="B6" s="106"/>
      <c r="C6" s="106"/>
      <c r="D6" s="106"/>
      <c r="E6" s="106"/>
      <c r="F6" s="106"/>
      <c r="G6" s="106"/>
      <c r="H6" s="106"/>
      <c r="I6" s="37"/>
      <c r="J6" s="106"/>
      <c r="K6" s="106"/>
      <c r="L6" s="106"/>
      <c r="M6" s="106"/>
      <c r="N6" s="106"/>
      <c r="O6" s="106"/>
      <c r="P6" s="106"/>
      <c r="Q6" s="37"/>
      <c r="R6" s="106"/>
      <c r="S6" s="106"/>
      <c r="T6" s="106"/>
      <c r="U6" s="106"/>
      <c r="V6" s="106"/>
      <c r="W6" s="106"/>
      <c r="X6" s="106"/>
      <c r="Y6" s="37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37"/>
      <c r="AK6" s="38"/>
      <c r="AL6" s="176"/>
      <c r="AM6" s="197"/>
    </row>
    <row r="7" spans="1:39" x14ac:dyDescent="0.25">
      <c r="A7" s="11">
        <v>5</v>
      </c>
      <c r="B7" s="106"/>
      <c r="C7" s="106"/>
      <c r="D7" s="106"/>
      <c r="E7" s="106"/>
      <c r="F7" s="106"/>
      <c r="G7" s="106"/>
      <c r="H7" s="106"/>
      <c r="I7" s="37"/>
      <c r="J7" s="106"/>
      <c r="K7" s="106"/>
      <c r="L7" s="106"/>
      <c r="M7" s="106"/>
      <c r="N7" s="106"/>
      <c r="O7" s="106"/>
      <c r="P7" s="106"/>
      <c r="Q7" s="37"/>
      <c r="R7" s="106"/>
      <c r="S7" s="106"/>
      <c r="T7" s="106"/>
      <c r="U7" s="106"/>
      <c r="V7" s="106"/>
      <c r="W7" s="106"/>
      <c r="X7" s="106"/>
      <c r="Y7" s="37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37"/>
      <c r="AK7" s="38"/>
      <c r="AL7" s="176"/>
      <c r="AM7" s="197"/>
    </row>
    <row r="8" spans="1:39" x14ac:dyDescent="0.25">
      <c r="A8" s="11">
        <v>6</v>
      </c>
      <c r="B8" s="106"/>
      <c r="C8" s="106"/>
      <c r="D8" s="106"/>
      <c r="E8" s="106"/>
      <c r="F8" s="106"/>
      <c r="G8" s="106"/>
      <c r="H8" s="106"/>
      <c r="I8" s="37"/>
      <c r="J8" s="106"/>
      <c r="K8" s="106"/>
      <c r="L8" s="106"/>
      <c r="M8" s="106"/>
      <c r="N8" s="106"/>
      <c r="O8" s="106"/>
      <c r="P8" s="106"/>
      <c r="Q8" s="37"/>
      <c r="R8" s="106"/>
      <c r="S8" s="106"/>
      <c r="T8" s="106"/>
      <c r="U8" s="106"/>
      <c r="V8" s="106"/>
      <c r="W8" s="106"/>
      <c r="X8" s="106"/>
      <c r="Y8" s="37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37"/>
      <c r="AK8" s="38"/>
      <c r="AL8" s="176"/>
      <c r="AM8" s="197"/>
    </row>
    <row r="9" spans="1:39" x14ac:dyDescent="0.25">
      <c r="A9" s="11">
        <v>7</v>
      </c>
      <c r="B9" s="108"/>
      <c r="C9" s="108"/>
      <c r="D9" s="108"/>
      <c r="E9" s="108"/>
      <c r="F9" s="108"/>
      <c r="G9" s="108"/>
      <c r="H9" s="108"/>
      <c r="I9" s="111"/>
      <c r="J9" s="108"/>
      <c r="K9" s="108"/>
      <c r="L9" s="108"/>
      <c r="M9" s="108"/>
      <c r="N9" s="108"/>
      <c r="O9" s="108"/>
      <c r="P9" s="108"/>
      <c r="Q9" s="111"/>
      <c r="R9" s="108"/>
      <c r="S9" s="108"/>
      <c r="T9" s="108"/>
      <c r="U9" s="108"/>
      <c r="V9" s="108"/>
      <c r="W9" s="108"/>
      <c r="X9" s="108"/>
      <c r="Y9" s="111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11"/>
      <c r="AK9" s="38"/>
      <c r="AL9" s="197"/>
      <c r="AM9" s="182" t="s">
        <v>44</v>
      </c>
    </row>
    <row r="10" spans="1:39" x14ac:dyDescent="0.25">
      <c r="A10" s="11">
        <v>8</v>
      </c>
      <c r="B10" s="106"/>
      <c r="C10" s="106"/>
      <c r="D10" s="106"/>
      <c r="E10" s="106"/>
      <c r="F10" s="106"/>
      <c r="G10" s="106"/>
      <c r="H10" s="106"/>
      <c r="I10" s="37"/>
      <c r="J10" s="106"/>
      <c r="K10" s="106"/>
      <c r="L10" s="106"/>
      <c r="M10" s="106"/>
      <c r="N10" s="106"/>
      <c r="O10" s="106"/>
      <c r="P10" s="106"/>
      <c r="Q10" s="37"/>
      <c r="R10" s="106"/>
      <c r="S10" s="106"/>
      <c r="T10" s="106"/>
      <c r="U10" s="106"/>
      <c r="V10" s="106"/>
      <c r="W10" s="106"/>
      <c r="X10" s="106"/>
      <c r="Y10" s="37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37"/>
      <c r="AK10" s="38"/>
      <c r="AL10" s="176"/>
      <c r="AM10" s="197"/>
    </row>
    <row r="11" spans="1:39" x14ac:dyDescent="0.25">
      <c r="A11" s="11">
        <v>9</v>
      </c>
      <c r="B11" s="106"/>
      <c r="C11" s="106"/>
      <c r="D11" s="106"/>
      <c r="E11" s="106"/>
      <c r="F11" s="106"/>
      <c r="G11" s="106"/>
      <c r="H11" s="106"/>
      <c r="I11" s="37"/>
      <c r="J11" s="106"/>
      <c r="K11" s="106"/>
      <c r="L11" s="106"/>
      <c r="M11" s="106"/>
      <c r="N11" s="106"/>
      <c r="O11" s="106"/>
      <c r="P11" s="106"/>
      <c r="Q11" s="37"/>
      <c r="R11" s="106"/>
      <c r="S11" s="106"/>
      <c r="T11" s="106"/>
      <c r="U11" s="106"/>
      <c r="V11" s="106"/>
      <c r="W11" s="106"/>
      <c r="X11" s="106"/>
      <c r="Y11" s="37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37"/>
      <c r="AK11" s="38"/>
      <c r="AL11" s="176"/>
      <c r="AM11" s="197"/>
    </row>
    <row r="12" spans="1:39" x14ac:dyDescent="0.25">
      <c r="A12" s="11">
        <v>10</v>
      </c>
      <c r="B12" s="106"/>
      <c r="C12" s="106"/>
      <c r="D12" s="106"/>
      <c r="E12" s="106"/>
      <c r="F12" s="106"/>
      <c r="G12" s="106"/>
      <c r="H12" s="106"/>
      <c r="I12" s="37"/>
      <c r="J12" s="106"/>
      <c r="K12" s="106"/>
      <c r="L12" s="106"/>
      <c r="M12" s="106"/>
      <c r="N12" s="106"/>
      <c r="O12" s="106"/>
      <c r="P12" s="106"/>
      <c r="Q12" s="37"/>
      <c r="R12" s="106"/>
      <c r="S12" s="106"/>
      <c r="T12" s="106"/>
      <c r="U12" s="106"/>
      <c r="V12" s="106"/>
      <c r="W12" s="106"/>
      <c r="X12" s="106"/>
      <c r="Y12" s="37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37"/>
      <c r="AK12" s="38"/>
      <c r="AL12" s="176"/>
      <c r="AM12" s="197"/>
    </row>
    <row r="13" spans="1:39" x14ac:dyDescent="0.25">
      <c r="A13" s="11">
        <v>11</v>
      </c>
      <c r="B13" s="106"/>
      <c r="C13" s="106"/>
      <c r="D13" s="106"/>
      <c r="E13" s="106"/>
      <c r="F13" s="106"/>
      <c r="G13" s="106"/>
      <c r="H13" s="106"/>
      <c r="I13" s="37"/>
      <c r="J13" s="106"/>
      <c r="K13" s="106"/>
      <c r="L13" s="106"/>
      <c r="M13" s="106"/>
      <c r="N13" s="106"/>
      <c r="O13" s="106"/>
      <c r="P13" s="106"/>
      <c r="Q13" s="37"/>
      <c r="R13" s="106"/>
      <c r="S13" s="106"/>
      <c r="T13" s="106"/>
      <c r="U13" s="106"/>
      <c r="V13" s="106"/>
      <c r="W13" s="106"/>
      <c r="X13" s="106"/>
      <c r="Y13" s="37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37"/>
      <c r="AK13" s="38"/>
      <c r="AL13" s="197"/>
      <c r="AM13" s="197"/>
    </row>
    <row r="14" spans="1:39" x14ac:dyDescent="0.25">
      <c r="A14" s="11">
        <v>12</v>
      </c>
      <c r="B14" s="106"/>
      <c r="C14" s="106"/>
      <c r="D14" s="106"/>
      <c r="E14" s="106"/>
      <c r="F14" s="106"/>
      <c r="G14" s="106"/>
      <c r="H14" s="106"/>
      <c r="I14" s="37"/>
      <c r="J14" s="106"/>
      <c r="K14" s="106"/>
      <c r="L14" s="106"/>
      <c r="M14" s="106"/>
      <c r="N14" s="106"/>
      <c r="O14" s="106"/>
      <c r="P14" s="106"/>
      <c r="Q14" s="37"/>
      <c r="R14" s="106"/>
      <c r="S14" s="106"/>
      <c r="T14" s="106"/>
      <c r="U14" s="106"/>
      <c r="V14" s="106"/>
      <c r="W14" s="106"/>
      <c r="X14" s="106"/>
      <c r="Y14" s="37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37"/>
      <c r="AK14" s="38"/>
      <c r="AL14" s="197"/>
      <c r="AM14" s="197"/>
    </row>
    <row r="15" spans="1:39" x14ac:dyDescent="0.25">
      <c r="A15" s="11">
        <v>13</v>
      </c>
      <c r="B15" s="106"/>
      <c r="C15" s="106"/>
      <c r="D15" s="106"/>
      <c r="E15" s="106"/>
      <c r="F15" s="106"/>
      <c r="G15" s="106"/>
      <c r="H15" s="106"/>
      <c r="I15" s="37"/>
      <c r="J15" s="106"/>
      <c r="K15" s="106"/>
      <c r="L15" s="106"/>
      <c r="M15" s="106"/>
      <c r="N15" s="106"/>
      <c r="O15" s="106"/>
      <c r="P15" s="106"/>
      <c r="Q15" s="37"/>
      <c r="R15" s="106"/>
      <c r="S15" s="106"/>
      <c r="T15" s="106"/>
      <c r="U15" s="106"/>
      <c r="V15" s="106"/>
      <c r="W15" s="106"/>
      <c r="X15" s="106"/>
      <c r="Y15" s="37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37"/>
      <c r="AK15" s="38"/>
      <c r="AL15" s="197"/>
      <c r="AM15" s="197"/>
    </row>
    <row r="16" spans="1:39" x14ac:dyDescent="0.25">
      <c r="A16" s="11">
        <v>14</v>
      </c>
      <c r="B16" s="106"/>
      <c r="C16" s="106"/>
      <c r="D16" s="106"/>
      <c r="E16" s="106"/>
      <c r="F16" s="106"/>
      <c r="G16" s="106"/>
      <c r="H16" s="106"/>
      <c r="I16" s="37"/>
      <c r="J16" s="106"/>
      <c r="K16" s="106"/>
      <c r="L16" s="106"/>
      <c r="M16" s="106"/>
      <c r="N16" s="106"/>
      <c r="O16" s="106"/>
      <c r="P16" s="106"/>
      <c r="Q16" s="37"/>
      <c r="R16" s="106"/>
      <c r="S16" s="106"/>
      <c r="T16" s="106"/>
      <c r="U16" s="106"/>
      <c r="V16" s="106"/>
      <c r="W16" s="106"/>
      <c r="X16" s="106"/>
      <c r="Y16" s="37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37"/>
      <c r="AK16" s="38"/>
      <c r="AL16" s="197"/>
      <c r="AM16" s="197"/>
    </row>
    <row r="17" spans="1:39" x14ac:dyDescent="0.25">
      <c r="A17" s="11">
        <v>15</v>
      </c>
      <c r="B17" s="106"/>
      <c r="C17" s="106"/>
      <c r="D17" s="106"/>
      <c r="E17" s="106"/>
      <c r="F17" s="106"/>
      <c r="G17" s="106"/>
      <c r="H17" s="106"/>
      <c r="I17" s="37"/>
      <c r="J17" s="106"/>
      <c r="K17" s="106"/>
      <c r="L17" s="106"/>
      <c r="M17" s="106"/>
      <c r="N17" s="106"/>
      <c r="O17" s="106"/>
      <c r="P17" s="106"/>
      <c r="Q17" s="37"/>
      <c r="R17" s="106"/>
      <c r="S17" s="106"/>
      <c r="T17" s="106"/>
      <c r="U17" s="106"/>
      <c r="V17" s="106"/>
      <c r="W17" s="106"/>
      <c r="X17" s="106"/>
      <c r="Y17" s="37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37"/>
      <c r="AK17" s="38"/>
      <c r="AL17" s="197"/>
      <c r="AM17" s="197"/>
    </row>
    <row r="18" spans="1:39" x14ac:dyDescent="0.25">
      <c r="A18" s="11">
        <v>16</v>
      </c>
      <c r="B18" s="109"/>
      <c r="C18" s="109"/>
      <c r="D18" s="109"/>
      <c r="E18" s="109"/>
      <c r="F18" s="109"/>
      <c r="G18" s="109"/>
      <c r="H18" s="109"/>
      <c r="I18" s="39"/>
      <c r="J18" s="109"/>
      <c r="K18" s="109"/>
      <c r="L18" s="109"/>
      <c r="M18" s="109"/>
      <c r="N18" s="109"/>
      <c r="O18" s="109"/>
      <c r="P18" s="109"/>
      <c r="Q18" s="39"/>
      <c r="R18" s="109"/>
      <c r="S18" s="109"/>
      <c r="T18" s="109"/>
      <c r="U18" s="109"/>
      <c r="V18" s="109"/>
      <c r="W18" s="109"/>
      <c r="X18" s="109"/>
      <c r="Y18" s="3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39"/>
      <c r="AK18" s="41"/>
      <c r="AL18" s="202"/>
      <c r="AM18" s="39" t="s">
        <v>43</v>
      </c>
    </row>
    <row r="19" spans="1:39" x14ac:dyDescent="0.25">
      <c r="A19" s="11">
        <v>17</v>
      </c>
      <c r="B19" s="106"/>
      <c r="C19" s="106"/>
      <c r="D19" s="106"/>
      <c r="E19" s="106"/>
      <c r="F19" s="106"/>
      <c r="G19" s="106"/>
      <c r="H19" s="106"/>
      <c r="I19" s="37"/>
      <c r="J19" s="106"/>
      <c r="K19" s="106"/>
      <c r="L19" s="106"/>
      <c r="M19" s="106"/>
      <c r="N19" s="106"/>
      <c r="O19" s="106"/>
      <c r="P19" s="106"/>
      <c r="Q19" s="37"/>
      <c r="R19" s="106"/>
      <c r="S19" s="106"/>
      <c r="T19" s="106"/>
      <c r="U19" s="106"/>
      <c r="V19" s="106"/>
      <c r="W19" s="106"/>
      <c r="X19" s="106"/>
      <c r="Y19" s="37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37"/>
      <c r="AK19" s="38"/>
      <c r="AL19" s="197"/>
      <c r="AM19" s="197"/>
    </row>
    <row r="20" spans="1:39" x14ac:dyDescent="0.25">
      <c r="A20" s="11">
        <v>18</v>
      </c>
      <c r="B20" s="106"/>
      <c r="C20" s="106"/>
      <c r="D20" s="106"/>
      <c r="E20" s="106"/>
      <c r="F20" s="106"/>
      <c r="G20" s="106"/>
      <c r="H20" s="106"/>
      <c r="I20" s="37"/>
      <c r="J20" s="106"/>
      <c r="K20" s="106"/>
      <c r="L20" s="106"/>
      <c r="M20" s="106"/>
      <c r="N20" s="106"/>
      <c r="O20" s="106"/>
      <c r="P20" s="106"/>
      <c r="Q20" s="37"/>
      <c r="R20" s="106"/>
      <c r="S20" s="106"/>
      <c r="T20" s="106"/>
      <c r="U20" s="106"/>
      <c r="V20" s="106"/>
      <c r="W20" s="106"/>
      <c r="X20" s="106"/>
      <c r="Y20" s="37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37"/>
      <c r="AK20" s="38"/>
      <c r="AL20" s="197"/>
      <c r="AM20" s="197"/>
    </row>
    <row r="21" spans="1:39" x14ac:dyDescent="0.25">
      <c r="A21" s="11">
        <v>19</v>
      </c>
      <c r="B21" s="106"/>
      <c r="C21" s="106"/>
      <c r="D21" s="106"/>
      <c r="E21" s="106"/>
      <c r="F21" s="106"/>
      <c r="G21" s="106"/>
      <c r="H21" s="106"/>
      <c r="I21" s="37"/>
      <c r="J21" s="106"/>
      <c r="K21" s="106"/>
      <c r="L21" s="106"/>
      <c r="M21" s="106"/>
      <c r="N21" s="106"/>
      <c r="O21" s="106"/>
      <c r="P21" s="106"/>
      <c r="Q21" s="37"/>
      <c r="R21" s="106"/>
      <c r="S21" s="106"/>
      <c r="T21" s="106"/>
      <c r="U21" s="106"/>
      <c r="V21" s="106"/>
      <c r="W21" s="106"/>
      <c r="X21" s="106"/>
      <c r="Y21" s="37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37"/>
      <c r="AK21" s="38"/>
      <c r="AL21" s="197"/>
      <c r="AM21" s="197"/>
    </row>
    <row r="22" spans="1:39" x14ac:dyDescent="0.25">
      <c r="A22" s="11">
        <v>20</v>
      </c>
      <c r="B22" s="106"/>
      <c r="C22" s="106"/>
      <c r="D22" s="106"/>
      <c r="E22" s="106"/>
      <c r="F22" s="106"/>
      <c r="G22" s="106"/>
      <c r="H22" s="106"/>
      <c r="I22" s="37"/>
      <c r="J22" s="106"/>
      <c r="K22" s="106"/>
      <c r="L22" s="106"/>
      <c r="M22" s="106"/>
      <c r="N22" s="106"/>
      <c r="O22" s="106"/>
      <c r="P22" s="106"/>
      <c r="Q22" s="37"/>
      <c r="R22" s="106"/>
      <c r="S22" s="106"/>
      <c r="T22" s="106"/>
      <c r="U22" s="106"/>
      <c r="V22" s="106"/>
      <c r="W22" s="106"/>
      <c r="X22" s="106"/>
      <c r="Y22" s="37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37"/>
      <c r="AK22" s="38"/>
      <c r="AL22" s="197"/>
      <c r="AM22" s="197"/>
    </row>
    <row r="23" spans="1:39" x14ac:dyDescent="0.25">
      <c r="A23" s="11">
        <v>21</v>
      </c>
      <c r="B23" s="174"/>
      <c r="C23" s="174"/>
      <c r="D23" s="174"/>
      <c r="E23" s="174"/>
      <c r="F23" s="174"/>
      <c r="G23" s="174"/>
      <c r="H23" s="174"/>
      <c r="I23" s="111"/>
      <c r="J23" s="174"/>
      <c r="K23" s="174"/>
      <c r="L23" s="174"/>
      <c r="M23" s="174"/>
      <c r="N23" s="174"/>
      <c r="O23" s="174"/>
      <c r="P23" s="174"/>
      <c r="Q23" s="111"/>
      <c r="R23" s="174"/>
      <c r="S23" s="174"/>
      <c r="T23" s="174"/>
      <c r="U23" s="174"/>
      <c r="V23" s="174"/>
      <c r="W23" s="174"/>
      <c r="X23" s="174"/>
      <c r="Y23" s="111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11"/>
      <c r="AK23" s="38"/>
      <c r="AL23" s="197"/>
      <c r="AM23" s="214" t="s">
        <v>41</v>
      </c>
    </row>
    <row r="24" spans="1:39" x14ac:dyDescent="0.25">
      <c r="A24" s="11">
        <v>22</v>
      </c>
      <c r="B24" s="106"/>
      <c r="C24" s="106"/>
      <c r="D24" s="106"/>
      <c r="E24" s="106"/>
      <c r="F24" s="106"/>
      <c r="G24" s="106"/>
      <c r="H24" s="106"/>
      <c r="I24" s="37"/>
      <c r="J24" s="106"/>
      <c r="K24" s="106"/>
      <c r="L24" s="106"/>
      <c r="M24" s="106"/>
      <c r="N24" s="106"/>
      <c r="O24" s="106"/>
      <c r="P24" s="106"/>
      <c r="Q24" s="37"/>
      <c r="R24" s="106"/>
      <c r="S24" s="106"/>
      <c r="T24" s="106"/>
      <c r="U24" s="106"/>
      <c r="V24" s="106"/>
      <c r="W24" s="106"/>
      <c r="X24" s="106"/>
      <c r="Y24" s="37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37"/>
      <c r="AK24" s="38"/>
      <c r="AL24" s="197"/>
      <c r="AM24" s="197"/>
    </row>
    <row r="25" spans="1:39" x14ac:dyDescent="0.25">
      <c r="A25" s="11">
        <v>23</v>
      </c>
      <c r="B25" s="174"/>
      <c r="C25" s="174"/>
      <c r="D25" s="174"/>
      <c r="E25" s="174"/>
      <c r="F25" s="174"/>
      <c r="G25" s="174"/>
      <c r="H25" s="174"/>
      <c r="I25" s="111"/>
      <c r="J25" s="174"/>
      <c r="K25" s="174"/>
      <c r="L25" s="174"/>
      <c r="M25" s="174"/>
      <c r="N25" s="174"/>
      <c r="O25" s="174"/>
      <c r="P25" s="174"/>
      <c r="Q25" s="111"/>
      <c r="R25" s="174"/>
      <c r="S25" s="174"/>
      <c r="T25" s="174"/>
      <c r="U25" s="174"/>
      <c r="V25" s="174"/>
      <c r="W25" s="174"/>
      <c r="X25" s="174"/>
      <c r="Y25" s="111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11"/>
      <c r="AK25" s="38"/>
      <c r="AL25" s="197"/>
      <c r="AM25" s="214" t="s">
        <v>41</v>
      </c>
    </row>
    <row r="26" spans="1:39" x14ac:dyDescent="0.25">
      <c r="A26" s="11">
        <v>24</v>
      </c>
      <c r="B26" s="174"/>
      <c r="C26" s="174"/>
      <c r="D26" s="174"/>
      <c r="E26" s="174"/>
      <c r="F26" s="174"/>
      <c r="G26" s="174"/>
      <c r="H26" s="174"/>
      <c r="I26" s="111"/>
      <c r="J26" s="174"/>
      <c r="K26" s="174"/>
      <c r="L26" s="174"/>
      <c r="M26" s="174"/>
      <c r="N26" s="174"/>
      <c r="O26" s="174"/>
      <c r="P26" s="174"/>
      <c r="Q26" s="111"/>
      <c r="R26" s="174"/>
      <c r="S26" s="174"/>
      <c r="T26" s="174"/>
      <c r="U26" s="174"/>
      <c r="V26" s="174"/>
      <c r="W26" s="174"/>
      <c r="X26" s="174"/>
      <c r="Y26" s="111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11"/>
      <c r="AK26" s="38"/>
      <c r="AL26" s="197"/>
      <c r="AM26" s="214" t="s">
        <v>41</v>
      </c>
    </row>
    <row r="27" spans="1:39" x14ac:dyDescent="0.25">
      <c r="A27" s="11">
        <v>25</v>
      </c>
      <c r="B27" s="174"/>
      <c r="C27" s="174"/>
      <c r="D27" s="174"/>
      <c r="E27" s="174"/>
      <c r="F27" s="174"/>
      <c r="G27" s="174"/>
      <c r="H27" s="174"/>
      <c r="I27" s="111"/>
      <c r="J27" s="174"/>
      <c r="K27" s="174"/>
      <c r="L27" s="174"/>
      <c r="M27" s="174"/>
      <c r="N27" s="174"/>
      <c r="O27" s="174"/>
      <c r="P27" s="174"/>
      <c r="Q27" s="111"/>
      <c r="R27" s="174"/>
      <c r="S27" s="174"/>
      <c r="T27" s="174"/>
      <c r="U27" s="174"/>
      <c r="V27" s="174"/>
      <c r="W27" s="174"/>
      <c r="X27" s="174"/>
      <c r="Y27" s="111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11"/>
      <c r="AK27" s="38"/>
      <c r="AL27" s="197"/>
      <c r="AM27" s="214" t="s">
        <v>41</v>
      </c>
    </row>
    <row r="28" spans="1:39" x14ac:dyDescent="0.25">
      <c r="A28" s="11">
        <v>26</v>
      </c>
      <c r="B28" s="149"/>
      <c r="C28" s="149"/>
      <c r="D28" s="149"/>
      <c r="E28" s="149"/>
      <c r="F28" s="149"/>
      <c r="G28" s="149"/>
      <c r="H28" s="149"/>
      <c r="I28" s="111"/>
      <c r="J28" s="149"/>
      <c r="K28" s="149"/>
      <c r="L28" s="149"/>
      <c r="M28" s="149"/>
      <c r="N28" s="149"/>
      <c r="O28" s="149"/>
      <c r="P28" s="149"/>
      <c r="Q28" s="111"/>
      <c r="R28" s="149"/>
      <c r="S28" s="149"/>
      <c r="T28" s="149"/>
      <c r="U28" s="149"/>
      <c r="V28" s="149"/>
      <c r="W28" s="149"/>
      <c r="X28" s="149"/>
      <c r="Y28" s="111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11"/>
      <c r="AK28" s="38"/>
      <c r="AL28" s="197"/>
      <c r="AM28" s="214" t="s">
        <v>41</v>
      </c>
    </row>
    <row r="29" spans="1:39" x14ac:dyDescent="0.25">
      <c r="A29" s="11">
        <v>27</v>
      </c>
      <c r="B29" s="106"/>
      <c r="C29" s="106"/>
      <c r="D29" s="106"/>
      <c r="E29" s="106"/>
      <c r="F29" s="106"/>
      <c r="G29" s="106"/>
      <c r="H29" s="106"/>
      <c r="I29" s="37"/>
      <c r="J29" s="106"/>
      <c r="K29" s="106"/>
      <c r="L29" s="106"/>
      <c r="M29" s="106"/>
      <c r="N29" s="106"/>
      <c r="O29" s="106"/>
      <c r="P29" s="106"/>
      <c r="Q29" s="37"/>
      <c r="R29" s="106"/>
      <c r="S29" s="106"/>
      <c r="T29" s="106"/>
      <c r="U29" s="106"/>
      <c r="V29" s="106"/>
      <c r="W29" s="106"/>
      <c r="X29" s="106"/>
      <c r="Y29" s="37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37"/>
      <c r="AK29" s="38"/>
      <c r="AL29" s="197"/>
      <c r="AM29" s="197"/>
    </row>
    <row r="30" spans="1:39" x14ac:dyDescent="0.25">
      <c r="A30" s="11">
        <v>28</v>
      </c>
      <c r="B30" s="106"/>
      <c r="C30" s="106"/>
      <c r="D30" s="106"/>
      <c r="E30" s="106"/>
      <c r="F30" s="106"/>
      <c r="G30" s="106"/>
      <c r="H30" s="106"/>
      <c r="I30" s="37"/>
      <c r="J30" s="106"/>
      <c r="K30" s="106"/>
      <c r="L30" s="106"/>
      <c r="M30" s="106"/>
      <c r="N30" s="106"/>
      <c r="O30" s="106"/>
      <c r="P30" s="106"/>
      <c r="Q30" s="37"/>
      <c r="R30" s="106"/>
      <c r="S30" s="106"/>
      <c r="T30" s="106"/>
      <c r="U30" s="106"/>
      <c r="V30" s="106"/>
      <c r="W30" s="106"/>
      <c r="X30" s="106"/>
      <c r="Y30" s="37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37"/>
      <c r="AK30" s="38"/>
      <c r="AL30" s="197"/>
      <c r="AM30" s="197"/>
    </row>
    <row r="31" spans="1:39" x14ac:dyDescent="0.25">
      <c r="A31" s="11">
        <v>29</v>
      </c>
      <c r="B31" s="108"/>
      <c r="C31" s="108"/>
      <c r="D31" s="108"/>
      <c r="E31" s="108"/>
      <c r="F31" s="108"/>
      <c r="G31" s="108"/>
      <c r="H31" s="108"/>
      <c r="I31" s="111"/>
      <c r="J31" s="108"/>
      <c r="K31" s="108"/>
      <c r="L31" s="108"/>
      <c r="M31" s="108"/>
      <c r="N31" s="108"/>
      <c r="O31" s="108"/>
      <c r="P31" s="108"/>
      <c r="Q31" s="111"/>
      <c r="R31" s="108"/>
      <c r="S31" s="108"/>
      <c r="T31" s="108"/>
      <c r="U31" s="108"/>
      <c r="V31" s="108"/>
      <c r="W31" s="108"/>
      <c r="X31" s="108"/>
      <c r="Y31" s="111"/>
      <c r="Z31" s="108"/>
      <c r="AA31" s="108"/>
      <c r="AB31" s="108"/>
      <c r="AC31" s="108"/>
      <c r="AD31" s="108"/>
      <c r="AE31" s="108"/>
      <c r="AF31" s="108"/>
      <c r="AG31" s="107"/>
      <c r="AH31" s="107"/>
      <c r="AI31" s="107"/>
      <c r="AJ31" s="111"/>
      <c r="AK31" s="38"/>
      <c r="AL31" s="197"/>
      <c r="AM31" s="182" t="s">
        <v>44</v>
      </c>
    </row>
    <row r="32" spans="1:39" x14ac:dyDescent="0.25">
      <c r="A32" s="11">
        <v>30</v>
      </c>
      <c r="B32" s="106"/>
      <c r="C32" s="106"/>
      <c r="D32" s="106"/>
      <c r="E32" s="106"/>
      <c r="F32" s="106"/>
      <c r="G32" s="106"/>
      <c r="H32" s="106"/>
      <c r="I32" s="37"/>
      <c r="J32" s="106"/>
      <c r="K32" s="106"/>
      <c r="L32" s="106"/>
      <c r="M32" s="106"/>
      <c r="N32" s="106"/>
      <c r="O32" s="106"/>
      <c r="P32" s="106"/>
      <c r="Q32" s="37"/>
      <c r="R32" s="106"/>
      <c r="S32" s="106"/>
      <c r="T32" s="106"/>
      <c r="U32" s="106"/>
      <c r="V32" s="106"/>
      <c r="W32" s="106"/>
      <c r="X32" s="106"/>
      <c r="Y32" s="37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37"/>
      <c r="AK32" s="38"/>
      <c r="AL32" s="197"/>
      <c r="AM32" s="197"/>
    </row>
    <row r="33" spans="1:39" x14ac:dyDescent="0.25">
      <c r="A33" s="11">
        <v>31</v>
      </c>
      <c r="B33" s="106"/>
      <c r="C33" s="106"/>
      <c r="D33" s="106"/>
      <c r="E33" s="106"/>
      <c r="F33" s="106"/>
      <c r="G33" s="106"/>
      <c r="H33" s="106"/>
      <c r="I33" s="37"/>
      <c r="J33" s="106"/>
      <c r="K33" s="106"/>
      <c r="L33" s="106"/>
      <c r="M33" s="106"/>
      <c r="N33" s="106"/>
      <c r="O33" s="106"/>
      <c r="P33" s="106"/>
      <c r="Q33" s="37"/>
      <c r="R33" s="106"/>
      <c r="S33" s="106"/>
      <c r="T33" s="106"/>
      <c r="U33" s="106"/>
      <c r="V33" s="106"/>
      <c r="W33" s="106"/>
      <c r="X33" s="106"/>
      <c r="Y33" s="37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37"/>
      <c r="AK33" s="38"/>
      <c r="AL33" s="197"/>
      <c r="AM33" s="197"/>
    </row>
    <row r="34" spans="1:39" x14ac:dyDescent="0.25">
      <c r="A34" s="11">
        <v>32</v>
      </c>
      <c r="B34" s="106"/>
      <c r="C34" s="106"/>
      <c r="D34" s="106"/>
      <c r="E34" s="106"/>
      <c r="F34" s="106"/>
      <c r="G34" s="106"/>
      <c r="H34" s="106"/>
      <c r="I34" s="37"/>
      <c r="J34" s="106"/>
      <c r="K34" s="106"/>
      <c r="L34" s="106"/>
      <c r="M34" s="106"/>
      <c r="N34" s="106"/>
      <c r="O34" s="106"/>
      <c r="P34" s="106"/>
      <c r="Q34" s="37"/>
      <c r="R34" s="106"/>
      <c r="S34" s="106"/>
      <c r="T34" s="106"/>
      <c r="U34" s="106"/>
      <c r="V34" s="106"/>
      <c r="W34" s="106"/>
      <c r="X34" s="106"/>
      <c r="Y34" s="37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37"/>
      <c r="AK34" s="38"/>
      <c r="AL34" s="197"/>
      <c r="AM34" s="197"/>
    </row>
    <row r="35" spans="1:39" x14ac:dyDescent="0.25">
      <c r="A35" s="11">
        <v>33</v>
      </c>
      <c r="B35" s="106"/>
      <c r="C35" s="106"/>
      <c r="D35" s="106"/>
      <c r="E35" s="106"/>
      <c r="F35" s="106"/>
      <c r="G35" s="106"/>
      <c r="H35" s="106"/>
      <c r="I35" s="37"/>
      <c r="J35" s="106"/>
      <c r="K35" s="106"/>
      <c r="L35" s="106"/>
      <c r="M35" s="106"/>
      <c r="N35" s="106"/>
      <c r="O35" s="106"/>
      <c r="P35" s="106"/>
      <c r="Q35" s="37"/>
      <c r="R35" s="106"/>
      <c r="S35" s="106"/>
      <c r="T35" s="106"/>
      <c r="U35" s="106"/>
      <c r="V35" s="106"/>
      <c r="W35" s="106"/>
      <c r="X35" s="106"/>
      <c r="Y35" s="37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37"/>
      <c r="AK35" s="38"/>
      <c r="AL35" s="197"/>
      <c r="AM35" s="197"/>
    </row>
    <row r="36" spans="1:39" x14ac:dyDescent="0.25">
      <c r="A36" s="11">
        <v>34</v>
      </c>
      <c r="B36" s="106"/>
      <c r="C36" s="106"/>
      <c r="D36" s="106"/>
      <c r="E36" s="106"/>
      <c r="F36" s="106"/>
      <c r="G36" s="106"/>
      <c r="H36" s="106"/>
      <c r="I36" s="37"/>
      <c r="J36" s="106"/>
      <c r="K36" s="106"/>
      <c r="L36" s="106"/>
      <c r="M36" s="106"/>
      <c r="N36" s="106"/>
      <c r="O36" s="106"/>
      <c r="P36" s="106"/>
      <c r="Q36" s="37"/>
      <c r="R36" s="106"/>
      <c r="S36" s="106"/>
      <c r="T36" s="106"/>
      <c r="U36" s="106"/>
      <c r="V36" s="106"/>
      <c r="W36" s="106"/>
      <c r="X36" s="106"/>
      <c r="Y36" s="37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37"/>
      <c r="AK36" s="38"/>
      <c r="AL36" s="197"/>
      <c r="AM36" s="197"/>
    </row>
    <row r="37" spans="1:39" x14ac:dyDescent="0.25">
      <c r="A37" s="11">
        <v>35</v>
      </c>
      <c r="B37" s="106"/>
      <c r="C37" s="106"/>
      <c r="D37" s="106"/>
      <c r="E37" s="106"/>
      <c r="F37" s="106"/>
      <c r="G37" s="106"/>
      <c r="H37" s="106"/>
      <c r="I37" s="37"/>
      <c r="J37" s="106"/>
      <c r="K37" s="106"/>
      <c r="L37" s="106"/>
      <c r="M37" s="106"/>
      <c r="N37" s="106"/>
      <c r="O37" s="106"/>
      <c r="P37" s="106"/>
      <c r="Q37" s="37"/>
      <c r="R37" s="106"/>
      <c r="S37" s="106"/>
      <c r="T37" s="106"/>
      <c r="U37" s="106"/>
      <c r="V37" s="106"/>
      <c r="W37" s="106"/>
      <c r="X37" s="106"/>
      <c r="Y37" s="37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37"/>
      <c r="AK37" s="38"/>
      <c r="AL37" s="197"/>
      <c r="AM37" s="197"/>
    </row>
    <row r="38" spans="1:39" x14ac:dyDescent="0.25">
      <c r="A38" s="11">
        <v>36</v>
      </c>
      <c r="B38" s="108"/>
      <c r="C38" s="108"/>
      <c r="D38" s="108"/>
      <c r="E38" s="108"/>
      <c r="F38" s="108"/>
      <c r="G38" s="108"/>
      <c r="H38" s="108"/>
      <c r="I38" s="111"/>
      <c r="J38" s="108"/>
      <c r="K38" s="108"/>
      <c r="L38" s="108"/>
      <c r="M38" s="108"/>
      <c r="N38" s="108"/>
      <c r="O38" s="108"/>
      <c r="P38" s="108"/>
      <c r="Q38" s="111"/>
      <c r="R38" s="108"/>
      <c r="S38" s="108"/>
      <c r="T38" s="108"/>
      <c r="U38" s="108"/>
      <c r="V38" s="108"/>
      <c r="W38" s="108"/>
      <c r="X38" s="108"/>
      <c r="Y38" s="111"/>
      <c r="Z38" s="108"/>
      <c r="AA38" s="108"/>
      <c r="AB38" s="108"/>
      <c r="AC38" s="108"/>
      <c r="AD38" s="108"/>
      <c r="AE38" s="108"/>
      <c r="AF38" s="108"/>
      <c r="AG38" s="107"/>
      <c r="AH38" s="107"/>
      <c r="AI38" s="107"/>
      <c r="AJ38" s="111"/>
      <c r="AK38" s="38"/>
      <c r="AL38" s="197"/>
      <c r="AM38" s="182" t="s">
        <v>44</v>
      </c>
    </row>
    <row r="39" spans="1:39" x14ac:dyDescent="0.25">
      <c r="A39" s="11">
        <v>37</v>
      </c>
      <c r="B39" s="106"/>
      <c r="C39" s="106"/>
      <c r="D39" s="106"/>
      <c r="E39" s="106"/>
      <c r="F39" s="106"/>
      <c r="G39" s="106"/>
      <c r="H39" s="106"/>
      <c r="I39" s="37"/>
      <c r="J39" s="106"/>
      <c r="K39" s="106"/>
      <c r="L39" s="106"/>
      <c r="M39" s="106"/>
      <c r="N39" s="106"/>
      <c r="O39" s="106"/>
      <c r="P39" s="106"/>
      <c r="Q39" s="37"/>
      <c r="R39" s="106"/>
      <c r="S39" s="106"/>
      <c r="T39" s="106"/>
      <c r="U39" s="106"/>
      <c r="V39" s="106"/>
      <c r="W39" s="106"/>
      <c r="X39" s="106"/>
      <c r="Y39" s="37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37"/>
      <c r="AK39" s="38"/>
      <c r="AL39" s="197"/>
      <c r="AM39" s="197"/>
    </row>
    <row r="40" spans="1:39" x14ac:dyDescent="0.25">
      <c r="A40" s="11">
        <v>38</v>
      </c>
      <c r="B40" s="106"/>
      <c r="C40" s="106"/>
      <c r="D40" s="106"/>
      <c r="E40" s="106"/>
      <c r="F40" s="106"/>
      <c r="G40" s="106"/>
      <c r="H40" s="106"/>
      <c r="I40" s="37"/>
      <c r="J40" s="106"/>
      <c r="K40" s="106"/>
      <c r="L40" s="106"/>
      <c r="M40" s="106"/>
      <c r="N40" s="106"/>
      <c r="O40" s="106"/>
      <c r="P40" s="106"/>
      <c r="Q40" s="37"/>
      <c r="R40" s="106"/>
      <c r="S40" s="106"/>
      <c r="T40" s="106"/>
      <c r="U40" s="106"/>
      <c r="V40" s="106"/>
      <c r="W40" s="106"/>
      <c r="X40" s="106"/>
      <c r="Y40" s="37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37"/>
      <c r="AK40" s="38"/>
      <c r="AL40" s="197"/>
      <c r="AM40" s="197"/>
    </row>
    <row r="41" spans="1:39" x14ac:dyDescent="0.25">
      <c r="A41" s="11">
        <v>39</v>
      </c>
      <c r="B41" s="106"/>
      <c r="C41" s="106"/>
      <c r="D41" s="106"/>
      <c r="E41" s="106"/>
      <c r="F41" s="106"/>
      <c r="G41" s="106"/>
      <c r="H41" s="106"/>
      <c r="I41" s="37"/>
      <c r="J41" s="108"/>
      <c r="K41" s="116"/>
      <c r="L41" s="106"/>
      <c r="M41" s="106"/>
      <c r="N41" s="106"/>
      <c r="O41" s="106"/>
      <c r="P41" s="106"/>
      <c r="Q41" s="37"/>
      <c r="R41" s="106"/>
      <c r="S41" s="106"/>
      <c r="T41" s="106"/>
      <c r="U41" s="106"/>
      <c r="V41" s="106"/>
      <c r="W41" s="106"/>
      <c r="X41" s="106"/>
      <c r="Y41" s="37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37"/>
      <c r="AK41" s="38"/>
      <c r="AL41" s="197"/>
      <c r="AM41" s="197"/>
    </row>
    <row r="42" spans="1:39" x14ac:dyDescent="0.25">
      <c r="A42" s="11">
        <v>40</v>
      </c>
      <c r="B42" s="106"/>
      <c r="C42" s="106"/>
      <c r="D42" s="106"/>
      <c r="E42" s="106"/>
      <c r="F42" s="106"/>
      <c r="G42" s="106"/>
      <c r="H42" s="106"/>
      <c r="I42" s="37"/>
      <c r="J42" s="106"/>
      <c r="K42" s="106"/>
      <c r="L42" s="106"/>
      <c r="M42" s="106"/>
      <c r="N42" s="106"/>
      <c r="O42" s="106"/>
      <c r="P42" s="106"/>
      <c r="Q42" s="37"/>
      <c r="R42" s="106"/>
      <c r="S42" s="106"/>
      <c r="T42" s="106"/>
      <c r="U42" s="106"/>
      <c r="V42" s="106"/>
      <c r="W42" s="106"/>
      <c r="X42" s="106"/>
      <c r="Y42" s="37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37"/>
      <c r="AK42" s="38"/>
      <c r="AL42" s="197"/>
      <c r="AM42" s="197"/>
    </row>
    <row r="43" spans="1:39" x14ac:dyDescent="0.25">
      <c r="A43" s="11">
        <v>41</v>
      </c>
      <c r="B43" s="106"/>
      <c r="C43" s="106"/>
      <c r="D43" s="106"/>
      <c r="E43" s="106"/>
      <c r="F43" s="106"/>
      <c r="G43" s="106"/>
      <c r="H43" s="106"/>
      <c r="I43" s="37"/>
      <c r="J43" s="106"/>
      <c r="K43" s="106"/>
      <c r="L43" s="106"/>
      <c r="M43" s="106"/>
      <c r="N43" s="106"/>
      <c r="O43" s="106"/>
      <c r="P43" s="106"/>
      <c r="Q43" s="37"/>
      <c r="R43" s="106"/>
      <c r="S43" s="106"/>
      <c r="T43" s="106"/>
      <c r="U43" s="106"/>
      <c r="V43" s="106"/>
      <c r="W43" s="106"/>
      <c r="X43" s="106"/>
      <c r="Y43" s="37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37"/>
      <c r="AK43" s="38"/>
      <c r="AL43" s="197"/>
      <c r="AM43" s="197"/>
    </row>
    <row r="44" spans="1:39" x14ac:dyDescent="0.25">
      <c r="A44" s="11">
        <v>42</v>
      </c>
      <c r="B44" s="108"/>
      <c r="C44" s="108"/>
      <c r="D44" s="108"/>
      <c r="E44" s="108"/>
      <c r="F44" s="108"/>
      <c r="G44" s="108"/>
      <c r="H44" s="108"/>
      <c r="I44" s="111"/>
      <c r="J44" s="108"/>
      <c r="K44" s="108"/>
      <c r="L44" s="108"/>
      <c r="M44" s="108"/>
      <c r="N44" s="108"/>
      <c r="O44" s="108"/>
      <c r="P44" s="108"/>
      <c r="Q44" s="111"/>
      <c r="R44" s="108"/>
      <c r="S44" s="108"/>
      <c r="T44" s="108"/>
      <c r="U44" s="108"/>
      <c r="V44" s="108"/>
      <c r="W44" s="108"/>
      <c r="X44" s="108"/>
      <c r="Y44" s="111"/>
      <c r="Z44" s="108"/>
      <c r="AA44" s="108"/>
      <c r="AB44" s="108"/>
      <c r="AC44" s="108"/>
      <c r="AD44" s="108"/>
      <c r="AE44" s="108"/>
      <c r="AF44" s="108"/>
      <c r="AG44" s="107"/>
      <c r="AH44" s="107"/>
      <c r="AI44" s="107"/>
      <c r="AJ44" s="111"/>
      <c r="AK44" s="38"/>
      <c r="AL44" s="197"/>
      <c r="AM44" s="182" t="s">
        <v>44</v>
      </c>
    </row>
    <row r="45" spans="1:39" x14ac:dyDescent="0.25">
      <c r="A45" s="11">
        <v>43</v>
      </c>
      <c r="B45" s="106"/>
      <c r="C45" s="106"/>
      <c r="D45" s="106"/>
      <c r="E45" s="106"/>
      <c r="F45" s="106"/>
      <c r="G45" s="106"/>
      <c r="H45" s="106"/>
      <c r="I45" s="37"/>
      <c r="J45" s="106"/>
      <c r="K45" s="106"/>
      <c r="L45" s="106"/>
      <c r="M45" s="106"/>
      <c r="N45" s="106"/>
      <c r="O45" s="106"/>
      <c r="P45" s="106"/>
      <c r="Q45" s="37"/>
      <c r="R45" s="106"/>
      <c r="S45" s="106"/>
      <c r="T45" s="106"/>
      <c r="U45" s="106"/>
      <c r="V45" s="106"/>
      <c r="W45" s="106"/>
      <c r="X45" s="106"/>
      <c r="Y45" s="37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37"/>
      <c r="AK45" s="38"/>
      <c r="AL45" s="197"/>
      <c r="AM45" s="197"/>
    </row>
    <row r="46" spans="1:39" x14ac:dyDescent="0.25">
      <c r="A46" s="11">
        <v>44</v>
      </c>
      <c r="B46" s="106"/>
      <c r="C46" s="106"/>
      <c r="D46" s="106"/>
      <c r="E46" s="106"/>
      <c r="F46" s="106"/>
      <c r="G46" s="106"/>
      <c r="H46" s="106"/>
      <c r="I46" s="37"/>
      <c r="J46" s="106"/>
      <c r="K46" s="106"/>
      <c r="L46" s="106"/>
      <c r="M46" s="106"/>
      <c r="N46" s="106"/>
      <c r="O46" s="106"/>
      <c r="P46" s="106"/>
      <c r="Q46" s="37"/>
      <c r="R46" s="106"/>
      <c r="S46" s="106"/>
      <c r="T46" s="106"/>
      <c r="U46" s="106"/>
      <c r="V46" s="106"/>
      <c r="W46" s="106"/>
      <c r="X46" s="106"/>
      <c r="Y46" s="37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37"/>
      <c r="AK46" s="38"/>
      <c r="AL46" s="197"/>
      <c r="AM46" s="197"/>
    </row>
    <row r="47" spans="1:39" x14ac:dyDescent="0.25">
      <c r="A47" s="11">
        <v>45</v>
      </c>
      <c r="B47" s="106"/>
      <c r="C47" s="106"/>
      <c r="D47" s="106"/>
      <c r="E47" s="106"/>
      <c r="F47" s="106"/>
      <c r="G47" s="106"/>
      <c r="H47" s="106"/>
      <c r="I47" s="37"/>
      <c r="J47" s="106"/>
      <c r="K47" s="106"/>
      <c r="L47" s="106"/>
      <c r="M47" s="106"/>
      <c r="N47" s="106"/>
      <c r="O47" s="106"/>
      <c r="P47" s="106"/>
      <c r="Q47" s="37"/>
      <c r="R47" s="106"/>
      <c r="S47" s="106"/>
      <c r="T47" s="106"/>
      <c r="U47" s="106"/>
      <c r="V47" s="106"/>
      <c r="W47" s="106"/>
      <c r="X47" s="106"/>
      <c r="Y47" s="37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37"/>
      <c r="AK47" s="38"/>
      <c r="AL47" s="197"/>
      <c r="AM47" s="197"/>
    </row>
    <row r="48" spans="1:39" x14ac:dyDescent="0.25">
      <c r="A48" s="11">
        <v>46</v>
      </c>
      <c r="B48" s="106"/>
      <c r="C48" s="106"/>
      <c r="D48" s="106"/>
      <c r="E48" s="106"/>
      <c r="F48" s="106"/>
      <c r="G48" s="106"/>
      <c r="H48" s="106"/>
      <c r="I48" s="37"/>
      <c r="J48" s="106"/>
      <c r="K48" s="106"/>
      <c r="L48" s="106"/>
      <c r="M48" s="106"/>
      <c r="N48" s="106"/>
      <c r="O48" s="106"/>
      <c r="P48" s="106"/>
      <c r="Q48" s="37"/>
      <c r="R48" s="106"/>
      <c r="S48" s="106"/>
      <c r="T48" s="106"/>
      <c r="U48" s="106"/>
      <c r="V48" s="106"/>
      <c r="W48" s="106"/>
      <c r="X48" s="106"/>
      <c r="Y48" s="37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37"/>
      <c r="AK48" s="38"/>
      <c r="AL48" s="197"/>
      <c r="AM48" s="197"/>
    </row>
    <row r="49" spans="1:39" x14ac:dyDescent="0.25">
      <c r="A49" s="11">
        <v>47</v>
      </c>
      <c r="B49" s="106"/>
      <c r="C49" s="106"/>
      <c r="D49" s="106"/>
      <c r="E49" s="106"/>
      <c r="F49" s="106"/>
      <c r="G49" s="106"/>
      <c r="H49" s="106"/>
      <c r="I49" s="37"/>
      <c r="J49" s="106"/>
      <c r="K49" s="106"/>
      <c r="L49" s="106"/>
      <c r="M49" s="106"/>
      <c r="N49" s="106"/>
      <c r="O49" s="106"/>
      <c r="P49" s="106"/>
      <c r="Q49" s="37"/>
      <c r="R49" s="106"/>
      <c r="S49" s="106"/>
      <c r="T49" s="106"/>
      <c r="U49" s="106"/>
      <c r="V49" s="106"/>
      <c r="W49" s="106"/>
      <c r="X49" s="106"/>
      <c r="Y49" s="37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37"/>
      <c r="AK49" s="38"/>
      <c r="AL49" s="197"/>
      <c r="AM49" s="197"/>
    </row>
    <row r="50" spans="1:39" x14ac:dyDescent="0.25">
      <c r="A50" s="11">
        <v>48</v>
      </c>
      <c r="B50" s="106"/>
      <c r="C50" s="106"/>
      <c r="D50" s="106"/>
      <c r="E50" s="106"/>
      <c r="F50" s="106"/>
      <c r="G50" s="106"/>
      <c r="H50" s="106"/>
      <c r="I50" s="37"/>
      <c r="J50" s="106"/>
      <c r="K50" s="106"/>
      <c r="L50" s="106"/>
      <c r="M50" s="106"/>
      <c r="N50" s="106"/>
      <c r="O50" s="106"/>
      <c r="P50" s="106"/>
      <c r="Q50" s="37"/>
      <c r="R50" s="106"/>
      <c r="S50" s="106"/>
      <c r="T50" s="106"/>
      <c r="U50" s="106"/>
      <c r="V50" s="106"/>
      <c r="W50" s="106"/>
      <c r="X50" s="106"/>
      <c r="Y50" s="37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37"/>
      <c r="AK50" s="38"/>
      <c r="AL50" s="197"/>
      <c r="AM50" s="197"/>
    </row>
    <row r="51" spans="1:39" x14ac:dyDescent="0.25">
      <c r="A51" s="11">
        <v>49</v>
      </c>
      <c r="B51" s="106"/>
      <c r="C51" s="106"/>
      <c r="D51" s="106"/>
      <c r="E51" s="106"/>
      <c r="F51" s="106"/>
      <c r="G51" s="106"/>
      <c r="H51" s="106"/>
      <c r="I51" s="37"/>
      <c r="J51" s="106"/>
      <c r="K51" s="106"/>
      <c r="L51" s="106"/>
      <c r="M51" s="106"/>
      <c r="N51" s="106"/>
      <c r="O51" s="106"/>
      <c r="P51" s="106"/>
      <c r="Q51" s="37"/>
      <c r="R51" s="106"/>
      <c r="S51" s="106"/>
      <c r="T51" s="106"/>
      <c r="U51" s="106"/>
      <c r="V51" s="106"/>
      <c r="W51" s="106"/>
      <c r="X51" s="106"/>
      <c r="Y51" s="37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37"/>
      <c r="AK51" s="38"/>
      <c r="AL51" s="197"/>
      <c r="AM51" s="197"/>
    </row>
    <row r="52" spans="1:39" x14ac:dyDescent="0.25">
      <c r="A52" s="11">
        <v>50</v>
      </c>
      <c r="B52" s="106"/>
      <c r="C52" s="106"/>
      <c r="D52" s="106"/>
      <c r="E52" s="106"/>
      <c r="F52" s="106"/>
      <c r="G52" s="106"/>
      <c r="H52" s="106"/>
      <c r="I52" s="37"/>
      <c r="J52" s="106"/>
      <c r="K52" s="106"/>
      <c r="L52" s="106"/>
      <c r="M52" s="106"/>
      <c r="N52" s="106"/>
      <c r="O52" s="106"/>
      <c r="P52" s="106"/>
      <c r="Q52" s="37"/>
      <c r="R52" s="106"/>
      <c r="S52" s="106"/>
      <c r="T52" s="106"/>
      <c r="U52" s="106"/>
      <c r="V52" s="106"/>
      <c r="W52" s="106"/>
      <c r="X52" s="106"/>
      <c r="Y52" s="37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37"/>
      <c r="AK52" s="38"/>
      <c r="AL52" s="197"/>
      <c r="AM52" s="197"/>
    </row>
    <row r="53" spans="1:39" x14ac:dyDescent="0.25">
      <c r="A53" s="11">
        <v>51</v>
      </c>
      <c r="B53" s="106"/>
      <c r="C53" s="106"/>
      <c r="D53" s="106"/>
      <c r="E53" s="106"/>
      <c r="F53" s="106"/>
      <c r="G53" s="106"/>
      <c r="H53" s="106"/>
      <c r="I53" s="37"/>
      <c r="J53" s="106"/>
      <c r="K53" s="106"/>
      <c r="L53" s="106"/>
      <c r="M53" s="106"/>
      <c r="N53" s="106"/>
      <c r="O53" s="106"/>
      <c r="P53" s="106"/>
      <c r="Q53" s="37"/>
      <c r="R53" s="106"/>
      <c r="S53" s="106"/>
      <c r="T53" s="106"/>
      <c r="U53" s="106"/>
      <c r="V53" s="106"/>
      <c r="W53" s="106"/>
      <c r="X53" s="106"/>
      <c r="Y53" s="37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37"/>
      <c r="AK53" s="38"/>
      <c r="AL53" s="197"/>
      <c r="AM53" s="197"/>
    </row>
    <row r="54" spans="1:39" x14ac:dyDescent="0.25">
      <c r="A54" s="11">
        <v>52</v>
      </c>
      <c r="B54" s="106"/>
      <c r="C54" s="106"/>
      <c r="D54" s="106"/>
      <c r="E54" s="106"/>
      <c r="F54" s="108"/>
      <c r="G54" s="108"/>
      <c r="H54" s="108"/>
      <c r="I54" s="37"/>
      <c r="J54" s="108"/>
      <c r="K54" s="106"/>
      <c r="L54" s="106"/>
      <c r="M54" s="106"/>
      <c r="N54" s="106"/>
      <c r="O54" s="106"/>
      <c r="P54" s="106"/>
      <c r="Q54" s="37"/>
      <c r="R54" s="106"/>
      <c r="S54" s="106"/>
      <c r="T54" s="106"/>
      <c r="U54" s="106"/>
      <c r="V54" s="106"/>
      <c r="W54" s="106"/>
      <c r="X54" s="106"/>
      <c r="Y54" s="37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37"/>
      <c r="AK54" s="38"/>
      <c r="AL54" s="197"/>
      <c r="AM54" s="197"/>
    </row>
    <row r="55" spans="1:39" x14ac:dyDescent="0.25">
      <c r="A55" s="11">
        <v>53</v>
      </c>
      <c r="B55" s="106"/>
      <c r="C55" s="106"/>
      <c r="D55" s="106"/>
      <c r="E55" s="106"/>
      <c r="F55" s="106"/>
      <c r="G55" s="106"/>
      <c r="H55" s="106"/>
      <c r="I55" s="37"/>
      <c r="J55" s="106"/>
      <c r="K55" s="106"/>
      <c r="L55" s="106"/>
      <c r="M55" s="106"/>
      <c r="N55" s="106"/>
      <c r="O55" s="106"/>
      <c r="P55" s="106"/>
      <c r="Q55" s="37"/>
      <c r="R55" s="106"/>
      <c r="S55" s="106"/>
      <c r="T55" s="106"/>
      <c r="U55" s="106"/>
      <c r="V55" s="106"/>
      <c r="W55" s="106"/>
      <c r="X55" s="106"/>
      <c r="Y55" s="37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37"/>
      <c r="AK55" s="38"/>
      <c r="AL55" s="197"/>
      <c r="AM55" s="197"/>
    </row>
    <row r="56" spans="1:39" x14ac:dyDescent="0.25">
      <c r="A56" s="11">
        <v>54</v>
      </c>
      <c r="B56" s="106"/>
      <c r="C56" s="106"/>
      <c r="D56" s="106"/>
      <c r="E56" s="106"/>
      <c r="F56" s="106"/>
      <c r="G56" s="106"/>
      <c r="H56" s="106"/>
      <c r="I56" s="37"/>
      <c r="J56" s="106"/>
      <c r="K56" s="106"/>
      <c r="L56" s="106"/>
      <c r="M56" s="106"/>
      <c r="N56" s="106"/>
      <c r="O56" s="106"/>
      <c r="P56" s="106"/>
      <c r="Q56" s="37"/>
      <c r="R56" s="106"/>
      <c r="S56" s="106"/>
      <c r="T56" s="106"/>
      <c r="U56" s="106"/>
      <c r="V56" s="106"/>
      <c r="W56" s="106"/>
      <c r="X56" s="106"/>
      <c r="Y56" s="37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37"/>
      <c r="AK56" s="38"/>
      <c r="AL56" s="197"/>
      <c r="AM56" s="197"/>
    </row>
    <row r="57" spans="1:39" x14ac:dyDescent="0.25">
      <c r="A57" s="11">
        <v>55</v>
      </c>
      <c r="B57" s="106"/>
      <c r="C57" s="106"/>
      <c r="D57" s="106"/>
      <c r="E57" s="106"/>
      <c r="F57" s="106"/>
      <c r="G57" s="106"/>
      <c r="H57" s="106"/>
      <c r="I57" s="37"/>
      <c r="J57" s="106"/>
      <c r="K57" s="106"/>
      <c r="L57" s="106"/>
      <c r="M57" s="106"/>
      <c r="N57" s="106"/>
      <c r="O57" s="106"/>
      <c r="P57" s="106"/>
      <c r="Q57" s="37"/>
      <c r="R57" s="106"/>
      <c r="S57" s="106"/>
      <c r="T57" s="106"/>
      <c r="U57" s="106"/>
      <c r="V57" s="106"/>
      <c r="W57" s="106"/>
      <c r="X57" s="106"/>
      <c r="Y57" s="37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37"/>
      <c r="AK57" s="38"/>
      <c r="AL57" s="197"/>
      <c r="AM57" s="197"/>
    </row>
    <row r="58" spans="1:39" x14ac:dyDescent="0.25">
      <c r="A58" s="11">
        <v>56</v>
      </c>
      <c r="B58" s="106"/>
      <c r="C58" s="106"/>
      <c r="D58" s="106"/>
      <c r="E58" s="106"/>
      <c r="F58" s="106"/>
      <c r="G58" s="106"/>
      <c r="H58" s="106"/>
      <c r="I58" s="37"/>
      <c r="J58" s="106"/>
      <c r="K58" s="106"/>
      <c r="L58" s="106"/>
      <c r="M58" s="106"/>
      <c r="N58" s="106"/>
      <c r="O58" s="106"/>
      <c r="P58" s="106"/>
      <c r="Q58" s="37"/>
      <c r="R58" s="106"/>
      <c r="S58" s="106"/>
      <c r="T58" s="106"/>
      <c r="U58" s="106"/>
      <c r="V58" s="106"/>
      <c r="W58" s="106"/>
      <c r="X58" s="106"/>
      <c r="Y58" s="37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37"/>
      <c r="AK58" s="38"/>
      <c r="AL58" s="197"/>
      <c r="AM58" s="197"/>
    </row>
    <row r="59" spans="1:39" x14ac:dyDescent="0.25">
      <c r="A59" s="11">
        <v>57</v>
      </c>
      <c r="B59" s="106"/>
      <c r="C59" s="106"/>
      <c r="D59" s="106"/>
      <c r="E59" s="106"/>
      <c r="F59" s="106"/>
      <c r="G59" s="106"/>
      <c r="H59" s="106"/>
      <c r="I59" s="37"/>
      <c r="J59" s="106"/>
      <c r="K59" s="106"/>
      <c r="L59" s="106"/>
      <c r="M59" s="106"/>
      <c r="N59" s="106"/>
      <c r="O59" s="106"/>
      <c r="P59" s="106"/>
      <c r="Q59" s="37"/>
      <c r="R59" s="106"/>
      <c r="S59" s="106"/>
      <c r="T59" s="106"/>
      <c r="U59" s="106"/>
      <c r="V59" s="106"/>
      <c r="W59" s="106"/>
      <c r="X59" s="106"/>
      <c r="Y59" s="37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37"/>
      <c r="AK59" s="38"/>
      <c r="AL59" s="197"/>
      <c r="AM59" s="197"/>
    </row>
    <row r="60" spans="1:39" x14ac:dyDescent="0.25">
      <c r="A60" s="11">
        <v>58</v>
      </c>
      <c r="B60" s="106"/>
      <c r="C60" s="106"/>
      <c r="D60" s="106"/>
      <c r="E60" s="106"/>
      <c r="F60" s="106"/>
      <c r="G60" s="106"/>
      <c r="H60" s="106"/>
      <c r="I60" s="37"/>
      <c r="J60" s="106"/>
      <c r="K60" s="106"/>
      <c r="L60" s="106"/>
      <c r="M60" s="106"/>
      <c r="N60" s="106"/>
      <c r="O60" s="106"/>
      <c r="P60" s="106"/>
      <c r="Q60" s="37"/>
      <c r="R60" s="106"/>
      <c r="S60" s="106"/>
      <c r="T60" s="106"/>
      <c r="U60" s="106"/>
      <c r="V60" s="106"/>
      <c r="W60" s="106"/>
      <c r="X60" s="106"/>
      <c r="Y60" s="37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37"/>
      <c r="AK60" s="38"/>
      <c r="AL60" s="197"/>
      <c r="AM60" s="197"/>
    </row>
    <row r="61" spans="1:39" ht="18.75" x14ac:dyDescent="0.3">
      <c r="A61" s="11">
        <v>59</v>
      </c>
      <c r="B61" s="106"/>
      <c r="C61" s="106"/>
      <c r="D61" s="106"/>
      <c r="E61" s="106"/>
      <c r="F61" s="106"/>
      <c r="G61" s="106"/>
      <c r="H61" s="106"/>
      <c r="I61" s="37"/>
      <c r="J61" s="106"/>
      <c r="K61" s="106"/>
      <c r="L61" s="106"/>
      <c r="M61" s="106"/>
      <c r="N61" s="106"/>
      <c r="O61" s="106"/>
      <c r="P61" s="106"/>
      <c r="Q61" s="37"/>
      <c r="R61" s="106"/>
      <c r="S61" s="106"/>
      <c r="T61" s="106"/>
      <c r="U61" s="106"/>
      <c r="V61" s="106"/>
      <c r="W61" s="106"/>
      <c r="X61" s="106"/>
      <c r="Y61" s="37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37"/>
      <c r="AK61" s="340"/>
      <c r="AL61" s="197"/>
      <c r="AM61" s="197"/>
    </row>
    <row r="62" spans="1:39" ht="18.75" x14ac:dyDescent="0.3">
      <c r="A62" s="11">
        <v>60</v>
      </c>
      <c r="B62" s="106"/>
      <c r="C62" s="106"/>
      <c r="D62" s="106"/>
      <c r="E62" s="106"/>
      <c r="F62" s="106"/>
      <c r="G62" s="106"/>
      <c r="H62" s="106"/>
      <c r="I62" s="37"/>
      <c r="J62" s="106"/>
      <c r="K62" s="106"/>
      <c r="L62" s="106"/>
      <c r="M62" s="106"/>
      <c r="N62" s="106"/>
      <c r="O62" s="106"/>
      <c r="P62" s="106"/>
      <c r="Q62" s="37"/>
      <c r="R62" s="106"/>
      <c r="S62" s="106"/>
      <c r="T62" s="106"/>
      <c r="U62" s="106"/>
      <c r="V62" s="106"/>
      <c r="W62" s="106"/>
      <c r="X62" s="106"/>
      <c r="Y62" s="37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37"/>
      <c r="AK62" s="340"/>
      <c r="AL62" s="197"/>
      <c r="AM62" s="197"/>
    </row>
    <row r="63" spans="1:39" ht="18.75" x14ac:dyDescent="0.3">
      <c r="A63" s="11">
        <v>61</v>
      </c>
      <c r="B63" s="106"/>
      <c r="C63" s="106"/>
      <c r="D63" s="106"/>
      <c r="E63" s="106"/>
      <c r="F63" s="106"/>
      <c r="G63" s="106"/>
      <c r="H63" s="106"/>
      <c r="I63" s="37"/>
      <c r="J63" s="106"/>
      <c r="K63" s="106"/>
      <c r="L63" s="106"/>
      <c r="M63" s="106"/>
      <c r="N63" s="106"/>
      <c r="O63" s="106"/>
      <c r="P63" s="106"/>
      <c r="Q63" s="37"/>
      <c r="R63" s="106"/>
      <c r="S63" s="106"/>
      <c r="T63" s="106"/>
      <c r="U63" s="106"/>
      <c r="V63" s="106"/>
      <c r="W63" s="106"/>
      <c r="X63" s="106"/>
      <c r="Y63" s="37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37"/>
      <c r="AK63" s="340"/>
      <c r="AL63" s="197"/>
      <c r="AM63" s="197"/>
    </row>
    <row r="64" spans="1:39" x14ac:dyDescent="0.25">
      <c r="A64" s="11">
        <v>62</v>
      </c>
      <c r="B64" s="106"/>
      <c r="C64" s="106"/>
      <c r="D64" s="106"/>
      <c r="E64" s="106"/>
      <c r="F64" s="106"/>
      <c r="G64" s="106"/>
      <c r="H64" s="106"/>
      <c r="I64" s="37"/>
      <c r="J64" s="106"/>
      <c r="K64" s="106"/>
      <c r="L64" s="106"/>
      <c r="M64" s="106"/>
      <c r="N64" s="106"/>
      <c r="O64" s="106"/>
      <c r="P64" s="106"/>
      <c r="Q64" s="37"/>
      <c r="R64" s="106"/>
      <c r="S64" s="106"/>
      <c r="T64" s="106"/>
      <c r="U64" s="106"/>
      <c r="V64" s="106"/>
      <c r="W64" s="106"/>
      <c r="X64" s="106"/>
      <c r="Y64" s="37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37"/>
      <c r="AK64" s="38"/>
      <c r="AL64" s="197"/>
      <c r="AM64" s="197"/>
    </row>
    <row r="65" spans="1:39" ht="15.75" thickBot="1" x14ac:dyDescent="0.3">
      <c r="A65" s="62">
        <v>63</v>
      </c>
      <c r="B65" s="107"/>
      <c r="C65" s="107"/>
      <c r="D65" s="107"/>
      <c r="E65" s="107"/>
      <c r="F65" s="107"/>
      <c r="G65" s="107"/>
      <c r="H65" s="107"/>
      <c r="I65" s="110"/>
      <c r="J65" s="107"/>
      <c r="K65" s="107"/>
      <c r="L65" s="107"/>
      <c r="M65" s="107"/>
      <c r="N65" s="107"/>
      <c r="O65" s="107"/>
      <c r="P65" s="107"/>
      <c r="Q65" s="110"/>
      <c r="R65" s="107"/>
      <c r="S65" s="107"/>
      <c r="T65" s="107"/>
      <c r="U65" s="107"/>
      <c r="V65" s="107"/>
      <c r="W65" s="107"/>
      <c r="X65" s="107"/>
      <c r="Y65" s="114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14"/>
      <c r="AK65" s="44"/>
      <c r="AL65" s="204"/>
      <c r="AM65" s="182" t="s">
        <v>44</v>
      </c>
    </row>
    <row r="66" spans="1:39" ht="18.75" x14ac:dyDescent="0.3">
      <c r="A66" s="281" t="s">
        <v>2</v>
      </c>
      <c r="B66" s="163"/>
      <c r="C66" s="163"/>
      <c r="D66" s="163"/>
      <c r="E66" s="163"/>
      <c r="F66" s="163"/>
      <c r="G66" s="163"/>
      <c r="H66" s="163"/>
      <c r="I66" s="158"/>
      <c r="J66" s="163"/>
      <c r="K66" s="163"/>
      <c r="L66" s="163"/>
      <c r="M66" s="163"/>
      <c r="N66" s="163"/>
      <c r="O66" s="163"/>
      <c r="P66" s="163"/>
      <c r="Q66" s="221"/>
      <c r="R66" s="163"/>
      <c r="S66" s="163"/>
      <c r="T66" s="163"/>
      <c r="U66" s="163"/>
      <c r="V66" s="163"/>
      <c r="W66" s="163"/>
      <c r="X66" s="163"/>
      <c r="Y66" s="221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51"/>
      <c r="AK66" s="266"/>
      <c r="AL66" s="285"/>
      <c r="AM66" s="192"/>
    </row>
    <row r="67" spans="1:39" ht="15.75" thickBot="1" x14ac:dyDescent="0.3">
      <c r="A67" s="264"/>
      <c r="B67" s="265"/>
      <c r="C67" s="265"/>
      <c r="D67" s="265"/>
      <c r="E67" s="265"/>
      <c r="F67" s="265"/>
      <c r="G67" s="265"/>
      <c r="H67" s="265"/>
      <c r="I67" s="56"/>
      <c r="J67" s="265"/>
      <c r="K67" s="265"/>
      <c r="L67" s="265"/>
      <c r="M67" s="265"/>
      <c r="N67" s="265"/>
      <c r="O67" s="265"/>
      <c r="P67" s="265"/>
      <c r="Q67" s="56"/>
      <c r="R67" s="265"/>
      <c r="S67" s="265"/>
      <c r="T67" s="265"/>
      <c r="U67" s="265"/>
      <c r="V67" s="265"/>
      <c r="W67" s="265"/>
      <c r="X67" s="265"/>
      <c r="Y67" s="56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56"/>
      <c r="AK67" s="225"/>
      <c r="AL67" s="228"/>
      <c r="AM67" s="183"/>
    </row>
    <row r="68" spans="1:39" ht="24" thickBot="1" x14ac:dyDescent="0.4">
      <c r="A68" s="252" t="s">
        <v>180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60"/>
      <c r="AM68" s="208"/>
    </row>
    <row r="69" spans="1:39" ht="16.5" thickBot="1" x14ac:dyDescent="0.3">
      <c r="A69" s="321" t="s">
        <v>7</v>
      </c>
      <c r="B69" s="322"/>
      <c r="C69" s="322"/>
      <c r="D69" s="322"/>
      <c r="E69" s="322"/>
      <c r="F69" s="322"/>
      <c r="G69" s="322"/>
      <c r="H69" s="322"/>
      <c r="I69" s="323"/>
      <c r="J69" s="322"/>
      <c r="K69" s="322"/>
      <c r="L69" s="322"/>
      <c r="M69" s="322"/>
      <c r="N69" s="322"/>
      <c r="O69" s="322"/>
      <c r="P69" s="322"/>
      <c r="Q69" s="323"/>
      <c r="R69" s="322"/>
      <c r="S69" s="322"/>
      <c r="T69" s="322"/>
      <c r="U69" s="322"/>
      <c r="V69" s="322"/>
      <c r="W69" s="322"/>
      <c r="X69" s="322"/>
      <c r="Y69" s="323"/>
      <c r="Z69" s="322"/>
      <c r="AA69" s="322"/>
      <c r="AB69" s="322"/>
      <c r="AC69" s="322"/>
      <c r="AD69" s="322"/>
      <c r="AE69" s="322"/>
      <c r="AF69" s="322"/>
      <c r="AG69" s="322"/>
      <c r="AH69" s="322"/>
      <c r="AI69" s="322"/>
      <c r="AJ69" s="324"/>
      <c r="AK69" s="325"/>
      <c r="AL69" s="169"/>
      <c r="AM69" s="198" t="s">
        <v>42</v>
      </c>
    </row>
    <row r="70" spans="1:39" x14ac:dyDescent="0.25">
      <c r="A70" s="394">
        <v>23</v>
      </c>
      <c r="B70" s="386"/>
      <c r="C70" s="386"/>
      <c r="D70" s="386"/>
      <c r="E70" s="386"/>
      <c r="F70" s="386"/>
      <c r="G70" s="386"/>
      <c r="H70" s="386"/>
      <c r="I70" s="160"/>
      <c r="J70" s="386"/>
      <c r="K70" s="386"/>
      <c r="L70" s="386"/>
      <c r="M70" s="386"/>
      <c r="N70" s="386"/>
      <c r="O70" s="386"/>
      <c r="P70" s="387"/>
      <c r="Q70" s="160"/>
      <c r="R70" s="387"/>
      <c r="S70" s="386"/>
      <c r="T70" s="386"/>
      <c r="U70" s="386"/>
      <c r="V70" s="386"/>
      <c r="W70" s="386"/>
      <c r="X70" s="386"/>
      <c r="Y70" s="160"/>
      <c r="Z70" s="387"/>
      <c r="AA70" s="387"/>
      <c r="AB70" s="387"/>
      <c r="AC70" s="387"/>
      <c r="AD70" s="387"/>
      <c r="AE70" s="387"/>
      <c r="AF70" s="387"/>
      <c r="AG70" s="387"/>
      <c r="AH70" s="387"/>
      <c r="AI70" s="387"/>
      <c r="AJ70" s="160"/>
      <c r="AK70" s="14"/>
      <c r="AL70" s="172"/>
      <c r="AM70" s="197"/>
    </row>
    <row r="71" spans="1:39" x14ac:dyDescent="0.25">
      <c r="A71" s="381">
        <v>83</v>
      </c>
      <c r="B71" s="135"/>
      <c r="C71" s="121"/>
      <c r="D71" s="121"/>
      <c r="E71" s="1"/>
      <c r="F71" s="121"/>
      <c r="G71" s="121"/>
      <c r="H71" s="121"/>
      <c r="I71" s="37"/>
      <c r="J71" s="121"/>
      <c r="K71" s="121"/>
      <c r="L71" s="121"/>
      <c r="M71" s="121"/>
      <c r="N71" s="121"/>
      <c r="O71" s="120"/>
      <c r="P71" s="172"/>
      <c r="Q71" s="37"/>
      <c r="R71" s="135"/>
      <c r="S71" s="118"/>
      <c r="T71" s="118"/>
      <c r="U71" s="1"/>
      <c r="V71" s="118"/>
      <c r="W71" s="57"/>
      <c r="X71" s="57"/>
      <c r="Y71" s="37"/>
      <c r="Z71" s="1"/>
      <c r="AA71" s="118"/>
      <c r="AB71" s="1"/>
      <c r="AC71" s="1"/>
      <c r="AD71" s="1"/>
      <c r="AE71" s="118"/>
      <c r="AF71" s="118"/>
      <c r="AG71" s="118"/>
      <c r="AH71" s="118"/>
      <c r="AI71" s="118"/>
      <c r="AJ71" s="37"/>
      <c r="AK71" s="38"/>
      <c r="AL71" s="176"/>
      <c r="AM71" s="212" t="s">
        <v>40</v>
      </c>
    </row>
    <row r="72" spans="1:39" x14ac:dyDescent="0.25">
      <c r="A72" s="381">
        <v>90</v>
      </c>
      <c r="B72" s="135"/>
      <c r="C72" s="388"/>
      <c r="D72" s="388"/>
      <c r="E72" s="389"/>
      <c r="F72" s="389"/>
      <c r="G72" s="389"/>
      <c r="H72" s="389"/>
      <c r="I72" s="37"/>
      <c r="J72" s="390"/>
      <c r="K72" s="389"/>
      <c r="L72" s="390"/>
      <c r="M72" s="390"/>
      <c r="N72" s="390"/>
      <c r="O72" s="390"/>
      <c r="P72" s="391"/>
      <c r="Q72" s="111"/>
      <c r="R72" s="391"/>
      <c r="S72" s="390"/>
      <c r="T72" s="390"/>
      <c r="U72" s="390"/>
      <c r="V72" s="389"/>
      <c r="W72" s="387"/>
      <c r="X72" s="387"/>
      <c r="Y72" s="111"/>
      <c r="Z72" s="387"/>
      <c r="AA72" s="387"/>
      <c r="AB72" s="387"/>
      <c r="AC72" s="387"/>
      <c r="AD72" s="387"/>
      <c r="AE72" s="387"/>
      <c r="AF72" s="387"/>
      <c r="AG72" s="387"/>
      <c r="AH72" s="387"/>
      <c r="AI72" s="387"/>
      <c r="AJ72" s="111"/>
      <c r="AK72" s="38"/>
      <c r="AL72" s="176"/>
      <c r="AM72" s="212" t="s">
        <v>40</v>
      </c>
    </row>
    <row r="73" spans="1:39" x14ac:dyDescent="0.25">
      <c r="A73" s="381">
        <v>93</v>
      </c>
      <c r="B73" s="389"/>
      <c r="C73" s="118"/>
      <c r="D73" s="118"/>
      <c r="E73" s="118"/>
      <c r="F73" s="118"/>
      <c r="G73" s="389"/>
      <c r="H73" s="118"/>
      <c r="I73" s="37"/>
      <c r="J73" s="121"/>
      <c r="K73" s="121"/>
      <c r="L73" s="121"/>
      <c r="M73" s="131"/>
      <c r="N73" s="118"/>
      <c r="O73" s="120"/>
      <c r="P73" s="391"/>
      <c r="Q73" s="37"/>
      <c r="R73" s="205"/>
      <c r="S73" s="118"/>
      <c r="T73" s="118"/>
      <c r="U73" s="1"/>
      <c r="V73" s="1"/>
      <c r="W73" s="57"/>
      <c r="X73" s="57"/>
      <c r="Y73" s="37"/>
      <c r="Z73" s="118"/>
      <c r="AA73" s="387"/>
      <c r="AB73" s="1"/>
      <c r="AC73" s="387"/>
      <c r="AD73" s="1"/>
      <c r="AE73" s="118"/>
      <c r="AF73" s="387"/>
      <c r="AG73" s="118"/>
      <c r="AH73" s="118"/>
      <c r="AI73" s="118"/>
      <c r="AJ73" s="37"/>
      <c r="AK73" s="38"/>
      <c r="AL73" s="202"/>
      <c r="AM73" s="197"/>
    </row>
    <row r="74" spans="1:39" x14ac:dyDescent="0.25">
      <c r="A74" s="381">
        <v>95</v>
      </c>
      <c r="B74" s="389"/>
      <c r="C74" s="121"/>
      <c r="D74" s="121"/>
      <c r="E74" s="121"/>
      <c r="F74" s="121"/>
      <c r="G74" s="121"/>
      <c r="H74" s="121"/>
      <c r="I74" s="37"/>
      <c r="J74" s="121"/>
      <c r="K74" s="371"/>
      <c r="L74" s="390"/>
      <c r="M74" s="121"/>
      <c r="N74" s="121"/>
      <c r="O74" s="121"/>
      <c r="P74" s="172"/>
      <c r="Q74" s="37"/>
      <c r="R74" s="131"/>
      <c r="S74" s="118"/>
      <c r="T74" s="118"/>
      <c r="U74" s="1"/>
      <c r="V74" s="118"/>
      <c r="W74" s="57"/>
      <c r="X74" s="57"/>
      <c r="Y74" s="37"/>
      <c r="Z74" s="118"/>
      <c r="AA74" s="118"/>
      <c r="AB74" s="1"/>
      <c r="AC74" s="1"/>
      <c r="AD74" s="1"/>
      <c r="AE74" s="118"/>
      <c r="AF74" s="118"/>
      <c r="AG74" s="118"/>
      <c r="AH74" s="118"/>
      <c r="AI74" s="118"/>
      <c r="AJ74" s="37"/>
      <c r="AK74" s="38"/>
      <c r="AL74" s="176"/>
      <c r="AM74" s="197"/>
    </row>
    <row r="75" spans="1:39" x14ac:dyDescent="0.25">
      <c r="A75" s="381">
        <v>98</v>
      </c>
      <c r="B75" s="389"/>
      <c r="C75" s="389"/>
      <c r="D75" s="389"/>
      <c r="E75" s="389"/>
      <c r="F75" s="389"/>
      <c r="G75" s="389"/>
      <c r="H75" s="389"/>
      <c r="I75" s="111"/>
      <c r="J75" s="390"/>
      <c r="K75" s="389"/>
      <c r="L75" s="390"/>
      <c r="M75" s="390"/>
      <c r="N75" s="390"/>
      <c r="O75" s="390"/>
      <c r="P75" s="391"/>
      <c r="Q75" s="111"/>
      <c r="R75" s="391"/>
      <c r="S75" s="390"/>
      <c r="T75" s="390"/>
      <c r="U75" s="390"/>
      <c r="V75" s="389"/>
      <c r="W75" s="387"/>
      <c r="X75" s="387"/>
      <c r="Y75" s="111"/>
      <c r="Z75" s="387"/>
      <c r="AA75" s="387"/>
      <c r="AB75" s="387"/>
      <c r="AC75" s="387"/>
      <c r="AD75" s="387"/>
      <c r="AE75" s="387"/>
      <c r="AF75" s="387"/>
      <c r="AG75" s="387"/>
      <c r="AH75" s="387"/>
      <c r="AI75" s="387"/>
      <c r="AJ75" s="111"/>
      <c r="AK75" s="38"/>
      <c r="AL75" s="176"/>
      <c r="AM75" s="197"/>
    </row>
    <row r="76" spans="1:39" x14ac:dyDescent="0.25">
      <c r="A76" s="381">
        <v>104</v>
      </c>
      <c r="B76" s="131"/>
      <c r="C76" s="121"/>
      <c r="D76" s="121"/>
      <c r="E76" s="121"/>
      <c r="F76" s="121"/>
      <c r="G76" s="121"/>
      <c r="H76" s="121"/>
      <c r="I76" s="37"/>
      <c r="J76" s="121"/>
      <c r="K76" s="121"/>
      <c r="L76" s="371"/>
      <c r="M76" s="121"/>
      <c r="N76" s="372"/>
      <c r="O76" s="121"/>
      <c r="P76" s="172"/>
      <c r="Q76" s="37"/>
      <c r="R76" s="135"/>
      <c r="S76" s="118"/>
      <c r="T76" s="118"/>
      <c r="U76" s="1"/>
      <c r="V76" s="118"/>
      <c r="W76" s="57"/>
      <c r="X76" s="57"/>
      <c r="Y76" s="37"/>
      <c r="Z76" s="1"/>
      <c r="AA76" s="118"/>
      <c r="AB76" s="1"/>
      <c r="AC76" s="1"/>
      <c r="AD76" s="1"/>
      <c r="AE76" s="387"/>
      <c r="AF76" s="193"/>
      <c r="AG76" s="118"/>
      <c r="AH76" s="118"/>
      <c r="AI76" s="118"/>
      <c r="AJ76" s="37"/>
      <c r="AK76" s="38"/>
      <c r="AL76" s="176"/>
      <c r="AM76" s="212" t="s">
        <v>40</v>
      </c>
    </row>
    <row r="77" spans="1:39" x14ac:dyDescent="0.25">
      <c r="A77" s="393">
        <v>118</v>
      </c>
      <c r="B77" s="389"/>
      <c r="C77" s="389"/>
      <c r="D77" s="389"/>
      <c r="E77" s="389"/>
      <c r="F77" s="389"/>
      <c r="G77" s="389"/>
      <c r="H77" s="389"/>
      <c r="I77" s="111"/>
      <c r="J77" s="390"/>
      <c r="K77" s="389"/>
      <c r="L77" s="390"/>
      <c r="M77" s="390"/>
      <c r="N77" s="390"/>
      <c r="O77" s="390"/>
      <c r="P77" s="391"/>
      <c r="Q77" s="111"/>
      <c r="R77" s="391"/>
      <c r="S77" s="390"/>
      <c r="T77" s="176"/>
      <c r="U77" s="390"/>
      <c r="V77" s="390"/>
      <c r="W77" s="390"/>
      <c r="X77" s="390"/>
      <c r="Y77" s="37"/>
      <c r="Z77" s="387"/>
      <c r="AA77" s="387"/>
      <c r="AB77" s="387"/>
      <c r="AC77" s="387"/>
      <c r="AD77" s="387"/>
      <c r="AE77" s="387"/>
      <c r="AF77" s="387"/>
      <c r="AG77" s="118"/>
      <c r="AH77" s="118"/>
      <c r="AI77" s="118"/>
      <c r="AJ77" s="37"/>
      <c r="AK77" s="38"/>
      <c r="AL77" s="154"/>
      <c r="AM77" s="197"/>
    </row>
    <row r="78" spans="1:39" x14ac:dyDescent="0.25">
      <c r="A78" s="382">
        <v>128</v>
      </c>
      <c r="B78" s="118"/>
      <c r="C78" s="1"/>
      <c r="D78" s="121"/>
      <c r="E78" s="121"/>
      <c r="F78" s="121"/>
      <c r="G78" s="121"/>
      <c r="H78" s="118"/>
      <c r="I78" s="37"/>
      <c r="J78" s="118"/>
      <c r="K78" s="121"/>
      <c r="L78" s="121"/>
      <c r="M78" s="121"/>
      <c r="N78" s="121"/>
      <c r="O78" s="120"/>
      <c r="P78" s="172"/>
      <c r="Q78" s="37"/>
      <c r="R78" s="131"/>
      <c r="S78" s="118"/>
      <c r="T78" s="118"/>
      <c r="U78" s="1"/>
      <c r="V78" s="118"/>
      <c r="W78" s="57"/>
      <c r="X78" s="57"/>
      <c r="Y78" s="37"/>
      <c r="Z78" s="1"/>
      <c r="AA78" s="118"/>
      <c r="AB78" s="1"/>
      <c r="AC78" s="1"/>
      <c r="AD78" s="1"/>
      <c r="AE78" s="118"/>
      <c r="AF78" s="118"/>
      <c r="AG78" s="118"/>
      <c r="AH78" s="118"/>
      <c r="AI78" s="118"/>
      <c r="AJ78" s="37"/>
      <c r="AK78" s="38"/>
      <c r="AL78" s="176"/>
      <c r="AM78" s="212" t="s">
        <v>40</v>
      </c>
    </row>
    <row r="79" spans="1:39" x14ac:dyDescent="0.25">
      <c r="A79" s="382">
        <v>131</v>
      </c>
      <c r="B79" s="155"/>
      <c r="C79" s="135"/>
      <c r="D79" s="121"/>
      <c r="E79" s="121"/>
      <c r="F79" s="389"/>
      <c r="G79" s="121"/>
      <c r="H79" s="118"/>
      <c r="I79" s="37"/>
      <c r="J79" s="121"/>
      <c r="K79" s="118"/>
      <c r="L79" s="121"/>
      <c r="M79" s="121"/>
      <c r="N79" s="121"/>
      <c r="O79" s="121"/>
      <c r="P79" s="172"/>
      <c r="Q79" s="37"/>
      <c r="R79" s="131"/>
      <c r="S79" s="118"/>
      <c r="T79" s="390"/>
      <c r="U79" s="1"/>
      <c r="V79" s="118"/>
      <c r="W79" s="57"/>
      <c r="X79" s="57"/>
      <c r="Y79" s="37"/>
      <c r="Z79" s="118"/>
      <c r="AA79" s="118"/>
      <c r="AB79" s="1"/>
      <c r="AC79" s="1"/>
      <c r="AD79" s="387"/>
      <c r="AE79" s="193"/>
      <c r="AF79" s="118"/>
      <c r="AG79" s="118"/>
      <c r="AH79" s="118"/>
      <c r="AI79" s="118"/>
      <c r="AJ79" s="37"/>
      <c r="AK79" s="38"/>
      <c r="AL79" s="176"/>
      <c r="AM79" s="212" t="s">
        <v>40</v>
      </c>
    </row>
    <row r="80" spans="1:39" x14ac:dyDescent="0.25">
      <c r="A80" s="382">
        <v>132</v>
      </c>
      <c r="B80" s="12"/>
      <c r="C80" s="121"/>
      <c r="D80" s="121"/>
      <c r="E80" s="118"/>
      <c r="F80" s="121"/>
      <c r="G80" s="121"/>
      <c r="H80" s="121"/>
      <c r="I80" s="37"/>
      <c r="J80" s="390"/>
      <c r="K80" s="121"/>
      <c r="L80" s="121"/>
      <c r="M80" s="121"/>
      <c r="N80" s="121"/>
      <c r="O80" s="121"/>
      <c r="P80" s="172"/>
      <c r="Q80" s="37"/>
      <c r="R80" s="131"/>
      <c r="S80" s="118"/>
      <c r="T80" s="118"/>
      <c r="U80" s="1"/>
      <c r="V80" s="1"/>
      <c r="W80" s="57"/>
      <c r="X80" s="57"/>
      <c r="Y80" s="37"/>
      <c r="Z80" s="118"/>
      <c r="AA80" s="1"/>
      <c r="AB80" s="1"/>
      <c r="AC80" s="1"/>
      <c r="AD80" s="387"/>
      <c r="AE80" s="135"/>
      <c r="AF80" s="118"/>
      <c r="AG80" s="118"/>
      <c r="AH80" s="118"/>
      <c r="AI80" s="118"/>
      <c r="AJ80" s="37"/>
      <c r="AK80" s="38"/>
      <c r="AL80" s="176"/>
      <c r="AM80" s="212" t="s">
        <v>40</v>
      </c>
    </row>
    <row r="81" spans="1:39" x14ac:dyDescent="0.25">
      <c r="A81" s="382">
        <v>133</v>
      </c>
      <c r="B81" s="131"/>
      <c r="C81" s="131"/>
      <c r="D81" s="121"/>
      <c r="E81" s="121"/>
      <c r="F81" s="118"/>
      <c r="G81" s="118"/>
      <c r="H81" s="1"/>
      <c r="I81" s="37"/>
      <c r="J81" s="121"/>
      <c r="K81" s="118"/>
      <c r="L81" s="1"/>
      <c r="M81" s="121"/>
      <c r="N81" s="120"/>
      <c r="O81" s="120"/>
      <c r="P81" s="205"/>
      <c r="Q81" s="37"/>
      <c r="R81" s="131"/>
      <c r="S81" s="118"/>
      <c r="T81" s="118"/>
      <c r="U81" s="1"/>
      <c r="V81" s="118"/>
      <c r="W81" s="57"/>
      <c r="X81" s="57"/>
      <c r="Y81" s="37"/>
      <c r="Z81" s="118"/>
      <c r="AA81" s="118"/>
      <c r="AB81" s="1"/>
      <c r="AC81" s="1"/>
      <c r="AD81" s="1"/>
      <c r="AE81" s="387"/>
      <c r="AF81" s="193"/>
      <c r="AG81" s="118"/>
      <c r="AH81" s="118"/>
      <c r="AI81" s="118"/>
      <c r="AJ81" s="37"/>
      <c r="AK81" s="38"/>
      <c r="AL81" s="154"/>
      <c r="AM81" s="212" t="s">
        <v>40</v>
      </c>
    </row>
    <row r="82" spans="1:39" x14ac:dyDescent="0.25">
      <c r="A82" s="382">
        <v>134</v>
      </c>
      <c r="B82" s="155"/>
      <c r="C82" s="131"/>
      <c r="D82" s="12"/>
      <c r="E82" s="121"/>
      <c r="F82" s="118"/>
      <c r="G82" s="344"/>
      <c r="H82" s="118"/>
      <c r="I82" s="37"/>
      <c r="J82" s="118"/>
      <c r="K82" s="118"/>
      <c r="L82" s="121"/>
      <c r="M82" s="121"/>
      <c r="N82" s="118"/>
      <c r="O82" s="118"/>
      <c r="P82" s="172"/>
      <c r="Q82" s="37"/>
      <c r="R82" s="131"/>
      <c r="S82" s="118"/>
      <c r="T82" s="118"/>
      <c r="U82" s="1"/>
      <c r="V82" s="118"/>
      <c r="W82" s="57"/>
      <c r="X82" s="57"/>
      <c r="Y82" s="37"/>
      <c r="Z82" s="118"/>
      <c r="AA82" s="118"/>
      <c r="AB82" s="1"/>
      <c r="AC82" s="1"/>
      <c r="AD82" s="1"/>
      <c r="AE82" s="118"/>
      <c r="AF82" s="118"/>
      <c r="AG82" s="118"/>
      <c r="AH82" s="118"/>
      <c r="AI82" s="118"/>
      <c r="AJ82" s="37"/>
      <c r="AK82" s="38"/>
      <c r="AL82" s="176"/>
      <c r="AM82" s="197"/>
    </row>
    <row r="83" spans="1:39" x14ac:dyDescent="0.25">
      <c r="A83" s="382">
        <v>135</v>
      </c>
      <c r="B83" s="389"/>
      <c r="C83" s="155"/>
      <c r="D83" s="121"/>
      <c r="E83" s="1"/>
      <c r="F83" s="118"/>
      <c r="G83" s="121"/>
      <c r="H83" s="121"/>
      <c r="I83" s="37"/>
      <c r="J83" s="121"/>
      <c r="K83" s="121"/>
      <c r="L83" s="121"/>
      <c r="M83" s="121"/>
      <c r="N83" s="121"/>
      <c r="O83" s="121"/>
      <c r="P83" s="205"/>
      <c r="Q83" s="37"/>
      <c r="R83" s="131"/>
      <c r="S83" s="118"/>
      <c r="T83" s="118"/>
      <c r="U83" s="1"/>
      <c r="V83" s="118"/>
      <c r="W83" s="57"/>
      <c r="X83" s="57"/>
      <c r="Y83" s="37"/>
      <c r="Z83" s="118"/>
      <c r="AA83" s="118"/>
      <c r="AB83" s="1"/>
      <c r="AC83" s="1"/>
      <c r="AD83" s="1"/>
      <c r="AE83" s="173"/>
      <c r="AF83" s="118"/>
      <c r="AG83" s="118"/>
      <c r="AH83" s="118"/>
      <c r="AI83" s="118"/>
      <c r="AJ83" s="37"/>
      <c r="AK83" s="38"/>
      <c r="AL83" s="176"/>
      <c r="AM83" s="212" t="s">
        <v>40</v>
      </c>
    </row>
    <row r="84" spans="1:39" x14ac:dyDescent="0.25">
      <c r="A84" s="382">
        <v>136</v>
      </c>
      <c r="B84" s="131"/>
      <c r="C84" s="135"/>
      <c r="D84" s="131"/>
      <c r="E84" s="1"/>
      <c r="F84" s="389"/>
      <c r="G84" s="121"/>
      <c r="H84" s="121"/>
      <c r="I84" s="37"/>
      <c r="J84" s="121"/>
      <c r="K84" s="121"/>
      <c r="L84" s="390"/>
      <c r="M84" s="118"/>
      <c r="N84" s="118"/>
      <c r="O84" s="118"/>
      <c r="P84" s="172"/>
      <c r="Q84" s="37"/>
      <c r="R84" s="131"/>
      <c r="S84" s="118"/>
      <c r="T84" s="1"/>
      <c r="U84" s="1"/>
      <c r="V84" s="118"/>
      <c r="W84" s="57"/>
      <c r="X84" s="57"/>
      <c r="Y84" s="37"/>
      <c r="Z84" s="1"/>
      <c r="AA84" s="387"/>
      <c r="AB84" s="1"/>
      <c r="AC84" s="1"/>
      <c r="AD84" s="1"/>
      <c r="AE84" s="118"/>
      <c r="AF84" s="173"/>
      <c r="AG84" s="118"/>
      <c r="AH84" s="118"/>
      <c r="AI84" s="118"/>
      <c r="AJ84" s="37"/>
      <c r="AK84" s="38"/>
      <c r="AL84" s="176"/>
      <c r="AM84" s="197"/>
    </row>
    <row r="85" spans="1:39" x14ac:dyDescent="0.25">
      <c r="A85" s="382">
        <v>137</v>
      </c>
      <c r="B85" s="131"/>
      <c r="C85" s="392"/>
      <c r="D85" s="392"/>
      <c r="E85" s="121"/>
      <c r="F85" s="121"/>
      <c r="G85" s="121"/>
      <c r="H85" s="121"/>
      <c r="I85" s="37"/>
      <c r="J85" s="121"/>
      <c r="K85" s="118"/>
      <c r="L85" s="121"/>
      <c r="M85" s="121"/>
      <c r="N85" s="121"/>
      <c r="O85" s="118"/>
      <c r="P85" s="172"/>
      <c r="Q85" s="37"/>
      <c r="R85" s="155"/>
      <c r="S85" s="1"/>
      <c r="T85" s="1"/>
      <c r="U85" s="1"/>
      <c r="V85" s="118"/>
      <c r="W85" s="57"/>
      <c r="X85" s="390"/>
      <c r="Y85" s="37"/>
      <c r="Z85" s="118"/>
      <c r="AA85" s="1"/>
      <c r="AB85" s="1"/>
      <c r="AC85" s="1"/>
      <c r="AD85" s="1"/>
      <c r="AE85" s="118"/>
      <c r="AF85" s="1"/>
      <c r="AG85" s="118"/>
      <c r="AH85" s="118"/>
      <c r="AI85" s="118"/>
      <c r="AJ85" s="37"/>
      <c r="AK85" s="38"/>
      <c r="AL85" s="176"/>
      <c r="AM85" s="212" t="s">
        <v>40</v>
      </c>
    </row>
    <row r="86" spans="1:39" x14ac:dyDescent="0.25">
      <c r="A86" s="382">
        <v>138</v>
      </c>
      <c r="B86" s="131"/>
      <c r="C86" s="135"/>
      <c r="D86" s="121"/>
      <c r="E86" s="118"/>
      <c r="F86" s="118"/>
      <c r="G86" s="121"/>
      <c r="H86" s="1"/>
      <c r="I86" s="37"/>
      <c r="J86" s="121"/>
      <c r="K86" s="121"/>
      <c r="L86" s="121"/>
      <c r="M86" s="121"/>
      <c r="N86" s="121"/>
      <c r="O86" s="390"/>
      <c r="P86" s="391"/>
      <c r="Q86" s="37"/>
      <c r="R86" s="391"/>
      <c r="S86" s="390"/>
      <c r="T86" s="390"/>
      <c r="U86" s="390"/>
      <c r="V86" s="390"/>
      <c r="W86" s="390"/>
      <c r="X86" s="390"/>
      <c r="Y86" s="111"/>
      <c r="Z86" s="205"/>
      <c r="AA86" s="135"/>
      <c r="AB86" s="135"/>
      <c r="AC86" s="135"/>
      <c r="AD86" s="135"/>
      <c r="AE86" s="387"/>
      <c r="AF86" s="135"/>
      <c r="AG86" s="135"/>
      <c r="AH86" s="135"/>
      <c r="AI86" s="135"/>
      <c r="AJ86" s="37"/>
      <c r="AK86" s="38"/>
      <c r="AL86" s="176"/>
      <c r="AM86" s="197"/>
    </row>
    <row r="87" spans="1:39" x14ac:dyDescent="0.25">
      <c r="A87" s="382">
        <v>139</v>
      </c>
      <c r="B87" s="131"/>
      <c r="C87" s="135"/>
      <c r="D87" s="155"/>
      <c r="E87" s="118"/>
      <c r="F87" s="118"/>
      <c r="G87" s="121"/>
      <c r="H87" s="118"/>
      <c r="I87" s="37"/>
      <c r="J87" s="118"/>
      <c r="K87" s="118"/>
      <c r="L87" s="121"/>
      <c r="M87" s="121"/>
      <c r="N87" s="121"/>
      <c r="O87" s="118"/>
      <c r="P87" s="172"/>
      <c r="Q87" s="37"/>
      <c r="R87" s="131"/>
      <c r="S87" s="118"/>
      <c r="T87" s="118"/>
      <c r="U87" s="1"/>
      <c r="V87" s="118"/>
      <c r="W87" s="57"/>
      <c r="X87" s="57"/>
      <c r="Y87" s="37"/>
      <c r="Z87" s="118"/>
      <c r="AA87" s="118"/>
      <c r="AB87" s="1"/>
      <c r="AC87" s="1"/>
      <c r="AD87" s="1"/>
      <c r="AE87" s="118"/>
      <c r="AF87" s="1"/>
      <c r="AG87" s="118"/>
      <c r="AH87" s="118"/>
      <c r="AI87" s="118"/>
      <c r="AJ87" s="37"/>
      <c r="AK87" s="38"/>
      <c r="AL87" s="176"/>
      <c r="AM87" s="212" t="s">
        <v>40</v>
      </c>
    </row>
    <row r="88" spans="1:39" x14ac:dyDescent="0.25">
      <c r="A88" s="382">
        <v>140</v>
      </c>
      <c r="B88" s="155"/>
      <c r="C88" s="131"/>
      <c r="D88" s="121"/>
      <c r="E88" s="118"/>
      <c r="F88" s="121"/>
      <c r="G88" s="121"/>
      <c r="H88" s="118"/>
      <c r="I88" s="37"/>
      <c r="J88" s="118"/>
      <c r="K88" s="118"/>
      <c r="L88" s="118"/>
      <c r="M88" s="118"/>
      <c r="N88" s="118"/>
      <c r="O88" s="118"/>
      <c r="P88" s="172"/>
      <c r="Q88" s="37"/>
      <c r="R88" s="131"/>
      <c r="S88" s="118"/>
      <c r="T88" s="118"/>
      <c r="U88" s="1"/>
      <c r="V88" s="1"/>
      <c r="W88" s="57"/>
      <c r="X88" s="57"/>
      <c r="Y88" s="37"/>
      <c r="Z88" s="118"/>
      <c r="AA88" s="118"/>
      <c r="AB88" s="1"/>
      <c r="AC88" s="1"/>
      <c r="AD88" s="1"/>
      <c r="AE88" s="118"/>
      <c r="AF88" s="1"/>
      <c r="AG88" s="118"/>
      <c r="AH88" s="118"/>
      <c r="AI88" s="118"/>
      <c r="AJ88" s="37"/>
      <c r="AK88" s="38"/>
      <c r="AL88" s="172"/>
      <c r="AM88" s="197"/>
    </row>
    <row r="89" spans="1:39" x14ac:dyDescent="0.25">
      <c r="A89" s="382">
        <v>141</v>
      </c>
      <c r="B89" s="155"/>
      <c r="C89" s="392"/>
      <c r="D89" s="155"/>
      <c r="E89" s="121"/>
      <c r="F89" s="121"/>
      <c r="G89" s="121"/>
      <c r="H89" s="121"/>
      <c r="I89" s="37"/>
      <c r="J89" s="121"/>
      <c r="K89" s="121"/>
      <c r="L89" s="121"/>
      <c r="M89" s="121"/>
      <c r="N89" s="121"/>
      <c r="O89" s="121"/>
      <c r="P89" s="172"/>
      <c r="Q89" s="37"/>
      <c r="R89" s="131"/>
      <c r="S89" s="118"/>
      <c r="T89" s="118"/>
      <c r="U89" s="1"/>
      <c r="V89" s="1"/>
      <c r="W89" s="57"/>
      <c r="X89" s="57"/>
      <c r="Y89" s="37"/>
      <c r="Z89" s="1"/>
      <c r="AA89" s="118"/>
      <c r="AB89" s="1"/>
      <c r="AC89" s="1"/>
      <c r="AD89" s="1"/>
      <c r="AE89" s="118"/>
      <c r="AF89" s="118"/>
      <c r="AG89" s="118"/>
      <c r="AH89" s="118"/>
      <c r="AI89" s="118"/>
      <c r="AJ89" s="37"/>
      <c r="AK89" s="38"/>
      <c r="AL89" s="176"/>
      <c r="AM89" s="197"/>
    </row>
    <row r="90" spans="1:39" x14ac:dyDescent="0.25">
      <c r="A90" s="382">
        <v>142</v>
      </c>
      <c r="B90" s="131"/>
      <c r="C90" s="131"/>
      <c r="D90" s="121"/>
      <c r="E90" s="118"/>
      <c r="F90" s="118"/>
      <c r="G90" s="121"/>
      <c r="H90" s="1"/>
      <c r="I90" s="37"/>
      <c r="J90" s="121"/>
      <c r="K90" s="118"/>
      <c r="L90" s="118"/>
      <c r="M90" s="121"/>
      <c r="N90" s="118"/>
      <c r="O90" s="118"/>
      <c r="P90" s="172"/>
      <c r="Q90" s="37"/>
      <c r="R90" s="131"/>
      <c r="S90" s="118"/>
      <c r="T90" s="118"/>
      <c r="U90" s="1"/>
      <c r="V90" s="118"/>
      <c r="W90" s="57"/>
      <c r="X90" s="57"/>
      <c r="Y90" s="37"/>
      <c r="Z90" s="118"/>
      <c r="AA90" s="118"/>
      <c r="AB90" s="1"/>
      <c r="AC90" s="1"/>
      <c r="AD90" s="1"/>
      <c r="AE90" s="118"/>
      <c r="AF90" s="118"/>
      <c r="AG90" s="118"/>
      <c r="AH90" s="118"/>
      <c r="AI90" s="118"/>
      <c r="AJ90" s="37"/>
      <c r="AK90" s="38"/>
      <c r="AL90" s="154"/>
      <c r="AM90" s="197"/>
    </row>
    <row r="91" spans="1:39" x14ac:dyDescent="0.25">
      <c r="A91" s="382">
        <v>143</v>
      </c>
      <c r="B91" s="155"/>
      <c r="C91" s="155"/>
      <c r="D91" s="121"/>
      <c r="E91" s="121"/>
      <c r="F91" s="121"/>
      <c r="G91" s="121"/>
      <c r="H91" s="118"/>
      <c r="I91" s="37"/>
      <c r="J91" s="121"/>
      <c r="K91" s="121"/>
      <c r="L91" s="121"/>
      <c r="M91" s="121"/>
      <c r="N91" s="121"/>
      <c r="O91" s="121"/>
      <c r="P91" s="205"/>
      <c r="Q91" s="37"/>
      <c r="R91" s="131"/>
      <c r="S91" s="118"/>
      <c r="T91" s="118"/>
      <c r="U91" s="1"/>
      <c r="V91" s="1"/>
      <c r="W91" s="57"/>
      <c r="X91" s="57"/>
      <c r="Y91" s="37"/>
      <c r="Z91" s="118"/>
      <c r="AA91" s="118"/>
      <c r="AB91" s="1"/>
      <c r="AC91" s="1"/>
      <c r="AD91" s="1"/>
      <c r="AE91" s="118"/>
      <c r="AF91" s="118"/>
      <c r="AG91" s="118"/>
      <c r="AH91" s="118"/>
      <c r="AI91" s="118"/>
      <c r="AJ91" s="37"/>
      <c r="AK91" s="38"/>
      <c r="AL91" s="154"/>
      <c r="AM91" s="197"/>
    </row>
    <row r="92" spans="1:39" x14ac:dyDescent="0.25">
      <c r="A92" s="382">
        <v>144</v>
      </c>
      <c r="B92" s="12"/>
      <c r="C92" s="389"/>
      <c r="D92" s="121"/>
      <c r="E92" s="121"/>
      <c r="F92" s="118"/>
      <c r="G92" s="121"/>
      <c r="H92" s="121"/>
      <c r="I92" s="37"/>
      <c r="J92" s="121"/>
      <c r="K92" s="118"/>
      <c r="L92" s="121"/>
      <c r="M92" s="121"/>
      <c r="N92" s="121"/>
      <c r="O92" s="120"/>
      <c r="P92" s="172"/>
      <c r="Q92" s="37"/>
      <c r="R92" s="131"/>
      <c r="S92" s="118"/>
      <c r="T92" s="118"/>
      <c r="U92" s="1"/>
      <c r="V92" s="118"/>
      <c r="W92" s="57"/>
      <c r="X92" s="57"/>
      <c r="Y92" s="37"/>
      <c r="Z92" s="1"/>
      <c r="AA92" s="118"/>
      <c r="AB92" s="1"/>
      <c r="AC92" s="1"/>
      <c r="AD92" s="1"/>
      <c r="AE92" s="118"/>
      <c r="AF92" s="118"/>
      <c r="AG92" s="118"/>
      <c r="AH92" s="118"/>
      <c r="AI92" s="118"/>
      <c r="AJ92" s="37"/>
      <c r="AK92" s="38"/>
      <c r="AL92" s="176"/>
      <c r="AM92" s="197"/>
    </row>
    <row r="93" spans="1:39" x14ac:dyDescent="0.25">
      <c r="A93" s="382">
        <v>145</v>
      </c>
      <c r="B93" s="389"/>
      <c r="C93" s="155"/>
      <c r="D93" s="121"/>
      <c r="E93" s="121"/>
      <c r="F93" s="118"/>
      <c r="G93" s="121"/>
      <c r="H93" s="121"/>
      <c r="I93" s="37"/>
      <c r="J93" s="121"/>
      <c r="K93" s="121"/>
      <c r="L93" s="121"/>
      <c r="M93" s="121"/>
      <c r="N93" s="121"/>
      <c r="O93" s="121"/>
      <c r="P93" s="172"/>
      <c r="Q93" s="37"/>
      <c r="R93" s="131"/>
      <c r="S93" s="118"/>
      <c r="T93" s="118"/>
      <c r="U93" s="1"/>
      <c r="V93" s="161"/>
      <c r="W93" s="57"/>
      <c r="X93" s="57"/>
      <c r="Y93" s="37"/>
      <c r="Z93" s="118"/>
      <c r="AA93" s="1"/>
      <c r="AB93" s="1"/>
      <c r="AC93" s="1"/>
      <c r="AD93" s="1"/>
      <c r="AE93" s="118"/>
      <c r="AF93" s="118"/>
      <c r="AG93" s="118"/>
      <c r="AH93" s="118"/>
      <c r="AI93" s="118"/>
      <c r="AJ93" s="37"/>
      <c r="AK93" s="38"/>
      <c r="AL93" s="197"/>
      <c r="AM93" s="197"/>
    </row>
    <row r="94" spans="1:39" x14ac:dyDescent="0.25">
      <c r="A94" s="382">
        <v>147</v>
      </c>
      <c r="B94" s="121"/>
      <c r="C94" s="121"/>
      <c r="D94" s="121"/>
      <c r="E94" s="389"/>
      <c r="F94" s="121"/>
      <c r="G94" s="121"/>
      <c r="H94" s="121"/>
      <c r="I94" s="37"/>
      <c r="J94" s="121"/>
      <c r="K94" s="121"/>
      <c r="L94" s="121"/>
      <c r="M94" s="121"/>
      <c r="N94" s="121"/>
      <c r="O94" s="390"/>
      <c r="P94" s="391"/>
      <c r="Q94" s="37"/>
      <c r="R94" s="172"/>
      <c r="S94" s="118"/>
      <c r="T94" s="118"/>
      <c r="U94" s="1"/>
      <c r="V94" s="118"/>
      <c r="W94" s="57"/>
      <c r="X94" s="57"/>
      <c r="Y94" s="37"/>
      <c r="Z94" s="118"/>
      <c r="AA94" s="118"/>
      <c r="AB94" s="1"/>
      <c r="AC94" s="1"/>
      <c r="AD94" s="1"/>
      <c r="AE94" s="1"/>
      <c r="AF94" s="118"/>
      <c r="AG94" s="118"/>
      <c r="AH94" s="118"/>
      <c r="AI94" s="118"/>
      <c r="AJ94" s="37"/>
      <c r="AK94" s="38"/>
      <c r="AL94" s="197"/>
      <c r="AM94" s="197"/>
    </row>
    <row r="95" spans="1:39" x14ac:dyDescent="0.25">
      <c r="A95" s="382">
        <v>148</v>
      </c>
      <c r="B95" s="135"/>
      <c r="C95" s="131"/>
      <c r="D95" s="131"/>
      <c r="E95" s="121"/>
      <c r="F95" s="121"/>
      <c r="G95" s="121"/>
      <c r="H95" s="121"/>
      <c r="I95" s="37"/>
      <c r="J95" s="121"/>
      <c r="K95" s="121"/>
      <c r="L95" s="121"/>
      <c r="M95" s="390"/>
      <c r="N95" s="121"/>
      <c r="O95" s="121"/>
      <c r="P95" s="172"/>
      <c r="Q95" s="37"/>
      <c r="R95" s="131"/>
      <c r="S95" s="118"/>
      <c r="T95" s="118"/>
      <c r="U95" s="1"/>
      <c r="V95" s="118"/>
      <c r="W95" s="57"/>
      <c r="X95" s="57"/>
      <c r="Y95" s="37"/>
      <c r="Z95" s="118"/>
      <c r="AA95" s="118"/>
      <c r="AB95" s="1"/>
      <c r="AC95" s="1"/>
      <c r="AD95" s="1"/>
      <c r="AE95" s="118"/>
      <c r="AF95" s="118"/>
      <c r="AG95" s="118"/>
      <c r="AH95" s="118"/>
      <c r="AI95" s="118"/>
      <c r="AJ95" s="37"/>
      <c r="AK95" s="38"/>
      <c r="AL95" s="197"/>
      <c r="AM95" s="197"/>
    </row>
    <row r="96" spans="1:39" x14ac:dyDescent="0.25">
      <c r="A96" s="382">
        <v>149</v>
      </c>
      <c r="B96" s="155"/>
      <c r="C96" s="121"/>
      <c r="D96" s="121"/>
      <c r="E96" s="121"/>
      <c r="F96" s="1"/>
      <c r="G96" s="121"/>
      <c r="H96" s="121"/>
      <c r="I96" s="37"/>
      <c r="J96" s="121"/>
      <c r="K96" s="121"/>
      <c r="L96" s="121"/>
      <c r="M96" s="121"/>
      <c r="N96" s="121"/>
      <c r="O96" s="121"/>
      <c r="P96" s="172"/>
      <c r="Q96" s="37"/>
      <c r="R96" s="131"/>
      <c r="S96" s="1"/>
      <c r="T96" s="118"/>
      <c r="U96" s="1"/>
      <c r="V96" s="118"/>
      <c r="W96" s="57"/>
      <c r="X96" s="57"/>
      <c r="Y96" s="37"/>
      <c r="Z96" s="118"/>
      <c r="AA96" s="118"/>
      <c r="AB96" s="1"/>
      <c r="AC96" s="1"/>
      <c r="AD96" s="1"/>
      <c r="AE96" s="118"/>
      <c r="AF96" s="118"/>
      <c r="AG96" s="118"/>
      <c r="AH96" s="118"/>
      <c r="AI96" s="118"/>
      <c r="AJ96" s="37"/>
      <c r="AK96" s="38"/>
      <c r="AL96" s="197"/>
      <c r="AM96" s="197"/>
    </row>
    <row r="97" spans="1:39" x14ac:dyDescent="0.25">
      <c r="A97" s="382">
        <v>150</v>
      </c>
      <c r="B97" s="131"/>
      <c r="C97" s="135"/>
      <c r="D97" s="121"/>
      <c r="E97" s="121"/>
      <c r="F97" s="121"/>
      <c r="G97" s="121"/>
      <c r="H97" s="121"/>
      <c r="I97" s="37"/>
      <c r="J97" s="121"/>
      <c r="K97" s="121"/>
      <c r="L97" s="121"/>
      <c r="M97" s="118"/>
      <c r="N97" s="121"/>
      <c r="O97" s="121"/>
      <c r="P97" s="172"/>
      <c r="Q97" s="37"/>
      <c r="R97" s="131"/>
      <c r="S97" s="118"/>
      <c r="T97" s="118"/>
      <c r="U97" s="1"/>
      <c r="V97" s="118"/>
      <c r="W97" s="57"/>
      <c r="X97" s="57"/>
      <c r="Y97" s="37"/>
      <c r="Z97" s="118"/>
      <c r="AA97" s="118"/>
      <c r="AB97" s="1"/>
      <c r="AC97" s="1"/>
      <c r="AD97" s="387"/>
      <c r="AE97" s="193"/>
      <c r="AF97" s="118"/>
      <c r="AG97" s="118"/>
      <c r="AH97" s="118"/>
      <c r="AI97" s="118"/>
      <c r="AJ97" s="37"/>
      <c r="AK97" s="38"/>
      <c r="AL97" s="197"/>
      <c r="AM97" s="197"/>
    </row>
    <row r="98" spans="1:39" x14ac:dyDescent="0.25">
      <c r="A98" s="382">
        <v>151</v>
      </c>
      <c r="B98" s="135"/>
      <c r="C98" s="155"/>
      <c r="D98" s="121"/>
      <c r="E98" s="121"/>
      <c r="F98" s="121"/>
      <c r="G98" s="121"/>
      <c r="H98" s="121"/>
      <c r="I98" s="37"/>
      <c r="J98" s="121"/>
      <c r="K98" s="386"/>
      <c r="L98" s="121"/>
      <c r="M98" s="121"/>
      <c r="N98" s="121"/>
      <c r="O98" s="121"/>
      <c r="P98" s="172"/>
      <c r="Q98" s="37"/>
      <c r="R98" s="391"/>
      <c r="S98" s="155"/>
      <c r="T98" s="1"/>
      <c r="U98" s="1"/>
      <c r="V98" s="118"/>
      <c r="W98" s="57"/>
      <c r="X98" s="57"/>
      <c r="Y98" s="37"/>
      <c r="Z98" s="1"/>
      <c r="AA98" s="118"/>
      <c r="AB98" s="1"/>
      <c r="AC98" s="1"/>
      <c r="AD98" s="1"/>
      <c r="AE98" s="1"/>
      <c r="AF98" s="118"/>
      <c r="AG98" s="118"/>
      <c r="AH98" s="118"/>
      <c r="AI98" s="118"/>
      <c r="AJ98" s="37"/>
      <c r="AK98" s="38"/>
      <c r="AL98" s="197"/>
      <c r="AM98" s="197"/>
    </row>
    <row r="99" spans="1:39" x14ac:dyDescent="0.25">
      <c r="A99" s="382">
        <v>152</v>
      </c>
      <c r="B99" s="389"/>
      <c r="C99" s="389"/>
      <c r="D99" s="389"/>
      <c r="E99" s="389"/>
      <c r="F99" s="389"/>
      <c r="G99" s="389"/>
      <c r="H99" s="389"/>
      <c r="I99" s="111"/>
      <c r="J99" s="390"/>
      <c r="K99" s="386"/>
      <c r="L99" s="390"/>
      <c r="M99" s="390"/>
      <c r="N99" s="390"/>
      <c r="O99" s="390"/>
      <c r="P99" s="391"/>
      <c r="Q99" s="111"/>
      <c r="R99" s="391"/>
      <c r="S99" s="390"/>
      <c r="T99" s="390"/>
      <c r="U99" s="390"/>
      <c r="V99" s="389"/>
      <c r="W99" s="387"/>
      <c r="X99" s="387"/>
      <c r="Y99" s="111"/>
      <c r="Z99" s="387"/>
      <c r="AA99" s="387"/>
      <c r="AB99" s="387"/>
      <c r="AC99" s="387"/>
      <c r="AD99" s="387"/>
      <c r="AE99" s="387"/>
      <c r="AF99" s="387"/>
      <c r="AG99" s="387"/>
      <c r="AH99" s="387"/>
      <c r="AI99" s="387"/>
      <c r="AJ99" s="111"/>
      <c r="AK99" s="38"/>
      <c r="AL99" s="197"/>
      <c r="AM99" s="197"/>
    </row>
    <row r="100" spans="1:39" x14ac:dyDescent="0.25">
      <c r="A100" s="382">
        <v>153</v>
      </c>
      <c r="B100" s="12"/>
      <c r="C100" s="135"/>
      <c r="D100" s="131"/>
      <c r="E100" s="1"/>
      <c r="F100" s="118"/>
      <c r="G100" s="121"/>
      <c r="H100" s="1"/>
      <c r="I100" s="37"/>
      <c r="J100" s="1"/>
      <c r="K100" s="1"/>
      <c r="L100" s="121"/>
      <c r="M100" s="118"/>
      <c r="N100" s="118"/>
      <c r="O100" s="121"/>
      <c r="P100" s="172"/>
      <c r="Q100" s="37"/>
      <c r="R100" s="131"/>
      <c r="S100" s="118"/>
      <c r="T100" s="118"/>
      <c r="U100" s="1"/>
      <c r="V100" s="118"/>
      <c r="W100" s="57"/>
      <c r="X100" s="57"/>
      <c r="Y100" s="37"/>
      <c r="Z100" s="118"/>
      <c r="AA100" s="118"/>
      <c r="AB100" s="1"/>
      <c r="AC100" s="1"/>
      <c r="AD100" s="1"/>
      <c r="AE100" s="118"/>
      <c r="AF100" s="118"/>
      <c r="AG100" s="118"/>
      <c r="AH100" s="118"/>
      <c r="AI100" s="118"/>
      <c r="AJ100" s="37"/>
      <c r="AK100" s="38"/>
      <c r="AL100" s="197"/>
      <c r="AM100" s="197"/>
    </row>
    <row r="101" spans="1:39" x14ac:dyDescent="0.25">
      <c r="A101" s="382">
        <v>154</v>
      </c>
      <c r="B101" s="131"/>
      <c r="C101" s="389"/>
      <c r="D101" s="121"/>
      <c r="E101" s="121"/>
      <c r="F101" s="121"/>
      <c r="G101" s="121"/>
      <c r="H101" s="121"/>
      <c r="I101" s="37"/>
      <c r="J101" s="121"/>
      <c r="K101" s="121"/>
      <c r="L101" s="121"/>
      <c r="M101" s="121"/>
      <c r="N101" s="121"/>
      <c r="O101" s="121"/>
      <c r="P101" s="172"/>
      <c r="Q101" s="37"/>
      <c r="R101" s="131"/>
      <c r="S101" s="118"/>
      <c r="T101" s="118"/>
      <c r="U101" s="1"/>
      <c r="V101" s="118"/>
      <c r="W101" s="57"/>
      <c r="X101" s="57"/>
      <c r="Y101" s="37"/>
      <c r="Z101" s="118"/>
      <c r="AA101" s="118"/>
      <c r="AB101" s="1"/>
      <c r="AC101" s="1"/>
      <c r="AD101" s="1"/>
      <c r="AE101" s="118"/>
      <c r="AF101" s="118"/>
      <c r="AG101" s="118"/>
      <c r="AH101" s="118"/>
      <c r="AI101" s="118"/>
      <c r="AJ101" s="37"/>
      <c r="AK101" s="38"/>
      <c r="AL101" s="197"/>
      <c r="AM101" s="197"/>
    </row>
    <row r="102" spans="1:39" x14ac:dyDescent="0.25">
      <c r="A102" s="382">
        <v>155</v>
      </c>
      <c r="B102" s="131"/>
      <c r="C102" s="131"/>
      <c r="D102" s="121"/>
      <c r="E102" s="389"/>
      <c r="F102" s="121"/>
      <c r="G102" s="121"/>
      <c r="H102" s="121"/>
      <c r="I102" s="37"/>
      <c r="J102" s="121"/>
      <c r="K102" s="121"/>
      <c r="L102" s="121"/>
      <c r="M102" s="121"/>
      <c r="N102" s="121"/>
      <c r="O102" s="121"/>
      <c r="P102" s="172"/>
      <c r="Q102" s="37"/>
      <c r="R102" s="12"/>
      <c r="S102" s="118"/>
      <c r="T102" s="118"/>
      <c r="U102" s="1"/>
      <c r="V102" s="118"/>
      <c r="W102" s="57"/>
      <c r="X102" s="57"/>
      <c r="Y102" s="37"/>
      <c r="Z102" s="118"/>
      <c r="AA102" s="118"/>
      <c r="AB102" s="1"/>
      <c r="AC102" s="1"/>
      <c r="AD102" s="1"/>
      <c r="AE102" s="118"/>
      <c r="AF102" s="1"/>
      <c r="AG102" s="118"/>
      <c r="AH102" s="118"/>
      <c r="AI102" s="118"/>
      <c r="AJ102" s="37"/>
      <c r="AK102" s="38"/>
      <c r="AL102" s="197"/>
      <c r="AM102" s="197"/>
    </row>
    <row r="103" spans="1:39" x14ac:dyDescent="0.25">
      <c r="A103" s="382">
        <v>156</v>
      </c>
      <c r="B103" s="131"/>
      <c r="C103" s="121"/>
      <c r="D103" s="388"/>
      <c r="E103" s="118"/>
      <c r="F103" s="118"/>
      <c r="G103" s="121"/>
      <c r="H103" s="121"/>
      <c r="I103" s="37"/>
      <c r="J103" s="121"/>
      <c r="K103" s="121"/>
      <c r="L103" s="121"/>
      <c r="M103" s="121"/>
      <c r="N103" s="121"/>
      <c r="O103" s="121"/>
      <c r="P103" s="172"/>
      <c r="Q103" s="37"/>
      <c r="R103" s="155"/>
      <c r="S103" s="118"/>
      <c r="T103" s="1"/>
      <c r="U103" s="1"/>
      <c r="V103" s="118"/>
      <c r="W103" s="57"/>
      <c r="X103" s="57"/>
      <c r="Y103" s="37"/>
      <c r="Z103" s="118"/>
      <c r="AA103" s="118"/>
      <c r="AB103" s="1"/>
      <c r="AC103" s="1"/>
      <c r="AD103" s="1"/>
      <c r="AE103" s="118"/>
      <c r="AF103" s="118"/>
      <c r="AG103" s="118"/>
      <c r="AH103" s="118"/>
      <c r="AI103" s="118"/>
      <c r="AJ103" s="37"/>
      <c r="AK103" s="38"/>
      <c r="AL103" s="197"/>
      <c r="AM103" s="212" t="s">
        <v>40</v>
      </c>
    </row>
    <row r="104" spans="1:39" x14ac:dyDescent="0.25">
      <c r="A104" s="382">
        <v>157</v>
      </c>
      <c r="B104" s="131"/>
      <c r="C104" s="155"/>
      <c r="D104" s="131"/>
      <c r="E104" s="121"/>
      <c r="F104" s="118"/>
      <c r="G104" s="121"/>
      <c r="H104" s="1"/>
      <c r="I104" s="37"/>
      <c r="J104" s="118"/>
      <c r="K104" s="121"/>
      <c r="L104" s="118"/>
      <c r="M104" s="121"/>
      <c r="N104" s="118"/>
      <c r="O104" s="1"/>
      <c r="P104" s="172"/>
      <c r="Q104" s="37"/>
      <c r="R104" s="155"/>
      <c r="S104" s="118"/>
      <c r="T104" s="118"/>
      <c r="U104" s="390"/>
      <c r="V104" s="118"/>
      <c r="W104" s="57"/>
      <c r="X104" s="57"/>
      <c r="Y104" s="37"/>
      <c r="Z104" s="118"/>
      <c r="AA104" s="118"/>
      <c r="AB104" s="1"/>
      <c r="AC104" s="1"/>
      <c r="AD104" s="1"/>
      <c r="AE104" s="118"/>
      <c r="AF104" s="1"/>
      <c r="AG104" s="118"/>
      <c r="AH104" s="118"/>
      <c r="AI104" s="118"/>
      <c r="AJ104" s="37"/>
      <c r="AK104" s="38"/>
      <c r="AL104" s="197"/>
      <c r="AM104" s="197"/>
    </row>
    <row r="105" spans="1:39" x14ac:dyDescent="0.25">
      <c r="A105" s="382">
        <v>158</v>
      </c>
      <c r="B105" s="389"/>
      <c r="C105" s="392"/>
      <c r="D105" s="155"/>
      <c r="E105" s="1"/>
      <c r="F105" s="118"/>
      <c r="G105" s="121"/>
      <c r="H105" s="121"/>
      <c r="I105" s="37"/>
      <c r="J105" s="121"/>
      <c r="K105" s="121"/>
      <c r="L105" s="121"/>
      <c r="M105" s="121"/>
      <c r="N105" s="121"/>
      <c r="O105" s="120"/>
      <c r="P105" s="172"/>
      <c r="Q105" s="37"/>
      <c r="R105" s="131"/>
      <c r="S105" s="1"/>
      <c r="T105" s="118"/>
      <c r="U105" s="1"/>
      <c r="V105" s="118"/>
      <c r="W105" s="57"/>
      <c r="X105" s="57"/>
      <c r="Y105" s="37"/>
      <c r="Z105" s="118"/>
      <c r="AA105" s="387"/>
      <c r="AB105" s="1"/>
      <c r="AC105" s="1"/>
      <c r="AD105" s="1"/>
      <c r="AE105" s="118"/>
      <c r="AF105" s="118"/>
      <c r="AG105" s="118"/>
      <c r="AH105" s="118"/>
      <c r="AI105" s="118"/>
      <c r="AJ105" s="37"/>
      <c r="AK105" s="38"/>
      <c r="AL105" s="197"/>
      <c r="AM105" s="197"/>
    </row>
    <row r="106" spans="1:39" x14ac:dyDescent="0.25">
      <c r="A106" s="382">
        <v>159</v>
      </c>
      <c r="B106" s="131"/>
      <c r="C106" s="179"/>
      <c r="D106" s="121"/>
      <c r="E106" s="121"/>
      <c r="F106" s="118"/>
      <c r="G106" s="1"/>
      <c r="H106" s="121"/>
      <c r="I106" s="37"/>
      <c r="J106" s="121"/>
      <c r="K106" s="121"/>
      <c r="L106" s="121"/>
      <c r="M106" s="120"/>
      <c r="N106" s="121"/>
      <c r="O106" s="1"/>
      <c r="P106" s="172"/>
      <c r="Q106" s="37"/>
      <c r="R106" s="155"/>
      <c r="S106" s="1"/>
      <c r="T106" s="118"/>
      <c r="U106" s="1"/>
      <c r="V106" s="118"/>
      <c r="W106" s="57"/>
      <c r="X106" s="57"/>
      <c r="Y106" s="37"/>
      <c r="Z106" s="1"/>
      <c r="AA106" s="118"/>
      <c r="AB106" s="1"/>
      <c r="AC106" s="1"/>
      <c r="AD106" s="1"/>
      <c r="AE106" s="118"/>
      <c r="AF106" s="118"/>
      <c r="AG106" s="118"/>
      <c r="AH106" s="118"/>
      <c r="AI106" s="118"/>
      <c r="AJ106" s="37"/>
      <c r="AK106" s="38"/>
      <c r="AL106" s="197"/>
      <c r="AM106" s="197"/>
    </row>
    <row r="107" spans="1:39" x14ac:dyDescent="0.25">
      <c r="A107" s="382">
        <v>161</v>
      </c>
      <c r="B107" s="389"/>
      <c r="C107" s="389"/>
      <c r="D107" s="392"/>
      <c r="E107" s="389"/>
      <c r="F107" s="389"/>
      <c r="G107" s="389"/>
      <c r="H107" s="389"/>
      <c r="I107" s="111"/>
      <c r="J107" s="390"/>
      <c r="K107" s="121"/>
      <c r="L107" s="121"/>
      <c r="M107" s="121"/>
      <c r="N107" s="121"/>
      <c r="O107" s="121"/>
      <c r="P107" s="172"/>
      <c r="Q107" s="37"/>
      <c r="R107" s="131"/>
      <c r="S107" s="118"/>
      <c r="T107" s="118"/>
      <c r="U107" s="1"/>
      <c r="V107" s="118"/>
      <c r="W107" s="57"/>
      <c r="X107" s="57"/>
      <c r="Y107" s="37"/>
      <c r="Z107" s="118"/>
      <c r="AA107" s="118"/>
      <c r="AB107" s="1"/>
      <c r="AC107" s="1"/>
      <c r="AD107" s="1"/>
      <c r="AE107" s="118"/>
      <c r="AF107" s="118"/>
      <c r="AG107" s="118"/>
      <c r="AH107" s="118"/>
      <c r="AI107" s="118"/>
      <c r="AJ107" s="37"/>
      <c r="AK107" s="38"/>
      <c r="AL107" s="197"/>
      <c r="AM107" s="197"/>
    </row>
    <row r="108" spans="1:39" x14ac:dyDescent="0.25">
      <c r="A108" s="382">
        <v>162</v>
      </c>
      <c r="B108" s="131"/>
      <c r="C108" s="121"/>
      <c r="D108" s="121"/>
      <c r="E108" s="1"/>
      <c r="F108" s="118"/>
      <c r="G108" s="1"/>
      <c r="H108" s="121"/>
      <c r="I108" s="37"/>
      <c r="J108" s="121"/>
      <c r="K108" s="1"/>
      <c r="L108" s="121"/>
      <c r="M108" s="121"/>
      <c r="N108" s="121"/>
      <c r="O108" s="1"/>
      <c r="P108" s="172"/>
      <c r="Q108" s="37"/>
      <c r="R108" s="131"/>
      <c r="S108" s="118"/>
      <c r="T108" s="118"/>
      <c r="U108" s="1"/>
      <c r="V108" s="118"/>
      <c r="W108" s="57"/>
      <c r="X108" s="57"/>
      <c r="Y108" s="37"/>
      <c r="Z108" s="118"/>
      <c r="AA108" s="118"/>
      <c r="AB108" s="1"/>
      <c r="AC108" s="1"/>
      <c r="AD108" s="1"/>
      <c r="AE108" s="118"/>
      <c r="AF108" s="118"/>
      <c r="AG108" s="118"/>
      <c r="AH108" s="118"/>
      <c r="AI108" s="118"/>
      <c r="AJ108" s="37"/>
      <c r="AK108" s="38"/>
      <c r="AL108" s="197"/>
      <c r="AM108" s="197"/>
    </row>
    <row r="109" spans="1:39" x14ac:dyDescent="0.25">
      <c r="A109" s="382">
        <v>163</v>
      </c>
      <c r="B109" s="155"/>
      <c r="C109" s="155"/>
      <c r="D109" s="121"/>
      <c r="E109" s="121"/>
      <c r="F109" s="121"/>
      <c r="G109" s="121"/>
      <c r="H109" s="121"/>
      <c r="I109" s="37"/>
      <c r="J109" s="121"/>
      <c r="K109" s="121"/>
      <c r="L109" s="390"/>
      <c r="M109" s="390"/>
      <c r="N109" s="390"/>
      <c r="O109" s="390"/>
      <c r="P109" s="390"/>
      <c r="Q109" s="37"/>
      <c r="R109" s="205"/>
      <c r="S109" s="118"/>
      <c r="T109" s="118"/>
      <c r="U109" s="1"/>
      <c r="V109" s="118"/>
      <c r="W109" s="57"/>
      <c r="X109" s="57"/>
      <c r="Y109" s="37"/>
      <c r="Z109" s="118"/>
      <c r="AA109" s="118"/>
      <c r="AB109" s="1"/>
      <c r="AC109" s="1"/>
      <c r="AD109" s="1"/>
      <c r="AE109" s="118"/>
      <c r="AF109" s="118"/>
      <c r="AG109" s="118"/>
      <c r="AH109" s="118"/>
      <c r="AI109" s="118"/>
      <c r="AJ109" s="37"/>
      <c r="AK109" s="38"/>
      <c r="AL109" s="197"/>
      <c r="AM109" s="197"/>
    </row>
    <row r="110" spans="1:39" x14ac:dyDescent="0.25">
      <c r="A110" s="382">
        <v>164</v>
      </c>
      <c r="B110" s="131"/>
      <c r="C110" s="121"/>
      <c r="D110" s="390"/>
      <c r="E110" s="118"/>
      <c r="F110" s="121"/>
      <c r="G110" s="121"/>
      <c r="H110" s="1"/>
      <c r="I110" s="37"/>
      <c r="J110" s="121"/>
      <c r="K110" s="121"/>
      <c r="L110" s="121"/>
      <c r="M110" s="121"/>
      <c r="N110" s="121"/>
      <c r="O110" s="121"/>
      <c r="P110" s="172"/>
      <c r="Q110" s="37"/>
      <c r="R110" s="131"/>
      <c r="S110" s="118"/>
      <c r="T110" s="118"/>
      <c r="U110" s="1"/>
      <c r="V110" s="118"/>
      <c r="W110" s="57"/>
      <c r="X110" s="57"/>
      <c r="Y110" s="37"/>
      <c r="Z110" s="118"/>
      <c r="AA110" s="118"/>
      <c r="AB110" s="1"/>
      <c r="AC110" s="1"/>
      <c r="AD110" s="1"/>
      <c r="AE110" s="118"/>
      <c r="AF110" s="118"/>
      <c r="AG110" s="118"/>
      <c r="AH110" s="118"/>
      <c r="AI110" s="118"/>
      <c r="AJ110" s="37"/>
      <c r="AK110" s="38"/>
      <c r="AL110" s="197"/>
      <c r="AM110" s="197"/>
    </row>
    <row r="111" spans="1:39" x14ac:dyDescent="0.25">
      <c r="A111" s="382">
        <v>165</v>
      </c>
      <c r="B111" s="155"/>
      <c r="C111" s="390"/>
      <c r="D111" s="121"/>
      <c r="E111" s="118"/>
      <c r="F111" s="121"/>
      <c r="G111" s="121"/>
      <c r="H111" s="121"/>
      <c r="I111" s="37"/>
      <c r="J111" s="390"/>
      <c r="K111" s="121"/>
      <c r="L111" s="121"/>
      <c r="M111" s="121"/>
      <c r="N111" s="121"/>
      <c r="O111" s="120"/>
      <c r="P111" s="172"/>
      <c r="Q111" s="37"/>
      <c r="R111" s="131"/>
      <c r="S111" s="118"/>
      <c r="T111" s="118"/>
      <c r="U111" s="1"/>
      <c r="V111" s="118"/>
      <c r="W111" s="57"/>
      <c r="X111" s="57"/>
      <c r="Y111" s="37"/>
      <c r="Z111" s="118"/>
      <c r="AA111" s="118"/>
      <c r="AB111" s="1"/>
      <c r="AC111" s="1"/>
      <c r="AD111" s="1"/>
      <c r="AE111" s="118"/>
      <c r="AF111" s="118"/>
      <c r="AG111" s="118"/>
      <c r="AH111" s="118"/>
      <c r="AI111" s="118"/>
      <c r="AJ111" s="37"/>
      <c r="AK111" s="38"/>
      <c r="AL111" s="197"/>
      <c r="AM111" s="197"/>
    </row>
    <row r="112" spans="1:39" x14ac:dyDescent="0.25">
      <c r="A112" s="382">
        <v>166</v>
      </c>
      <c r="B112" s="135"/>
      <c r="C112" s="135"/>
      <c r="D112" s="121"/>
      <c r="E112" s="121"/>
      <c r="F112" s="121"/>
      <c r="G112" s="1"/>
      <c r="H112" s="1"/>
      <c r="I112" s="37"/>
      <c r="J112" s="121"/>
      <c r="K112" s="1"/>
      <c r="L112" s="336"/>
      <c r="M112" s="121"/>
      <c r="N112" s="118"/>
      <c r="O112" s="120"/>
      <c r="P112" s="172"/>
      <c r="Q112" s="37"/>
      <c r="R112" s="131"/>
      <c r="S112" s="118"/>
      <c r="T112" s="118"/>
      <c r="U112" s="1"/>
      <c r="V112" s="118"/>
      <c r="W112" s="57"/>
      <c r="X112" s="57"/>
      <c r="Y112" s="37"/>
      <c r="Z112" s="118"/>
      <c r="AA112" s="118"/>
      <c r="AB112" s="1"/>
      <c r="AC112" s="1"/>
      <c r="AD112" s="1"/>
      <c r="AE112" s="118"/>
      <c r="AF112" s="1"/>
      <c r="AG112" s="118"/>
      <c r="AH112" s="118"/>
      <c r="AI112" s="118"/>
      <c r="AJ112" s="37"/>
      <c r="AK112" s="38"/>
      <c r="AL112" s="197"/>
      <c r="AM112" s="197"/>
    </row>
    <row r="113" spans="1:39" x14ac:dyDescent="0.25">
      <c r="A113" s="382">
        <v>167</v>
      </c>
      <c r="B113" s="155"/>
      <c r="C113" s="155"/>
      <c r="D113" s="121"/>
      <c r="E113" s="121"/>
      <c r="F113" s="390"/>
      <c r="G113" s="121"/>
      <c r="H113" s="121"/>
      <c r="I113" s="37"/>
      <c r="J113" s="121"/>
      <c r="K113" s="121"/>
      <c r="L113" s="121"/>
      <c r="M113" s="118"/>
      <c r="N113" s="120"/>
      <c r="O113" s="121"/>
      <c r="P113" s="172"/>
      <c r="Q113" s="37"/>
      <c r="R113" s="131"/>
      <c r="S113" s="118"/>
      <c r="T113" s="118"/>
      <c r="U113" s="1"/>
      <c r="V113" s="118"/>
      <c r="W113" s="57"/>
      <c r="X113" s="57"/>
      <c r="Y113" s="37"/>
      <c r="Z113" s="118"/>
      <c r="AA113" s="118"/>
      <c r="AB113" s="1"/>
      <c r="AC113" s="1"/>
      <c r="AD113" s="1"/>
      <c r="AE113" s="118"/>
      <c r="AF113" s="118"/>
      <c r="AG113" s="118"/>
      <c r="AH113" s="118"/>
      <c r="AI113" s="118"/>
      <c r="AJ113" s="37"/>
      <c r="AK113" s="38"/>
      <c r="AL113" s="197"/>
      <c r="AM113" s="197"/>
    </row>
    <row r="114" spans="1:39" x14ac:dyDescent="0.25">
      <c r="A114" s="382">
        <v>168</v>
      </c>
      <c r="B114" s="131"/>
      <c r="C114" s="390"/>
      <c r="D114" s="121"/>
      <c r="E114" s="121"/>
      <c r="F114" s="121"/>
      <c r="G114" s="121"/>
      <c r="H114" s="1"/>
      <c r="I114" s="37"/>
      <c r="J114" s="121"/>
      <c r="K114" s="121"/>
      <c r="L114" s="155"/>
      <c r="M114" s="118"/>
      <c r="N114" s="118"/>
      <c r="O114" s="120"/>
      <c r="P114" s="172"/>
      <c r="Q114" s="37"/>
      <c r="R114" s="131"/>
      <c r="S114" s="118"/>
      <c r="T114" s="118"/>
      <c r="U114" s="1"/>
      <c r="V114" s="118"/>
      <c r="W114" s="57"/>
      <c r="X114" s="57"/>
      <c r="Y114" s="37"/>
      <c r="Z114" s="118"/>
      <c r="AA114" s="1"/>
      <c r="AB114" s="1"/>
      <c r="AC114" s="1"/>
      <c r="AD114" s="1"/>
      <c r="AE114" s="118"/>
      <c r="AF114" s="118"/>
      <c r="AG114" s="118"/>
      <c r="AH114" s="118"/>
      <c r="AI114" s="118"/>
      <c r="AJ114" s="37"/>
      <c r="AK114" s="38"/>
      <c r="AL114" s="197"/>
      <c r="AM114" s="197"/>
    </row>
    <row r="115" spans="1:39" x14ac:dyDescent="0.25">
      <c r="A115" s="382">
        <v>169</v>
      </c>
      <c r="B115" s="12"/>
      <c r="C115" s="155"/>
      <c r="D115" s="121"/>
      <c r="E115" s="118"/>
      <c r="F115" s="121"/>
      <c r="G115" s="1"/>
      <c r="H115" s="1"/>
      <c r="I115" s="37"/>
      <c r="J115" s="121"/>
      <c r="K115" s="118"/>
      <c r="L115" s="118"/>
      <c r="M115" s="121"/>
      <c r="N115" s="1"/>
      <c r="O115" s="118"/>
      <c r="P115" s="172"/>
      <c r="Q115" s="37"/>
      <c r="R115" s="131"/>
      <c r="S115" s="118"/>
      <c r="T115" s="118"/>
      <c r="U115" s="1"/>
      <c r="V115" s="118"/>
      <c r="W115" s="57"/>
      <c r="X115" s="57"/>
      <c r="Y115" s="37"/>
      <c r="Z115" s="1"/>
      <c r="AA115" s="118"/>
      <c r="AB115" s="1"/>
      <c r="AC115" s="1"/>
      <c r="AD115" s="1"/>
      <c r="AE115" s="118"/>
      <c r="AF115" s="1"/>
      <c r="AG115" s="118"/>
      <c r="AH115" s="118"/>
      <c r="AI115" s="118"/>
      <c r="AJ115" s="37"/>
      <c r="AK115" s="38"/>
      <c r="AL115" s="197"/>
      <c r="AM115" s="197"/>
    </row>
    <row r="116" spans="1:39" x14ac:dyDescent="0.25">
      <c r="A116" s="382">
        <v>170</v>
      </c>
      <c r="B116" s="155"/>
      <c r="C116" s="121"/>
      <c r="D116" s="121"/>
      <c r="E116" s="121"/>
      <c r="F116" s="121"/>
      <c r="G116" s="121"/>
      <c r="H116" s="121"/>
      <c r="I116" s="37"/>
      <c r="J116" s="121"/>
      <c r="K116" s="121"/>
      <c r="L116" s="390"/>
      <c r="M116" s="121"/>
      <c r="N116" s="121"/>
      <c r="O116" s="121"/>
      <c r="P116" s="172"/>
      <c r="Q116" s="37"/>
      <c r="R116" s="131"/>
      <c r="S116" s="118"/>
      <c r="T116" s="118"/>
      <c r="U116" s="1"/>
      <c r="V116" s="1"/>
      <c r="W116" s="57"/>
      <c r="X116" s="57"/>
      <c r="Y116" s="37"/>
      <c r="Z116" s="118"/>
      <c r="AA116" s="118"/>
      <c r="AB116" s="1"/>
      <c r="AC116" s="1"/>
      <c r="AD116" s="1"/>
      <c r="AE116" s="118"/>
      <c r="AF116" s="387"/>
      <c r="AG116" s="118"/>
      <c r="AH116" s="118"/>
      <c r="AI116" s="118"/>
      <c r="AJ116" s="37"/>
      <c r="AK116" s="38"/>
      <c r="AL116" s="197"/>
      <c r="AM116" s="197"/>
    </row>
    <row r="117" spans="1:39" x14ac:dyDescent="0.25">
      <c r="A117" s="382">
        <v>171</v>
      </c>
      <c r="B117" s="390"/>
      <c r="C117" s="121"/>
      <c r="D117" s="155"/>
      <c r="E117" s="1"/>
      <c r="F117" s="118"/>
      <c r="G117" s="121"/>
      <c r="H117" s="121"/>
      <c r="I117" s="37"/>
      <c r="J117" s="121"/>
      <c r="K117" s="121"/>
      <c r="L117" s="121"/>
      <c r="M117" s="121"/>
      <c r="N117" s="121"/>
      <c r="O117" s="121"/>
      <c r="P117" s="172"/>
      <c r="Q117" s="37"/>
      <c r="R117" s="12"/>
      <c r="S117" s="118"/>
      <c r="T117" s="118"/>
      <c r="U117" s="1"/>
      <c r="V117" s="131"/>
      <c r="W117" s="57"/>
      <c r="X117" s="57"/>
      <c r="Y117" s="37"/>
      <c r="Z117" s="118"/>
      <c r="AA117" s="118"/>
      <c r="AB117" s="1"/>
      <c r="AC117" s="1"/>
      <c r="AD117" s="1"/>
      <c r="AE117" s="118"/>
      <c r="AF117" s="118"/>
      <c r="AG117" s="118"/>
      <c r="AH117" s="118"/>
      <c r="AI117" s="118"/>
      <c r="AJ117" s="37"/>
      <c r="AK117" s="38"/>
      <c r="AL117" s="197"/>
      <c r="AM117" s="197"/>
    </row>
    <row r="118" spans="1:39" x14ac:dyDescent="0.25">
      <c r="A118" s="382">
        <v>172</v>
      </c>
      <c r="B118" s="390"/>
      <c r="C118" s="390"/>
      <c r="D118" s="390"/>
      <c r="E118" s="390"/>
      <c r="F118" s="390"/>
      <c r="G118" s="390"/>
      <c r="H118" s="390"/>
      <c r="I118" s="111"/>
      <c r="J118" s="121"/>
      <c r="K118" s="118"/>
      <c r="L118" s="390"/>
      <c r="M118" s="390"/>
      <c r="N118" s="390"/>
      <c r="O118" s="118"/>
      <c r="P118" s="390"/>
      <c r="Q118" s="37"/>
      <c r="R118" s="390"/>
      <c r="S118" s="390"/>
      <c r="T118" s="390"/>
      <c r="U118" s="390"/>
      <c r="V118" s="389"/>
      <c r="W118" s="205"/>
      <c r="X118" s="387"/>
      <c r="Y118" s="37"/>
      <c r="Z118" s="118"/>
      <c r="AA118" s="387"/>
      <c r="AB118" s="387"/>
      <c r="AC118" s="387"/>
      <c r="AD118" s="387"/>
      <c r="AE118" s="387"/>
      <c r="AF118" s="387"/>
      <c r="AG118" s="118"/>
      <c r="AH118" s="118"/>
      <c r="AI118" s="118"/>
      <c r="AJ118" s="37"/>
      <c r="AK118" s="38"/>
      <c r="AL118" s="197"/>
      <c r="AM118" s="197"/>
    </row>
    <row r="119" spans="1:39" x14ac:dyDescent="0.25">
      <c r="A119" s="382">
        <v>173</v>
      </c>
      <c r="B119" s="390"/>
      <c r="C119" s="390"/>
      <c r="D119" s="390"/>
      <c r="E119" s="390"/>
      <c r="F119" s="390"/>
      <c r="G119" s="390"/>
      <c r="H119" s="390"/>
      <c r="I119" s="111"/>
      <c r="J119" s="390"/>
      <c r="K119" s="390"/>
      <c r="L119" s="390"/>
      <c r="M119" s="390"/>
      <c r="N119" s="390"/>
      <c r="O119" s="390"/>
      <c r="P119" s="390"/>
      <c r="Q119" s="111"/>
      <c r="R119" s="390"/>
      <c r="S119" s="390"/>
      <c r="T119" s="390"/>
      <c r="U119" s="203"/>
      <c r="V119" s="390"/>
      <c r="W119" s="390"/>
      <c r="X119" s="390"/>
      <c r="Y119" s="37"/>
      <c r="Z119" s="387"/>
      <c r="AA119" s="387"/>
      <c r="AB119" s="387"/>
      <c r="AC119" s="387"/>
      <c r="AD119" s="387"/>
      <c r="AE119" s="387"/>
      <c r="AF119" s="387"/>
      <c r="AG119" s="387"/>
      <c r="AH119" s="387"/>
      <c r="AI119" s="387"/>
      <c r="AJ119" s="111"/>
      <c r="AK119" s="38"/>
      <c r="AL119" s="197"/>
      <c r="AM119" s="197"/>
    </row>
    <row r="120" spans="1:39" x14ac:dyDescent="0.25">
      <c r="A120" s="385">
        <v>174</v>
      </c>
      <c r="B120" s="131"/>
      <c r="C120" s="131"/>
      <c r="D120" s="155"/>
      <c r="E120" s="1"/>
      <c r="F120" s="121"/>
      <c r="G120" s="118"/>
      <c r="H120" s="118"/>
      <c r="I120" s="37"/>
      <c r="J120" s="118"/>
      <c r="K120" s="118"/>
      <c r="L120" s="121"/>
      <c r="M120" s="118"/>
      <c r="N120" s="118"/>
      <c r="O120" s="118"/>
      <c r="P120" s="172"/>
      <c r="Q120" s="37"/>
      <c r="R120" s="12"/>
      <c r="S120" s="118"/>
      <c r="T120" s="118"/>
      <c r="U120" s="1"/>
      <c r="V120" s="118"/>
      <c r="W120" s="57"/>
      <c r="X120" s="57"/>
      <c r="Y120" s="37"/>
      <c r="Z120" s="118"/>
      <c r="AA120" s="118"/>
      <c r="AB120" s="1"/>
      <c r="AC120" s="1"/>
      <c r="AD120" s="1"/>
      <c r="AE120" s="118"/>
      <c r="AF120" s="118"/>
      <c r="AG120" s="118"/>
      <c r="AH120" s="118"/>
      <c r="AI120" s="118"/>
      <c r="AJ120" s="37"/>
      <c r="AK120" s="38"/>
      <c r="AL120" s="176"/>
      <c r="AM120" s="197"/>
    </row>
    <row r="121" spans="1:39" x14ac:dyDescent="0.25">
      <c r="A121" s="385">
        <v>175</v>
      </c>
      <c r="B121" s="155"/>
      <c r="C121" s="131"/>
      <c r="D121" s="12"/>
      <c r="E121" s="121"/>
      <c r="F121" s="120"/>
      <c r="G121" s="121"/>
      <c r="H121" s="121"/>
      <c r="I121" s="37"/>
      <c r="J121" s="121"/>
      <c r="K121" s="121"/>
      <c r="L121" s="121"/>
      <c r="M121" s="121"/>
      <c r="N121" s="121"/>
      <c r="O121" s="120"/>
      <c r="P121" s="205"/>
      <c r="Q121" s="37"/>
      <c r="R121" s="131"/>
      <c r="S121" s="118"/>
      <c r="T121" s="118"/>
      <c r="U121" s="1"/>
      <c r="V121" s="118"/>
      <c r="W121" s="57"/>
      <c r="X121" s="57"/>
      <c r="Y121" s="37"/>
      <c r="Z121" s="118"/>
      <c r="AA121" s="118"/>
      <c r="AB121" s="1"/>
      <c r="AC121" s="1"/>
      <c r="AD121" s="1"/>
      <c r="AE121" s="118"/>
      <c r="AF121" s="118"/>
      <c r="AG121" s="118"/>
      <c r="AH121" s="118"/>
      <c r="AI121" s="118"/>
      <c r="AJ121" s="37"/>
      <c r="AK121" s="38"/>
      <c r="AL121" s="197"/>
      <c r="AM121" s="197"/>
    </row>
    <row r="122" spans="1:39" x14ac:dyDescent="0.25">
      <c r="A122" s="385">
        <v>176</v>
      </c>
      <c r="B122" s="390"/>
      <c r="C122" s="390"/>
      <c r="D122" s="390"/>
      <c r="E122" s="390"/>
      <c r="F122" s="390"/>
      <c r="G122" s="390"/>
      <c r="H122" s="390"/>
      <c r="I122" s="111"/>
      <c r="J122" s="390"/>
      <c r="K122" s="390"/>
      <c r="L122" s="390"/>
      <c r="M122" s="390"/>
      <c r="N122" s="390"/>
      <c r="O122" s="390"/>
      <c r="P122" s="390"/>
      <c r="Q122" s="111"/>
      <c r="R122" s="390"/>
      <c r="S122" s="390"/>
      <c r="T122" s="390"/>
      <c r="U122" s="390"/>
      <c r="V122" s="389"/>
      <c r="W122" s="387"/>
      <c r="X122" s="387"/>
      <c r="Y122" s="111"/>
      <c r="Z122" s="387"/>
      <c r="AA122" s="387"/>
      <c r="AB122" s="387"/>
      <c r="AC122" s="387"/>
      <c r="AD122" s="387"/>
      <c r="AE122" s="387"/>
      <c r="AF122" s="387"/>
      <c r="AG122" s="387"/>
      <c r="AH122" s="387"/>
      <c r="AI122" s="387"/>
      <c r="AJ122" s="114"/>
      <c r="AK122" s="44"/>
      <c r="AL122" s="197"/>
      <c r="AM122" s="197"/>
    </row>
    <row r="123" spans="1:39" x14ac:dyDescent="0.25">
      <c r="A123" s="385">
        <v>177</v>
      </c>
      <c r="B123" s="390"/>
      <c r="C123" s="155"/>
      <c r="D123" s="131"/>
      <c r="E123" s="118"/>
      <c r="F123" s="118"/>
      <c r="G123" s="118"/>
      <c r="H123" s="118"/>
      <c r="I123" s="37"/>
      <c r="J123" s="120"/>
      <c r="K123" s="118"/>
      <c r="L123" s="1"/>
      <c r="M123" s="118"/>
      <c r="N123" s="118"/>
      <c r="O123" s="118"/>
      <c r="P123" s="172"/>
      <c r="Q123" s="37"/>
      <c r="R123" s="131"/>
      <c r="S123" s="118"/>
      <c r="T123" s="118"/>
      <c r="U123" s="1"/>
      <c r="V123" s="118"/>
      <c r="W123" s="57"/>
      <c r="X123" s="57"/>
      <c r="Y123" s="37"/>
      <c r="Z123" s="387"/>
      <c r="AA123" s="118"/>
      <c r="AB123" s="1"/>
      <c r="AC123" s="1"/>
      <c r="AD123" s="1"/>
      <c r="AE123" s="387"/>
      <c r="AF123" s="118"/>
      <c r="AG123" s="118"/>
      <c r="AH123" s="118"/>
      <c r="AI123" s="118"/>
      <c r="AJ123" s="47"/>
      <c r="AK123" s="48"/>
      <c r="AL123" s="197"/>
      <c r="AM123" s="197"/>
    </row>
    <row r="124" spans="1:39" x14ac:dyDescent="0.25">
      <c r="A124" s="385">
        <v>178</v>
      </c>
      <c r="B124" s="390"/>
      <c r="C124" s="155"/>
      <c r="D124" s="121"/>
      <c r="E124" s="121"/>
      <c r="F124" s="121"/>
      <c r="G124" s="121"/>
      <c r="H124" s="121"/>
      <c r="I124" s="37"/>
      <c r="J124" s="121"/>
      <c r="K124" s="118"/>
      <c r="L124" s="161"/>
      <c r="M124" s="121"/>
      <c r="N124" s="121"/>
      <c r="O124" s="120"/>
      <c r="P124" s="205"/>
      <c r="Q124" s="37"/>
      <c r="R124" s="131"/>
      <c r="S124" s="118"/>
      <c r="T124" s="118"/>
      <c r="U124" s="1"/>
      <c r="V124" s="1"/>
      <c r="W124" s="57"/>
      <c r="X124" s="57"/>
      <c r="Y124" s="37"/>
      <c r="Z124" s="118"/>
      <c r="AA124" s="1"/>
      <c r="AB124" s="1"/>
      <c r="AC124" s="1"/>
      <c r="AD124" s="1"/>
      <c r="AE124" s="118"/>
      <c r="AF124" s="118"/>
      <c r="AG124" s="118"/>
      <c r="AH124" s="118"/>
      <c r="AI124" s="118"/>
      <c r="AJ124" s="49"/>
      <c r="AK124" s="48"/>
      <c r="AL124" s="197"/>
      <c r="AM124" s="197"/>
    </row>
    <row r="125" spans="1:39" x14ac:dyDescent="0.25">
      <c r="A125" s="385">
        <v>179</v>
      </c>
      <c r="B125" s="390"/>
      <c r="C125" s="155"/>
      <c r="D125" s="390"/>
      <c r="E125" s="1"/>
      <c r="F125" s="390"/>
      <c r="G125" s="390"/>
      <c r="H125" s="118"/>
      <c r="I125" s="37"/>
      <c r="J125" s="118"/>
      <c r="K125" s="118"/>
      <c r="L125" s="118"/>
      <c r="M125" s="121"/>
      <c r="N125" s="1"/>
      <c r="O125" s="118"/>
      <c r="P125" s="172"/>
      <c r="Q125" s="37"/>
      <c r="R125" s="131"/>
      <c r="S125" s="118"/>
      <c r="T125" s="118"/>
      <c r="U125" s="1"/>
      <c r="V125" s="118"/>
      <c r="W125" s="57"/>
      <c r="X125" s="57"/>
      <c r="Y125" s="37"/>
      <c r="Z125" s="118"/>
      <c r="AA125" s="118"/>
      <c r="AB125" s="1"/>
      <c r="AC125" s="1"/>
      <c r="AD125" s="1"/>
      <c r="AE125" s="118"/>
      <c r="AF125" s="118"/>
      <c r="AG125" s="118"/>
      <c r="AH125" s="118"/>
      <c r="AI125" s="118"/>
      <c r="AJ125" s="36"/>
      <c r="AK125" s="14"/>
      <c r="AL125" s="197"/>
      <c r="AM125" s="197"/>
    </row>
    <row r="126" spans="1:39" x14ac:dyDescent="0.25">
      <c r="A126" s="385">
        <v>180</v>
      </c>
      <c r="B126" s="390"/>
      <c r="C126" s="390"/>
      <c r="D126" s="390"/>
      <c r="E126" s="390"/>
      <c r="F126" s="390"/>
      <c r="G126" s="118"/>
      <c r="H126" s="390"/>
      <c r="I126" s="37"/>
      <c r="J126" s="118"/>
      <c r="K126" s="390"/>
      <c r="L126" s="390"/>
      <c r="M126" s="390"/>
      <c r="N126" s="390"/>
      <c r="O126" s="390"/>
      <c r="P126" s="390"/>
      <c r="Q126" s="37"/>
      <c r="R126" s="176"/>
      <c r="S126" s="390"/>
      <c r="T126" s="390"/>
      <c r="U126" s="390"/>
      <c r="V126" s="390"/>
      <c r="W126" s="57"/>
      <c r="X126" s="390"/>
      <c r="Y126" s="37"/>
      <c r="Z126" s="387"/>
      <c r="AA126" s="387"/>
      <c r="AB126" s="1"/>
      <c r="AC126" s="387"/>
      <c r="AD126" s="387"/>
      <c r="AE126" s="387"/>
      <c r="AF126" s="387"/>
      <c r="AG126" s="118"/>
      <c r="AH126" s="118"/>
      <c r="AI126" s="118"/>
      <c r="AJ126" s="37"/>
      <c r="AK126" s="38"/>
      <c r="AL126" s="197"/>
      <c r="AM126" s="197"/>
    </row>
    <row r="127" spans="1:39" x14ac:dyDescent="0.25">
      <c r="A127" s="385">
        <v>181</v>
      </c>
      <c r="B127" s="131"/>
      <c r="C127" s="155"/>
      <c r="D127" s="131"/>
      <c r="E127" s="121"/>
      <c r="F127" s="118"/>
      <c r="G127" s="118"/>
      <c r="H127" s="121"/>
      <c r="I127" s="37"/>
      <c r="J127" s="118"/>
      <c r="K127" s="118"/>
      <c r="L127" s="118"/>
      <c r="M127" s="390"/>
      <c r="N127" s="121"/>
      <c r="O127" s="120"/>
      <c r="P127" s="205"/>
      <c r="Q127" s="37"/>
      <c r="R127" s="131"/>
      <c r="S127" s="118"/>
      <c r="T127" s="118"/>
      <c r="U127" s="1"/>
      <c r="V127" s="118"/>
      <c r="W127" s="57"/>
      <c r="X127" s="57"/>
      <c r="Y127" s="37"/>
      <c r="Z127" s="118"/>
      <c r="AA127" s="118"/>
      <c r="AB127" s="1"/>
      <c r="AC127" s="1"/>
      <c r="AD127" s="1"/>
      <c r="AE127" s="118"/>
      <c r="AF127" s="118"/>
      <c r="AG127" s="118"/>
      <c r="AH127" s="118"/>
      <c r="AI127" s="118"/>
      <c r="AJ127" s="37"/>
      <c r="AK127" s="38"/>
      <c r="AL127" s="197"/>
      <c r="AM127" s="197"/>
    </row>
    <row r="128" spans="1:39" x14ac:dyDescent="0.25">
      <c r="A128" s="385">
        <v>182</v>
      </c>
      <c r="B128" s="390"/>
      <c r="C128" s="121"/>
      <c r="D128" s="121"/>
      <c r="E128" s="121"/>
      <c r="F128" s="121"/>
      <c r="G128" s="121"/>
      <c r="H128" s="121"/>
      <c r="I128" s="37"/>
      <c r="J128" s="121"/>
      <c r="K128" s="121"/>
      <c r="L128" s="121"/>
      <c r="M128" s="121"/>
      <c r="N128" s="121"/>
      <c r="O128" s="120"/>
      <c r="P128" s="172"/>
      <c r="Q128" s="37"/>
      <c r="R128" s="131"/>
      <c r="S128" s="118"/>
      <c r="T128" s="118"/>
      <c r="U128" s="1"/>
      <c r="V128" s="118"/>
      <c r="W128" s="57"/>
      <c r="X128" s="57"/>
      <c r="Y128" s="37"/>
      <c r="Z128" s="118"/>
      <c r="AA128" s="118"/>
      <c r="AB128" s="1"/>
      <c r="AC128" s="1"/>
      <c r="AD128" s="1"/>
      <c r="AE128" s="1"/>
      <c r="AF128" s="118"/>
      <c r="AG128" s="118"/>
      <c r="AH128" s="118"/>
      <c r="AI128" s="118"/>
      <c r="AJ128" s="37"/>
      <c r="AK128" s="38"/>
      <c r="AL128" s="197"/>
      <c r="AM128" s="197"/>
    </row>
    <row r="129" spans="1:39" x14ac:dyDescent="0.25">
      <c r="A129" s="385">
        <v>183</v>
      </c>
      <c r="B129" s="390"/>
      <c r="C129" s="131"/>
      <c r="D129" s="131"/>
      <c r="E129" s="118"/>
      <c r="F129" s="118"/>
      <c r="G129" s="390"/>
      <c r="H129" s="390"/>
      <c r="I129" s="37"/>
      <c r="J129" s="118"/>
      <c r="K129" s="118"/>
      <c r="L129" s="118"/>
      <c r="M129" s="118"/>
      <c r="N129" s="121"/>
      <c r="O129" s="390"/>
      <c r="P129" s="172"/>
      <c r="Q129" s="37"/>
      <c r="R129" s="390"/>
      <c r="S129" s="390"/>
      <c r="T129" s="390"/>
      <c r="U129" s="1"/>
      <c r="V129" s="118"/>
      <c r="W129" s="57"/>
      <c r="X129" s="57"/>
      <c r="Y129" s="37"/>
      <c r="Z129" s="118"/>
      <c r="AA129" s="118"/>
      <c r="AB129" s="1"/>
      <c r="AC129" s="1"/>
      <c r="AD129" s="1"/>
      <c r="AE129" s="118"/>
      <c r="AF129" s="118"/>
      <c r="AG129" s="118"/>
      <c r="AH129" s="118"/>
      <c r="AI129" s="118"/>
      <c r="AJ129" s="37"/>
      <c r="AK129" s="38"/>
      <c r="AL129" s="197"/>
      <c r="AM129" s="197"/>
    </row>
    <row r="130" spans="1:39" x14ac:dyDescent="0.25">
      <c r="A130" s="385">
        <v>184</v>
      </c>
      <c r="B130" s="155"/>
      <c r="C130" s="135"/>
      <c r="D130" s="121"/>
      <c r="E130" s="121"/>
      <c r="F130" s="118"/>
      <c r="G130" s="121"/>
      <c r="H130" s="390"/>
      <c r="I130" s="37"/>
      <c r="J130" s="390"/>
      <c r="K130" s="371"/>
      <c r="L130" s="121"/>
      <c r="M130" s="121"/>
      <c r="N130" s="121"/>
      <c r="O130" s="121"/>
      <c r="P130" s="172"/>
      <c r="Q130" s="37"/>
      <c r="R130" s="131"/>
      <c r="S130" s="118"/>
      <c r="T130" s="118"/>
      <c r="U130" s="1"/>
      <c r="V130" s="118"/>
      <c r="W130" s="57"/>
      <c r="X130" s="57"/>
      <c r="Y130" s="37"/>
      <c r="Z130" s="118"/>
      <c r="AA130" s="118"/>
      <c r="AB130" s="1"/>
      <c r="AC130" s="1"/>
      <c r="AD130" s="1"/>
      <c r="AE130" s="118"/>
      <c r="AF130" s="118"/>
      <c r="AG130" s="118"/>
      <c r="AH130" s="118"/>
      <c r="AI130" s="118"/>
      <c r="AJ130" s="37"/>
      <c r="AK130" s="38"/>
      <c r="AL130" s="197"/>
      <c r="AM130" s="197"/>
    </row>
    <row r="131" spans="1:39" x14ac:dyDescent="0.25">
      <c r="A131" s="385">
        <v>185</v>
      </c>
      <c r="B131" s="390"/>
      <c r="C131" s="155"/>
      <c r="D131" s="135"/>
      <c r="E131" s="1"/>
      <c r="F131" s="390"/>
      <c r="G131" s="118"/>
      <c r="H131" s="390"/>
      <c r="I131" s="37"/>
      <c r="J131" s="390"/>
      <c r="K131" s="118"/>
      <c r="L131" s="118"/>
      <c r="M131" s="118"/>
      <c r="N131" s="131"/>
      <c r="O131" s="1"/>
      <c r="P131" s="172"/>
      <c r="Q131" s="37"/>
      <c r="R131" s="131"/>
      <c r="S131" s="1"/>
      <c r="T131" s="118"/>
      <c r="U131" s="1"/>
      <c r="V131" s="118"/>
      <c r="W131" s="57"/>
      <c r="X131" s="57"/>
      <c r="Y131" s="37"/>
      <c r="Z131" s="1"/>
      <c r="AA131" s="387"/>
      <c r="AB131" s="1"/>
      <c r="AC131" s="1"/>
      <c r="AD131" s="1"/>
      <c r="AE131" s="118"/>
      <c r="AF131" s="118"/>
      <c r="AG131" s="118"/>
      <c r="AH131" s="118"/>
      <c r="AI131" s="118"/>
      <c r="AJ131" s="37"/>
      <c r="AK131" s="38"/>
      <c r="AL131" s="197"/>
      <c r="AM131" s="197"/>
    </row>
    <row r="132" spans="1:39" x14ac:dyDescent="0.25">
      <c r="A132" s="385">
        <v>186</v>
      </c>
      <c r="B132" s="131"/>
      <c r="C132" s="131"/>
      <c r="D132" s="155"/>
      <c r="E132" s="118"/>
      <c r="F132" s="390"/>
      <c r="G132" s="121"/>
      <c r="H132" s="121"/>
      <c r="I132" s="37"/>
      <c r="J132" s="121"/>
      <c r="K132" s="121"/>
      <c r="L132" s="121"/>
      <c r="M132" s="121"/>
      <c r="N132" s="121"/>
      <c r="O132" s="120"/>
      <c r="P132" s="172"/>
      <c r="Q132" s="37"/>
      <c r="R132" s="12"/>
      <c r="S132" s="118"/>
      <c r="T132" s="118"/>
      <c r="U132" s="1"/>
      <c r="V132" s="118"/>
      <c r="W132" s="57"/>
      <c r="X132" s="57"/>
      <c r="Y132" s="37"/>
      <c r="Z132" s="118"/>
      <c r="AA132" s="118"/>
      <c r="AB132" s="1"/>
      <c r="AC132" s="1"/>
      <c r="AD132" s="1"/>
      <c r="AE132" s="1"/>
      <c r="AF132" s="118"/>
      <c r="AG132" s="118"/>
      <c r="AH132" s="118"/>
      <c r="AI132" s="118"/>
      <c r="AJ132" s="37"/>
      <c r="AK132" s="38"/>
      <c r="AL132" s="197"/>
      <c r="AM132" s="197"/>
    </row>
    <row r="133" spans="1:39" x14ac:dyDescent="0.25">
      <c r="A133" s="385">
        <v>187</v>
      </c>
      <c r="B133" s="390"/>
      <c r="C133" s="390"/>
      <c r="D133" s="390"/>
      <c r="E133" s="390"/>
      <c r="F133" s="390"/>
      <c r="G133" s="390"/>
      <c r="H133" s="390"/>
      <c r="I133" s="111"/>
      <c r="J133" s="390"/>
      <c r="K133" s="390"/>
      <c r="L133" s="390"/>
      <c r="M133" s="390"/>
      <c r="N133" s="390"/>
      <c r="O133" s="390"/>
      <c r="P133" s="390"/>
      <c r="Q133" s="111"/>
      <c r="R133" s="390"/>
      <c r="S133" s="390"/>
      <c r="T133" s="390"/>
      <c r="U133" s="390"/>
      <c r="V133" s="389"/>
      <c r="W133" s="387"/>
      <c r="X133" s="387"/>
      <c r="Y133" s="111"/>
      <c r="Z133" s="387"/>
      <c r="AA133" s="387"/>
      <c r="AB133" s="387"/>
      <c r="AC133" s="387"/>
      <c r="AD133" s="387"/>
      <c r="AE133" s="387"/>
      <c r="AF133" s="387"/>
      <c r="AG133" s="387"/>
      <c r="AH133" s="387"/>
      <c r="AI133" s="387"/>
      <c r="AJ133" s="111"/>
      <c r="AK133" s="38"/>
      <c r="AL133" s="197"/>
      <c r="AM133" s="197"/>
    </row>
    <row r="134" spans="1:39" x14ac:dyDescent="0.25">
      <c r="A134" s="385">
        <v>188</v>
      </c>
      <c r="B134" s="131"/>
      <c r="C134" s="12"/>
      <c r="D134" s="131"/>
      <c r="E134" s="118"/>
      <c r="F134" s="390"/>
      <c r="G134" s="121"/>
      <c r="H134" s="121"/>
      <c r="I134" s="37"/>
      <c r="J134" s="121"/>
      <c r="K134" s="121"/>
      <c r="L134" s="121"/>
      <c r="M134" s="121"/>
      <c r="N134" s="130"/>
      <c r="O134" s="118"/>
      <c r="P134" s="172"/>
      <c r="Q134" s="37"/>
      <c r="R134" s="131"/>
      <c r="S134" s="118"/>
      <c r="T134" s="118"/>
      <c r="U134" s="1"/>
      <c r="V134" s="118"/>
      <c r="W134" s="57"/>
      <c r="X134" s="57"/>
      <c r="Y134" s="37"/>
      <c r="Z134" s="118"/>
      <c r="AA134" s="118"/>
      <c r="AB134" s="1"/>
      <c r="AC134" s="1"/>
      <c r="AD134" s="1"/>
      <c r="AE134" s="118"/>
      <c r="AF134" s="118"/>
      <c r="AG134" s="118"/>
      <c r="AH134" s="118"/>
      <c r="AI134" s="118"/>
      <c r="AJ134" s="37"/>
      <c r="AK134" s="38"/>
      <c r="AL134" s="197"/>
      <c r="AM134" s="197"/>
    </row>
    <row r="135" spans="1:39" x14ac:dyDescent="0.25">
      <c r="A135" s="385">
        <v>189</v>
      </c>
      <c r="B135" s="155"/>
      <c r="C135" s="390"/>
      <c r="D135" s="131"/>
      <c r="E135" s="118"/>
      <c r="F135" s="121"/>
      <c r="G135" s="118"/>
      <c r="H135" s="121"/>
      <c r="I135" s="37"/>
      <c r="J135" s="118"/>
      <c r="K135" s="1"/>
      <c r="L135" s="1"/>
      <c r="M135" s="118"/>
      <c r="N135" s="118"/>
      <c r="O135" s="118"/>
      <c r="P135" s="172"/>
      <c r="Q135" s="37"/>
      <c r="R135" s="155"/>
      <c r="S135" s="118"/>
      <c r="T135" s="1"/>
      <c r="U135" s="1"/>
      <c r="V135" s="118"/>
      <c r="W135" s="57"/>
      <c r="X135" s="57"/>
      <c r="Y135" s="37"/>
      <c r="Z135" s="118"/>
      <c r="AA135" s="118"/>
      <c r="AB135" s="1"/>
      <c r="AC135" s="1"/>
      <c r="AD135" s="1"/>
      <c r="AE135" s="118"/>
      <c r="AF135" s="1"/>
      <c r="AG135" s="118"/>
      <c r="AH135" s="118"/>
      <c r="AI135" s="118"/>
      <c r="AJ135" s="37"/>
      <c r="AK135" s="38"/>
      <c r="AL135" s="197"/>
      <c r="AM135" s="197"/>
    </row>
    <row r="136" spans="1:39" x14ac:dyDescent="0.25">
      <c r="A136" s="385">
        <v>190</v>
      </c>
      <c r="B136" s="390"/>
      <c r="C136" s="155"/>
      <c r="D136" s="135"/>
      <c r="E136" s="118"/>
      <c r="F136" s="1"/>
      <c r="G136" s="121"/>
      <c r="H136" s="1"/>
      <c r="I136" s="37"/>
      <c r="J136" s="121"/>
      <c r="K136" s="121"/>
      <c r="L136" s="390"/>
      <c r="M136" s="390"/>
      <c r="N136" s="121"/>
      <c r="O136" s="121"/>
      <c r="P136" s="172"/>
      <c r="Q136" s="37"/>
      <c r="R136" s="12"/>
      <c r="S136" s="118"/>
      <c r="T136" s="118"/>
      <c r="U136" s="1"/>
      <c r="V136" s="1"/>
      <c r="W136" s="57"/>
      <c r="X136" s="57"/>
      <c r="Y136" s="37"/>
      <c r="Z136" s="118"/>
      <c r="AA136" s="118"/>
      <c r="AB136" s="1"/>
      <c r="AC136" s="1"/>
      <c r="AD136" s="1"/>
      <c r="AE136" s="118"/>
      <c r="AF136" s="118"/>
      <c r="AG136" s="118"/>
      <c r="AH136" s="118"/>
      <c r="AI136" s="118"/>
      <c r="AJ136" s="37"/>
      <c r="AK136" s="38"/>
      <c r="AL136" s="197"/>
      <c r="AM136" s="197"/>
    </row>
    <row r="137" spans="1:39" x14ac:dyDescent="0.25">
      <c r="A137" s="385">
        <v>191</v>
      </c>
      <c r="B137" s="131"/>
      <c r="C137" s="121"/>
      <c r="D137" s="155"/>
      <c r="E137" s="121"/>
      <c r="F137" s="121"/>
      <c r="G137" s="121"/>
      <c r="H137" s="121"/>
      <c r="I137" s="37"/>
      <c r="J137" s="121"/>
      <c r="K137" s="121"/>
      <c r="L137" s="121"/>
      <c r="M137" s="121"/>
      <c r="N137" s="121"/>
      <c r="O137" s="118"/>
      <c r="P137" s="172"/>
      <c r="Q137" s="37"/>
      <c r="R137" s="155"/>
      <c r="S137" s="118"/>
      <c r="T137" s="118"/>
      <c r="U137" s="1"/>
      <c r="V137" s="131"/>
      <c r="W137" s="57"/>
      <c r="X137" s="57"/>
      <c r="Y137" s="37"/>
      <c r="Z137" s="118"/>
      <c r="AA137" s="118"/>
      <c r="AB137" s="1"/>
      <c r="AC137" s="1"/>
      <c r="AD137" s="1"/>
      <c r="AE137" s="118"/>
      <c r="AF137" s="1"/>
      <c r="AG137" s="118"/>
      <c r="AH137" s="118"/>
      <c r="AI137" s="118"/>
      <c r="AJ137" s="37"/>
      <c r="AK137" s="38"/>
      <c r="AL137" s="197"/>
      <c r="AM137" s="197"/>
    </row>
    <row r="138" spans="1:39" x14ac:dyDescent="0.25">
      <c r="A138" s="385">
        <v>192</v>
      </c>
      <c r="B138" s="131"/>
      <c r="C138" s="155"/>
      <c r="D138" s="121"/>
      <c r="E138" s="121"/>
      <c r="F138" s="121"/>
      <c r="G138" s="121"/>
      <c r="H138" s="121"/>
      <c r="I138" s="37"/>
      <c r="J138" s="390"/>
      <c r="K138" s="390"/>
      <c r="L138" s="390"/>
      <c r="M138" s="390"/>
      <c r="N138" s="390"/>
      <c r="O138" s="390"/>
      <c r="P138" s="390"/>
      <c r="Q138" s="111"/>
      <c r="R138" s="172"/>
      <c r="S138" s="118"/>
      <c r="T138" s="390"/>
      <c r="U138" s="1"/>
      <c r="V138" s="390"/>
      <c r="W138" s="57"/>
      <c r="X138" s="390"/>
      <c r="Y138" s="37"/>
      <c r="Z138" s="387"/>
      <c r="AA138" s="118"/>
      <c r="AB138" s="1"/>
      <c r="AC138" s="1"/>
      <c r="AD138" s="1"/>
      <c r="AE138" s="118"/>
      <c r="AF138" s="118"/>
      <c r="AG138" s="118"/>
      <c r="AH138" s="118"/>
      <c r="AI138" s="118"/>
      <c r="AJ138" s="37"/>
      <c r="AK138" s="38"/>
      <c r="AL138" s="197"/>
      <c r="AM138" s="197"/>
    </row>
    <row r="139" spans="1:39" x14ac:dyDescent="0.25">
      <c r="A139" s="385">
        <v>193</v>
      </c>
      <c r="B139" s="131"/>
      <c r="C139" s="135"/>
      <c r="D139" s="131"/>
      <c r="E139" s="121"/>
      <c r="F139" s="118"/>
      <c r="G139" s="118"/>
      <c r="H139" s="118"/>
      <c r="I139" s="37"/>
      <c r="J139" s="121"/>
      <c r="K139" s="121"/>
      <c r="L139" s="118"/>
      <c r="M139" s="118"/>
      <c r="N139" s="118"/>
      <c r="O139" s="118"/>
      <c r="P139" s="172"/>
      <c r="Q139" s="37"/>
      <c r="R139" s="131"/>
      <c r="S139" s="1"/>
      <c r="T139" s="118"/>
      <c r="U139" s="1"/>
      <c r="V139" s="118"/>
      <c r="W139" s="57"/>
      <c r="X139" s="57"/>
      <c r="Y139" s="37"/>
      <c r="Z139" s="118"/>
      <c r="AA139" s="118"/>
      <c r="AB139" s="1"/>
      <c r="AC139" s="1"/>
      <c r="AD139" s="1"/>
      <c r="AE139" s="118"/>
      <c r="AF139" s="118"/>
      <c r="AG139" s="118"/>
      <c r="AH139" s="118"/>
      <c r="AI139" s="118"/>
      <c r="AJ139" s="37"/>
      <c r="AK139" s="38"/>
      <c r="AL139" s="197"/>
      <c r="AM139" s="197"/>
    </row>
    <row r="140" spans="1:39" x14ac:dyDescent="0.25">
      <c r="A140" s="385">
        <v>194</v>
      </c>
      <c r="B140" s="135"/>
      <c r="C140" s="155"/>
      <c r="D140" s="121"/>
      <c r="E140" s="118"/>
      <c r="F140" s="121"/>
      <c r="G140" s="118"/>
      <c r="H140" s="118"/>
      <c r="I140" s="37"/>
      <c r="J140" s="118"/>
      <c r="K140" s="1"/>
      <c r="L140" s="118"/>
      <c r="M140" s="118"/>
      <c r="N140" s="12"/>
      <c r="O140" s="120"/>
      <c r="P140" s="172"/>
      <c r="Q140" s="37"/>
      <c r="R140" s="131"/>
      <c r="S140" s="390"/>
      <c r="T140" s="118"/>
      <c r="U140" s="1"/>
      <c r="V140" s="118"/>
      <c r="W140" s="57"/>
      <c r="X140" s="57"/>
      <c r="Y140" s="37"/>
      <c r="Z140" s="118"/>
      <c r="AA140" s="1"/>
      <c r="AB140" s="387"/>
      <c r="AC140" s="1"/>
      <c r="AD140" s="1"/>
      <c r="AE140" s="118"/>
      <c r="AF140" s="118"/>
      <c r="AG140" s="118"/>
      <c r="AH140" s="118"/>
      <c r="AI140" s="118"/>
      <c r="AJ140" s="40"/>
      <c r="AK140" s="41"/>
      <c r="AL140" s="197"/>
      <c r="AM140" s="197"/>
    </row>
    <row r="141" spans="1:39" x14ac:dyDescent="0.25">
      <c r="A141" s="385">
        <v>195</v>
      </c>
      <c r="B141" s="131"/>
      <c r="C141" s="135"/>
      <c r="D141" s="121"/>
      <c r="E141" s="118"/>
      <c r="F141" s="121"/>
      <c r="G141" s="121"/>
      <c r="H141" s="121"/>
      <c r="I141" s="37"/>
      <c r="J141" s="121"/>
      <c r="K141" s="121"/>
      <c r="L141" s="371"/>
      <c r="M141" s="121"/>
      <c r="N141" s="121"/>
      <c r="O141" s="161"/>
      <c r="P141" s="172"/>
      <c r="Q141" s="37"/>
      <c r="R141" s="12"/>
      <c r="S141" s="118"/>
      <c r="T141" s="118"/>
      <c r="U141" s="1"/>
      <c r="V141" s="390"/>
      <c r="W141" s="57"/>
      <c r="X141" s="57"/>
      <c r="Y141" s="37"/>
      <c r="Z141" s="118"/>
      <c r="AA141" s="1"/>
      <c r="AB141" s="1"/>
      <c r="AC141" s="1"/>
      <c r="AD141" s="1"/>
      <c r="AE141" s="118"/>
      <c r="AF141" s="118"/>
      <c r="AG141" s="118"/>
      <c r="AH141" s="118"/>
      <c r="AI141" s="118"/>
      <c r="AJ141" s="37"/>
      <c r="AK141" s="38"/>
      <c r="AL141" s="197"/>
      <c r="AM141" s="197"/>
    </row>
    <row r="142" spans="1:39" x14ac:dyDescent="0.25">
      <c r="A142" s="385">
        <v>196</v>
      </c>
      <c r="B142" s="12"/>
      <c r="C142" s="155"/>
      <c r="D142" s="121"/>
      <c r="E142" s="121"/>
      <c r="F142" s="121"/>
      <c r="G142" s="121"/>
      <c r="H142" s="121"/>
      <c r="I142" s="37"/>
      <c r="J142" s="121"/>
      <c r="K142" s="120"/>
      <c r="L142" s="121"/>
      <c r="M142" s="121"/>
      <c r="N142" s="121"/>
      <c r="O142" s="390"/>
      <c r="P142" s="390"/>
      <c r="Q142" s="37"/>
      <c r="R142" s="390"/>
      <c r="S142" s="176"/>
      <c r="T142" s="1"/>
      <c r="U142" s="1"/>
      <c r="V142" s="118"/>
      <c r="W142" s="57"/>
      <c r="X142" s="57"/>
      <c r="Y142" s="37"/>
      <c r="Z142" s="118"/>
      <c r="AA142" s="118"/>
      <c r="AB142" s="1"/>
      <c r="AC142" s="1"/>
      <c r="AD142" s="1"/>
      <c r="AE142" s="118"/>
      <c r="AF142" s="118"/>
      <c r="AG142" s="118"/>
      <c r="AH142" s="118"/>
      <c r="AI142" s="118"/>
      <c r="AJ142" s="37"/>
      <c r="AK142" s="38"/>
      <c r="AL142" s="197"/>
      <c r="AM142" s="197"/>
    </row>
    <row r="143" spans="1:39" x14ac:dyDescent="0.25">
      <c r="A143" s="385">
        <v>197</v>
      </c>
      <c r="B143" s="131"/>
      <c r="C143" s="155"/>
      <c r="D143" s="155"/>
      <c r="E143" s="118"/>
      <c r="F143" s="121"/>
      <c r="G143" s="118"/>
      <c r="H143" s="121"/>
      <c r="I143" s="37"/>
      <c r="J143" s="12"/>
      <c r="K143" s="118"/>
      <c r="L143" s="121"/>
      <c r="M143" s="118"/>
      <c r="N143" s="118"/>
      <c r="O143" s="121"/>
      <c r="P143" s="172"/>
      <c r="Q143" s="37"/>
      <c r="R143" s="131"/>
      <c r="S143" s="118"/>
      <c r="T143" s="118"/>
      <c r="U143" s="1"/>
      <c r="V143" s="118"/>
      <c r="W143" s="57"/>
      <c r="X143" s="57"/>
      <c r="Y143" s="37"/>
      <c r="Z143" s="118"/>
      <c r="AA143" s="1"/>
      <c r="AB143" s="1"/>
      <c r="AC143" s="1"/>
      <c r="AD143" s="1"/>
      <c r="AE143" s="118"/>
      <c r="AF143" s="1"/>
      <c r="AG143" s="118"/>
      <c r="AH143" s="118"/>
      <c r="AI143" s="118"/>
      <c r="AJ143" s="37"/>
      <c r="AK143" s="38"/>
      <c r="AL143" s="197"/>
      <c r="AM143" s="212" t="s">
        <v>40</v>
      </c>
    </row>
    <row r="144" spans="1:39" x14ac:dyDescent="0.25">
      <c r="A144" s="385">
        <v>198</v>
      </c>
      <c r="B144" s="131"/>
      <c r="C144" s="121"/>
      <c r="D144" s="121"/>
      <c r="E144" s="121"/>
      <c r="F144" s="121"/>
      <c r="G144" s="121"/>
      <c r="H144" s="121"/>
      <c r="I144" s="37"/>
      <c r="J144" s="121"/>
      <c r="K144" s="371"/>
      <c r="L144" s="121"/>
      <c r="M144" s="121"/>
      <c r="N144" s="121"/>
      <c r="O144" s="121"/>
      <c r="P144" s="172"/>
      <c r="Q144" s="37"/>
      <c r="R144" s="131"/>
      <c r="S144" s="118"/>
      <c r="T144" s="118"/>
      <c r="U144" s="1"/>
      <c r="V144" s="118"/>
      <c r="W144" s="57"/>
      <c r="X144" s="57"/>
      <c r="Y144" s="37"/>
      <c r="Z144" s="118"/>
      <c r="AA144" s="118"/>
      <c r="AB144" s="1"/>
      <c r="AC144" s="1"/>
      <c r="AD144" s="1"/>
      <c r="AE144" s="118"/>
      <c r="AF144" s="118"/>
      <c r="AG144" s="118"/>
      <c r="AH144" s="118"/>
      <c r="AI144" s="118"/>
      <c r="AJ144" s="37"/>
      <c r="AK144" s="38"/>
      <c r="AL144" s="197"/>
      <c r="AM144" s="197"/>
    </row>
    <row r="145" spans="1:39" x14ac:dyDescent="0.25">
      <c r="A145" s="385">
        <v>199</v>
      </c>
      <c r="B145" s="131"/>
      <c r="C145" s="131"/>
      <c r="D145" s="12"/>
      <c r="E145" s="1"/>
      <c r="F145" s="118"/>
      <c r="G145" s="1"/>
      <c r="H145" s="118"/>
      <c r="I145" s="37"/>
      <c r="J145" s="118"/>
      <c r="K145" s="118"/>
      <c r="L145" s="135"/>
      <c r="M145" s="121"/>
      <c r="N145" s="121"/>
      <c r="O145" s="118"/>
      <c r="P145" s="172"/>
      <c r="Q145" s="37"/>
      <c r="R145" s="131"/>
      <c r="S145" s="118"/>
      <c r="T145" s="390"/>
      <c r="U145" s="1"/>
      <c r="V145" s="118"/>
      <c r="W145" s="57"/>
      <c r="X145" s="57"/>
      <c r="Y145" s="37"/>
      <c r="Z145" s="118"/>
      <c r="AA145" s="118"/>
      <c r="AB145" s="1"/>
      <c r="AC145" s="387"/>
      <c r="AD145" s="387"/>
      <c r="AE145" s="387"/>
      <c r="AF145" s="193"/>
      <c r="AG145" s="118"/>
      <c r="AH145" s="118"/>
      <c r="AI145" s="118"/>
      <c r="AJ145" s="37"/>
      <c r="AK145" s="38"/>
      <c r="AL145" s="197"/>
      <c r="AM145" s="197"/>
    </row>
    <row r="146" spans="1:39" x14ac:dyDescent="0.25">
      <c r="A146" s="385">
        <v>200</v>
      </c>
      <c r="B146" s="390"/>
      <c r="C146" s="390"/>
      <c r="D146" s="390"/>
      <c r="E146" s="390"/>
      <c r="F146" s="390"/>
      <c r="G146" s="390"/>
      <c r="H146" s="390"/>
      <c r="I146" s="111"/>
      <c r="J146" s="390"/>
      <c r="K146" s="390"/>
      <c r="L146" s="390"/>
      <c r="M146" s="390"/>
      <c r="N146" s="390"/>
      <c r="O146" s="390"/>
      <c r="P146" s="390"/>
      <c r="Q146" s="111"/>
      <c r="R146" s="390"/>
      <c r="S146" s="390"/>
      <c r="T146" s="390"/>
      <c r="U146" s="390"/>
      <c r="V146" s="389"/>
      <c r="W146" s="387"/>
      <c r="X146" s="387"/>
      <c r="Y146" s="111"/>
      <c r="Z146" s="387"/>
      <c r="AA146" s="387"/>
      <c r="AB146" s="387"/>
      <c r="AC146" s="387"/>
      <c r="AD146" s="387"/>
      <c r="AE146" s="387"/>
      <c r="AF146" s="387"/>
      <c r="AG146" s="387"/>
      <c r="AH146" s="387"/>
      <c r="AI146" s="387"/>
      <c r="AJ146" s="111"/>
      <c r="AK146" s="38"/>
      <c r="AL146" s="197"/>
      <c r="AM146" s="197"/>
    </row>
    <row r="147" spans="1:39" x14ac:dyDescent="0.25">
      <c r="A147" s="385">
        <v>201</v>
      </c>
      <c r="B147" s="12"/>
      <c r="C147" s="121"/>
      <c r="D147" s="121"/>
      <c r="E147" s="1"/>
      <c r="F147" s="118"/>
      <c r="G147" s="121"/>
      <c r="H147" s="118"/>
      <c r="I147" s="37"/>
      <c r="J147" s="118"/>
      <c r="K147" s="121"/>
      <c r="L147" s="121"/>
      <c r="M147" s="121"/>
      <c r="N147" s="118"/>
      <c r="O147" s="118"/>
      <c r="P147" s="172"/>
      <c r="Q147" s="37"/>
      <c r="R147" s="131"/>
      <c r="S147" s="118"/>
      <c r="T147" s="118"/>
      <c r="U147" s="1"/>
      <c r="V147" s="118"/>
      <c r="W147" s="57"/>
      <c r="X147" s="57"/>
      <c r="Y147" s="37"/>
      <c r="Z147" s="118"/>
      <c r="AA147" s="118"/>
      <c r="AB147" s="1"/>
      <c r="AC147" s="1"/>
      <c r="AD147" s="1"/>
      <c r="AE147" s="118"/>
      <c r="AF147" s="118"/>
      <c r="AG147" s="118"/>
      <c r="AH147" s="118"/>
      <c r="AI147" s="118"/>
      <c r="AJ147" s="37"/>
      <c r="AK147" s="38"/>
      <c r="AL147" s="197"/>
      <c r="AM147" s="197"/>
    </row>
    <row r="148" spans="1:39" x14ac:dyDescent="0.25">
      <c r="A148" s="385">
        <v>202</v>
      </c>
      <c r="B148" s="121"/>
      <c r="C148" s="121"/>
      <c r="D148" s="155"/>
      <c r="E148" s="1"/>
      <c r="F148" s="121"/>
      <c r="G148" s="121"/>
      <c r="H148" s="390"/>
      <c r="I148" s="37"/>
      <c r="J148" s="118"/>
      <c r="K148" s="118"/>
      <c r="L148" s="118"/>
      <c r="M148" s="121"/>
      <c r="N148" s="57"/>
      <c r="O148" s="118"/>
      <c r="P148" s="172"/>
      <c r="Q148" s="37"/>
      <c r="R148" s="131"/>
      <c r="S148" s="118"/>
      <c r="T148" s="118"/>
      <c r="U148" s="1"/>
      <c r="V148" s="118"/>
      <c r="W148" s="57"/>
      <c r="X148" s="57"/>
      <c r="Y148" s="37"/>
      <c r="Z148" s="387"/>
      <c r="AA148" s="387"/>
      <c r="AB148" s="1"/>
      <c r="AC148" s="387"/>
      <c r="AD148" s="1"/>
      <c r="AE148" s="211"/>
      <c r="AF148" s="387"/>
      <c r="AG148" s="118"/>
      <c r="AH148" s="118"/>
      <c r="AI148" s="118"/>
      <c r="AJ148" s="37"/>
      <c r="AK148" s="38"/>
      <c r="AL148" s="197"/>
      <c r="AM148" s="197"/>
    </row>
    <row r="149" spans="1:39" x14ac:dyDescent="0.25">
      <c r="A149" s="385">
        <v>203</v>
      </c>
      <c r="B149" s="390"/>
      <c r="C149" s="155"/>
      <c r="D149" s="121"/>
      <c r="E149" s="121"/>
      <c r="F149" s="121"/>
      <c r="G149" s="121"/>
      <c r="H149" s="121"/>
      <c r="I149" s="37"/>
      <c r="J149" s="121"/>
      <c r="K149" s="121"/>
      <c r="L149" s="121"/>
      <c r="M149" s="121"/>
      <c r="N149" s="121"/>
      <c r="O149" s="121"/>
      <c r="P149" s="205"/>
      <c r="Q149" s="37"/>
      <c r="R149" s="131"/>
      <c r="S149" s="1"/>
      <c r="T149" s="118"/>
      <c r="U149" s="1"/>
      <c r="V149" s="118"/>
      <c r="W149" s="57"/>
      <c r="X149" s="57"/>
      <c r="Y149" s="37"/>
      <c r="Z149" s="118"/>
      <c r="AA149" s="1"/>
      <c r="AB149" s="1"/>
      <c r="AC149" s="1"/>
      <c r="AD149" s="1"/>
      <c r="AE149" s="118"/>
      <c r="AF149" s="118"/>
      <c r="AG149" s="118"/>
      <c r="AH149" s="118"/>
      <c r="AI149" s="118"/>
      <c r="AJ149" s="37"/>
      <c r="AK149" s="38"/>
      <c r="AL149" s="197"/>
      <c r="AM149" s="197"/>
    </row>
    <row r="150" spans="1:39" x14ac:dyDescent="0.25">
      <c r="A150" s="383">
        <v>204</v>
      </c>
      <c r="B150" s="155"/>
      <c r="C150" s="155"/>
      <c r="D150" s="121"/>
      <c r="E150" s="121"/>
      <c r="F150" s="1"/>
      <c r="G150" s="121"/>
      <c r="H150" s="1"/>
      <c r="I150" s="37"/>
      <c r="J150" s="121"/>
      <c r="K150" s="118"/>
      <c r="L150" s="118"/>
      <c r="M150" s="118"/>
      <c r="N150" s="118"/>
      <c r="O150" s="120"/>
      <c r="P150" s="172"/>
      <c r="Q150" s="37"/>
      <c r="R150" s="131"/>
      <c r="S150" s="118"/>
      <c r="T150" s="118"/>
      <c r="U150" s="1"/>
      <c r="V150" s="118"/>
      <c r="W150" s="57"/>
      <c r="X150" s="57"/>
      <c r="Y150" s="37"/>
      <c r="Z150" s="118"/>
      <c r="AA150" s="118"/>
      <c r="AB150" s="1"/>
      <c r="AC150" s="1"/>
      <c r="AD150" s="1"/>
      <c r="AE150" s="118"/>
      <c r="AF150" s="118"/>
      <c r="AG150" s="118"/>
      <c r="AH150" s="118"/>
      <c r="AI150" s="118"/>
      <c r="AJ150" s="37"/>
      <c r="AK150" s="38"/>
      <c r="AL150" s="176"/>
      <c r="AM150" s="197"/>
    </row>
    <row r="151" spans="1:39" x14ac:dyDescent="0.25">
      <c r="A151" s="383">
        <v>205</v>
      </c>
      <c r="B151" s="155"/>
      <c r="C151" s="121"/>
      <c r="D151" s="121"/>
      <c r="E151" s="121"/>
      <c r="F151" s="121"/>
      <c r="G151" s="121"/>
      <c r="H151" s="121"/>
      <c r="I151" s="37"/>
      <c r="J151" s="121"/>
      <c r="K151" s="121"/>
      <c r="L151" s="121"/>
      <c r="M151" s="121"/>
      <c r="N151" s="121"/>
      <c r="O151" s="121"/>
      <c r="P151" s="172"/>
      <c r="Q151" s="37"/>
      <c r="R151" s="131"/>
      <c r="S151" s="118"/>
      <c r="T151" s="118"/>
      <c r="U151" s="1"/>
      <c r="V151" s="118"/>
      <c r="W151" s="57"/>
      <c r="X151" s="57"/>
      <c r="Y151" s="37"/>
      <c r="Z151" s="118"/>
      <c r="AA151" s="118"/>
      <c r="AB151" s="1"/>
      <c r="AC151" s="1"/>
      <c r="AD151" s="1"/>
      <c r="AE151" s="118"/>
      <c r="AF151" s="118"/>
      <c r="AG151" s="118"/>
      <c r="AH151" s="118"/>
      <c r="AI151" s="118"/>
      <c r="AJ151" s="37"/>
      <c r="AK151" s="38"/>
      <c r="AL151" s="197"/>
      <c r="AM151" s="197"/>
    </row>
    <row r="152" spans="1:39" x14ac:dyDescent="0.25">
      <c r="A152" s="383">
        <v>206</v>
      </c>
      <c r="B152" s="131"/>
      <c r="C152" s="121"/>
      <c r="D152" s="121"/>
      <c r="E152" s="118"/>
      <c r="F152" s="121"/>
      <c r="G152" s="121"/>
      <c r="H152" s="118"/>
      <c r="I152" s="37"/>
      <c r="J152" s="121"/>
      <c r="K152" s="121"/>
      <c r="L152" s="121"/>
      <c r="M152" s="121"/>
      <c r="N152" s="121"/>
      <c r="O152" s="121"/>
      <c r="P152" s="172"/>
      <c r="Q152" s="37"/>
      <c r="R152" s="12"/>
      <c r="S152" s="118"/>
      <c r="T152" s="1"/>
      <c r="U152" s="1"/>
      <c r="V152" s="118"/>
      <c r="W152" s="57"/>
      <c r="X152" s="57"/>
      <c r="Y152" s="37"/>
      <c r="Z152" s="1"/>
      <c r="AA152" s="118"/>
      <c r="AB152" s="1"/>
      <c r="AC152" s="1"/>
      <c r="AD152" s="1"/>
      <c r="AE152" s="118"/>
      <c r="AF152" s="1"/>
      <c r="AG152" s="118"/>
      <c r="AH152" s="118"/>
      <c r="AI152" s="118"/>
      <c r="AJ152" s="37"/>
      <c r="AK152" s="38"/>
      <c r="AL152" s="197"/>
      <c r="AM152" s="197"/>
    </row>
    <row r="153" spans="1:39" x14ac:dyDescent="0.25">
      <c r="A153" s="383">
        <v>207</v>
      </c>
      <c r="B153" s="155"/>
      <c r="C153" s="390"/>
      <c r="D153" s="155"/>
      <c r="E153" s="121"/>
      <c r="F153" s="121"/>
      <c r="G153" s="121"/>
      <c r="H153" s="118"/>
      <c r="I153" s="37"/>
      <c r="J153" s="121"/>
      <c r="K153" s="121"/>
      <c r="L153" s="121"/>
      <c r="M153" s="121"/>
      <c r="N153" s="121"/>
      <c r="O153" s="120"/>
      <c r="P153" s="172"/>
      <c r="Q153" s="37"/>
      <c r="R153" s="131"/>
      <c r="S153" s="118"/>
      <c r="T153" s="118"/>
      <c r="U153" s="1"/>
      <c r="V153" s="118"/>
      <c r="W153" s="57"/>
      <c r="X153" s="57"/>
      <c r="Y153" s="37"/>
      <c r="Z153" s="118"/>
      <c r="AA153" s="118"/>
      <c r="AB153" s="1"/>
      <c r="AC153" s="1"/>
      <c r="AD153" s="1"/>
      <c r="AE153" s="118"/>
      <c r="AF153" s="118"/>
      <c r="AG153" s="118"/>
      <c r="AH153" s="118"/>
      <c r="AI153" s="118"/>
      <c r="AJ153" s="37"/>
      <c r="AK153" s="38"/>
      <c r="AL153" s="197"/>
      <c r="AM153" s="197"/>
    </row>
    <row r="154" spans="1:39" x14ac:dyDescent="0.25">
      <c r="A154" s="383">
        <v>208</v>
      </c>
      <c r="B154" s="131"/>
      <c r="C154" s="135"/>
      <c r="D154" s="155"/>
      <c r="E154" s="121"/>
      <c r="F154" s="118"/>
      <c r="G154" s="118"/>
      <c r="H154" s="118"/>
      <c r="I154" s="37"/>
      <c r="J154" s="118"/>
      <c r="K154" s="118"/>
      <c r="L154" s="118"/>
      <c r="M154" s="121"/>
      <c r="N154" s="118"/>
      <c r="O154" s="118"/>
      <c r="P154" s="172"/>
      <c r="Q154" s="37"/>
      <c r="R154" s="131"/>
      <c r="S154" s="118"/>
      <c r="T154" s="118"/>
      <c r="U154" s="1"/>
      <c r="V154" s="1"/>
      <c r="W154" s="57"/>
      <c r="X154" s="57"/>
      <c r="Y154" s="37"/>
      <c r="Z154" s="118"/>
      <c r="AA154" s="118"/>
      <c r="AB154" s="1"/>
      <c r="AC154" s="1"/>
      <c r="AD154" s="1"/>
      <c r="AE154" s="118"/>
      <c r="AF154" s="118"/>
      <c r="AG154" s="118"/>
      <c r="AH154" s="118"/>
      <c r="AI154" s="118"/>
      <c r="AJ154" s="37"/>
      <c r="AK154" s="38"/>
      <c r="AL154" s="197"/>
      <c r="AM154" s="197"/>
    </row>
    <row r="155" spans="1:39" x14ac:dyDescent="0.25">
      <c r="A155" s="383">
        <v>209</v>
      </c>
      <c r="B155" s="155"/>
      <c r="C155" s="155"/>
      <c r="D155" s="121"/>
      <c r="E155" s="121"/>
      <c r="F155" s="121"/>
      <c r="G155" s="121"/>
      <c r="H155" s="121"/>
      <c r="I155" s="37"/>
      <c r="J155" s="121"/>
      <c r="K155" s="121"/>
      <c r="L155" s="121"/>
      <c r="M155" s="121"/>
      <c r="N155" s="121"/>
      <c r="O155" s="121"/>
      <c r="P155" s="205"/>
      <c r="Q155" s="37"/>
      <c r="R155" s="131"/>
      <c r="S155" s="118"/>
      <c r="T155" s="118"/>
      <c r="U155" s="1"/>
      <c r="V155" s="118"/>
      <c r="W155" s="57"/>
      <c r="X155" s="57"/>
      <c r="Y155" s="37"/>
      <c r="Z155" s="118"/>
      <c r="AA155" s="118"/>
      <c r="AB155" s="1"/>
      <c r="AC155" s="1"/>
      <c r="AD155" s="387"/>
      <c r="AE155" s="185"/>
      <c r="AF155" s="118"/>
      <c r="AG155" s="118"/>
      <c r="AH155" s="118"/>
      <c r="AI155" s="118"/>
      <c r="AJ155" s="37"/>
      <c r="AK155" s="38"/>
      <c r="AL155" s="197"/>
      <c r="AM155" s="197"/>
    </row>
    <row r="156" spans="1:39" x14ac:dyDescent="0.25">
      <c r="A156" s="383">
        <v>210</v>
      </c>
      <c r="B156" s="131"/>
      <c r="C156" s="135"/>
      <c r="D156" s="121"/>
      <c r="E156" s="121"/>
      <c r="F156" s="1"/>
      <c r="G156" s="121"/>
      <c r="H156" s="121"/>
      <c r="I156" s="37"/>
      <c r="J156" s="121"/>
      <c r="K156" s="121"/>
      <c r="L156" s="390"/>
      <c r="M156" s="121"/>
      <c r="N156" s="121"/>
      <c r="O156" s="120"/>
      <c r="P156" s="205"/>
      <c r="Q156" s="37"/>
      <c r="R156" s="131"/>
      <c r="S156" s="118"/>
      <c r="T156" s="118"/>
      <c r="U156" s="1"/>
      <c r="V156" s="118"/>
      <c r="W156" s="57"/>
      <c r="X156" s="57"/>
      <c r="Y156" s="37"/>
      <c r="Z156" s="118"/>
      <c r="AA156" s="118"/>
      <c r="AB156" s="1"/>
      <c r="AC156" s="1"/>
      <c r="AD156" s="1"/>
      <c r="AE156" s="1"/>
      <c r="AF156" s="118"/>
      <c r="AG156" s="118"/>
      <c r="AH156" s="118"/>
      <c r="AI156" s="118"/>
      <c r="AJ156" s="37"/>
      <c r="AK156" s="38"/>
      <c r="AL156" s="197"/>
      <c r="AM156" s="197"/>
    </row>
    <row r="157" spans="1:39" x14ac:dyDescent="0.25">
      <c r="A157" s="383">
        <v>211</v>
      </c>
      <c r="B157" s="155"/>
      <c r="C157" s="155"/>
      <c r="D157" s="121"/>
      <c r="E157" s="121"/>
      <c r="F157" s="118"/>
      <c r="G157" s="121"/>
      <c r="H157" s="118"/>
      <c r="I157" s="37"/>
      <c r="J157" s="121"/>
      <c r="K157" s="121"/>
      <c r="L157" s="121"/>
      <c r="M157" s="121"/>
      <c r="N157" s="121"/>
      <c r="O157" s="121"/>
      <c r="P157" s="172"/>
      <c r="Q157" s="37"/>
      <c r="R157" s="131"/>
      <c r="S157" s="118"/>
      <c r="T157" s="118"/>
      <c r="U157" s="1"/>
      <c r="V157" s="118"/>
      <c r="W157" s="57"/>
      <c r="X157" s="57"/>
      <c r="Y157" s="37"/>
      <c r="Z157" s="118"/>
      <c r="AA157" s="1"/>
      <c r="AB157" s="1"/>
      <c r="AC157" s="1"/>
      <c r="AD157" s="1"/>
      <c r="AE157" s="118"/>
      <c r="AF157" s="1"/>
      <c r="AG157" s="118"/>
      <c r="AH157" s="118"/>
      <c r="AI157" s="118"/>
      <c r="AJ157" s="37"/>
      <c r="AK157" s="38"/>
      <c r="AL157" s="197"/>
      <c r="AM157" s="197"/>
    </row>
    <row r="158" spans="1:39" x14ac:dyDescent="0.25">
      <c r="A158" s="383">
        <v>212</v>
      </c>
      <c r="B158" s="121"/>
      <c r="C158" s="155"/>
      <c r="D158" s="390"/>
      <c r="E158" s="118"/>
      <c r="F158" s="118"/>
      <c r="G158" s="118"/>
      <c r="H158" s="121"/>
      <c r="I158" s="37"/>
      <c r="J158" s="121"/>
      <c r="K158" s="121"/>
      <c r="L158" s="121"/>
      <c r="M158" s="121"/>
      <c r="N158" s="121"/>
      <c r="O158" s="120"/>
      <c r="P158" s="172"/>
      <c r="Q158" s="37"/>
      <c r="R158" s="131"/>
      <c r="S158" s="118"/>
      <c r="T158" s="118"/>
      <c r="U158" s="1"/>
      <c r="V158" s="118"/>
      <c r="W158" s="57"/>
      <c r="X158" s="57"/>
      <c r="Y158" s="37"/>
      <c r="Z158" s="118"/>
      <c r="AA158" s="118"/>
      <c r="AB158" s="1"/>
      <c r="AC158" s="1"/>
      <c r="AD158" s="1"/>
      <c r="AE158" s="118"/>
      <c r="AF158" s="118"/>
      <c r="AG158" s="118"/>
      <c r="AH158" s="118"/>
      <c r="AI158" s="118"/>
      <c r="AJ158" s="37"/>
      <c r="AK158" s="38"/>
      <c r="AL158" s="197"/>
      <c r="AM158" s="197"/>
    </row>
    <row r="159" spans="1:39" ht="18.75" x14ac:dyDescent="0.3">
      <c r="A159" s="383">
        <v>213</v>
      </c>
      <c r="B159" s="135"/>
      <c r="C159" s="121"/>
      <c r="D159" s="121"/>
      <c r="E159" s="121"/>
      <c r="F159" s="118"/>
      <c r="G159" s="121"/>
      <c r="H159" s="121"/>
      <c r="I159" s="37"/>
      <c r="J159" s="121"/>
      <c r="K159" s="121"/>
      <c r="L159" s="121"/>
      <c r="M159" s="121"/>
      <c r="N159" s="121"/>
      <c r="O159" s="120"/>
      <c r="P159" s="172"/>
      <c r="Q159" s="37"/>
      <c r="R159" s="131"/>
      <c r="S159" s="118"/>
      <c r="T159" s="118"/>
      <c r="U159" s="1"/>
      <c r="V159" s="118"/>
      <c r="W159" s="57"/>
      <c r="X159" s="57"/>
      <c r="Y159" s="37"/>
      <c r="Z159" s="1"/>
      <c r="AA159" s="118"/>
      <c r="AB159" s="1"/>
      <c r="AC159" s="1"/>
      <c r="AD159" s="1"/>
      <c r="AE159" s="118"/>
      <c r="AF159" s="118"/>
      <c r="AG159" s="118"/>
      <c r="AH159" s="118"/>
      <c r="AI159" s="118"/>
      <c r="AJ159" s="37"/>
      <c r="AK159" s="339"/>
      <c r="AL159" s="197"/>
      <c r="AM159" s="197"/>
    </row>
    <row r="160" spans="1:39" ht="18.75" x14ac:dyDescent="0.3">
      <c r="A160" s="383">
        <v>214</v>
      </c>
      <c r="B160" s="131"/>
      <c r="C160" s="121"/>
      <c r="D160" s="121"/>
      <c r="E160" s="121"/>
      <c r="F160" s="121"/>
      <c r="G160" s="121"/>
      <c r="H160" s="121"/>
      <c r="I160" s="37"/>
      <c r="J160" s="121"/>
      <c r="K160" s="1"/>
      <c r="L160" s="121"/>
      <c r="M160" s="121"/>
      <c r="N160" s="121"/>
      <c r="O160" s="390"/>
      <c r="P160" s="172"/>
      <c r="Q160" s="37"/>
      <c r="R160" s="131"/>
      <c r="S160" s="118"/>
      <c r="T160" s="118"/>
      <c r="U160" s="1"/>
      <c r="V160" s="118"/>
      <c r="W160" s="57"/>
      <c r="X160" s="57"/>
      <c r="Y160" s="37"/>
      <c r="Z160" s="118"/>
      <c r="AA160" s="118"/>
      <c r="AB160" s="1"/>
      <c r="AC160" s="1"/>
      <c r="AD160" s="1"/>
      <c r="AE160" s="118"/>
      <c r="AF160" s="118"/>
      <c r="AG160" s="118"/>
      <c r="AH160" s="118"/>
      <c r="AI160" s="118"/>
      <c r="AJ160" s="37"/>
      <c r="AK160" s="339"/>
      <c r="AL160" s="197"/>
      <c r="AM160" s="197"/>
    </row>
    <row r="161" spans="1:39" ht="18.75" x14ac:dyDescent="0.3">
      <c r="A161" s="383">
        <v>215</v>
      </c>
      <c r="B161" s="131"/>
      <c r="C161" s="135"/>
      <c r="D161" s="121"/>
      <c r="E161" s="121"/>
      <c r="F161" s="118"/>
      <c r="G161" s="121"/>
      <c r="H161" s="121"/>
      <c r="I161" s="37"/>
      <c r="J161" s="121"/>
      <c r="K161" s="121"/>
      <c r="L161" s="121"/>
      <c r="M161" s="121"/>
      <c r="N161" s="121"/>
      <c r="O161" s="121"/>
      <c r="P161" s="172"/>
      <c r="Q161" s="37"/>
      <c r="R161" s="131"/>
      <c r="S161" s="118"/>
      <c r="T161" s="118"/>
      <c r="U161" s="1"/>
      <c r="V161" s="118"/>
      <c r="W161" s="57"/>
      <c r="X161" s="57"/>
      <c r="Y161" s="37"/>
      <c r="Z161" s="118"/>
      <c r="AA161" s="1"/>
      <c r="AB161" s="1"/>
      <c r="AC161" s="1"/>
      <c r="AD161" s="1"/>
      <c r="AE161" s="118"/>
      <c r="AF161" s="118"/>
      <c r="AG161" s="118"/>
      <c r="AH161" s="118"/>
      <c r="AI161" s="118"/>
      <c r="AJ161" s="37"/>
      <c r="AK161" s="339"/>
      <c r="AL161" s="197"/>
      <c r="AM161" s="197"/>
    </row>
    <row r="162" spans="1:39" ht="15.75" thickBot="1" x14ac:dyDescent="0.3">
      <c r="A162" s="384">
        <v>216</v>
      </c>
      <c r="B162" s="152"/>
      <c r="C162" s="171"/>
      <c r="D162" s="128"/>
      <c r="E162" s="128"/>
      <c r="F162" s="128"/>
      <c r="G162" s="390"/>
      <c r="H162" s="128"/>
      <c r="I162" s="43"/>
      <c r="J162" s="128"/>
      <c r="K162" s="390"/>
      <c r="L162" s="390"/>
      <c r="M162" s="390"/>
      <c r="N162" s="128"/>
      <c r="O162" s="122"/>
      <c r="P162" s="206"/>
      <c r="Q162" s="43"/>
      <c r="R162" s="152"/>
      <c r="S162" s="119"/>
      <c r="T162" s="119"/>
      <c r="U162" s="123"/>
      <c r="V162" s="119"/>
      <c r="W162" s="178"/>
      <c r="X162" s="178"/>
      <c r="Y162" s="43"/>
      <c r="Z162" s="387"/>
      <c r="AA162" s="119"/>
      <c r="AB162" s="123"/>
      <c r="AC162" s="123"/>
      <c r="AD162" s="123"/>
      <c r="AE162" s="119"/>
      <c r="AF162" s="119"/>
      <c r="AG162" s="119"/>
      <c r="AH162" s="119"/>
      <c r="AI162" s="119"/>
      <c r="AJ162" s="43"/>
      <c r="AK162" s="44"/>
      <c r="AL162" s="204"/>
      <c r="AM162" s="197"/>
    </row>
    <row r="163" spans="1:39" ht="18.75" x14ac:dyDescent="0.3">
      <c r="A163" s="281" t="s">
        <v>2</v>
      </c>
      <c r="B163" s="163"/>
      <c r="C163" s="163"/>
      <c r="D163" s="163"/>
      <c r="E163" s="163"/>
      <c r="F163" s="163"/>
      <c r="G163" s="163"/>
      <c r="H163" s="163"/>
      <c r="I163" s="158"/>
      <c r="J163" s="163"/>
      <c r="K163" s="163"/>
      <c r="L163" s="163"/>
      <c r="M163" s="163"/>
      <c r="N163" s="163"/>
      <c r="O163" s="163"/>
      <c r="P163" s="163"/>
      <c r="Q163" s="221"/>
      <c r="R163" s="163"/>
      <c r="S163" s="163"/>
      <c r="T163" s="163"/>
      <c r="U163" s="163"/>
      <c r="V163" s="163"/>
      <c r="W163" s="163"/>
      <c r="X163" s="163"/>
      <c r="Y163" s="221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262"/>
      <c r="AK163" s="263"/>
      <c r="AL163" s="235"/>
      <c r="AM163" s="197"/>
    </row>
    <row r="164" spans="1:39" ht="15.75" thickBot="1" x14ac:dyDescent="0.3">
      <c r="A164" s="264"/>
      <c r="B164" s="265"/>
      <c r="C164" s="265"/>
      <c r="D164" s="265"/>
      <c r="E164" s="265"/>
      <c r="F164" s="265"/>
      <c r="G164" s="265"/>
      <c r="H164" s="265"/>
      <c r="I164" s="56"/>
      <c r="J164" s="265"/>
      <c r="K164" s="265"/>
      <c r="L164" s="265"/>
      <c r="M164" s="265"/>
      <c r="N164" s="265"/>
      <c r="O164" s="265"/>
      <c r="P164" s="265"/>
      <c r="Q164" s="56"/>
      <c r="R164" s="265"/>
      <c r="S164" s="265"/>
      <c r="T164" s="265"/>
      <c r="U164" s="265"/>
      <c r="V164" s="265"/>
      <c r="W164" s="265"/>
      <c r="X164" s="265"/>
      <c r="Y164" s="56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56"/>
      <c r="AK164" s="225"/>
      <c r="AL164" s="228"/>
      <c r="AM164" s="197"/>
    </row>
    <row r="165" spans="1:39" ht="24" thickBot="1" x14ac:dyDescent="0.4">
      <c r="A165" s="252" t="s">
        <v>181</v>
      </c>
      <c r="B165" s="258"/>
      <c r="C165" s="258"/>
      <c r="D165" s="258"/>
      <c r="E165" s="258"/>
      <c r="F165" s="258"/>
      <c r="G165" s="254"/>
      <c r="H165" s="254"/>
      <c r="I165" s="259"/>
      <c r="J165" s="259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60"/>
      <c r="AK165" s="261"/>
      <c r="AL165" s="255"/>
      <c r="AM165" s="197"/>
    </row>
    <row r="166" spans="1:39" ht="15.75" x14ac:dyDescent="0.25">
      <c r="A166" s="320" t="s">
        <v>8</v>
      </c>
      <c r="B166" s="326"/>
      <c r="C166" s="326"/>
      <c r="D166" s="326"/>
      <c r="E166" s="326"/>
      <c r="F166" s="326"/>
      <c r="G166" s="326"/>
      <c r="H166" s="326"/>
      <c r="I166" s="323"/>
      <c r="J166" s="326"/>
      <c r="K166" s="326"/>
      <c r="L166" s="326"/>
      <c r="M166" s="326"/>
      <c r="N166" s="326"/>
      <c r="O166" s="326"/>
      <c r="P166" s="326"/>
      <c r="Q166" s="323"/>
      <c r="R166" s="326"/>
      <c r="S166" s="326"/>
      <c r="T166" s="326"/>
      <c r="U166" s="326"/>
      <c r="V166" s="326"/>
      <c r="W166" s="326"/>
      <c r="X166" s="326"/>
      <c r="Y166" s="323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4"/>
      <c r="AK166" s="325"/>
      <c r="AL166" s="327"/>
      <c r="AM166" s="197"/>
    </row>
    <row r="167" spans="1:39" x14ac:dyDescent="0.25">
      <c r="A167" s="67" t="s">
        <v>9</v>
      </c>
      <c r="B167" s="1"/>
      <c r="C167" s="1"/>
      <c r="D167" s="1"/>
      <c r="E167" s="1"/>
      <c r="F167" s="1"/>
      <c r="G167" s="1"/>
      <c r="H167" s="1"/>
      <c r="I167" s="36"/>
      <c r="J167" s="1"/>
      <c r="K167" s="1"/>
      <c r="L167" s="173"/>
      <c r="M167" s="1"/>
      <c r="N167" s="1"/>
      <c r="O167" s="1"/>
      <c r="P167" s="1"/>
      <c r="Q167" s="36"/>
      <c r="R167" s="1"/>
      <c r="S167" s="1"/>
      <c r="T167" s="1"/>
      <c r="U167" s="1"/>
      <c r="V167" s="173"/>
      <c r="W167" s="173"/>
      <c r="X167" s="173"/>
      <c r="Y167" s="36"/>
      <c r="Z167" s="1"/>
      <c r="AA167" s="1"/>
      <c r="AB167" s="173"/>
      <c r="AC167" s="173"/>
      <c r="AD167" s="173"/>
      <c r="AE167" s="1"/>
      <c r="AF167" s="1"/>
      <c r="AG167" s="1"/>
      <c r="AH167" s="1"/>
      <c r="AI167" s="1"/>
      <c r="AJ167" s="37"/>
      <c r="AK167" s="38"/>
      <c r="AL167" s="197"/>
      <c r="AM167" s="197"/>
    </row>
    <row r="168" spans="1:39" x14ac:dyDescent="0.25">
      <c r="A168" s="67" t="s">
        <v>10</v>
      </c>
      <c r="B168" s="118"/>
      <c r="C168" s="118"/>
      <c r="D168" s="118"/>
      <c r="E168" s="118"/>
      <c r="F168" s="118"/>
      <c r="G168" s="118"/>
      <c r="H168" s="118"/>
      <c r="I168" s="37"/>
      <c r="J168" s="2"/>
      <c r="K168" s="2"/>
      <c r="L168" s="211"/>
      <c r="M168" s="2"/>
      <c r="N168" s="2"/>
      <c r="O168" s="2"/>
      <c r="P168" s="336"/>
      <c r="Q168" s="37"/>
      <c r="R168" s="118"/>
      <c r="S168" s="118"/>
      <c r="T168" s="118"/>
      <c r="U168" s="2"/>
      <c r="V168" s="211"/>
      <c r="W168" s="211"/>
      <c r="X168" s="211"/>
      <c r="Y168" s="37"/>
      <c r="Z168" s="118"/>
      <c r="AA168" s="118"/>
      <c r="AB168" s="211"/>
      <c r="AC168" s="211"/>
      <c r="AD168" s="211"/>
      <c r="AE168" s="2"/>
      <c r="AF168" s="2"/>
      <c r="AG168" s="2"/>
      <c r="AH168" s="2"/>
      <c r="AI168" s="2"/>
      <c r="AJ168" s="37"/>
      <c r="AK168" s="38"/>
      <c r="AL168" s="197"/>
      <c r="AM168" s="197"/>
    </row>
    <row r="169" spans="1:39" ht="18.75" x14ac:dyDescent="0.3">
      <c r="A169" s="67" t="s">
        <v>45</v>
      </c>
      <c r="B169" s="118"/>
      <c r="C169" s="118"/>
      <c r="D169" s="118"/>
      <c r="E169" s="118"/>
      <c r="F169" s="118"/>
      <c r="G169" s="118"/>
      <c r="H169" s="118"/>
      <c r="I169" s="37"/>
      <c r="J169" s="2"/>
      <c r="K169" s="2"/>
      <c r="L169" s="211"/>
      <c r="M169" s="2"/>
      <c r="N169" s="2"/>
      <c r="O169" s="2"/>
      <c r="P169" s="336"/>
      <c r="Q169" s="37"/>
      <c r="R169" s="118"/>
      <c r="S169" s="118"/>
      <c r="T169" s="118"/>
      <c r="U169" s="2"/>
      <c r="V169" s="211"/>
      <c r="W169" s="211"/>
      <c r="X169" s="211"/>
      <c r="Y169" s="37"/>
      <c r="Z169" s="118"/>
      <c r="AA169" s="118"/>
      <c r="AB169" s="211"/>
      <c r="AC169" s="211"/>
      <c r="AD169" s="211"/>
      <c r="AE169" s="2"/>
      <c r="AF169" s="2"/>
      <c r="AG169" s="2"/>
      <c r="AH169" s="2"/>
      <c r="AI169" s="2"/>
      <c r="AJ169" s="37"/>
      <c r="AK169" s="339"/>
      <c r="AL169" s="197"/>
      <c r="AM169" s="197"/>
    </row>
    <row r="170" spans="1:39" ht="18.75" x14ac:dyDescent="0.3">
      <c r="A170" s="67" t="s">
        <v>11</v>
      </c>
      <c r="B170" s="118"/>
      <c r="C170" s="118"/>
      <c r="D170" s="118"/>
      <c r="E170" s="118"/>
      <c r="F170" s="118"/>
      <c r="G170" s="118"/>
      <c r="H170" s="118"/>
      <c r="I170" s="37"/>
      <c r="J170" s="2"/>
      <c r="K170" s="118"/>
      <c r="L170" s="211"/>
      <c r="M170" s="118"/>
      <c r="N170" s="118"/>
      <c r="O170" s="2"/>
      <c r="P170" s="1"/>
      <c r="Q170" s="37"/>
      <c r="R170" s="118"/>
      <c r="S170" s="118"/>
      <c r="T170" s="118"/>
      <c r="U170" s="2"/>
      <c r="V170" s="211"/>
      <c r="W170" s="211"/>
      <c r="X170" s="211"/>
      <c r="Y170" s="37"/>
      <c r="Z170" s="118"/>
      <c r="AA170" s="118"/>
      <c r="AB170" s="211"/>
      <c r="AC170" s="211"/>
      <c r="AD170" s="211"/>
      <c r="AE170" s="1"/>
      <c r="AF170" s="2"/>
      <c r="AG170" s="2"/>
      <c r="AH170" s="2"/>
      <c r="AI170" s="2"/>
      <c r="AJ170" s="37"/>
      <c r="AK170" s="339"/>
      <c r="AL170" s="197"/>
      <c r="AM170" s="197"/>
    </row>
    <row r="171" spans="1:39" ht="18.75" x14ac:dyDescent="0.3">
      <c r="A171" s="67" t="s">
        <v>12</v>
      </c>
      <c r="B171" s="118"/>
      <c r="C171" s="118"/>
      <c r="D171" s="118"/>
      <c r="E171" s="118"/>
      <c r="F171" s="118"/>
      <c r="G171" s="118"/>
      <c r="H171" s="118"/>
      <c r="I171" s="37"/>
      <c r="J171" s="118"/>
      <c r="K171" s="118"/>
      <c r="L171" s="211"/>
      <c r="M171" s="2"/>
      <c r="N171" s="2"/>
      <c r="O171" s="118"/>
      <c r="P171" s="1"/>
      <c r="Q171" s="37"/>
      <c r="R171" s="118"/>
      <c r="S171" s="118"/>
      <c r="T171" s="118"/>
      <c r="U171" s="1"/>
      <c r="V171" s="211"/>
      <c r="W171" s="211"/>
      <c r="X171" s="211"/>
      <c r="Y171" s="37"/>
      <c r="Z171" s="118"/>
      <c r="AA171" s="118"/>
      <c r="AB171" s="211"/>
      <c r="AC171" s="211"/>
      <c r="AD171" s="211"/>
      <c r="AE171" s="2"/>
      <c r="AF171" s="1"/>
      <c r="AG171" s="2"/>
      <c r="AH171" s="2"/>
      <c r="AI171" s="2"/>
      <c r="AJ171" s="37"/>
      <c r="AK171" s="339"/>
      <c r="AL171" s="197"/>
      <c r="AM171" s="197"/>
    </row>
    <row r="172" spans="1:39" ht="15.75" thickBot="1" x14ac:dyDescent="0.3">
      <c r="A172" s="63" t="s">
        <v>79</v>
      </c>
      <c r="B172" s="119"/>
      <c r="C172" s="123"/>
      <c r="D172" s="119"/>
      <c r="E172" s="119"/>
      <c r="F172" s="119"/>
      <c r="G172" s="119"/>
      <c r="H172" s="119"/>
      <c r="I172" s="43"/>
      <c r="J172" s="119"/>
      <c r="K172" s="119"/>
      <c r="L172" s="200"/>
      <c r="M172" s="119"/>
      <c r="N172" s="119"/>
      <c r="O172" s="42"/>
      <c r="P172" s="123"/>
      <c r="Q172" s="43"/>
      <c r="R172" s="119"/>
      <c r="S172" s="119"/>
      <c r="T172" s="119"/>
      <c r="U172" s="42"/>
      <c r="V172" s="200"/>
      <c r="W172" s="200"/>
      <c r="X172" s="200"/>
      <c r="Y172" s="43"/>
      <c r="Z172" s="119"/>
      <c r="AA172" s="119"/>
      <c r="AB172" s="200"/>
      <c r="AC172" s="200"/>
      <c r="AD172" s="200"/>
      <c r="AE172" s="119"/>
      <c r="AF172" s="42"/>
      <c r="AG172" s="42"/>
      <c r="AH172" s="42"/>
      <c r="AI172" s="42"/>
      <c r="AJ172" s="43"/>
      <c r="AK172" s="44"/>
      <c r="AL172" s="204"/>
      <c r="AM172" s="197"/>
    </row>
    <row r="173" spans="1:39" ht="19.5" thickBot="1" x14ac:dyDescent="0.35">
      <c r="A173" s="281" t="s">
        <v>2</v>
      </c>
      <c r="B173" s="241"/>
      <c r="C173" s="241"/>
      <c r="D173" s="241"/>
      <c r="E173" s="241"/>
      <c r="F173" s="241"/>
      <c r="G173" s="241"/>
      <c r="H173" s="241"/>
      <c r="I173" s="221"/>
      <c r="J173" s="241"/>
      <c r="K173" s="241"/>
      <c r="L173" s="241"/>
      <c r="M173" s="241"/>
      <c r="N173" s="191"/>
      <c r="O173" s="191"/>
      <c r="P173" s="241"/>
      <c r="Q173" s="221"/>
      <c r="R173" s="241"/>
      <c r="S173" s="241"/>
      <c r="T173" s="241"/>
      <c r="U173" s="241"/>
      <c r="V173" s="241"/>
      <c r="W173" s="241"/>
      <c r="X173" s="241"/>
      <c r="Y173" s="221"/>
      <c r="Z173" s="241"/>
      <c r="AA173" s="191"/>
      <c r="AB173" s="241"/>
      <c r="AC173" s="241"/>
      <c r="AD173" s="241"/>
      <c r="AE173" s="241"/>
      <c r="AF173" s="241"/>
      <c r="AG173" s="191"/>
      <c r="AH173" s="191"/>
      <c r="AI173" s="191"/>
      <c r="AJ173" s="262"/>
      <c r="AK173" s="263"/>
      <c r="AL173" s="284"/>
      <c r="AM173" s="104"/>
    </row>
    <row r="174" spans="1:39" ht="15.75" thickBot="1" x14ac:dyDescent="0.3">
      <c r="A174" s="264"/>
      <c r="B174" s="348"/>
      <c r="C174" s="348"/>
      <c r="D174" s="348"/>
      <c r="E174" s="348"/>
      <c r="F174" s="348"/>
      <c r="G174" s="348"/>
      <c r="H174" s="348"/>
      <c r="I174" s="56"/>
      <c r="J174" s="348"/>
      <c r="K174" s="348"/>
      <c r="L174" s="348"/>
      <c r="M174" s="348"/>
      <c r="N174" s="348"/>
      <c r="O174" s="348"/>
      <c r="P174" s="348"/>
      <c r="Q174" s="56"/>
      <c r="R174" s="348"/>
      <c r="S174" s="348"/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228"/>
      <c r="AM174" s="183"/>
    </row>
    <row r="175" spans="1:39" ht="24" thickBot="1" x14ac:dyDescent="0.4">
      <c r="A175" s="252" t="s">
        <v>182</v>
      </c>
      <c r="B175" s="258"/>
      <c r="C175" s="258"/>
      <c r="D175" s="258"/>
      <c r="E175" s="258"/>
      <c r="F175" s="258"/>
      <c r="G175" s="254"/>
      <c r="H175" s="254"/>
      <c r="I175" s="259"/>
      <c r="J175" s="259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60"/>
      <c r="AK175" s="261"/>
      <c r="AL175" s="260"/>
      <c r="AM175" s="208"/>
    </row>
    <row r="176" spans="1:39" ht="15.75" x14ac:dyDescent="0.25">
      <c r="A176" s="320" t="s">
        <v>8</v>
      </c>
      <c r="B176" s="326"/>
      <c r="C176" s="326"/>
      <c r="D176" s="326"/>
      <c r="E176" s="326"/>
      <c r="F176" s="326"/>
      <c r="G176" s="326"/>
      <c r="H176" s="326"/>
      <c r="I176" s="323"/>
      <c r="J176" s="326"/>
      <c r="K176" s="326"/>
      <c r="L176" s="326"/>
      <c r="M176" s="326"/>
      <c r="N176" s="326"/>
      <c r="O176" s="326"/>
      <c r="P176" s="326"/>
      <c r="Q176" s="323"/>
      <c r="R176" s="326"/>
      <c r="S176" s="326"/>
      <c r="T176" s="326"/>
      <c r="U176" s="326"/>
      <c r="V176" s="326"/>
      <c r="W176" s="326"/>
      <c r="X176" s="326"/>
      <c r="Y176" s="323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4"/>
      <c r="AK176" s="325"/>
      <c r="AL176" s="327"/>
      <c r="AM176" s="198" t="s">
        <v>42</v>
      </c>
    </row>
    <row r="177" spans="1:39" ht="18.75" x14ac:dyDescent="0.3">
      <c r="A177" s="67" t="s">
        <v>29</v>
      </c>
      <c r="B177" s="118"/>
      <c r="C177" s="118"/>
      <c r="D177" s="118"/>
      <c r="E177" s="118"/>
      <c r="F177" s="118"/>
      <c r="G177" s="118"/>
      <c r="H177" s="118"/>
      <c r="I177" s="37"/>
      <c r="J177" s="118"/>
      <c r="K177" s="118"/>
      <c r="L177" s="161"/>
      <c r="M177" s="118"/>
      <c r="N177" s="118"/>
      <c r="O177" s="2"/>
      <c r="P177" s="2"/>
      <c r="Q177" s="37"/>
      <c r="R177" s="161"/>
      <c r="S177" s="118"/>
      <c r="T177" s="118"/>
      <c r="U177" s="118"/>
      <c r="V177" s="118"/>
      <c r="W177" s="57"/>
      <c r="X177" s="57"/>
      <c r="Y177" s="37"/>
      <c r="Z177" s="118"/>
      <c r="AA177" s="118"/>
      <c r="AB177" s="161"/>
      <c r="AC177" s="161"/>
      <c r="AD177" s="161"/>
      <c r="AE177" s="2"/>
      <c r="AF177" s="2"/>
      <c r="AG177" s="2"/>
      <c r="AH177" s="2"/>
      <c r="AI177" s="2"/>
      <c r="AJ177" s="37"/>
      <c r="AK177" s="339"/>
      <c r="AL177" s="197"/>
      <c r="AM177" s="197"/>
    </row>
    <row r="178" spans="1:39" ht="18.75" x14ac:dyDescent="0.3">
      <c r="A178" s="67" t="s">
        <v>13</v>
      </c>
      <c r="B178" s="118"/>
      <c r="C178" s="1"/>
      <c r="D178" s="118"/>
      <c r="E178" s="118"/>
      <c r="F178" s="118"/>
      <c r="G178" s="118"/>
      <c r="H178" s="118"/>
      <c r="I178" s="37"/>
      <c r="J178" s="2"/>
      <c r="K178" s="2"/>
      <c r="L178" s="161"/>
      <c r="M178" s="2"/>
      <c r="N178" s="2"/>
      <c r="O178" s="118"/>
      <c r="P178" s="118"/>
      <c r="Q178" s="37"/>
      <c r="R178" s="161"/>
      <c r="S178" s="2"/>
      <c r="T178" s="2"/>
      <c r="U178" s="2"/>
      <c r="V178" s="2"/>
      <c r="W178" s="57"/>
      <c r="X178" s="57"/>
      <c r="Y178" s="37"/>
      <c r="Z178" s="2"/>
      <c r="AA178" s="2"/>
      <c r="AB178" s="161"/>
      <c r="AC178" s="161"/>
      <c r="AD178" s="161"/>
      <c r="AE178" s="1"/>
      <c r="AF178" s="118"/>
      <c r="AG178" s="2"/>
      <c r="AH178" s="2"/>
      <c r="AI178" s="2"/>
      <c r="AJ178" s="37"/>
      <c r="AK178" s="339"/>
      <c r="AL178" s="197"/>
      <c r="AM178" s="197"/>
    </row>
    <row r="179" spans="1:39" ht="18.75" x14ac:dyDescent="0.3">
      <c r="A179" s="63" t="s">
        <v>14</v>
      </c>
      <c r="B179" s="119"/>
      <c r="C179" s="119"/>
      <c r="D179" s="119"/>
      <c r="E179" s="119"/>
      <c r="F179" s="119"/>
      <c r="G179" s="119"/>
      <c r="H179" s="119"/>
      <c r="I179" s="43"/>
      <c r="J179" s="42"/>
      <c r="K179" s="42"/>
      <c r="L179" s="177"/>
      <c r="M179" s="42"/>
      <c r="N179" s="42"/>
      <c r="O179" s="42"/>
      <c r="P179" s="42"/>
      <c r="Q179" s="43"/>
      <c r="R179" s="177"/>
      <c r="S179" s="42"/>
      <c r="T179" s="42"/>
      <c r="U179" s="42"/>
      <c r="V179" s="42"/>
      <c r="W179" s="178"/>
      <c r="X179" s="178"/>
      <c r="Y179" s="43"/>
      <c r="Z179" s="42"/>
      <c r="AA179" s="42"/>
      <c r="AB179" s="177"/>
      <c r="AC179" s="177"/>
      <c r="AD179" s="177"/>
      <c r="AE179" s="42"/>
      <c r="AF179" s="42"/>
      <c r="AG179" s="42"/>
      <c r="AH179" s="42"/>
      <c r="AI179" s="42"/>
      <c r="AJ179" s="43"/>
      <c r="AK179" s="342"/>
      <c r="AL179" s="204"/>
      <c r="AM179" s="197"/>
    </row>
    <row r="180" spans="1:39" ht="19.5" thickBot="1" x14ac:dyDescent="0.35">
      <c r="A180" s="349"/>
      <c r="B180" s="175"/>
      <c r="C180" s="175"/>
      <c r="D180" s="175"/>
      <c r="E180" s="175"/>
      <c r="F180" s="175"/>
      <c r="G180" s="175"/>
      <c r="H180" s="175"/>
      <c r="I180" s="127"/>
      <c r="J180" s="245"/>
      <c r="K180" s="245"/>
      <c r="L180" s="175"/>
      <c r="M180" s="245"/>
      <c r="N180" s="245"/>
      <c r="O180" s="245"/>
      <c r="P180" s="245"/>
      <c r="Q180" s="45"/>
      <c r="R180" s="175"/>
      <c r="S180" s="245"/>
      <c r="T180" s="245"/>
      <c r="U180" s="245"/>
      <c r="V180" s="245"/>
      <c r="W180" s="175"/>
      <c r="X180" s="175"/>
      <c r="Y180" s="45"/>
      <c r="Z180" s="245"/>
      <c r="AA180" s="245"/>
      <c r="AB180" s="438"/>
      <c r="AC180" s="438"/>
      <c r="AD180" s="438"/>
      <c r="AE180" s="245"/>
      <c r="AF180" s="245"/>
      <c r="AG180" s="245"/>
      <c r="AH180" s="245"/>
      <c r="AI180" s="245"/>
      <c r="AJ180" s="43"/>
      <c r="AK180" s="293"/>
      <c r="AL180" s="204"/>
      <c r="AM180" s="197"/>
    </row>
    <row r="181" spans="1:39" ht="18.75" x14ac:dyDescent="0.3">
      <c r="A181" s="281" t="s">
        <v>2</v>
      </c>
      <c r="B181" s="163"/>
      <c r="C181" s="163"/>
      <c r="D181" s="163"/>
      <c r="E181" s="163"/>
      <c r="F181" s="163"/>
      <c r="G181" s="163"/>
      <c r="H181" s="163"/>
      <c r="I181" s="221"/>
      <c r="J181" s="163"/>
      <c r="K181" s="163"/>
      <c r="L181" s="163"/>
      <c r="M181" s="163"/>
      <c r="N181" s="163"/>
      <c r="O181" s="163"/>
      <c r="P181" s="163"/>
      <c r="Q181" s="221"/>
      <c r="R181" s="163"/>
      <c r="S181" s="163"/>
      <c r="T181" s="163"/>
      <c r="U181" s="163"/>
      <c r="V181" s="163"/>
      <c r="W181" s="163"/>
      <c r="X181" s="163"/>
      <c r="Y181" s="221"/>
      <c r="Z181" s="163"/>
      <c r="AA181" s="163"/>
      <c r="AB181" s="163"/>
      <c r="AC181" s="163"/>
      <c r="AD181" s="163"/>
      <c r="AE181" s="163"/>
      <c r="AF181" s="163"/>
      <c r="AG181" s="50"/>
      <c r="AH181" s="50"/>
      <c r="AI181" s="50"/>
      <c r="AJ181" s="262"/>
      <c r="AK181" s="263"/>
      <c r="AL181" s="235"/>
      <c r="AM181" s="197"/>
    </row>
    <row r="182" spans="1:39" ht="15.75" thickBot="1" x14ac:dyDescent="0.3">
      <c r="A182" s="264"/>
      <c r="B182" s="265"/>
      <c r="C182" s="265"/>
      <c r="D182" s="265"/>
      <c r="E182" s="265"/>
      <c r="F182" s="265"/>
      <c r="G182" s="265"/>
      <c r="H182" s="265"/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  <c r="AM182" s="197"/>
    </row>
    <row r="183" spans="1:39" ht="24" thickBot="1" x14ac:dyDescent="0.4">
      <c r="A183" s="252" t="s">
        <v>183</v>
      </c>
      <c r="B183" s="258"/>
      <c r="C183" s="258"/>
      <c r="D183" s="258"/>
      <c r="E183" s="258"/>
      <c r="F183" s="258"/>
      <c r="G183" s="254"/>
      <c r="H183" s="254"/>
      <c r="I183" s="259"/>
      <c r="J183" s="259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60"/>
      <c r="AK183" s="261"/>
      <c r="AL183" s="260"/>
      <c r="AM183" s="197"/>
    </row>
    <row r="184" spans="1:39" ht="15.75" x14ac:dyDescent="0.25">
      <c r="A184" s="320" t="s">
        <v>8</v>
      </c>
      <c r="B184" s="326"/>
      <c r="C184" s="326"/>
      <c r="D184" s="326"/>
      <c r="E184" s="326"/>
      <c r="F184" s="326"/>
      <c r="G184" s="326"/>
      <c r="H184" s="326"/>
      <c r="I184" s="323"/>
      <c r="J184" s="326"/>
      <c r="K184" s="326"/>
      <c r="L184" s="326"/>
      <c r="M184" s="326"/>
      <c r="N184" s="326"/>
      <c r="O184" s="326"/>
      <c r="P184" s="326"/>
      <c r="Q184" s="323"/>
      <c r="R184" s="326"/>
      <c r="S184" s="326"/>
      <c r="T184" s="326"/>
      <c r="U184" s="326"/>
      <c r="V184" s="326"/>
      <c r="W184" s="326"/>
      <c r="X184" s="326"/>
      <c r="Y184" s="323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4"/>
      <c r="AK184" s="325"/>
      <c r="AL184" s="327"/>
      <c r="AM184" s="197"/>
    </row>
    <row r="185" spans="1:39" x14ac:dyDescent="0.25">
      <c r="A185" s="67" t="s">
        <v>32</v>
      </c>
      <c r="B185" s="118"/>
      <c r="C185" s="118"/>
      <c r="D185" s="1"/>
      <c r="E185" s="1"/>
      <c r="F185" s="118"/>
      <c r="G185" s="118"/>
      <c r="H185" s="118"/>
      <c r="I185" s="37"/>
      <c r="J185" s="118"/>
      <c r="K185" s="2"/>
      <c r="L185" s="1"/>
      <c r="M185" s="1"/>
      <c r="N185" s="1"/>
      <c r="O185" s="2"/>
      <c r="P185" s="2"/>
      <c r="Q185" s="37"/>
      <c r="R185" s="161"/>
      <c r="S185" s="2"/>
      <c r="T185" s="2"/>
      <c r="U185" s="2"/>
      <c r="V185" s="1"/>
      <c r="W185" s="57"/>
      <c r="X185" s="57"/>
      <c r="Y185" s="37"/>
      <c r="Z185" s="2"/>
      <c r="AA185" s="1"/>
      <c r="AB185" s="161"/>
      <c r="AC185" s="161"/>
      <c r="AD185" s="161"/>
      <c r="AE185" s="57"/>
      <c r="AF185" s="161"/>
      <c r="AG185" s="2"/>
      <c r="AH185" s="2"/>
      <c r="AI185" s="2"/>
      <c r="AJ185" s="37"/>
      <c r="AK185" s="38"/>
      <c r="AL185" s="197"/>
      <c r="AM185" s="197"/>
    </row>
    <row r="186" spans="1:39" x14ac:dyDescent="0.25">
      <c r="A186" s="67" t="s">
        <v>15</v>
      </c>
      <c r="B186" s="118"/>
      <c r="C186" s="118"/>
      <c r="D186" s="118"/>
      <c r="E186" s="118"/>
      <c r="F186" s="118"/>
      <c r="G186" s="118"/>
      <c r="H186" s="118"/>
      <c r="I186" s="37"/>
      <c r="J186" s="118"/>
      <c r="K186" s="2"/>
      <c r="L186" s="2"/>
      <c r="M186" s="336"/>
      <c r="N186" s="2"/>
      <c r="O186" s="2"/>
      <c r="P186" s="2"/>
      <c r="Q186" s="37"/>
      <c r="R186" s="161"/>
      <c r="S186" s="2"/>
      <c r="T186" s="2"/>
      <c r="U186" s="2"/>
      <c r="V186" s="2"/>
      <c r="W186" s="57"/>
      <c r="X186" s="57"/>
      <c r="Y186" s="37"/>
      <c r="Z186" s="1"/>
      <c r="AA186" s="2"/>
      <c r="AB186" s="161"/>
      <c r="AC186" s="161"/>
      <c r="AD186" s="161"/>
      <c r="AE186" s="161"/>
      <c r="AF186" s="161"/>
      <c r="AG186" s="2"/>
      <c r="AH186" s="2"/>
      <c r="AI186" s="2"/>
      <c r="AJ186" s="37"/>
      <c r="AK186" s="38"/>
      <c r="AL186" s="197"/>
      <c r="AM186" s="197"/>
    </row>
    <row r="187" spans="1:39" x14ac:dyDescent="0.25">
      <c r="A187" s="67" t="s">
        <v>34</v>
      </c>
      <c r="B187" s="118"/>
      <c r="C187" s="118"/>
      <c r="D187" s="118"/>
      <c r="E187" s="118"/>
      <c r="F187" s="118"/>
      <c r="G187" s="118"/>
      <c r="H187" s="118"/>
      <c r="I187" s="37"/>
      <c r="J187" s="118"/>
      <c r="K187" s="2"/>
      <c r="L187" s="2"/>
      <c r="M187" s="336"/>
      <c r="N187" s="2"/>
      <c r="O187" s="2"/>
      <c r="P187" s="2"/>
      <c r="Q187" s="37"/>
      <c r="R187" s="161"/>
      <c r="S187" s="2"/>
      <c r="T187" s="2"/>
      <c r="U187" s="2"/>
      <c r="V187" s="2"/>
      <c r="W187" s="57"/>
      <c r="X187" s="57"/>
      <c r="Y187" s="37"/>
      <c r="Z187" s="2"/>
      <c r="AA187" s="2"/>
      <c r="AB187" s="161"/>
      <c r="AC187" s="161"/>
      <c r="AD187" s="161"/>
      <c r="AE187" s="161"/>
      <c r="AF187" s="161"/>
      <c r="AG187" s="2"/>
      <c r="AH187" s="2"/>
      <c r="AI187" s="2"/>
      <c r="AJ187" s="37"/>
      <c r="AK187" s="38"/>
      <c r="AL187" s="197"/>
      <c r="AM187" s="197"/>
    </row>
    <row r="188" spans="1:39" x14ac:dyDescent="0.25">
      <c r="A188" s="67" t="s">
        <v>31</v>
      </c>
      <c r="B188" s="1"/>
      <c r="C188" s="118"/>
      <c r="D188" s="118"/>
      <c r="E188" s="118"/>
      <c r="F188" s="118"/>
      <c r="G188" s="118"/>
      <c r="H188" s="118"/>
      <c r="I188" s="37"/>
      <c r="J188" s="118"/>
      <c r="K188" s="2"/>
      <c r="L188" s="2"/>
      <c r="M188" s="336"/>
      <c r="N188" s="2"/>
      <c r="O188" s="2"/>
      <c r="P188" s="2"/>
      <c r="Q188" s="37"/>
      <c r="R188" s="161"/>
      <c r="S188" s="2"/>
      <c r="T188" s="2"/>
      <c r="U188" s="2"/>
      <c r="V188" s="2"/>
      <c r="W188" s="57"/>
      <c r="X188" s="57"/>
      <c r="Y188" s="37"/>
      <c r="Z188" s="2"/>
      <c r="AA188" s="2"/>
      <c r="AB188" s="161"/>
      <c r="AC188" s="161"/>
      <c r="AD188" s="161"/>
      <c r="AE188" s="161"/>
      <c r="AF188" s="161"/>
      <c r="AG188" s="2"/>
      <c r="AH188" s="2"/>
      <c r="AI188" s="2"/>
      <c r="AJ188" s="37"/>
      <c r="AK188" s="38"/>
      <c r="AL188" s="197"/>
      <c r="AM188" s="197"/>
    </row>
    <row r="189" spans="1:39" x14ac:dyDescent="0.25">
      <c r="A189" s="67" t="s">
        <v>30</v>
      </c>
      <c r="B189" s="118"/>
      <c r="C189" s="118"/>
      <c r="D189" s="118"/>
      <c r="E189" s="118"/>
      <c r="F189" s="118"/>
      <c r="G189" s="118"/>
      <c r="H189" s="118"/>
      <c r="I189" s="37"/>
      <c r="J189" s="118"/>
      <c r="K189" s="2"/>
      <c r="L189" s="2"/>
      <c r="M189" s="336"/>
      <c r="N189" s="2"/>
      <c r="O189" s="2"/>
      <c r="P189" s="2"/>
      <c r="Q189" s="37"/>
      <c r="R189" s="161"/>
      <c r="S189" s="2"/>
      <c r="T189" s="2"/>
      <c r="U189" s="2"/>
      <c r="V189" s="2"/>
      <c r="W189" s="57"/>
      <c r="X189" s="57"/>
      <c r="Y189" s="37"/>
      <c r="Z189" s="2"/>
      <c r="AA189" s="2"/>
      <c r="AB189" s="161"/>
      <c r="AC189" s="161"/>
      <c r="AD189" s="161"/>
      <c r="AE189" s="161"/>
      <c r="AF189" s="161"/>
      <c r="AG189" s="2"/>
      <c r="AH189" s="2"/>
      <c r="AI189" s="2"/>
      <c r="AJ189" s="37"/>
      <c r="AK189" s="38"/>
      <c r="AL189" s="197"/>
      <c r="AM189" s="197"/>
    </row>
    <row r="190" spans="1:39" x14ac:dyDescent="0.25">
      <c r="A190" s="67" t="s">
        <v>17</v>
      </c>
      <c r="B190" s="118"/>
      <c r="C190" s="118"/>
      <c r="D190" s="118"/>
      <c r="E190" s="118"/>
      <c r="F190" s="118"/>
      <c r="G190" s="118"/>
      <c r="H190" s="118"/>
      <c r="I190" s="37"/>
      <c r="J190" s="118"/>
      <c r="K190" s="118"/>
      <c r="L190" s="118"/>
      <c r="M190" s="336"/>
      <c r="N190" s="118"/>
      <c r="O190" s="118"/>
      <c r="P190" s="118"/>
      <c r="Q190" s="37"/>
      <c r="R190" s="161"/>
      <c r="S190" s="118"/>
      <c r="T190" s="118"/>
      <c r="U190" s="118"/>
      <c r="V190" s="2"/>
      <c r="W190" s="57"/>
      <c r="X190" s="57"/>
      <c r="Y190" s="37"/>
      <c r="Z190" s="118"/>
      <c r="AA190" s="2"/>
      <c r="AB190" s="161"/>
      <c r="AC190" s="161"/>
      <c r="AD190" s="161"/>
      <c r="AE190" s="161"/>
      <c r="AF190" s="161"/>
      <c r="AG190" s="2"/>
      <c r="AH190" s="2"/>
      <c r="AI190" s="2"/>
      <c r="AJ190" s="37"/>
      <c r="AK190" s="38"/>
      <c r="AL190" s="197"/>
      <c r="AM190" s="197"/>
    </row>
    <row r="191" spans="1:39" ht="18.75" x14ac:dyDescent="0.3">
      <c r="A191" s="67" t="s">
        <v>16</v>
      </c>
      <c r="B191" s="118"/>
      <c r="C191" s="118"/>
      <c r="D191" s="118"/>
      <c r="E191" s="118"/>
      <c r="F191" s="118"/>
      <c r="G191" s="118"/>
      <c r="H191" s="118"/>
      <c r="I191" s="37"/>
      <c r="J191" s="118"/>
      <c r="K191" s="2"/>
      <c r="L191" s="118"/>
      <c r="M191" s="336"/>
      <c r="N191" s="2"/>
      <c r="O191" s="2"/>
      <c r="P191" s="2"/>
      <c r="Q191" s="37"/>
      <c r="R191" s="161"/>
      <c r="S191" s="2"/>
      <c r="T191" s="2"/>
      <c r="U191" s="118"/>
      <c r="V191" s="2"/>
      <c r="W191" s="57"/>
      <c r="X191" s="57"/>
      <c r="Y191" s="37"/>
      <c r="Z191" s="2"/>
      <c r="AA191" s="2"/>
      <c r="AB191" s="161"/>
      <c r="AC191" s="161"/>
      <c r="AD191" s="161"/>
      <c r="AE191" s="161"/>
      <c r="AF191" s="161"/>
      <c r="AG191" s="2"/>
      <c r="AH191" s="2"/>
      <c r="AI191" s="2"/>
      <c r="AJ191" s="37"/>
      <c r="AK191" s="339"/>
      <c r="AL191" s="197"/>
      <c r="AM191" s="197"/>
    </row>
    <row r="192" spans="1:39" ht="18.75" x14ac:dyDescent="0.3">
      <c r="A192" s="67" t="s">
        <v>33</v>
      </c>
      <c r="B192" s="119"/>
      <c r="C192" s="119"/>
      <c r="D192" s="119"/>
      <c r="E192" s="119"/>
      <c r="F192" s="119"/>
      <c r="G192" s="119"/>
      <c r="H192" s="119"/>
      <c r="I192" s="43"/>
      <c r="J192" s="119"/>
      <c r="K192" s="42"/>
      <c r="L192" s="42"/>
      <c r="M192" s="366"/>
      <c r="N192" s="42"/>
      <c r="O192" s="42"/>
      <c r="P192" s="42"/>
      <c r="Q192" s="43"/>
      <c r="R192" s="177"/>
      <c r="S192" s="42"/>
      <c r="T192" s="42"/>
      <c r="U192" s="42"/>
      <c r="V192" s="42"/>
      <c r="W192" s="178"/>
      <c r="X192" s="178"/>
      <c r="Y192" s="43"/>
      <c r="Z192" s="42"/>
      <c r="AA192" s="42"/>
      <c r="AB192" s="177"/>
      <c r="AC192" s="177"/>
      <c r="AD192" s="178"/>
      <c r="AE192" s="177"/>
      <c r="AF192" s="177"/>
      <c r="AG192" s="42"/>
      <c r="AH192" s="42"/>
      <c r="AI192" s="42"/>
      <c r="AJ192" s="43"/>
      <c r="AK192" s="342"/>
      <c r="AL192" s="204"/>
      <c r="AM192" s="197"/>
    </row>
    <row r="193" spans="1:39" ht="18.75" x14ac:dyDescent="0.3">
      <c r="A193" s="63" t="s">
        <v>18</v>
      </c>
      <c r="B193" s="135"/>
      <c r="C193" s="135"/>
      <c r="D193" s="135"/>
      <c r="E193" s="135"/>
      <c r="F193" s="135"/>
      <c r="G193" s="135"/>
      <c r="H193" s="135"/>
      <c r="I193" s="47"/>
      <c r="J193" s="135"/>
      <c r="K193" s="124"/>
      <c r="L193" s="124"/>
      <c r="M193" s="124"/>
      <c r="N193" s="124"/>
      <c r="O193" s="124"/>
      <c r="P193" s="124"/>
      <c r="Q193" s="47"/>
      <c r="R193" s="135"/>
      <c r="S193" s="124"/>
      <c r="T193" s="135"/>
      <c r="U193" s="124"/>
      <c r="V193" s="124"/>
      <c r="W193" s="135"/>
      <c r="X193" s="135"/>
      <c r="Y193" s="47"/>
      <c r="Z193" s="124"/>
      <c r="AA193" s="124"/>
      <c r="AB193" s="135"/>
      <c r="AC193" s="135"/>
      <c r="AD193" s="135"/>
      <c r="AE193" s="135"/>
      <c r="AF193" s="135"/>
      <c r="AG193" s="124"/>
      <c r="AH193" s="124"/>
      <c r="AI193" s="124"/>
      <c r="AJ193" s="37"/>
      <c r="AK193" s="378"/>
      <c r="AL193" s="197"/>
      <c r="AM193" s="197"/>
    </row>
    <row r="194" spans="1:39" x14ac:dyDescent="0.25">
      <c r="A194" s="63" t="s">
        <v>19</v>
      </c>
      <c r="B194" s="132"/>
      <c r="C194" s="132"/>
      <c r="D194" s="132"/>
      <c r="E194" s="132"/>
      <c r="F194" s="132"/>
      <c r="G194" s="132"/>
      <c r="H194" s="132"/>
      <c r="I194" s="43"/>
      <c r="J194" s="132"/>
      <c r="K194" s="132"/>
      <c r="L194" s="132"/>
      <c r="M194" s="151"/>
      <c r="N194" s="132"/>
      <c r="O194" s="132"/>
      <c r="P194" s="132"/>
      <c r="Q194" s="43"/>
      <c r="R194" s="164"/>
      <c r="S194" s="132"/>
      <c r="T194" s="132"/>
      <c r="U194" s="132"/>
      <c r="V194" s="132"/>
      <c r="W194" s="162"/>
      <c r="X194" s="162"/>
      <c r="Y194" s="43"/>
      <c r="Z194" s="132"/>
      <c r="AA194" s="132"/>
      <c r="AB194" s="164"/>
      <c r="AC194" s="164"/>
      <c r="AD194" s="164"/>
      <c r="AE194" s="164"/>
      <c r="AF194" s="164"/>
      <c r="AG194" s="132"/>
      <c r="AH194" s="132"/>
      <c r="AI194" s="132"/>
      <c r="AJ194" s="43"/>
      <c r="AK194" s="293"/>
      <c r="AL194" s="204"/>
      <c r="AM194" s="197"/>
    </row>
    <row r="195" spans="1:39" x14ac:dyDescent="0.25">
      <c r="A195" s="67" t="s">
        <v>102</v>
      </c>
      <c r="B195" s="112"/>
      <c r="C195" s="112"/>
      <c r="D195" s="112"/>
      <c r="E195" s="112"/>
      <c r="F195" s="112"/>
      <c r="G195" s="112"/>
      <c r="H195" s="112"/>
      <c r="I195" s="37"/>
      <c r="J195" s="112"/>
      <c r="K195" s="112"/>
      <c r="L195" s="112"/>
      <c r="M195" s="113"/>
      <c r="N195" s="112"/>
      <c r="O195" s="112"/>
      <c r="P195" s="112"/>
      <c r="Q195" s="37"/>
      <c r="R195" s="18"/>
      <c r="S195" s="112"/>
      <c r="T195" s="112"/>
      <c r="U195" s="112"/>
      <c r="V195" s="112"/>
      <c r="W195" s="115"/>
      <c r="X195" s="115"/>
      <c r="Y195" s="37"/>
      <c r="Z195" s="112"/>
      <c r="AA195" s="112"/>
      <c r="AB195" s="18"/>
      <c r="AC195" s="18"/>
      <c r="AD195" s="18"/>
      <c r="AE195" s="18"/>
      <c r="AF195" s="18"/>
      <c r="AG195" s="337"/>
      <c r="AH195" s="112"/>
      <c r="AI195" s="112"/>
      <c r="AJ195" s="37"/>
      <c r="AK195" s="3"/>
      <c r="AL195" s="197"/>
      <c r="AM195" s="197"/>
    </row>
    <row r="196" spans="1:39" ht="18.75" x14ac:dyDescent="0.3">
      <c r="A196" s="402" t="s">
        <v>2</v>
      </c>
      <c r="B196" s="199"/>
      <c r="C196" s="199"/>
      <c r="D196" s="199"/>
      <c r="E196" s="199"/>
      <c r="F196" s="199"/>
      <c r="G196" s="199"/>
      <c r="H196" s="199"/>
      <c r="I196" s="440"/>
      <c r="J196" s="199"/>
      <c r="K196" s="199"/>
      <c r="L196" s="199"/>
      <c r="M196" s="199"/>
      <c r="N196" s="199"/>
      <c r="O196" s="199"/>
      <c r="P196" s="199"/>
      <c r="Q196" s="440"/>
      <c r="R196" s="199"/>
      <c r="S196" s="199"/>
      <c r="T196" s="199"/>
      <c r="U196" s="199"/>
      <c r="V196" s="199"/>
      <c r="W196" s="199"/>
      <c r="X196" s="199"/>
      <c r="Y196" s="440"/>
      <c r="Z196" s="199"/>
      <c r="AA196" s="199"/>
      <c r="AB196" s="199"/>
      <c r="AC196" s="199"/>
      <c r="AD196" s="199"/>
      <c r="AE196" s="199"/>
      <c r="AF196" s="199"/>
      <c r="AG196" s="199"/>
      <c r="AH196" s="199"/>
      <c r="AI196" s="199"/>
      <c r="AJ196" s="439"/>
      <c r="AK196" s="441"/>
      <c r="AL196" s="442"/>
      <c r="AM196" s="104"/>
    </row>
    <row r="197" spans="1:39" ht="15.75" thickBot="1" x14ac:dyDescent="0.3">
      <c r="A197" s="264"/>
      <c r="B197" s="265"/>
      <c r="C197" s="265"/>
      <c r="D197" s="265"/>
      <c r="E197" s="265"/>
      <c r="F197" s="265"/>
      <c r="G197" s="265"/>
      <c r="H197" s="265"/>
      <c r="I197" s="56"/>
      <c r="J197" s="265"/>
      <c r="K197" s="265"/>
      <c r="L197" s="265"/>
      <c r="M197" s="265"/>
      <c r="N197" s="265"/>
      <c r="O197" s="265"/>
      <c r="P197" s="265"/>
      <c r="Q197" s="56"/>
      <c r="R197" s="265"/>
      <c r="S197" s="265"/>
      <c r="T197" s="265"/>
      <c r="U197" s="265"/>
      <c r="V197" s="265"/>
      <c r="W197" s="265"/>
      <c r="X197" s="265"/>
      <c r="Y197" s="56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56"/>
      <c r="AK197" s="225"/>
      <c r="AL197" s="228"/>
      <c r="AM197" s="183"/>
    </row>
    <row r="198" spans="1:39" ht="24" thickBot="1" x14ac:dyDescent="0.4">
      <c r="A198" s="294" t="s">
        <v>184</v>
      </c>
      <c r="B198" s="295"/>
      <c r="C198" s="295"/>
      <c r="D198" s="295"/>
      <c r="E198" s="295"/>
      <c r="F198" s="295"/>
      <c r="G198" s="296"/>
      <c r="H198" s="297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8"/>
      <c r="AA198" s="298"/>
      <c r="AB198" s="298"/>
      <c r="AC198" s="298"/>
      <c r="AD198" s="298"/>
      <c r="AE198" s="298"/>
      <c r="AF198" s="298"/>
      <c r="AG198" s="298"/>
      <c r="AH198" s="298"/>
      <c r="AI198" s="298"/>
      <c r="AJ198" s="299"/>
      <c r="AK198" s="300"/>
      <c r="AL198" s="301"/>
      <c r="AM198" s="208"/>
    </row>
    <row r="199" spans="1:39" ht="16.5" thickBot="1" x14ac:dyDescent="0.3">
      <c r="A199" s="319" t="s">
        <v>80</v>
      </c>
      <c r="B199" s="328"/>
      <c r="C199" s="328"/>
      <c r="D199" s="328"/>
      <c r="E199" s="328"/>
      <c r="F199" s="328"/>
      <c r="G199" s="328"/>
      <c r="H199" s="328"/>
      <c r="I199" s="329"/>
      <c r="J199" s="328"/>
      <c r="K199" s="328"/>
      <c r="L199" s="328"/>
      <c r="M199" s="328"/>
      <c r="N199" s="328"/>
      <c r="O199" s="328"/>
      <c r="P199" s="328"/>
      <c r="Q199" s="329"/>
      <c r="R199" s="328"/>
      <c r="S199" s="328"/>
      <c r="T199" s="328"/>
      <c r="U199" s="328"/>
      <c r="V199" s="328"/>
      <c r="W199" s="328"/>
      <c r="X199" s="328"/>
      <c r="Y199" s="329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9"/>
      <c r="AK199" s="345"/>
      <c r="AL199" s="331"/>
      <c r="AM199" s="198" t="s">
        <v>42</v>
      </c>
    </row>
    <row r="200" spans="1:39" ht="18.75" x14ac:dyDescent="0.3">
      <c r="A200" s="347" t="s">
        <v>81</v>
      </c>
      <c r="B200" s="303"/>
      <c r="C200" s="303"/>
      <c r="D200" s="303"/>
      <c r="E200" s="303"/>
      <c r="F200" s="303"/>
      <c r="G200" s="303"/>
      <c r="H200" s="303"/>
      <c r="I200" s="304"/>
      <c r="J200" s="303"/>
      <c r="K200" s="303"/>
      <c r="L200" s="303"/>
      <c r="M200" s="303"/>
      <c r="N200" s="303"/>
      <c r="O200" s="303"/>
      <c r="P200" s="303"/>
      <c r="Q200" s="304"/>
      <c r="R200" s="303"/>
      <c r="S200" s="303"/>
      <c r="T200" s="303"/>
      <c r="U200" s="303"/>
      <c r="V200" s="303"/>
      <c r="W200" s="411"/>
      <c r="X200" s="411"/>
      <c r="Y200" s="304"/>
      <c r="Z200" s="303"/>
      <c r="AA200" s="303"/>
      <c r="AB200" s="303"/>
      <c r="AC200" s="303"/>
      <c r="AD200" s="303"/>
      <c r="AE200" s="303"/>
      <c r="AF200" s="303"/>
      <c r="AG200" s="303"/>
      <c r="AH200" s="303"/>
      <c r="AI200" s="303"/>
      <c r="AJ200" s="305"/>
      <c r="AK200" s="343"/>
      <c r="AL200" s="207"/>
      <c r="AM200" s="197"/>
    </row>
    <row r="201" spans="1:39" ht="18.75" x14ac:dyDescent="0.3">
      <c r="A201" s="63" t="s">
        <v>82</v>
      </c>
      <c r="B201" s="119"/>
      <c r="C201" s="119"/>
      <c r="D201" s="119"/>
      <c r="E201" s="119"/>
      <c r="F201" s="119"/>
      <c r="G201" s="119"/>
      <c r="H201" s="119"/>
      <c r="I201" s="43"/>
      <c r="J201" s="42"/>
      <c r="K201" s="42"/>
      <c r="L201" s="42"/>
      <c r="M201" s="42"/>
      <c r="N201" s="42"/>
      <c r="O201" s="42"/>
      <c r="P201" s="42"/>
      <c r="Q201" s="43"/>
      <c r="R201" s="42"/>
      <c r="S201" s="42"/>
      <c r="T201" s="42"/>
      <c r="U201" s="42"/>
      <c r="V201" s="42"/>
      <c r="W201" s="177"/>
      <c r="X201" s="177"/>
      <c r="Y201" s="43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3"/>
      <c r="AK201" s="379"/>
      <c r="AL201" s="204"/>
      <c r="AM201" s="197"/>
    </row>
    <row r="202" spans="1:39" ht="23.25" x14ac:dyDescent="0.35">
      <c r="A202" s="195"/>
      <c r="B202" s="135"/>
      <c r="C202" s="135"/>
      <c r="D202" s="135"/>
      <c r="E202" s="135"/>
      <c r="F202" s="135"/>
      <c r="G202" s="135"/>
      <c r="H202" s="135"/>
      <c r="I202" s="157"/>
      <c r="J202" s="124"/>
      <c r="K202" s="124"/>
      <c r="L202" s="124"/>
      <c r="M202" s="124"/>
      <c r="N202" s="124"/>
      <c r="O202" s="124"/>
      <c r="P202" s="124"/>
      <c r="Q202" s="47"/>
      <c r="R202" s="124"/>
      <c r="S202" s="124"/>
      <c r="T202" s="124"/>
      <c r="U202" s="124"/>
      <c r="V202" s="124"/>
      <c r="W202" s="135"/>
      <c r="X202" s="135"/>
      <c r="Y202" s="47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47"/>
      <c r="AK202" s="422"/>
      <c r="AL202" s="292"/>
      <c r="AM202" s="197"/>
    </row>
    <row r="203" spans="1:39" ht="16.5" thickBot="1" x14ac:dyDescent="0.3">
      <c r="A203" s="63"/>
      <c r="B203" s="132"/>
      <c r="C203" s="132"/>
      <c r="D203" s="132"/>
      <c r="E203" s="132"/>
      <c r="F203" s="132"/>
      <c r="G203" s="132"/>
      <c r="H203" s="132"/>
      <c r="I203" s="43"/>
      <c r="J203" s="132"/>
      <c r="K203" s="132"/>
      <c r="L203" s="132"/>
      <c r="M203" s="132"/>
      <c r="N203" s="132"/>
      <c r="O203" s="132"/>
      <c r="P203" s="132"/>
      <c r="Q203" s="43"/>
      <c r="R203" s="132"/>
      <c r="S203" s="132"/>
      <c r="T203" s="132"/>
      <c r="U203" s="132"/>
      <c r="V203" s="132"/>
      <c r="W203" s="164"/>
      <c r="X203" s="164"/>
      <c r="Y203" s="43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43"/>
      <c r="AK203" s="117"/>
      <c r="AL203" s="350"/>
      <c r="AM203" s="197"/>
    </row>
    <row r="204" spans="1:39" ht="23.25" x14ac:dyDescent="0.35">
      <c r="A204" s="281" t="s">
        <v>2</v>
      </c>
      <c r="B204" s="163"/>
      <c r="C204" s="163"/>
      <c r="D204" s="163"/>
      <c r="E204" s="163"/>
      <c r="F204" s="163"/>
      <c r="G204" s="163"/>
      <c r="H204" s="163"/>
      <c r="I204" s="221"/>
      <c r="J204" s="163"/>
      <c r="K204" s="163"/>
      <c r="L204" s="163"/>
      <c r="M204" s="163"/>
      <c r="N204" s="163"/>
      <c r="O204" s="163"/>
      <c r="P204" s="163"/>
      <c r="Q204" s="221"/>
      <c r="R204" s="163"/>
      <c r="S204" s="163"/>
      <c r="T204" s="163"/>
      <c r="U204" s="163"/>
      <c r="V204" s="163"/>
      <c r="W204" s="163"/>
      <c r="X204" s="163"/>
      <c r="Y204" s="221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51"/>
      <c r="AK204" s="351"/>
      <c r="AL204" s="352"/>
      <c r="AM204" s="197"/>
    </row>
    <row r="205" spans="1:39" ht="16.5" thickBot="1" x14ac:dyDescent="0.3">
      <c r="A205" s="264"/>
      <c r="B205" s="265"/>
      <c r="C205" s="265"/>
      <c r="D205" s="265"/>
      <c r="E205" s="265"/>
      <c r="F205" s="265"/>
      <c r="G205" s="265"/>
      <c r="H205" s="265"/>
      <c r="I205" s="56"/>
      <c r="J205" s="265"/>
      <c r="K205" s="265"/>
      <c r="L205" s="265"/>
      <c r="M205" s="265"/>
      <c r="N205" s="265"/>
      <c r="O205" s="265"/>
      <c r="P205" s="265"/>
      <c r="Q205" s="56"/>
      <c r="R205" s="265"/>
      <c r="S205" s="265"/>
      <c r="T205" s="265"/>
      <c r="U205" s="265"/>
      <c r="V205" s="265"/>
      <c r="W205" s="265"/>
      <c r="X205" s="265"/>
      <c r="Y205" s="56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56"/>
      <c r="AK205" s="353"/>
      <c r="AL205" s="354"/>
      <c r="AM205" s="197"/>
    </row>
    <row r="206" spans="1:39" ht="24" thickBot="1" x14ac:dyDescent="0.4">
      <c r="A206" s="294" t="s">
        <v>185</v>
      </c>
      <c r="B206" s="295"/>
      <c r="C206" s="295"/>
      <c r="D206" s="295"/>
      <c r="E206" s="295"/>
      <c r="F206" s="295"/>
      <c r="G206" s="296"/>
      <c r="H206" s="297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9"/>
      <c r="AK206" s="300"/>
      <c r="AL206" s="301"/>
      <c r="AM206" s="197"/>
    </row>
    <row r="207" spans="1:39" ht="16.5" thickBot="1" x14ac:dyDescent="0.3">
      <c r="A207" s="319" t="s">
        <v>20</v>
      </c>
      <c r="B207" s="328"/>
      <c r="C207" s="328"/>
      <c r="D207" s="328"/>
      <c r="E207" s="328"/>
      <c r="F207" s="328"/>
      <c r="G207" s="328"/>
      <c r="H207" s="328"/>
      <c r="I207" s="329"/>
      <c r="J207" s="328"/>
      <c r="K207" s="328"/>
      <c r="L207" s="328"/>
      <c r="M207" s="328"/>
      <c r="N207" s="328"/>
      <c r="O207" s="328"/>
      <c r="P207" s="328"/>
      <c r="Q207" s="329"/>
      <c r="R207" s="328"/>
      <c r="S207" s="328"/>
      <c r="T207" s="328"/>
      <c r="U207" s="328"/>
      <c r="V207" s="328"/>
      <c r="W207" s="328"/>
      <c r="X207" s="328"/>
      <c r="Y207" s="329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9"/>
      <c r="AK207" s="330"/>
      <c r="AL207" s="331"/>
      <c r="AM207" s="197"/>
    </row>
    <row r="208" spans="1:39" x14ac:dyDescent="0.25">
      <c r="A208" s="302" t="s">
        <v>63</v>
      </c>
      <c r="B208" s="303"/>
      <c r="C208" s="303"/>
      <c r="D208" s="303"/>
      <c r="E208" s="303"/>
      <c r="F208" s="303"/>
      <c r="G208" s="303"/>
      <c r="H208" s="303"/>
      <c r="I208" s="304"/>
      <c r="J208" s="303"/>
      <c r="K208" s="303"/>
      <c r="L208" s="303"/>
      <c r="M208" s="303"/>
      <c r="N208" s="303"/>
      <c r="O208" s="303"/>
      <c r="P208" s="303"/>
      <c r="Q208" s="304"/>
      <c r="R208" s="303"/>
      <c r="S208" s="303"/>
      <c r="T208" s="303"/>
      <c r="U208" s="303"/>
      <c r="V208" s="303"/>
      <c r="W208" s="412"/>
      <c r="X208" s="412"/>
      <c r="Y208" s="304"/>
      <c r="Z208" s="303"/>
      <c r="AA208" s="303"/>
      <c r="AB208" s="411"/>
      <c r="AC208" s="411"/>
      <c r="AD208" s="411"/>
      <c r="AE208" s="303"/>
      <c r="AF208" s="303"/>
      <c r="AG208" s="303"/>
      <c r="AH208" s="303"/>
      <c r="AI208" s="303"/>
      <c r="AJ208" s="305"/>
      <c r="AK208" s="184"/>
      <c r="AL208" s="207"/>
      <c r="AM208" s="197"/>
    </row>
    <row r="209" spans="1:39" x14ac:dyDescent="0.25">
      <c r="A209" s="65" t="s">
        <v>64</v>
      </c>
      <c r="B209" s="118"/>
      <c r="C209" s="118"/>
      <c r="D209" s="118"/>
      <c r="E209" s="118"/>
      <c r="F209" s="118"/>
      <c r="G209" s="118"/>
      <c r="H209" s="118"/>
      <c r="I209" s="37"/>
      <c r="J209" s="118"/>
      <c r="K209" s="2"/>
      <c r="L209" s="2"/>
      <c r="M209" s="118"/>
      <c r="N209" s="2"/>
      <c r="O209" s="2"/>
      <c r="P209" s="2"/>
      <c r="Q209" s="37"/>
      <c r="R209" s="2"/>
      <c r="S209" s="118"/>
      <c r="T209" s="2"/>
      <c r="U209" s="1"/>
      <c r="V209" s="2"/>
      <c r="W209" s="414"/>
      <c r="X209" s="414"/>
      <c r="Y209" s="37"/>
      <c r="Z209" s="2"/>
      <c r="AA209" s="2"/>
      <c r="AB209" s="57"/>
      <c r="AC209" s="57"/>
      <c r="AD209" s="57"/>
      <c r="AE209" s="118"/>
      <c r="AF209" s="2"/>
      <c r="AG209" s="2"/>
      <c r="AH209" s="2"/>
      <c r="AI209" s="2"/>
      <c r="AJ209" s="37"/>
      <c r="AK209" s="38"/>
      <c r="AL209" s="197"/>
      <c r="AM209" s="197"/>
    </row>
    <row r="210" spans="1:39" x14ac:dyDescent="0.25">
      <c r="A210" s="65" t="s">
        <v>77</v>
      </c>
      <c r="B210" s="118"/>
      <c r="C210" s="118"/>
      <c r="D210" s="118"/>
      <c r="E210" s="118"/>
      <c r="F210" s="118"/>
      <c r="G210" s="118"/>
      <c r="H210" s="118"/>
      <c r="I210" s="37"/>
      <c r="J210" s="118"/>
      <c r="K210" s="2"/>
      <c r="L210" s="2"/>
      <c r="M210" s="2"/>
      <c r="N210" s="2"/>
      <c r="O210" s="2"/>
      <c r="P210" s="2"/>
      <c r="Q210" s="37"/>
      <c r="R210" s="2"/>
      <c r="S210" s="2"/>
      <c r="T210" s="2"/>
      <c r="U210" s="2"/>
      <c r="V210" s="2"/>
      <c r="W210" s="414"/>
      <c r="X210" s="414"/>
      <c r="Y210" s="37"/>
      <c r="Z210" s="2"/>
      <c r="AA210" s="2"/>
      <c r="AB210" s="57"/>
      <c r="AC210" s="57"/>
      <c r="AD210" s="57"/>
      <c r="AE210" s="118"/>
      <c r="AF210" s="2"/>
      <c r="AG210" s="2"/>
      <c r="AH210" s="2"/>
      <c r="AI210" s="2"/>
      <c r="AJ210" s="37"/>
      <c r="AK210" s="38"/>
      <c r="AL210" s="197"/>
      <c r="AM210" s="197"/>
    </row>
    <row r="211" spans="1:39" x14ac:dyDescent="0.25">
      <c r="A211" s="65" t="s">
        <v>65</v>
      </c>
      <c r="B211" s="118"/>
      <c r="C211" s="118"/>
      <c r="D211" s="118"/>
      <c r="E211" s="118"/>
      <c r="F211" s="118"/>
      <c r="G211" s="118"/>
      <c r="H211" s="1"/>
      <c r="I211" s="37"/>
      <c r="J211" s="118"/>
      <c r="K211" s="2"/>
      <c r="L211" s="2"/>
      <c r="M211" s="2"/>
      <c r="N211" s="2"/>
      <c r="O211" s="2"/>
      <c r="P211" s="2"/>
      <c r="Q211" s="37"/>
      <c r="R211" s="1"/>
      <c r="S211" s="2"/>
      <c r="T211" s="2"/>
      <c r="U211" s="2"/>
      <c r="V211" s="2"/>
      <c r="W211" s="414"/>
      <c r="X211" s="414"/>
      <c r="Y211" s="37"/>
      <c r="Z211" s="2"/>
      <c r="AA211" s="2"/>
      <c r="AB211" s="57"/>
      <c r="AC211" s="57"/>
      <c r="AD211" s="57"/>
      <c r="AE211" s="118"/>
      <c r="AF211" s="2"/>
      <c r="AG211" s="2"/>
      <c r="AH211" s="2"/>
      <c r="AI211" s="2"/>
      <c r="AJ211" s="47"/>
      <c r="AK211" s="48"/>
      <c r="AL211" s="197"/>
      <c r="AM211" s="197"/>
    </row>
    <row r="212" spans="1:39" x14ac:dyDescent="0.25">
      <c r="A212" s="65" t="s">
        <v>66</v>
      </c>
      <c r="B212" s="118"/>
      <c r="C212" s="118"/>
      <c r="D212" s="118"/>
      <c r="E212" s="118"/>
      <c r="F212" s="118"/>
      <c r="G212" s="118"/>
      <c r="H212" s="118"/>
      <c r="I212" s="37"/>
      <c r="J212" s="118"/>
      <c r="K212" s="2"/>
      <c r="L212" s="161"/>
      <c r="M212" s="2"/>
      <c r="N212" s="2"/>
      <c r="O212" s="2"/>
      <c r="P212" s="2"/>
      <c r="Q212" s="37"/>
      <c r="R212" s="2"/>
      <c r="S212" s="2"/>
      <c r="T212" s="2"/>
      <c r="U212" s="2"/>
      <c r="V212" s="2"/>
      <c r="W212" s="414"/>
      <c r="X212" s="414"/>
      <c r="Y212" s="37"/>
      <c r="Z212" s="2"/>
      <c r="AA212" s="2"/>
      <c r="AB212" s="57"/>
      <c r="AC212" s="57"/>
      <c r="AD212" s="57"/>
      <c r="AE212" s="118"/>
      <c r="AF212" s="2"/>
      <c r="AG212" s="2"/>
      <c r="AH212" s="2"/>
      <c r="AI212" s="2"/>
      <c r="AJ212" s="37"/>
      <c r="AK212" s="38"/>
      <c r="AL212" s="197"/>
      <c r="AM212" s="197"/>
    </row>
    <row r="213" spans="1:39" x14ac:dyDescent="0.25">
      <c r="A213" s="65" t="s">
        <v>67</v>
      </c>
      <c r="B213" s="118"/>
      <c r="C213" s="118"/>
      <c r="D213" s="118"/>
      <c r="E213" s="118"/>
      <c r="F213" s="1"/>
      <c r="G213" s="118"/>
      <c r="H213" s="118"/>
      <c r="I213" s="37"/>
      <c r="J213" s="118"/>
      <c r="K213" s="1"/>
      <c r="L213" s="2"/>
      <c r="M213" s="2"/>
      <c r="N213" s="2"/>
      <c r="O213" s="1"/>
      <c r="P213" s="2"/>
      <c r="Q213" s="37"/>
      <c r="R213" s="2"/>
      <c r="S213" s="118"/>
      <c r="T213" s="2"/>
      <c r="U213" s="2"/>
      <c r="V213" s="2"/>
      <c r="W213" s="414"/>
      <c r="X213" s="414"/>
      <c r="Y213" s="37"/>
      <c r="Z213" s="2"/>
      <c r="AA213" s="2"/>
      <c r="AB213" s="57"/>
      <c r="AC213" s="57"/>
      <c r="AD213" s="57"/>
      <c r="AE213" s="118"/>
      <c r="AF213" s="2"/>
      <c r="AG213" s="336"/>
      <c r="AH213" s="2"/>
      <c r="AI213" s="2"/>
      <c r="AJ213" s="37"/>
      <c r="AK213" s="38"/>
      <c r="AL213" s="197"/>
      <c r="AM213" s="197"/>
    </row>
    <row r="214" spans="1:39" x14ac:dyDescent="0.25">
      <c r="A214" s="65" t="s">
        <v>68</v>
      </c>
      <c r="B214" s="118"/>
      <c r="C214" s="118"/>
      <c r="D214" s="118"/>
      <c r="E214" s="118"/>
      <c r="F214" s="118"/>
      <c r="G214" s="118"/>
      <c r="H214" s="118"/>
      <c r="I214" s="37"/>
      <c r="J214" s="118"/>
      <c r="K214" s="2"/>
      <c r="L214" s="2"/>
      <c r="M214" s="2"/>
      <c r="N214" s="2"/>
      <c r="O214" s="1"/>
      <c r="P214" s="2"/>
      <c r="Q214" s="37"/>
      <c r="R214" s="2"/>
      <c r="S214" s="2"/>
      <c r="T214" s="2"/>
      <c r="U214" s="2"/>
      <c r="V214" s="2"/>
      <c r="W214" s="414"/>
      <c r="X214" s="414"/>
      <c r="Y214" s="37"/>
      <c r="Z214" s="2"/>
      <c r="AA214" s="2"/>
      <c r="AB214" s="57"/>
      <c r="AC214" s="57"/>
      <c r="AD214" s="57"/>
      <c r="AE214" s="118"/>
      <c r="AF214" s="2"/>
      <c r="AG214" s="2"/>
      <c r="AH214" s="2"/>
      <c r="AI214" s="2"/>
      <c r="AJ214" s="37"/>
      <c r="AK214" s="38"/>
      <c r="AL214" s="197"/>
      <c r="AM214" s="197"/>
    </row>
    <row r="215" spans="1:39" x14ac:dyDescent="0.25">
      <c r="A215" s="65" t="s">
        <v>78</v>
      </c>
      <c r="B215" s="118"/>
      <c r="C215" s="118"/>
      <c r="D215" s="118"/>
      <c r="E215" s="118"/>
      <c r="F215" s="118"/>
      <c r="G215" s="118"/>
      <c r="H215" s="118"/>
      <c r="I215" s="37"/>
      <c r="J215" s="118"/>
      <c r="K215" s="2"/>
      <c r="L215" s="2"/>
      <c r="M215" s="2"/>
      <c r="N215" s="2"/>
      <c r="O215" s="2"/>
      <c r="P215" s="2"/>
      <c r="Q215" s="37"/>
      <c r="R215" s="2"/>
      <c r="S215" s="2"/>
      <c r="T215" s="2"/>
      <c r="U215" s="2"/>
      <c r="V215" s="2"/>
      <c r="W215" s="414"/>
      <c r="X215" s="414"/>
      <c r="Y215" s="37"/>
      <c r="Z215" s="2"/>
      <c r="AA215" s="2"/>
      <c r="AB215" s="57"/>
      <c r="AC215" s="57"/>
      <c r="AD215" s="57"/>
      <c r="AE215" s="118"/>
      <c r="AF215" s="2"/>
      <c r="AG215" s="2"/>
      <c r="AH215" s="2"/>
      <c r="AI215" s="2"/>
      <c r="AJ215" s="37"/>
      <c r="AK215" s="38"/>
      <c r="AL215" s="197"/>
      <c r="AM215" s="197"/>
    </row>
    <row r="216" spans="1:39" x14ac:dyDescent="0.25">
      <c r="A216" s="65" t="s">
        <v>69</v>
      </c>
      <c r="B216" s="118"/>
      <c r="C216" s="118"/>
      <c r="D216" s="118"/>
      <c r="E216" s="118"/>
      <c r="F216" s="118"/>
      <c r="G216" s="118"/>
      <c r="H216" s="118"/>
      <c r="I216" s="37"/>
      <c r="J216" s="118"/>
      <c r="K216" s="2"/>
      <c r="L216" s="2"/>
      <c r="M216" s="2"/>
      <c r="N216" s="373"/>
      <c r="O216" s="2"/>
      <c r="P216" s="2"/>
      <c r="Q216" s="37"/>
      <c r="R216" s="2"/>
      <c r="S216" s="2"/>
      <c r="T216" s="2"/>
      <c r="U216" s="118"/>
      <c r="V216" s="2"/>
      <c r="W216" s="414"/>
      <c r="X216" s="414"/>
      <c r="Y216" s="37"/>
      <c r="Z216" s="2"/>
      <c r="AA216" s="2"/>
      <c r="AB216" s="57"/>
      <c r="AC216" s="57"/>
      <c r="AD216" s="57"/>
      <c r="AE216" s="118"/>
      <c r="AF216" s="2"/>
      <c r="AG216" s="2"/>
      <c r="AH216" s="2"/>
      <c r="AI216" s="2"/>
      <c r="AJ216" s="37"/>
      <c r="AK216" s="38"/>
      <c r="AL216" s="197"/>
      <c r="AM216" s="197"/>
    </row>
    <row r="217" spans="1:39" x14ac:dyDescent="0.25">
      <c r="A217" s="65" t="s">
        <v>70</v>
      </c>
      <c r="B217" s="118"/>
      <c r="C217" s="118"/>
      <c r="D217" s="118"/>
      <c r="E217" s="118"/>
      <c r="F217" s="118"/>
      <c r="G217" s="118"/>
      <c r="H217" s="118"/>
      <c r="I217" s="37"/>
      <c r="J217" s="118"/>
      <c r="K217" s="2"/>
      <c r="L217" s="118"/>
      <c r="M217" s="2"/>
      <c r="N217" s="373"/>
      <c r="O217" s="2"/>
      <c r="P217" s="2"/>
      <c r="Q217" s="37"/>
      <c r="R217" s="118"/>
      <c r="S217" s="2"/>
      <c r="T217" s="2"/>
      <c r="U217" s="2"/>
      <c r="V217" s="2"/>
      <c r="W217" s="414"/>
      <c r="X217" s="414"/>
      <c r="Y217" s="37"/>
      <c r="Z217" s="2"/>
      <c r="AA217" s="118"/>
      <c r="AB217" s="57"/>
      <c r="AC217" s="57"/>
      <c r="AD217" s="57"/>
      <c r="AE217" s="118"/>
      <c r="AF217" s="118"/>
      <c r="AG217" s="2"/>
      <c r="AH217" s="2"/>
      <c r="AI217" s="2"/>
      <c r="AJ217" s="37"/>
      <c r="AK217" s="38"/>
      <c r="AL217" s="197"/>
      <c r="AM217" s="197"/>
    </row>
    <row r="218" spans="1:39" x14ac:dyDescent="0.25">
      <c r="A218" s="65" t="s">
        <v>71</v>
      </c>
      <c r="B218" s="118"/>
      <c r="C218" s="118"/>
      <c r="D218" s="118"/>
      <c r="E218" s="118"/>
      <c r="F218" s="1"/>
      <c r="G218" s="118"/>
      <c r="H218" s="118"/>
      <c r="I218" s="37"/>
      <c r="J218" s="118"/>
      <c r="K218" s="2"/>
      <c r="L218" s="2"/>
      <c r="M218" s="1"/>
      <c r="N218" s="373"/>
      <c r="O218" s="2"/>
      <c r="P218" s="2"/>
      <c r="Q218" s="37"/>
      <c r="R218" s="2"/>
      <c r="S218" s="2"/>
      <c r="T218" s="2"/>
      <c r="U218" s="2"/>
      <c r="V218" s="2"/>
      <c r="W218" s="414"/>
      <c r="X218" s="414"/>
      <c r="Y218" s="37"/>
      <c r="Z218" s="2"/>
      <c r="AA218" s="2"/>
      <c r="AB218" s="57"/>
      <c r="AC218" s="57"/>
      <c r="AD218" s="57"/>
      <c r="AE218" s="118"/>
      <c r="AF218" s="2"/>
      <c r="AG218" s="2"/>
      <c r="AH218" s="2"/>
      <c r="AI218" s="2"/>
      <c r="AJ218" s="37"/>
      <c r="AK218" s="38"/>
      <c r="AL218" s="197"/>
      <c r="AM218" s="197"/>
    </row>
    <row r="219" spans="1:39" x14ac:dyDescent="0.25">
      <c r="A219" s="65" t="s">
        <v>72</v>
      </c>
      <c r="B219" s="118"/>
      <c r="C219" s="118"/>
      <c r="D219" s="118"/>
      <c r="E219" s="118"/>
      <c r="F219" s="118"/>
      <c r="G219" s="118"/>
      <c r="H219" s="118"/>
      <c r="I219" s="37"/>
      <c r="J219" s="118"/>
      <c r="K219" s="2"/>
      <c r="L219" s="2"/>
      <c r="M219" s="2"/>
      <c r="N219" s="211"/>
      <c r="O219" s="2"/>
      <c r="P219" s="2"/>
      <c r="Q219" s="37"/>
      <c r="R219" s="2"/>
      <c r="S219" s="2"/>
      <c r="T219" s="2"/>
      <c r="U219" s="2"/>
      <c r="V219" s="1"/>
      <c r="W219" s="414"/>
      <c r="X219" s="414"/>
      <c r="Y219" s="37"/>
      <c r="Z219" s="2"/>
      <c r="AA219" s="2"/>
      <c r="AB219" s="57"/>
      <c r="AC219" s="57"/>
      <c r="AD219" s="57"/>
      <c r="AE219" s="118"/>
      <c r="AF219" s="2"/>
      <c r="AG219" s="2"/>
      <c r="AH219" s="2"/>
      <c r="AI219" s="2"/>
      <c r="AJ219" s="37"/>
      <c r="AK219" s="38"/>
      <c r="AL219" s="197"/>
      <c r="AM219" s="197"/>
    </row>
    <row r="220" spans="1:39" x14ac:dyDescent="0.25">
      <c r="A220" s="65" t="s">
        <v>73</v>
      </c>
      <c r="B220" s="118"/>
      <c r="C220" s="118"/>
      <c r="D220" s="118"/>
      <c r="E220" s="118"/>
      <c r="F220" s="1"/>
      <c r="G220" s="118"/>
      <c r="H220" s="118"/>
      <c r="I220" s="37"/>
      <c r="J220" s="118"/>
      <c r="K220" s="2"/>
      <c r="L220" s="2"/>
      <c r="M220" s="2"/>
      <c r="N220" s="373"/>
      <c r="O220" s="2"/>
      <c r="P220" s="2"/>
      <c r="Q220" s="37"/>
      <c r="R220" s="118"/>
      <c r="S220" s="2"/>
      <c r="T220" s="2"/>
      <c r="U220" s="2"/>
      <c r="V220" s="2"/>
      <c r="W220" s="414"/>
      <c r="X220" s="414"/>
      <c r="Y220" s="37"/>
      <c r="Z220" s="2"/>
      <c r="AA220" s="1"/>
      <c r="AB220" s="57"/>
      <c r="AC220" s="57"/>
      <c r="AD220" s="57"/>
      <c r="AE220" s="118"/>
      <c r="AF220" s="2"/>
      <c r="AG220" s="2"/>
      <c r="AH220" s="2"/>
      <c r="AI220" s="2"/>
      <c r="AJ220" s="37"/>
      <c r="AK220" s="38"/>
      <c r="AL220" s="197"/>
      <c r="AM220" s="197"/>
    </row>
    <row r="221" spans="1:39" x14ac:dyDescent="0.25">
      <c r="A221" s="65" t="s">
        <v>74</v>
      </c>
      <c r="B221" s="118"/>
      <c r="C221" s="118"/>
      <c r="D221" s="118"/>
      <c r="E221" s="118"/>
      <c r="F221" s="118"/>
      <c r="G221" s="1"/>
      <c r="H221" s="118"/>
      <c r="I221" s="37"/>
      <c r="J221" s="118"/>
      <c r="K221" s="2"/>
      <c r="L221" s="2"/>
      <c r="M221" s="1"/>
      <c r="N221" s="373"/>
      <c r="O221" s="2"/>
      <c r="P221" s="2"/>
      <c r="Q221" s="37"/>
      <c r="R221" s="118"/>
      <c r="S221" s="2"/>
      <c r="T221" s="118"/>
      <c r="U221" s="2"/>
      <c r="V221" s="2"/>
      <c r="W221" s="414"/>
      <c r="X221" s="414"/>
      <c r="Y221" s="37"/>
      <c r="Z221" s="2"/>
      <c r="AA221" s="1"/>
      <c r="AB221" s="57"/>
      <c r="AC221" s="57"/>
      <c r="AD221" s="57"/>
      <c r="AE221" s="118"/>
      <c r="AF221" s="1"/>
      <c r="AG221" s="2"/>
      <c r="AH221" s="2"/>
      <c r="AI221" s="2"/>
      <c r="AJ221" s="37"/>
      <c r="AK221" s="38"/>
      <c r="AL221" s="197"/>
      <c r="AM221" s="197"/>
    </row>
    <row r="222" spans="1:39" x14ac:dyDescent="0.25">
      <c r="A222" s="65" t="s">
        <v>76</v>
      </c>
      <c r="B222" s="118"/>
      <c r="C222" s="118"/>
      <c r="D222" s="118"/>
      <c r="E222" s="118"/>
      <c r="F222" s="118"/>
      <c r="G222" s="118"/>
      <c r="H222" s="118"/>
      <c r="I222" s="37"/>
      <c r="J222" s="118"/>
      <c r="K222" s="2"/>
      <c r="L222" s="2"/>
      <c r="M222" s="2"/>
      <c r="N222" s="1"/>
      <c r="O222" s="2"/>
      <c r="P222" s="2"/>
      <c r="Q222" s="37"/>
      <c r="R222" s="2"/>
      <c r="S222" s="2"/>
      <c r="T222" s="2"/>
      <c r="U222" s="2"/>
      <c r="V222" s="2"/>
      <c r="W222" s="414"/>
      <c r="X222" s="414"/>
      <c r="Y222" s="37"/>
      <c r="Z222" s="2"/>
      <c r="AA222" s="2"/>
      <c r="AB222" s="57"/>
      <c r="AC222" s="57"/>
      <c r="AD222" s="57"/>
      <c r="AE222" s="118"/>
      <c r="AF222" s="2"/>
      <c r="AG222" s="2"/>
      <c r="AH222" s="2"/>
      <c r="AI222" s="2"/>
      <c r="AJ222" s="37"/>
      <c r="AK222" s="38"/>
      <c r="AL222" s="197"/>
      <c r="AM222" s="197"/>
    </row>
    <row r="223" spans="1:39" x14ac:dyDescent="0.25">
      <c r="A223" s="65" t="s">
        <v>75</v>
      </c>
      <c r="B223" s="118"/>
      <c r="C223" s="1"/>
      <c r="D223" s="118"/>
      <c r="E223" s="118"/>
      <c r="F223" s="118"/>
      <c r="G223" s="118"/>
      <c r="H223" s="118"/>
      <c r="I223" s="37"/>
      <c r="J223" s="118"/>
      <c r="K223" s="2"/>
      <c r="L223" s="1"/>
      <c r="M223" s="2"/>
      <c r="N223" s="373"/>
      <c r="O223" s="2"/>
      <c r="P223" s="2"/>
      <c r="Q223" s="37"/>
      <c r="R223" s="2"/>
      <c r="S223" s="118"/>
      <c r="T223" s="2"/>
      <c r="U223" s="2"/>
      <c r="V223" s="2"/>
      <c r="W223" s="414"/>
      <c r="X223" s="414"/>
      <c r="Y223" s="37"/>
      <c r="Z223" s="2"/>
      <c r="AA223" s="2"/>
      <c r="AB223" s="57"/>
      <c r="AC223" s="57"/>
      <c r="AD223" s="57"/>
      <c r="AE223" s="118"/>
      <c r="AF223" s="2"/>
      <c r="AG223" s="2"/>
      <c r="AH223" s="2"/>
      <c r="AI223" s="2"/>
      <c r="AJ223" s="37"/>
      <c r="AK223" s="38"/>
      <c r="AL223" s="197"/>
      <c r="AM223" s="197"/>
    </row>
    <row r="224" spans="1:39" x14ac:dyDescent="0.25">
      <c r="A224" s="65" t="s">
        <v>49</v>
      </c>
      <c r="B224" s="118"/>
      <c r="C224" s="118"/>
      <c r="D224" s="118"/>
      <c r="E224" s="118"/>
      <c r="F224" s="118"/>
      <c r="G224" s="118"/>
      <c r="H224" s="118"/>
      <c r="I224" s="37"/>
      <c r="J224" s="118"/>
      <c r="K224" s="118"/>
      <c r="L224" s="2"/>
      <c r="M224" s="2"/>
      <c r="N224" s="373"/>
      <c r="O224" s="2"/>
      <c r="P224" s="2"/>
      <c r="Q224" s="37"/>
      <c r="R224" s="2"/>
      <c r="S224" s="2"/>
      <c r="T224" s="2"/>
      <c r="U224" s="2"/>
      <c r="V224" s="2"/>
      <c r="W224" s="414"/>
      <c r="X224" s="414"/>
      <c r="Y224" s="37"/>
      <c r="Z224" s="2"/>
      <c r="AA224" s="2"/>
      <c r="AB224" s="57"/>
      <c r="AC224" s="57"/>
      <c r="AD224" s="57"/>
      <c r="AE224" s="118"/>
      <c r="AF224" s="2"/>
      <c r="AG224" s="2"/>
      <c r="AH224" s="2"/>
      <c r="AI224" s="2"/>
      <c r="AJ224" s="37"/>
      <c r="AK224" s="38"/>
      <c r="AL224" s="197"/>
      <c r="AM224" s="197"/>
    </row>
    <row r="225" spans="1:39" x14ac:dyDescent="0.25">
      <c r="A225" s="65" t="s">
        <v>23</v>
      </c>
      <c r="B225" s="118"/>
      <c r="C225" s="118"/>
      <c r="D225" s="118"/>
      <c r="E225" s="118"/>
      <c r="F225" s="118"/>
      <c r="G225" s="118"/>
      <c r="H225" s="118"/>
      <c r="I225" s="37"/>
      <c r="J225" s="118"/>
      <c r="K225" s="118"/>
      <c r="L225" s="2"/>
      <c r="M225" s="2"/>
      <c r="N225" s="373"/>
      <c r="O225" s="2"/>
      <c r="P225" s="2"/>
      <c r="Q225" s="37"/>
      <c r="R225" s="2"/>
      <c r="S225" s="2"/>
      <c r="T225" s="2"/>
      <c r="U225" s="2"/>
      <c r="V225" s="2"/>
      <c r="W225" s="414"/>
      <c r="X225" s="414"/>
      <c r="Y225" s="37"/>
      <c r="Z225" s="2"/>
      <c r="AA225" s="2"/>
      <c r="AB225" s="57"/>
      <c r="AC225" s="57"/>
      <c r="AD225" s="57"/>
      <c r="AE225" s="118"/>
      <c r="AF225" s="2"/>
      <c r="AG225" s="2"/>
      <c r="AH225" s="2"/>
      <c r="AI225" s="2"/>
      <c r="AJ225" s="37"/>
      <c r="AK225" s="38"/>
      <c r="AL225" s="197"/>
      <c r="AM225" s="197"/>
    </row>
    <row r="226" spans="1:39" x14ac:dyDescent="0.25">
      <c r="A226" s="65" t="s">
        <v>50</v>
      </c>
      <c r="B226" s="118"/>
      <c r="C226" s="118"/>
      <c r="D226" s="118"/>
      <c r="E226" s="118"/>
      <c r="F226" s="1"/>
      <c r="G226" s="118"/>
      <c r="H226" s="118"/>
      <c r="I226" s="37"/>
      <c r="J226" s="118"/>
      <c r="K226" s="118"/>
      <c r="L226" s="2"/>
      <c r="M226" s="2"/>
      <c r="N226" s="373"/>
      <c r="O226" s="2"/>
      <c r="P226" s="2"/>
      <c r="Q226" s="37"/>
      <c r="R226" s="2"/>
      <c r="S226" s="2"/>
      <c r="T226" s="2"/>
      <c r="U226" s="2"/>
      <c r="V226" s="2"/>
      <c r="W226" s="414"/>
      <c r="X226" s="414"/>
      <c r="Y226" s="37"/>
      <c r="Z226" s="2"/>
      <c r="AA226" s="2"/>
      <c r="AB226" s="57"/>
      <c r="AC226" s="57"/>
      <c r="AD226" s="57"/>
      <c r="AE226" s="118"/>
      <c r="AF226" s="2"/>
      <c r="AG226" s="2"/>
      <c r="AH226" s="2"/>
      <c r="AI226" s="2"/>
      <c r="AJ226" s="37"/>
      <c r="AK226" s="38"/>
      <c r="AL226" s="197"/>
      <c r="AM226" s="197"/>
    </row>
    <row r="227" spans="1:39" x14ac:dyDescent="0.25">
      <c r="A227" s="65" t="s">
        <v>51</v>
      </c>
      <c r="B227" s="118"/>
      <c r="C227" s="118"/>
      <c r="D227" s="118"/>
      <c r="E227" s="118"/>
      <c r="F227" s="118"/>
      <c r="G227" s="118"/>
      <c r="H227" s="118"/>
      <c r="I227" s="37"/>
      <c r="J227" s="118"/>
      <c r="K227" s="2"/>
      <c r="L227" s="2"/>
      <c r="M227" s="2"/>
      <c r="N227" s="373"/>
      <c r="O227" s="2"/>
      <c r="P227" s="2"/>
      <c r="Q227" s="37"/>
      <c r="R227" s="2"/>
      <c r="S227" s="2"/>
      <c r="T227" s="2"/>
      <c r="U227" s="2"/>
      <c r="V227" s="118"/>
      <c r="W227" s="414"/>
      <c r="X227" s="414"/>
      <c r="Y227" s="37"/>
      <c r="Z227" s="2"/>
      <c r="AA227" s="2"/>
      <c r="AB227" s="57"/>
      <c r="AC227" s="57"/>
      <c r="AD227" s="57"/>
      <c r="AE227" s="118"/>
      <c r="AF227" s="2"/>
      <c r="AG227" s="2"/>
      <c r="AH227" s="2"/>
      <c r="AI227" s="2"/>
      <c r="AJ227" s="37"/>
      <c r="AK227" s="38"/>
      <c r="AL227" s="197"/>
      <c r="AM227" s="197"/>
    </row>
    <row r="228" spans="1:39" x14ac:dyDescent="0.25">
      <c r="A228" s="65" t="s">
        <v>52</v>
      </c>
      <c r="B228" s="118"/>
      <c r="C228" s="118"/>
      <c r="D228" s="118"/>
      <c r="E228" s="118"/>
      <c r="F228" s="118"/>
      <c r="G228" s="118"/>
      <c r="H228" s="118"/>
      <c r="I228" s="37"/>
      <c r="J228" s="118"/>
      <c r="K228" s="2"/>
      <c r="L228" s="2"/>
      <c r="M228" s="2"/>
      <c r="N228" s="373"/>
      <c r="O228" s="2"/>
      <c r="P228" s="2"/>
      <c r="Q228" s="37"/>
      <c r="R228" s="118"/>
      <c r="S228" s="2"/>
      <c r="T228" s="2"/>
      <c r="U228" s="2"/>
      <c r="V228" s="2"/>
      <c r="W228" s="414"/>
      <c r="X228" s="414"/>
      <c r="Y228" s="37"/>
      <c r="Z228" s="2"/>
      <c r="AA228" s="2"/>
      <c r="AB228" s="57"/>
      <c r="AC228" s="57"/>
      <c r="AD228" s="57"/>
      <c r="AE228" s="118"/>
      <c r="AF228" s="2"/>
      <c r="AG228" s="2"/>
      <c r="AH228" s="2"/>
      <c r="AI228" s="2"/>
      <c r="AJ228" s="37"/>
      <c r="AK228" s="38"/>
      <c r="AL228" s="197"/>
      <c r="AM228" s="197"/>
    </row>
    <row r="229" spans="1:39" x14ac:dyDescent="0.25">
      <c r="A229" s="65" t="s">
        <v>53</v>
      </c>
      <c r="B229" s="118"/>
      <c r="C229" s="118"/>
      <c r="D229" s="118"/>
      <c r="E229" s="118"/>
      <c r="F229" s="118"/>
      <c r="G229" s="118"/>
      <c r="H229" s="118"/>
      <c r="I229" s="37"/>
      <c r="J229" s="118"/>
      <c r="K229" s="2"/>
      <c r="L229" s="2"/>
      <c r="M229" s="2"/>
      <c r="N229" s="373"/>
      <c r="O229" s="2"/>
      <c r="P229" s="2"/>
      <c r="Q229" s="37"/>
      <c r="R229" s="118"/>
      <c r="S229" s="2"/>
      <c r="T229" s="2"/>
      <c r="U229" s="2"/>
      <c r="V229" s="2"/>
      <c r="W229" s="414"/>
      <c r="X229" s="414"/>
      <c r="Y229" s="37"/>
      <c r="Z229" s="2"/>
      <c r="AA229" s="2"/>
      <c r="AB229" s="57"/>
      <c r="AC229" s="57"/>
      <c r="AD229" s="57"/>
      <c r="AE229" s="118"/>
      <c r="AF229" s="2"/>
      <c r="AG229" s="2"/>
      <c r="AH229" s="2"/>
      <c r="AI229" s="2"/>
      <c r="AJ229" s="37"/>
      <c r="AK229" s="38"/>
      <c r="AL229" s="197"/>
      <c r="AM229" s="197"/>
    </row>
    <row r="230" spans="1:39" x14ac:dyDescent="0.25">
      <c r="A230" s="65" t="s">
        <v>98</v>
      </c>
      <c r="B230" s="118"/>
      <c r="C230" s="118"/>
      <c r="D230" s="118"/>
      <c r="E230" s="118"/>
      <c r="F230" s="118"/>
      <c r="G230" s="118"/>
      <c r="H230" s="118"/>
      <c r="I230" s="37"/>
      <c r="J230" s="118"/>
      <c r="K230" s="2"/>
      <c r="L230" s="2"/>
      <c r="M230" s="2"/>
      <c r="N230" s="373"/>
      <c r="O230" s="2"/>
      <c r="P230" s="2"/>
      <c r="Q230" s="37"/>
      <c r="R230" s="2"/>
      <c r="S230" s="2"/>
      <c r="T230" s="118"/>
      <c r="U230" s="2"/>
      <c r="V230" s="2"/>
      <c r="W230" s="414"/>
      <c r="X230" s="414"/>
      <c r="Y230" s="37"/>
      <c r="Z230" s="2"/>
      <c r="AA230" s="2"/>
      <c r="AB230" s="57"/>
      <c r="AC230" s="57"/>
      <c r="AD230" s="57"/>
      <c r="AE230" s="118"/>
      <c r="AF230" s="2"/>
      <c r="AG230" s="2"/>
      <c r="AH230" s="2"/>
      <c r="AI230" s="2"/>
      <c r="AJ230" s="37"/>
      <c r="AK230" s="38"/>
      <c r="AL230" s="197"/>
      <c r="AM230" s="197"/>
    </row>
    <row r="231" spans="1:39" ht="18.75" x14ac:dyDescent="0.3">
      <c r="A231" s="65" t="s">
        <v>83</v>
      </c>
      <c r="B231" s="152"/>
      <c r="C231" s="267"/>
      <c r="D231" s="267"/>
      <c r="E231" s="267"/>
      <c r="F231" s="267"/>
      <c r="G231" s="153"/>
      <c r="H231" s="268"/>
      <c r="I231" s="269"/>
      <c r="J231" s="268"/>
      <c r="K231" s="153"/>
      <c r="L231" s="152"/>
      <c r="M231" s="270"/>
      <c r="N231" s="171"/>
      <c r="O231" s="270"/>
      <c r="P231" s="152"/>
      <c r="Q231" s="269"/>
      <c r="R231" s="152"/>
      <c r="S231" s="152"/>
      <c r="T231" s="152"/>
      <c r="U231" s="152"/>
      <c r="V231" s="152"/>
      <c r="W231" s="415"/>
      <c r="X231" s="416"/>
      <c r="Y231" s="269"/>
      <c r="Z231" s="270"/>
      <c r="AA231" s="152"/>
      <c r="AB231" s="175"/>
      <c r="AC231" s="239"/>
      <c r="AD231" s="175"/>
      <c r="AE231" s="152"/>
      <c r="AF231" s="270"/>
      <c r="AG231" s="356"/>
      <c r="AH231" s="270"/>
      <c r="AI231" s="270"/>
      <c r="AJ231" s="269"/>
      <c r="AK231" s="271"/>
      <c r="AL231" s="204"/>
      <c r="AM231" s="197"/>
    </row>
    <row r="232" spans="1:39" x14ac:dyDescent="0.25">
      <c r="A232" s="65" t="s">
        <v>84</v>
      </c>
      <c r="B232" s="115"/>
      <c r="C232" s="242"/>
      <c r="D232" s="115"/>
      <c r="E232" s="18"/>
      <c r="F232" s="242"/>
      <c r="G232" s="18"/>
      <c r="H232" s="18"/>
      <c r="I232" s="49"/>
      <c r="J232" s="134"/>
      <c r="K232" s="134"/>
      <c r="L232" s="240"/>
      <c r="M232" s="134"/>
      <c r="N232" s="242"/>
      <c r="O232" s="134"/>
      <c r="P232" s="240"/>
      <c r="Q232" s="49"/>
      <c r="R232" s="134"/>
      <c r="S232" s="242"/>
      <c r="T232" s="134"/>
      <c r="U232" s="240"/>
      <c r="V232" s="134"/>
      <c r="W232" s="417"/>
      <c r="X232" s="417"/>
      <c r="Y232" s="49"/>
      <c r="Z232" s="134"/>
      <c r="AA232" s="134"/>
      <c r="AB232" s="432"/>
      <c r="AC232" s="159"/>
      <c r="AD232" s="432"/>
      <c r="AE232" s="134"/>
      <c r="AF232" s="240"/>
      <c r="AG232" s="247"/>
      <c r="AH232" s="134"/>
      <c r="AI232" s="134"/>
      <c r="AJ232" s="49"/>
      <c r="AK232" s="133"/>
      <c r="AL232" s="197"/>
      <c r="AM232" s="197"/>
    </row>
    <row r="233" spans="1:39" x14ac:dyDescent="0.25">
      <c r="A233" s="65" t="s">
        <v>85</v>
      </c>
      <c r="B233" s="115"/>
      <c r="C233" s="115"/>
      <c r="D233" s="115"/>
      <c r="E233" s="18"/>
      <c r="F233" s="18"/>
      <c r="G233" s="18"/>
      <c r="H233" s="18"/>
      <c r="I233" s="49"/>
      <c r="J233" s="134"/>
      <c r="K233" s="134"/>
      <c r="L233" s="240"/>
      <c r="M233" s="134"/>
      <c r="N233" s="156"/>
      <c r="O233" s="134"/>
      <c r="P233" s="134"/>
      <c r="Q233" s="49"/>
      <c r="R233" s="240"/>
      <c r="S233" s="134"/>
      <c r="T233" s="134"/>
      <c r="U233" s="134"/>
      <c r="V233" s="240"/>
      <c r="W233" s="417"/>
      <c r="X233" s="417"/>
      <c r="Y233" s="49"/>
      <c r="Z233" s="134"/>
      <c r="AA233" s="134"/>
      <c r="AB233" s="432"/>
      <c r="AC233" s="159"/>
      <c r="AD233" s="432"/>
      <c r="AE233" s="134"/>
      <c r="AF233" s="134"/>
      <c r="AG233" s="247"/>
      <c r="AH233" s="134"/>
      <c r="AI233" s="134"/>
      <c r="AJ233" s="49"/>
      <c r="AK233" s="133"/>
      <c r="AL233" s="197"/>
      <c r="AM233" s="197"/>
    </row>
    <row r="234" spans="1:39" ht="18.75" x14ac:dyDescent="0.3">
      <c r="A234" s="65" t="s">
        <v>62</v>
      </c>
      <c r="B234" s="112"/>
      <c r="C234" s="112"/>
      <c r="D234" s="337"/>
      <c r="E234" s="112"/>
      <c r="F234" s="112"/>
      <c r="G234" s="112"/>
      <c r="H234" s="112"/>
      <c r="I234" s="244"/>
      <c r="J234" s="112"/>
      <c r="K234" s="112"/>
      <c r="L234" s="112"/>
      <c r="M234" s="112"/>
      <c r="N234" s="18"/>
      <c r="O234" s="112"/>
      <c r="P234" s="112"/>
      <c r="Q234" s="244"/>
      <c r="R234" s="337"/>
      <c r="S234" s="112"/>
      <c r="T234" s="112"/>
      <c r="U234" s="112"/>
      <c r="V234" s="337"/>
      <c r="W234" s="417"/>
      <c r="X234" s="417"/>
      <c r="Y234" s="244"/>
      <c r="Z234" s="112"/>
      <c r="AA234" s="112"/>
      <c r="AB234" s="115"/>
      <c r="AC234" s="242"/>
      <c r="AD234" s="242"/>
      <c r="AE234" s="112"/>
      <c r="AF234" s="112"/>
      <c r="AG234" s="337"/>
      <c r="AH234" s="112"/>
      <c r="AI234" s="112"/>
      <c r="AJ234" s="244"/>
      <c r="AK234" s="170"/>
      <c r="AL234" s="197"/>
      <c r="AM234" s="197"/>
    </row>
    <row r="235" spans="1:39" ht="23.25" x14ac:dyDescent="0.35">
      <c r="A235" s="65" t="s">
        <v>61</v>
      </c>
      <c r="B235" s="286"/>
      <c r="C235" s="131"/>
      <c r="D235" s="286"/>
      <c r="E235" s="286"/>
      <c r="F235" s="286"/>
      <c r="G235" s="287"/>
      <c r="H235" s="12"/>
      <c r="I235" s="289"/>
      <c r="J235" s="365"/>
      <c r="K235" s="287"/>
      <c r="L235" s="12"/>
      <c r="M235" s="287"/>
      <c r="N235" s="155"/>
      <c r="O235" s="287"/>
      <c r="P235" s="287"/>
      <c r="Q235" s="289"/>
      <c r="R235" s="131"/>
      <c r="S235" s="287"/>
      <c r="T235" s="287"/>
      <c r="U235" s="131"/>
      <c r="V235" s="287"/>
      <c r="W235" s="417"/>
      <c r="X235" s="418"/>
      <c r="Y235" s="289"/>
      <c r="Z235" s="131"/>
      <c r="AA235" s="287"/>
      <c r="AB235" s="433"/>
      <c r="AC235" s="135"/>
      <c r="AD235" s="434"/>
      <c r="AE235" s="365"/>
      <c r="AF235" s="131"/>
      <c r="AG235" s="431"/>
      <c r="AH235" s="287"/>
      <c r="AI235" s="287"/>
      <c r="AJ235" s="289"/>
      <c r="AK235" s="255"/>
      <c r="AL235" s="292"/>
      <c r="AM235" s="197"/>
    </row>
    <row r="236" spans="1:39" x14ac:dyDescent="0.25">
      <c r="A236" s="66" t="s">
        <v>86</v>
      </c>
      <c r="B236" s="288"/>
      <c r="C236" s="288"/>
      <c r="D236" s="288"/>
      <c r="E236" s="288"/>
      <c r="F236" s="338"/>
      <c r="G236" s="288"/>
      <c r="H236" s="288"/>
      <c r="I236" s="290"/>
      <c r="J236" s="288"/>
      <c r="K236" s="288"/>
      <c r="L236" s="338"/>
      <c r="M236" s="288"/>
      <c r="N236" s="288"/>
      <c r="O236" s="288"/>
      <c r="P236" s="338"/>
      <c r="Q236" s="290"/>
      <c r="R236" s="288"/>
      <c r="S236" s="288"/>
      <c r="T236" s="288"/>
      <c r="U236" s="288"/>
      <c r="V236" s="288"/>
      <c r="W236" s="415"/>
      <c r="X236" s="415"/>
      <c r="Y236" s="290"/>
      <c r="Z236" s="288"/>
      <c r="AA236" s="288"/>
      <c r="AB236" s="435"/>
      <c r="AC236" s="435"/>
      <c r="AD236" s="436"/>
      <c r="AE236" s="288"/>
      <c r="AF236" s="338"/>
      <c r="AG236" s="427"/>
      <c r="AH236" s="288"/>
      <c r="AI236" s="288"/>
      <c r="AJ236" s="290"/>
      <c r="AK236" s="291"/>
      <c r="AL236" s="204"/>
      <c r="AM236" s="197"/>
    </row>
    <row r="237" spans="1:39" x14ac:dyDescent="0.25">
      <c r="A237" s="66" t="s">
        <v>100</v>
      </c>
      <c r="B237" s="162"/>
      <c r="C237" s="162"/>
      <c r="D237" s="162"/>
      <c r="E237" s="164"/>
      <c r="F237" s="164"/>
      <c r="G237" s="164"/>
      <c r="H237" s="164"/>
      <c r="I237" s="290"/>
      <c r="J237" s="338"/>
      <c r="K237" s="288"/>
      <c r="L237" s="288"/>
      <c r="M237" s="288"/>
      <c r="N237" s="288"/>
      <c r="O237" s="288"/>
      <c r="P237" s="288"/>
      <c r="Q237" s="290"/>
      <c r="R237" s="288"/>
      <c r="S237" s="288"/>
      <c r="T237" s="288"/>
      <c r="U237" s="288"/>
      <c r="V237" s="288"/>
      <c r="W237" s="415"/>
      <c r="X237" s="415"/>
      <c r="Y237" s="290"/>
      <c r="Z237" s="288"/>
      <c r="AA237" s="288"/>
      <c r="AB237" s="435"/>
      <c r="AC237" s="435"/>
      <c r="AD237" s="436"/>
      <c r="AE237" s="288"/>
      <c r="AF237" s="288"/>
      <c r="AG237" s="427"/>
      <c r="AH237" s="288"/>
      <c r="AI237" s="332"/>
      <c r="AJ237" s="290"/>
      <c r="AK237" s="46"/>
      <c r="AL237" s="204"/>
      <c r="AM237" s="104"/>
    </row>
    <row r="238" spans="1:39" x14ac:dyDescent="0.25">
      <c r="A238" s="66" t="s">
        <v>35</v>
      </c>
      <c r="B238" s="162"/>
      <c r="C238" s="162"/>
      <c r="D238" s="162"/>
      <c r="E238" s="164"/>
      <c r="F238" s="164"/>
      <c r="G238" s="164"/>
      <c r="H238" s="164"/>
      <c r="I238" s="290"/>
      <c r="J238" s="338"/>
      <c r="K238" s="288"/>
      <c r="L238" s="288"/>
      <c r="M238" s="288"/>
      <c r="N238" s="288"/>
      <c r="O238" s="288"/>
      <c r="P238" s="288"/>
      <c r="Q238" s="290"/>
      <c r="R238" s="288"/>
      <c r="S238" s="288"/>
      <c r="T238" s="288"/>
      <c r="U238" s="288"/>
      <c r="V238" s="288"/>
      <c r="W238" s="415"/>
      <c r="X238" s="415"/>
      <c r="Y238" s="290"/>
      <c r="Z238" s="288"/>
      <c r="AA238" s="288"/>
      <c r="AB238" s="435"/>
      <c r="AC238" s="435"/>
      <c r="AD238" s="436"/>
      <c r="AE238" s="288"/>
      <c r="AF238" s="288"/>
      <c r="AG238" s="443"/>
      <c r="AH238" s="288"/>
      <c r="AI238" s="332"/>
      <c r="AJ238" s="290"/>
      <c r="AK238" s="46"/>
      <c r="AL238" s="204"/>
      <c r="AM238" s="183"/>
    </row>
    <row r="239" spans="1:39" ht="19.5" thickBot="1" x14ac:dyDescent="0.35">
      <c r="A239" s="368" t="s">
        <v>22</v>
      </c>
      <c r="B239" s="162"/>
      <c r="C239" s="162"/>
      <c r="D239" s="162"/>
      <c r="E239" s="164"/>
      <c r="F239" s="164"/>
      <c r="G239" s="164"/>
      <c r="H239" s="338"/>
      <c r="I239" s="290"/>
      <c r="J239" s="338"/>
      <c r="K239" s="367"/>
      <c r="L239" s="288"/>
      <c r="M239" s="288"/>
      <c r="N239" s="338"/>
      <c r="O239" s="288"/>
      <c r="P239" s="288"/>
      <c r="Q239" s="290"/>
      <c r="R239" s="288"/>
      <c r="S239" s="288"/>
      <c r="T239" s="288"/>
      <c r="U239" s="288"/>
      <c r="V239" s="288"/>
      <c r="W239" s="415"/>
      <c r="X239" s="415"/>
      <c r="Y239" s="290"/>
      <c r="Z239" s="288"/>
      <c r="AA239" s="288"/>
      <c r="AB239" s="436"/>
      <c r="AC239" s="435"/>
      <c r="AD239" s="436"/>
      <c r="AE239" s="288"/>
      <c r="AF239" s="288"/>
      <c r="AG239" s="288"/>
      <c r="AH239" s="288"/>
      <c r="AI239" s="332"/>
      <c r="AJ239" s="290"/>
      <c r="AK239" s="342"/>
      <c r="AL239" s="204"/>
      <c r="AM239" s="208"/>
    </row>
    <row r="240" spans="1:39" ht="18.75" x14ac:dyDescent="0.3">
      <c r="A240" s="368" t="s">
        <v>88</v>
      </c>
      <c r="B240" s="115"/>
      <c r="C240" s="115"/>
      <c r="D240" s="115"/>
      <c r="E240" s="18"/>
      <c r="F240" s="242"/>
      <c r="G240" s="18"/>
      <c r="H240" s="18"/>
      <c r="I240" s="49"/>
      <c r="J240" s="240"/>
      <c r="K240" s="134"/>
      <c r="L240" s="134"/>
      <c r="M240" s="134"/>
      <c r="N240" s="134"/>
      <c r="O240" s="134"/>
      <c r="P240" s="134"/>
      <c r="Q240" s="49"/>
      <c r="R240" s="134"/>
      <c r="S240" s="134"/>
      <c r="T240" s="134"/>
      <c r="U240" s="134"/>
      <c r="V240" s="134"/>
      <c r="W240" s="417"/>
      <c r="X240" s="417"/>
      <c r="Y240" s="49"/>
      <c r="Z240" s="134"/>
      <c r="AA240" s="134"/>
      <c r="AB240" s="159"/>
      <c r="AC240" s="159"/>
      <c r="AD240" s="432"/>
      <c r="AE240" s="134"/>
      <c r="AF240" s="134"/>
      <c r="AG240" s="134"/>
      <c r="AH240" s="134"/>
      <c r="AI240" s="134"/>
      <c r="AJ240" s="49"/>
      <c r="AK240" s="378"/>
      <c r="AL240" s="309"/>
      <c r="AM240" s="198" t="s">
        <v>42</v>
      </c>
    </row>
    <row r="241" spans="1:39" ht="18.75" x14ac:dyDescent="0.3">
      <c r="A241" s="368" t="s">
        <v>38</v>
      </c>
      <c r="B241" s="115"/>
      <c r="C241" s="115"/>
      <c r="D241" s="115"/>
      <c r="E241" s="18"/>
      <c r="F241" s="242"/>
      <c r="G241" s="18"/>
      <c r="H241" s="18"/>
      <c r="I241" s="49"/>
      <c r="J241" s="242"/>
      <c r="K241" s="134"/>
      <c r="L241" s="134"/>
      <c r="M241" s="134"/>
      <c r="N241" s="134"/>
      <c r="O241" s="134"/>
      <c r="P241" s="134"/>
      <c r="Q241" s="49"/>
      <c r="R241" s="134"/>
      <c r="S241" s="134"/>
      <c r="T241" s="134"/>
      <c r="U241" s="242"/>
      <c r="V241" s="134"/>
      <c r="W241" s="417"/>
      <c r="X241" s="417"/>
      <c r="Y241" s="49"/>
      <c r="Z241" s="242"/>
      <c r="AA241" s="134"/>
      <c r="AB241" s="159"/>
      <c r="AC241" s="159"/>
      <c r="AD241" s="159"/>
      <c r="AE241" s="242"/>
      <c r="AF241" s="134"/>
      <c r="AG241" s="134"/>
      <c r="AH241" s="134"/>
      <c r="AI241" s="134"/>
      <c r="AJ241" s="49"/>
      <c r="AK241" s="378"/>
      <c r="AL241" s="309"/>
      <c r="AM241" s="197"/>
    </row>
    <row r="242" spans="1:39" x14ac:dyDescent="0.25">
      <c r="A242" s="368" t="s">
        <v>90</v>
      </c>
      <c r="B242" s="150"/>
      <c r="C242" s="150"/>
      <c r="D242" s="282"/>
      <c r="E242" s="150"/>
      <c r="F242" s="282"/>
      <c r="G242" s="150"/>
      <c r="H242" s="150"/>
      <c r="I242" s="369"/>
      <c r="J242" s="282"/>
      <c r="K242" s="150"/>
      <c r="L242" s="149"/>
      <c r="M242" s="182"/>
      <c r="N242" s="182"/>
      <c r="O242" s="182"/>
      <c r="P242" s="182"/>
      <c r="Q242" s="370"/>
      <c r="R242" s="182"/>
      <c r="S242" s="182"/>
      <c r="T242" s="182"/>
      <c r="U242" s="182"/>
      <c r="V242" s="182"/>
      <c r="W242" s="419"/>
      <c r="X242" s="419"/>
      <c r="Y242" s="370"/>
      <c r="Z242" s="182"/>
      <c r="AA242" s="182"/>
      <c r="AB242" s="109"/>
      <c r="AC242" s="109"/>
      <c r="AD242" s="109"/>
      <c r="AE242" s="182"/>
      <c r="AF242" s="182"/>
      <c r="AG242" s="182"/>
      <c r="AH242" s="182"/>
      <c r="AI242" s="182"/>
      <c r="AJ242" s="370"/>
      <c r="AK242" s="333"/>
      <c r="AL242" s="309"/>
      <c r="AM242" s="197"/>
    </row>
    <row r="243" spans="1:39" x14ac:dyDescent="0.25">
      <c r="A243" s="368" t="s">
        <v>87</v>
      </c>
      <c r="B243" s="355"/>
      <c r="C243" s="355"/>
      <c r="D243" s="355"/>
      <c r="E243" s="355"/>
      <c r="F243" s="152"/>
      <c r="G243" s="356"/>
      <c r="H243" s="356"/>
      <c r="I243" s="357"/>
      <c r="J243" s="152"/>
      <c r="K243" s="356"/>
      <c r="L243" s="356"/>
      <c r="M243" s="356"/>
      <c r="N243" s="152"/>
      <c r="O243" s="356"/>
      <c r="P243" s="356"/>
      <c r="Q243" s="357"/>
      <c r="R243" s="356"/>
      <c r="S243" s="356"/>
      <c r="T243" s="356"/>
      <c r="U243" s="356"/>
      <c r="V243" s="356"/>
      <c r="W243" s="415"/>
      <c r="X243" s="415"/>
      <c r="Y243" s="357"/>
      <c r="Z243" s="356"/>
      <c r="AA243" s="356"/>
      <c r="AB243" s="175"/>
      <c r="AC243" s="175"/>
      <c r="AD243" s="175"/>
      <c r="AE243" s="152"/>
      <c r="AF243" s="356"/>
      <c r="AG243" s="356"/>
      <c r="AH243" s="356"/>
      <c r="AI243" s="356"/>
      <c r="AJ243" s="357"/>
      <c r="AK243" s="358"/>
      <c r="AL243" s="359"/>
      <c r="AM243" s="204"/>
    </row>
    <row r="244" spans="1:39" x14ac:dyDescent="0.25">
      <c r="A244" s="368" t="s">
        <v>21</v>
      </c>
      <c r="B244" s="355"/>
      <c r="C244" s="355"/>
      <c r="D244" s="355"/>
      <c r="E244" s="355"/>
      <c r="F244" s="152"/>
      <c r="G244" s="356"/>
      <c r="H244" s="356"/>
      <c r="I244" s="357"/>
      <c r="J244" s="152"/>
      <c r="K244" s="356"/>
      <c r="L244" s="356"/>
      <c r="M244" s="356"/>
      <c r="N244" s="152"/>
      <c r="O244" s="356"/>
      <c r="P244" s="356"/>
      <c r="Q244" s="357"/>
      <c r="R244" s="356"/>
      <c r="S244" s="356"/>
      <c r="T244" s="356"/>
      <c r="U244" s="356"/>
      <c r="V244" s="356"/>
      <c r="W244" s="415"/>
      <c r="X244" s="415"/>
      <c r="Y244" s="357"/>
      <c r="Z244" s="356"/>
      <c r="AA244" s="356"/>
      <c r="AB244" s="175"/>
      <c r="AC244" s="175"/>
      <c r="AD244" s="175"/>
      <c r="AE244" s="152"/>
      <c r="AF244" s="356"/>
      <c r="AG244" s="356"/>
      <c r="AH244" s="356"/>
      <c r="AI244" s="356"/>
      <c r="AJ244" s="357"/>
      <c r="AK244" s="358"/>
      <c r="AL244" s="359"/>
      <c r="AM244" s="197"/>
    </row>
    <row r="245" spans="1:39" x14ac:dyDescent="0.25">
      <c r="A245" s="368" t="s">
        <v>99</v>
      </c>
      <c r="B245" s="367"/>
      <c r="C245" s="367"/>
      <c r="D245" s="367"/>
      <c r="E245" s="367"/>
      <c r="F245" s="367"/>
      <c r="G245" s="367"/>
      <c r="H245" s="367"/>
      <c r="I245" s="374"/>
      <c r="J245" s="367"/>
      <c r="K245" s="367"/>
      <c r="L245" s="367"/>
      <c r="M245" s="367"/>
      <c r="N245" s="367"/>
      <c r="O245" s="367"/>
      <c r="P245" s="367"/>
      <c r="Q245" s="290"/>
      <c r="R245" s="367"/>
      <c r="S245" s="288"/>
      <c r="T245" s="338"/>
      <c r="U245" s="288"/>
      <c r="V245" s="288"/>
      <c r="W245" s="415"/>
      <c r="X245" s="415"/>
      <c r="Y245" s="290"/>
      <c r="Z245" s="288"/>
      <c r="AA245" s="288"/>
      <c r="AB245" s="435"/>
      <c r="AC245" s="435"/>
      <c r="AD245" s="435"/>
      <c r="AE245" s="288"/>
      <c r="AF245" s="288"/>
      <c r="AG245" s="288"/>
      <c r="AH245" s="288"/>
      <c r="AI245" s="288"/>
      <c r="AJ245" s="290"/>
      <c r="AK245" s="291"/>
      <c r="AL245" s="204"/>
      <c r="AM245" s="104"/>
    </row>
    <row r="246" spans="1:39" ht="15.75" x14ac:dyDescent="0.25">
      <c r="A246" s="426" t="s">
        <v>91</v>
      </c>
      <c r="B246" s="242"/>
      <c r="C246" s="242"/>
      <c r="D246" s="242"/>
      <c r="E246" s="242"/>
      <c r="F246" s="242"/>
      <c r="G246" s="242"/>
      <c r="H246" s="242"/>
      <c r="I246" s="409"/>
      <c r="J246" s="242"/>
      <c r="K246" s="242"/>
      <c r="L246" s="242"/>
      <c r="M246" s="242"/>
      <c r="N246" s="242"/>
      <c r="O246" s="242"/>
      <c r="P246" s="242"/>
      <c r="Q246" s="410"/>
      <c r="R246" s="242"/>
      <c r="S246" s="240"/>
      <c r="T246" s="134"/>
      <c r="U246" s="134"/>
      <c r="V246" s="134"/>
      <c r="W246" s="417"/>
      <c r="X246" s="417"/>
      <c r="Y246" s="49"/>
      <c r="Z246" s="134"/>
      <c r="AA246" s="240"/>
      <c r="AB246" s="159"/>
      <c r="AC246" s="159"/>
      <c r="AD246" s="159"/>
      <c r="AE246" s="134"/>
      <c r="AF246" s="240"/>
      <c r="AG246" s="134"/>
      <c r="AH246" s="134"/>
      <c r="AI246" s="134"/>
      <c r="AJ246" s="49"/>
      <c r="AK246" s="133"/>
      <c r="AL246" s="197"/>
      <c r="AM246" s="183"/>
    </row>
    <row r="247" spans="1:39" ht="19.5" thickBot="1" x14ac:dyDescent="0.35">
      <c r="A247" s="66" t="s">
        <v>101</v>
      </c>
      <c r="B247" s="396"/>
      <c r="C247" s="396"/>
      <c r="D247" s="396"/>
      <c r="E247" s="396"/>
      <c r="F247" s="396"/>
      <c r="G247" s="396"/>
      <c r="H247" s="396"/>
      <c r="I247" s="334"/>
      <c r="J247" s="396"/>
      <c r="K247" s="396"/>
      <c r="L247" s="396"/>
      <c r="M247" s="396"/>
      <c r="N247" s="396"/>
      <c r="O247" s="396"/>
      <c r="P247" s="396"/>
      <c r="Q247" s="334"/>
      <c r="R247" s="396"/>
      <c r="S247" s="396"/>
      <c r="T247" s="396"/>
      <c r="U247" s="396"/>
      <c r="V247" s="396"/>
      <c r="W247" s="420"/>
      <c r="X247" s="420"/>
      <c r="Y247" s="334"/>
      <c r="Z247" s="396"/>
      <c r="AA247" s="396"/>
      <c r="AB247" s="437"/>
      <c r="AC247" s="437"/>
      <c r="AD247" s="437"/>
      <c r="AE247" s="396"/>
      <c r="AF247" s="396"/>
      <c r="AG247" s="396"/>
      <c r="AH247" s="396"/>
      <c r="AI247" s="396"/>
      <c r="AJ247" s="334"/>
      <c r="AK247" s="397"/>
      <c r="AL247" s="228"/>
      <c r="AM247" s="208"/>
    </row>
    <row r="248" spans="1:39" ht="18.75" x14ac:dyDescent="0.3">
      <c r="A248" s="281" t="s">
        <v>2</v>
      </c>
      <c r="B248" s="241"/>
      <c r="C248" s="241"/>
      <c r="D248" s="241"/>
      <c r="E248" s="241"/>
      <c r="F248" s="241"/>
      <c r="G248" s="241"/>
      <c r="H248" s="241"/>
      <c r="I248" s="380"/>
      <c r="J248" s="241"/>
      <c r="K248" s="241"/>
      <c r="L248" s="241"/>
      <c r="M248" s="241"/>
      <c r="N248" s="241"/>
      <c r="O248" s="241"/>
      <c r="P248" s="241"/>
      <c r="Q248" s="377"/>
      <c r="R248" s="241"/>
      <c r="S248" s="241"/>
      <c r="T248" s="241"/>
      <c r="U248" s="241"/>
      <c r="V248" s="241"/>
      <c r="W248" s="413"/>
      <c r="X248" s="413"/>
      <c r="Y248" s="380"/>
      <c r="Z248" s="241"/>
      <c r="AA248" s="241"/>
      <c r="AB248" s="241"/>
      <c r="AC248" s="241"/>
      <c r="AD248" s="241"/>
      <c r="AE248" s="241"/>
      <c r="AF248" s="241"/>
      <c r="AG248" s="241"/>
      <c r="AH248" s="424"/>
      <c r="AI248" s="425"/>
      <c r="AJ248" s="360"/>
      <c r="AK248" s="266"/>
      <c r="AL248" s="284"/>
      <c r="AM248" s="198" t="s">
        <v>42</v>
      </c>
    </row>
    <row r="249" spans="1:39" ht="19.5" thickBot="1" x14ac:dyDescent="0.35">
      <c r="A249" s="272"/>
      <c r="B249" s="265"/>
      <c r="C249" s="265"/>
      <c r="D249" s="265"/>
      <c r="E249" s="265"/>
      <c r="F249" s="265"/>
      <c r="G249" s="265"/>
      <c r="H249" s="265"/>
      <c r="I249" s="334"/>
      <c r="J249" s="265"/>
      <c r="K249" s="265"/>
      <c r="L249" s="265"/>
      <c r="M249" s="265"/>
      <c r="N249" s="265"/>
      <c r="O249" s="265"/>
      <c r="P249" s="265"/>
      <c r="Q249" s="334"/>
      <c r="R249" s="265"/>
      <c r="S249" s="265"/>
      <c r="T249" s="265"/>
      <c r="U249" s="265"/>
      <c r="V249" s="265"/>
      <c r="W249" s="265"/>
      <c r="X249" s="265"/>
      <c r="Y249" s="334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334"/>
      <c r="AK249" s="273"/>
      <c r="AL249" s="228"/>
      <c r="AM249" s="197"/>
    </row>
    <row r="250" spans="1:39" ht="24" thickBot="1" x14ac:dyDescent="0.4">
      <c r="A250" s="252" t="s">
        <v>186</v>
      </c>
      <c r="B250" s="258"/>
      <c r="C250" s="258"/>
      <c r="D250" s="258"/>
      <c r="E250" s="258"/>
      <c r="F250" s="258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  <c r="AD250" s="254"/>
      <c r="AE250" s="254"/>
      <c r="AF250" s="254"/>
      <c r="AG250" s="254"/>
      <c r="AH250" s="254"/>
      <c r="AI250" s="254"/>
      <c r="AJ250" s="260"/>
      <c r="AK250" s="261"/>
      <c r="AL250" s="260"/>
      <c r="AM250" s="197"/>
    </row>
    <row r="251" spans="1:39" ht="15.75" thickBot="1" x14ac:dyDescent="0.3">
      <c r="A251" s="222" t="s">
        <v>2</v>
      </c>
      <c r="B251" s="53"/>
      <c r="C251" s="53"/>
      <c r="D251" s="53"/>
      <c r="E251" s="53"/>
      <c r="F251" s="53"/>
      <c r="G251" s="53"/>
      <c r="H251" s="53"/>
      <c r="I251" s="34"/>
      <c r="J251" s="53"/>
      <c r="K251" s="53"/>
      <c r="L251" s="53"/>
      <c r="M251" s="53"/>
      <c r="N251" s="53"/>
      <c r="O251" s="53"/>
      <c r="P251" s="53"/>
      <c r="Q251" s="34"/>
      <c r="R251" s="53"/>
      <c r="S251" s="53"/>
      <c r="T251" s="53"/>
      <c r="U251" s="53"/>
      <c r="V251" s="53"/>
      <c r="W251" s="53"/>
      <c r="X251" s="53"/>
      <c r="Y251" s="34"/>
      <c r="Z251" s="53"/>
      <c r="AA251" s="53"/>
      <c r="AB251" s="53"/>
      <c r="AC251" s="53"/>
      <c r="AD251" s="53"/>
      <c r="AE251" s="53"/>
      <c r="AF251" s="53"/>
      <c r="AG251" s="53"/>
      <c r="AH251" s="53"/>
      <c r="AI251" s="54"/>
      <c r="AJ251" s="49"/>
      <c r="AK251" s="346"/>
      <c r="AL251" s="105"/>
      <c r="AM251" s="197"/>
    </row>
    <row r="252" spans="1:39" ht="18.75" x14ac:dyDescent="0.3">
      <c r="A252" s="64" t="s">
        <v>57</v>
      </c>
      <c r="B252" s="1"/>
      <c r="C252" s="1"/>
      <c r="D252" s="1"/>
      <c r="E252" s="1"/>
      <c r="F252" s="1"/>
      <c r="G252" s="1"/>
      <c r="H252" s="1"/>
      <c r="I252" s="36"/>
      <c r="J252" s="1"/>
      <c r="K252" s="1"/>
      <c r="L252" s="1"/>
      <c r="M252" s="1"/>
      <c r="N252" s="1"/>
      <c r="O252" s="1"/>
      <c r="P252" s="1"/>
      <c r="Q252" s="36"/>
      <c r="R252" s="1"/>
      <c r="S252" s="1"/>
      <c r="T252" s="57"/>
      <c r="U252" s="1"/>
      <c r="V252" s="1"/>
      <c r="W252" s="1"/>
      <c r="X252" s="1"/>
      <c r="Y252" s="36"/>
      <c r="Z252" s="1"/>
      <c r="AA252" s="1"/>
      <c r="AB252" s="1"/>
      <c r="AC252" s="1"/>
      <c r="AD252" s="1"/>
      <c r="AE252" s="1"/>
      <c r="AF252" s="1"/>
      <c r="AG252" s="1"/>
      <c r="AH252" s="1"/>
      <c r="AI252" s="55"/>
      <c r="AJ252" s="36"/>
      <c r="AK252" s="339"/>
      <c r="AL252" s="197"/>
      <c r="AM252" s="197"/>
    </row>
    <row r="253" spans="1:39" ht="18.75" x14ac:dyDescent="0.3">
      <c r="A253" s="11" t="s">
        <v>58</v>
      </c>
      <c r="B253" s="1"/>
      <c r="C253" s="1"/>
      <c r="D253" s="1"/>
      <c r="E253" s="1"/>
      <c r="F253" s="1"/>
      <c r="G253" s="1"/>
      <c r="H253" s="1"/>
      <c r="I253" s="37"/>
      <c r="J253" s="118"/>
      <c r="K253" s="1"/>
      <c r="L253" s="1"/>
      <c r="M253" s="1"/>
      <c r="N253" s="1"/>
      <c r="O253" s="1"/>
      <c r="P253" s="1"/>
      <c r="Q253" s="37"/>
      <c r="R253" s="1"/>
      <c r="S253" s="1"/>
      <c r="T253" s="57"/>
      <c r="U253" s="1"/>
      <c r="V253" s="1"/>
      <c r="W253" s="1"/>
      <c r="X253" s="1"/>
      <c r="Y253" s="37"/>
      <c r="Z253" s="1"/>
      <c r="AA253" s="1"/>
      <c r="AB253" s="118"/>
      <c r="AC253" s="1"/>
      <c r="AD253" s="118"/>
      <c r="AE253" s="1"/>
      <c r="AF253" s="1"/>
      <c r="AG253" s="336"/>
      <c r="AH253" s="2"/>
      <c r="AI253" s="52"/>
      <c r="AJ253" s="37"/>
      <c r="AK253" s="340"/>
      <c r="AL253" s="197"/>
      <c r="AM253" s="104"/>
    </row>
    <row r="254" spans="1:39" ht="18.75" x14ac:dyDescent="0.3">
      <c r="A254" s="62" t="s">
        <v>59</v>
      </c>
      <c r="B254" s="123"/>
      <c r="C254" s="123"/>
      <c r="D254" s="123"/>
      <c r="E254" s="123"/>
      <c r="F254" s="123"/>
      <c r="G254" s="123"/>
      <c r="H254" s="123"/>
      <c r="I254" s="43"/>
      <c r="J254" s="178"/>
      <c r="K254" s="123"/>
      <c r="L254" s="123"/>
      <c r="M254" s="123"/>
      <c r="N254" s="123"/>
      <c r="O254" s="123"/>
      <c r="P254" s="123"/>
      <c r="Q254" s="43"/>
      <c r="R254" s="123"/>
      <c r="S254" s="123"/>
      <c r="T254" s="178"/>
      <c r="U254" s="123"/>
      <c r="V254" s="123"/>
      <c r="W254" s="123"/>
      <c r="X254" s="123"/>
      <c r="Y254" s="43"/>
      <c r="Z254" s="123"/>
      <c r="AA254" s="123"/>
      <c r="AB254" s="123"/>
      <c r="AC254" s="123"/>
      <c r="AD254" s="119"/>
      <c r="AE254" s="123"/>
      <c r="AF254" s="123"/>
      <c r="AG254" s="366"/>
      <c r="AH254" s="42"/>
      <c r="AI254" s="243"/>
      <c r="AJ254" s="43"/>
      <c r="AK254" s="342"/>
      <c r="AL254" s="204"/>
      <c r="AM254" s="183"/>
    </row>
    <row r="255" spans="1:39" ht="19.5" thickBot="1" x14ac:dyDescent="0.35">
      <c r="A255" s="349"/>
      <c r="B255" s="274"/>
      <c r="C255" s="274"/>
      <c r="D255" s="274"/>
      <c r="E255" s="274"/>
      <c r="F255" s="274"/>
      <c r="G255" s="275"/>
      <c r="H255" s="275"/>
      <c r="I255" s="269"/>
      <c r="J255" s="270"/>
      <c r="K255" s="268"/>
      <c r="L255" s="275"/>
      <c r="M255" s="268"/>
      <c r="N255" s="275"/>
      <c r="O255" s="268"/>
      <c r="P255" s="275"/>
      <c r="Q255" s="269"/>
      <c r="R255" s="153"/>
      <c r="S255" s="275"/>
      <c r="T255" s="239"/>
      <c r="U255" s="268"/>
      <c r="V255" s="275"/>
      <c r="W255" s="275"/>
      <c r="X255" s="268"/>
      <c r="Y255" s="269"/>
      <c r="Z255" s="275"/>
      <c r="AA255" s="153"/>
      <c r="AB255" s="268"/>
      <c r="AC255" s="275"/>
      <c r="AD255" s="268"/>
      <c r="AE255" s="275"/>
      <c r="AF255" s="275"/>
      <c r="AG255" s="429"/>
      <c r="AH255" s="270"/>
      <c r="AI255" s="270"/>
      <c r="AJ255" s="269"/>
      <c r="AK255" s="271"/>
      <c r="AL255" s="204"/>
      <c r="AM255" s="208"/>
    </row>
    <row r="256" spans="1:39" ht="18.75" x14ac:dyDescent="0.3">
      <c r="A256" s="281" t="s">
        <v>2</v>
      </c>
      <c r="B256" s="307"/>
      <c r="C256" s="307"/>
      <c r="D256" s="307"/>
      <c r="E256" s="307"/>
      <c r="F256" s="307"/>
      <c r="G256" s="307"/>
      <c r="H256" s="307"/>
      <c r="I256" s="376"/>
      <c r="J256" s="307"/>
      <c r="K256" s="307"/>
      <c r="L256" s="307"/>
      <c r="M256" s="307"/>
      <c r="N256" s="307"/>
      <c r="O256" s="307"/>
      <c r="P256" s="307"/>
      <c r="Q256" s="376"/>
      <c r="R256" s="307"/>
      <c r="S256" s="307"/>
      <c r="T256" s="163"/>
      <c r="U256" s="307"/>
      <c r="V256" s="307"/>
      <c r="W256" s="307"/>
      <c r="X256" s="307"/>
      <c r="Y256" s="376"/>
      <c r="Z256" s="307"/>
      <c r="AA256" s="307"/>
      <c r="AB256" s="307"/>
      <c r="AC256" s="307"/>
      <c r="AD256" s="307"/>
      <c r="AE256" s="307"/>
      <c r="AF256" s="307"/>
      <c r="AG256" s="428"/>
      <c r="AH256" s="308"/>
      <c r="AI256" s="308"/>
      <c r="AJ256" s="310"/>
      <c r="AK256" s="308"/>
      <c r="AL256" s="284"/>
      <c r="AM256" s="198" t="s">
        <v>42</v>
      </c>
    </row>
    <row r="257" spans="1:41" ht="15.75" thickBot="1" x14ac:dyDescent="0.3">
      <c r="A257" s="264"/>
      <c r="B257" s="265"/>
      <c r="C257" s="265"/>
      <c r="D257" s="265"/>
      <c r="E257" s="265"/>
      <c r="F257" s="265"/>
      <c r="G257" s="265"/>
      <c r="H257" s="265"/>
      <c r="I257" s="361"/>
      <c r="J257" s="265"/>
      <c r="K257" s="265"/>
      <c r="L257" s="265"/>
      <c r="M257" s="265"/>
      <c r="N257" s="265"/>
      <c r="O257" s="265"/>
      <c r="P257" s="265"/>
      <c r="Q257" s="361"/>
      <c r="R257" s="265"/>
      <c r="S257" s="265"/>
      <c r="T257" s="265"/>
      <c r="U257" s="265"/>
      <c r="V257" s="265"/>
      <c r="W257" s="265"/>
      <c r="X257" s="265"/>
      <c r="Y257" s="361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361"/>
      <c r="AK257" s="362"/>
      <c r="AL257" s="363"/>
      <c r="AM257" s="197"/>
    </row>
    <row r="258" spans="1:41" ht="24" thickBot="1" x14ac:dyDescent="0.4">
      <c r="A258" s="252" t="s">
        <v>187</v>
      </c>
      <c r="B258" s="258"/>
      <c r="C258" s="258"/>
      <c r="D258" s="258"/>
      <c r="E258" s="258"/>
      <c r="F258" s="258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  <c r="AD258" s="254"/>
      <c r="AE258" s="254"/>
      <c r="AF258" s="254"/>
      <c r="AG258" s="254"/>
      <c r="AH258" s="254"/>
      <c r="AI258" s="254"/>
      <c r="AJ258" s="260"/>
      <c r="AK258" s="261"/>
      <c r="AL258" s="260"/>
      <c r="AM258" s="197"/>
    </row>
    <row r="259" spans="1:41" ht="18.75" x14ac:dyDescent="0.3">
      <c r="A259" s="11" t="s">
        <v>54</v>
      </c>
      <c r="B259" s="1"/>
      <c r="C259" s="1"/>
      <c r="D259" s="1"/>
      <c r="E259" s="1"/>
      <c r="F259" s="1"/>
      <c r="G259" s="1"/>
      <c r="H259" s="1"/>
      <c r="I259" s="37"/>
      <c r="J259" s="118"/>
      <c r="K259" s="118"/>
      <c r="L259" s="1"/>
      <c r="M259" s="118"/>
      <c r="N259" s="1"/>
      <c r="O259" s="118"/>
      <c r="P259" s="1"/>
      <c r="Q259" s="37"/>
      <c r="R259" s="118"/>
      <c r="S259" s="1"/>
      <c r="T259" s="118"/>
      <c r="U259" s="118"/>
      <c r="V259" s="118"/>
      <c r="W259" s="118"/>
      <c r="X259" s="118"/>
      <c r="Y259" s="37"/>
      <c r="Z259" s="118"/>
      <c r="AA259" s="1"/>
      <c r="AB259" s="1"/>
      <c r="AC259" s="1"/>
      <c r="AD259" s="1"/>
      <c r="AE259" s="118"/>
      <c r="AF259" s="118"/>
      <c r="AG259" s="2"/>
      <c r="AH259" s="2"/>
      <c r="AI259" s="52"/>
      <c r="AJ259" s="37"/>
      <c r="AK259" s="339"/>
      <c r="AL259" s="197"/>
      <c r="AM259" s="197"/>
    </row>
    <row r="260" spans="1:41" ht="18.75" x14ac:dyDescent="0.3">
      <c r="A260" s="11" t="s">
        <v>55</v>
      </c>
      <c r="B260" s="1"/>
      <c r="C260" s="1"/>
      <c r="D260" s="1"/>
      <c r="E260" s="1"/>
      <c r="F260" s="1"/>
      <c r="G260" s="1"/>
      <c r="H260" s="1"/>
      <c r="I260" s="37"/>
      <c r="J260" s="118"/>
      <c r="K260" s="118"/>
      <c r="L260" s="1"/>
      <c r="M260" s="118"/>
      <c r="N260" s="118"/>
      <c r="O260" s="1"/>
      <c r="P260" s="1"/>
      <c r="Q260" s="37"/>
      <c r="R260" s="118"/>
      <c r="S260" s="1"/>
      <c r="T260" s="118"/>
      <c r="U260" s="1"/>
      <c r="V260" s="118"/>
      <c r="W260" s="118"/>
      <c r="X260" s="118"/>
      <c r="Y260" s="37"/>
      <c r="Z260" s="118"/>
      <c r="AA260" s="1"/>
      <c r="AB260" s="1"/>
      <c r="AC260" s="1"/>
      <c r="AD260" s="1"/>
      <c r="AE260" s="118"/>
      <c r="AF260" s="118"/>
      <c r="AG260" s="2"/>
      <c r="AH260" s="2"/>
      <c r="AI260" s="52"/>
      <c r="AJ260" s="37"/>
      <c r="AK260" s="339"/>
      <c r="AL260" s="197"/>
      <c r="AM260" s="197"/>
    </row>
    <row r="261" spans="1:41" ht="19.5" thickBot="1" x14ac:dyDescent="0.35">
      <c r="A261" s="62" t="s">
        <v>56</v>
      </c>
      <c r="B261" s="123"/>
      <c r="C261" s="123"/>
      <c r="D261" s="123"/>
      <c r="E261" s="123"/>
      <c r="F261" s="123"/>
      <c r="G261" s="123"/>
      <c r="H261" s="123"/>
      <c r="I261" s="43"/>
      <c r="J261" s="119"/>
      <c r="K261" s="119"/>
      <c r="L261" s="123"/>
      <c r="M261" s="119"/>
      <c r="N261" s="123"/>
      <c r="O261" s="119"/>
      <c r="P261" s="123"/>
      <c r="Q261" s="43"/>
      <c r="R261" s="123"/>
      <c r="S261" s="123"/>
      <c r="T261" s="119"/>
      <c r="U261" s="119"/>
      <c r="V261" s="119"/>
      <c r="W261" s="119"/>
      <c r="X261" s="119"/>
      <c r="Y261" s="43"/>
      <c r="Z261" s="119"/>
      <c r="AA261" s="123"/>
      <c r="AB261" s="123"/>
      <c r="AC261" s="123"/>
      <c r="AD261" s="123"/>
      <c r="AE261" s="119"/>
      <c r="AF261" s="119"/>
      <c r="AG261" s="42"/>
      <c r="AH261" s="42"/>
      <c r="AI261" s="243"/>
      <c r="AJ261" s="43"/>
      <c r="AK261" s="342"/>
      <c r="AL261" s="204"/>
      <c r="AM261" s="105"/>
    </row>
    <row r="262" spans="1:41" ht="27" thickBot="1" x14ac:dyDescent="0.45">
      <c r="A262" s="67"/>
      <c r="B262" s="124"/>
      <c r="C262" s="124"/>
      <c r="D262" s="124"/>
      <c r="E262" s="124"/>
      <c r="F262" s="124"/>
      <c r="G262" s="124"/>
      <c r="H262" s="124"/>
      <c r="I262" s="47"/>
      <c r="J262" s="124"/>
      <c r="K262" s="124"/>
      <c r="L262" s="124"/>
      <c r="M262" s="124"/>
      <c r="N262" s="124"/>
      <c r="O262" s="124"/>
      <c r="P262" s="124"/>
      <c r="Q262" s="47"/>
      <c r="R262" s="124"/>
      <c r="S262" s="124"/>
      <c r="T262" s="124"/>
      <c r="U262" s="124"/>
      <c r="V262" s="124"/>
      <c r="W262" s="124"/>
      <c r="X262" s="124"/>
      <c r="Y262" s="47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37"/>
      <c r="AK262" s="3"/>
      <c r="AL262" s="197"/>
      <c r="AM262" s="201"/>
    </row>
    <row r="263" spans="1:41" ht="18.75" x14ac:dyDescent="0.3">
      <c r="A263" s="402" t="s">
        <v>2</v>
      </c>
      <c r="B263" s="403"/>
      <c r="C263" s="403"/>
      <c r="D263" s="403"/>
      <c r="E263" s="403"/>
      <c r="F263" s="403"/>
      <c r="G263" s="403"/>
      <c r="H263" s="403"/>
      <c r="I263" s="404"/>
      <c r="J263" s="403"/>
      <c r="K263" s="405"/>
      <c r="L263" s="403"/>
      <c r="M263" s="403"/>
      <c r="N263" s="403"/>
      <c r="O263" s="405"/>
      <c r="P263" s="403"/>
      <c r="Q263" s="404"/>
      <c r="R263" s="403"/>
      <c r="S263" s="405"/>
      <c r="T263" s="405"/>
      <c r="U263" s="405"/>
      <c r="V263" s="405"/>
      <c r="W263" s="405"/>
      <c r="X263" s="405"/>
      <c r="Y263" s="404"/>
      <c r="Z263" s="405"/>
      <c r="AA263" s="403"/>
      <c r="AB263" s="403"/>
      <c r="AC263" s="403"/>
      <c r="AD263" s="403"/>
      <c r="AE263" s="405"/>
      <c r="AF263" s="403"/>
      <c r="AG263" s="430"/>
      <c r="AH263" s="406"/>
      <c r="AI263" s="406"/>
      <c r="AJ263" s="407"/>
      <c r="AK263" s="406"/>
      <c r="AL263" s="408"/>
      <c r="AM263" s="194" t="s">
        <v>39</v>
      </c>
    </row>
    <row r="264" spans="1:41" ht="15.75" thickBot="1" x14ac:dyDescent="0.3">
      <c r="A264" s="364"/>
      <c r="B264" s="265"/>
      <c r="C264" s="265"/>
      <c r="D264" s="265"/>
      <c r="E264" s="265"/>
      <c r="F264" s="265"/>
      <c r="G264" s="265"/>
      <c r="H264" s="265"/>
      <c r="I264" s="361"/>
      <c r="J264" s="265"/>
      <c r="K264" s="265"/>
      <c r="L264" s="265"/>
      <c r="M264" s="265"/>
      <c r="N264" s="265"/>
      <c r="O264" s="265"/>
      <c r="P264" s="265"/>
      <c r="Q264" s="361"/>
      <c r="R264" s="265"/>
      <c r="S264" s="265"/>
      <c r="T264" s="265"/>
      <c r="U264" s="265"/>
      <c r="V264" s="265"/>
      <c r="W264" s="265"/>
      <c r="X264" s="265"/>
      <c r="Y264" s="361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361"/>
      <c r="AK264" s="362"/>
      <c r="AL264" s="363"/>
      <c r="AM264" s="197"/>
      <c r="AO264" s="181"/>
    </row>
    <row r="265" spans="1:41" ht="24" thickBot="1" x14ac:dyDescent="0.4">
      <c r="A265" s="276" t="s">
        <v>188</v>
      </c>
      <c r="B265" s="258"/>
      <c r="C265" s="258"/>
      <c r="D265" s="258"/>
      <c r="E265" s="258"/>
      <c r="F265" s="258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260"/>
      <c r="AK265" s="261"/>
      <c r="AL265" s="260"/>
      <c r="AM265" s="197"/>
      <c r="AO265" s="180"/>
    </row>
    <row r="266" spans="1:41" ht="16.5" thickBot="1" x14ac:dyDescent="0.3">
      <c r="A266" s="320" t="s">
        <v>24</v>
      </c>
      <c r="B266" s="53"/>
      <c r="C266" s="53"/>
      <c r="D266" s="53"/>
      <c r="E266" s="53"/>
      <c r="F266" s="53"/>
      <c r="G266" s="53"/>
      <c r="H266" s="53"/>
      <c r="I266" s="34"/>
      <c r="J266" s="53"/>
      <c r="K266" s="53"/>
      <c r="L266" s="53"/>
      <c r="M266" s="53"/>
      <c r="N266" s="53"/>
      <c r="O266" s="53"/>
      <c r="P266" s="53"/>
      <c r="Q266" s="34"/>
      <c r="R266" s="53"/>
      <c r="S266" s="53"/>
      <c r="T266" s="53"/>
      <c r="U266" s="53"/>
      <c r="V266" s="53"/>
      <c r="W266" s="53"/>
      <c r="X266" s="53"/>
      <c r="Y266" s="34"/>
      <c r="Z266" s="53"/>
      <c r="AA266" s="53"/>
      <c r="AB266" s="53"/>
      <c r="AC266" s="53"/>
      <c r="AD266" s="53"/>
      <c r="AE266" s="53"/>
      <c r="AF266" s="53"/>
      <c r="AG266" s="53"/>
      <c r="AH266" s="53"/>
      <c r="AI266" s="54"/>
      <c r="AJ266" s="49"/>
      <c r="AK266" s="346"/>
      <c r="AL266" s="197"/>
      <c r="AM266" s="197"/>
      <c r="AO266" s="180"/>
    </row>
    <row r="267" spans="1:41" x14ac:dyDescent="0.25">
      <c r="A267" s="64" t="s">
        <v>92</v>
      </c>
      <c r="B267" s="1"/>
      <c r="C267" s="1"/>
      <c r="D267" s="1"/>
      <c r="E267" s="1"/>
      <c r="F267" s="1"/>
      <c r="G267" s="1"/>
      <c r="H267" s="1"/>
      <c r="I267" s="36"/>
      <c r="J267" s="1"/>
      <c r="K267" s="1"/>
      <c r="L267" s="1"/>
      <c r="M267" s="1"/>
      <c r="N267" s="1"/>
      <c r="O267" s="1"/>
      <c r="P267" s="1"/>
      <c r="Q267" s="36"/>
      <c r="R267" s="1"/>
      <c r="S267" s="1"/>
      <c r="T267" s="1"/>
      <c r="U267" s="1"/>
      <c r="V267" s="57"/>
      <c r="W267" s="1"/>
      <c r="X267" s="1"/>
      <c r="Y267" s="36"/>
      <c r="Z267" s="57"/>
      <c r="AA267" s="57"/>
      <c r="AB267" s="57"/>
      <c r="AC267" s="57"/>
      <c r="AD267" s="57"/>
      <c r="AE267" s="57"/>
      <c r="AF267" s="57"/>
      <c r="AG267" s="57"/>
      <c r="AH267" s="57"/>
      <c r="AI267" s="58"/>
      <c r="AJ267" s="36"/>
      <c r="AK267" s="38"/>
      <c r="AL267" s="197"/>
      <c r="AM267" s="197"/>
      <c r="AO267" s="180"/>
    </row>
    <row r="268" spans="1:41" ht="18.75" x14ac:dyDescent="0.3">
      <c r="A268" s="11" t="s">
        <v>94</v>
      </c>
      <c r="B268" s="2"/>
      <c r="C268" s="2"/>
      <c r="D268" s="2"/>
      <c r="E268" s="2"/>
      <c r="F268" s="2"/>
      <c r="G268" s="2"/>
      <c r="H268" s="2"/>
      <c r="I268" s="37"/>
      <c r="J268" s="2"/>
      <c r="K268" s="2"/>
      <c r="L268" s="2"/>
      <c r="M268" s="2"/>
      <c r="N268" s="2"/>
      <c r="O268" s="2"/>
      <c r="P268" s="2"/>
      <c r="Q268" s="37"/>
      <c r="R268" s="2"/>
      <c r="S268" s="1"/>
      <c r="T268" s="57"/>
      <c r="U268" s="2"/>
      <c r="V268" s="161"/>
      <c r="W268" s="2"/>
      <c r="X268" s="2"/>
      <c r="Y268" s="37"/>
      <c r="Z268" s="59"/>
      <c r="AA268" s="59"/>
      <c r="AB268" s="59"/>
      <c r="AC268" s="59"/>
      <c r="AD268" s="59"/>
      <c r="AE268" s="59"/>
      <c r="AF268" s="59"/>
      <c r="AG268" s="59"/>
      <c r="AH268" s="59"/>
      <c r="AI268" s="60"/>
      <c r="AJ268" s="37"/>
      <c r="AK268" s="340"/>
      <c r="AL268" s="197"/>
      <c r="AM268" s="197"/>
      <c r="AO268" s="181"/>
    </row>
    <row r="269" spans="1:41" ht="18.75" x14ac:dyDescent="0.3">
      <c r="A269" s="11" t="s">
        <v>95</v>
      </c>
      <c r="B269" s="2"/>
      <c r="C269" s="2"/>
      <c r="D269" s="2"/>
      <c r="E269" s="2"/>
      <c r="F269" s="2"/>
      <c r="G269" s="2"/>
      <c r="H269" s="2"/>
      <c r="I269" s="37"/>
      <c r="J269" s="2"/>
      <c r="K269" s="2"/>
      <c r="L269" s="2"/>
      <c r="M269" s="2"/>
      <c r="N269" s="2"/>
      <c r="O269" s="2"/>
      <c r="P269" s="2"/>
      <c r="Q269" s="37"/>
      <c r="R269" s="2"/>
      <c r="S269" s="2"/>
      <c r="T269" s="2"/>
      <c r="U269" s="2"/>
      <c r="V269" s="57"/>
      <c r="W269" s="2"/>
      <c r="X269" s="2"/>
      <c r="Y269" s="37"/>
      <c r="Z269" s="59"/>
      <c r="AA269" s="59"/>
      <c r="AB269" s="59"/>
      <c r="AC269" s="59"/>
      <c r="AD269" s="59"/>
      <c r="AE269" s="59"/>
      <c r="AF269" s="59"/>
      <c r="AG269" s="59"/>
      <c r="AH269" s="59"/>
      <c r="AI269" s="60"/>
      <c r="AJ269" s="37"/>
      <c r="AK269" s="340"/>
      <c r="AL269" s="197"/>
      <c r="AM269" s="197"/>
      <c r="AO269" s="180"/>
    </row>
    <row r="270" spans="1:41" ht="18.75" x14ac:dyDescent="0.3">
      <c r="A270" s="11" t="s">
        <v>96</v>
      </c>
      <c r="B270" s="2"/>
      <c r="C270" s="2"/>
      <c r="D270" s="2"/>
      <c r="E270" s="2"/>
      <c r="F270" s="2"/>
      <c r="G270" s="2"/>
      <c r="H270" s="2"/>
      <c r="I270" s="37"/>
      <c r="J270" s="2"/>
      <c r="K270" s="2"/>
      <c r="L270" s="2"/>
      <c r="M270" s="2"/>
      <c r="N270" s="2"/>
      <c r="O270" s="2"/>
      <c r="P270" s="2"/>
      <c r="Q270" s="37"/>
      <c r="R270" s="2"/>
      <c r="S270" s="2"/>
      <c r="T270" s="2"/>
      <c r="U270" s="2"/>
      <c r="V270" s="161"/>
      <c r="W270" s="2"/>
      <c r="X270" s="2"/>
      <c r="Y270" s="37"/>
      <c r="Z270" s="59"/>
      <c r="AA270" s="59"/>
      <c r="AB270" s="59"/>
      <c r="AC270" s="59"/>
      <c r="AD270" s="59"/>
      <c r="AE270" s="59"/>
      <c r="AF270" s="59"/>
      <c r="AG270" s="59"/>
      <c r="AH270" s="59"/>
      <c r="AI270" s="60"/>
      <c r="AJ270" s="37"/>
      <c r="AK270" s="340"/>
      <c r="AL270" s="197"/>
      <c r="AM270" s="197"/>
      <c r="AO270" s="167"/>
    </row>
    <row r="271" spans="1:41" ht="15.75" thickBot="1" x14ac:dyDescent="0.3">
      <c r="A271" s="11" t="s">
        <v>97</v>
      </c>
      <c r="B271" s="124"/>
      <c r="C271" s="124"/>
      <c r="D271" s="124"/>
      <c r="E271" s="124"/>
      <c r="F271" s="124"/>
      <c r="G271" s="124"/>
      <c r="H271" s="124"/>
      <c r="I271" s="37"/>
      <c r="J271" s="124"/>
      <c r="K271" s="124"/>
      <c r="L271" s="124"/>
      <c r="M271" s="124"/>
      <c r="N271" s="124"/>
      <c r="O271" s="124"/>
      <c r="P271" s="124"/>
      <c r="Q271" s="37"/>
      <c r="R271" s="124"/>
      <c r="S271" s="124"/>
      <c r="T271" s="124"/>
      <c r="U271" s="124"/>
      <c r="V271" s="135"/>
      <c r="W271" s="124"/>
      <c r="X271" s="124"/>
      <c r="Y271" s="37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5"/>
      <c r="AJ271" s="37"/>
      <c r="AK271" s="38"/>
      <c r="AL271" s="197"/>
      <c r="AM271" s="104"/>
    </row>
    <row r="272" spans="1:41" ht="15.75" thickBot="1" x14ac:dyDescent="0.3">
      <c r="A272" s="11" t="s">
        <v>93</v>
      </c>
      <c r="B272" s="175"/>
      <c r="C272" s="175"/>
      <c r="D272" s="175"/>
      <c r="E272" s="175"/>
      <c r="F272" s="175"/>
      <c r="G272" s="175"/>
      <c r="H272" s="175"/>
      <c r="I272" s="43"/>
      <c r="J272" s="245"/>
      <c r="K272" s="245"/>
      <c r="L272" s="245"/>
      <c r="M272" s="245"/>
      <c r="N272" s="245"/>
      <c r="O272" s="245"/>
      <c r="P272" s="245"/>
      <c r="Q272" s="43"/>
      <c r="R272" s="245"/>
      <c r="S272" s="245"/>
      <c r="T272" s="245"/>
      <c r="U272" s="245"/>
      <c r="V272" s="175"/>
      <c r="W272" s="245"/>
      <c r="X272" s="245"/>
      <c r="Y272" s="43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6"/>
      <c r="AJ272" s="43"/>
      <c r="AK272" s="44"/>
      <c r="AL272" s="204"/>
      <c r="AM272" s="210"/>
    </row>
    <row r="273" spans="1:38" ht="16.5" thickBot="1" x14ac:dyDescent="0.3">
      <c r="A273" s="11" t="s">
        <v>60</v>
      </c>
      <c r="B273" s="398"/>
      <c r="C273" s="398"/>
      <c r="D273" s="398"/>
      <c r="E273" s="398"/>
      <c r="F273" s="398"/>
      <c r="G273" s="398"/>
      <c r="H273" s="398"/>
      <c r="I273" s="375"/>
      <c r="J273" s="398"/>
      <c r="K273" s="398"/>
      <c r="L273" s="398"/>
      <c r="M273" s="398"/>
      <c r="N273" s="398"/>
      <c r="O273" s="398"/>
      <c r="P273" s="398"/>
      <c r="Q273" s="375"/>
      <c r="R273" s="398"/>
      <c r="S273" s="399"/>
      <c r="T273" s="399"/>
      <c r="U273" s="399"/>
      <c r="V273" s="398"/>
      <c r="W273" s="399"/>
      <c r="X273" s="399"/>
      <c r="Y273" s="278"/>
      <c r="Z273" s="399"/>
      <c r="AA273" s="399"/>
      <c r="AB273" s="399"/>
      <c r="AC273" s="399"/>
      <c r="AD273" s="399"/>
      <c r="AE273" s="399"/>
      <c r="AF273" s="399"/>
      <c r="AG273" s="399"/>
      <c r="AH273" s="399"/>
      <c r="AI273" s="400"/>
      <c r="AJ273" s="278"/>
      <c r="AK273" s="168"/>
      <c r="AL273" s="401"/>
    </row>
    <row r="274" spans="1:38" ht="19.5" thickBot="1" x14ac:dyDescent="0.35">
      <c r="A274" s="280" t="s">
        <v>2</v>
      </c>
      <c r="B274" s="277"/>
      <c r="C274" s="277"/>
      <c r="D274" s="277"/>
      <c r="E274" s="277"/>
      <c r="F274" s="277"/>
      <c r="G274" s="277"/>
      <c r="H274" s="277"/>
      <c r="I274" s="375"/>
      <c r="J274" s="277"/>
      <c r="K274" s="277"/>
      <c r="L274" s="277"/>
      <c r="M274" s="277"/>
      <c r="N274" s="277"/>
      <c r="O274" s="277"/>
      <c r="P274" s="277"/>
      <c r="Q274" s="375"/>
      <c r="R274" s="277"/>
      <c r="S274" s="277"/>
      <c r="T274" s="277"/>
      <c r="U274" s="277"/>
      <c r="V274" s="277"/>
      <c r="W274" s="277"/>
      <c r="X274" s="277"/>
      <c r="Y274" s="375"/>
      <c r="Z274" s="277"/>
      <c r="AA274" s="277"/>
      <c r="AB274" s="277"/>
      <c r="AC274" s="277"/>
      <c r="AD274" s="277"/>
      <c r="AE274" s="277"/>
      <c r="AF274" s="277"/>
      <c r="AG274" s="277"/>
      <c r="AH274" s="277"/>
      <c r="AI274" s="423"/>
      <c r="AJ274" s="278"/>
      <c r="AK274" s="279"/>
      <c r="AL274" s="283"/>
    </row>
    <row r="275" spans="1:38" ht="27" thickBot="1" x14ac:dyDescent="0.45">
      <c r="A275" s="311" t="s">
        <v>189</v>
      </c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312"/>
    </row>
    <row r="276" spans="1:38" ht="16.5" thickBot="1" x14ac:dyDescent="0.3">
      <c r="A276" s="319" t="s">
        <v>8</v>
      </c>
      <c r="B276" s="316"/>
      <c r="C276" s="316"/>
      <c r="D276" s="316"/>
      <c r="E276" s="316"/>
      <c r="F276" s="316"/>
      <c r="G276" s="316"/>
      <c r="H276" s="316"/>
      <c r="I276" s="306"/>
      <c r="J276" s="316"/>
      <c r="K276" s="316"/>
      <c r="L276" s="316"/>
      <c r="M276" s="316"/>
      <c r="N276" s="316"/>
      <c r="O276" s="316"/>
      <c r="P276" s="316"/>
      <c r="Q276" s="306"/>
      <c r="R276" s="316"/>
      <c r="S276" s="316"/>
      <c r="T276" s="316"/>
      <c r="U276" s="316"/>
      <c r="V276" s="316"/>
      <c r="W276" s="316"/>
      <c r="X276" s="316"/>
      <c r="Y276" s="306"/>
      <c r="Z276" s="316"/>
      <c r="AA276" s="316"/>
      <c r="AB276" s="316"/>
      <c r="AC276" s="316"/>
      <c r="AD276" s="316"/>
      <c r="AE276" s="316"/>
      <c r="AF276" s="316"/>
      <c r="AG276" s="316"/>
      <c r="AH276" s="316"/>
      <c r="AI276" s="316"/>
      <c r="AJ276" s="306"/>
      <c r="AK276" s="317"/>
      <c r="AL276" s="318"/>
    </row>
    <row r="277" spans="1:38" x14ac:dyDescent="0.25">
      <c r="A277" s="61" t="s">
        <v>25</v>
      </c>
      <c r="B277" s="303"/>
      <c r="C277" s="303"/>
      <c r="D277" s="303"/>
      <c r="E277" s="303"/>
      <c r="F277" s="303"/>
      <c r="G277" s="303"/>
      <c r="H277" s="313"/>
      <c r="I277" s="304"/>
      <c r="J277" s="303"/>
      <c r="K277" s="303"/>
      <c r="L277" s="303"/>
      <c r="M277" s="303"/>
      <c r="N277" s="303"/>
      <c r="O277" s="303"/>
      <c r="P277" s="303"/>
      <c r="Q277" s="305"/>
      <c r="R277" s="303"/>
      <c r="S277" s="303"/>
      <c r="T277" s="303"/>
      <c r="U277" s="303"/>
      <c r="V277" s="303"/>
      <c r="W277" s="303"/>
      <c r="X277" s="303"/>
      <c r="Y277" s="305"/>
      <c r="Z277" s="303"/>
      <c r="AA277" s="303"/>
      <c r="AB277" s="303"/>
      <c r="AC277" s="303"/>
      <c r="AD277" s="303"/>
      <c r="AE277" s="303"/>
      <c r="AF277" s="303"/>
      <c r="AG277" s="303"/>
      <c r="AH277" s="303"/>
      <c r="AI277" s="303"/>
      <c r="AJ277" s="305"/>
      <c r="AK277" s="314"/>
      <c r="AL277" s="315"/>
    </row>
    <row r="278" spans="1:38" ht="15.75" x14ac:dyDescent="0.25">
      <c r="A278" s="11" t="s">
        <v>36</v>
      </c>
      <c r="B278" s="1"/>
      <c r="C278" s="1"/>
      <c r="D278" s="1"/>
      <c r="E278" s="1"/>
      <c r="F278" s="1"/>
      <c r="G278" s="118"/>
      <c r="H278" s="173"/>
      <c r="I278" s="36"/>
      <c r="J278" s="173"/>
      <c r="K278" s="1"/>
      <c r="L278" s="1"/>
      <c r="M278" s="1"/>
      <c r="N278" s="1"/>
      <c r="O278" s="1"/>
      <c r="P278" s="1"/>
      <c r="Q278" s="37"/>
      <c r="R278" s="1"/>
      <c r="S278" s="1"/>
      <c r="T278" s="1"/>
      <c r="U278" s="1"/>
      <c r="V278" s="118"/>
      <c r="W278" s="1"/>
      <c r="X278" s="1"/>
      <c r="Y278" s="37"/>
      <c r="Z278" s="1"/>
      <c r="AA278" s="1"/>
      <c r="AB278" s="1"/>
      <c r="AC278" s="1"/>
      <c r="AD278" s="1"/>
      <c r="AE278" s="1"/>
      <c r="AF278" s="118"/>
      <c r="AG278" s="1"/>
      <c r="AH278" s="1"/>
      <c r="AI278" s="1"/>
      <c r="AJ278" s="37"/>
      <c r="AK278" s="236"/>
      <c r="AL278" s="223"/>
    </row>
    <row r="279" spans="1:38" ht="15.75" x14ac:dyDescent="0.25">
      <c r="A279" s="11" t="s">
        <v>46</v>
      </c>
      <c r="B279" s="1"/>
      <c r="C279" s="1"/>
      <c r="D279" s="1"/>
      <c r="E279" s="1"/>
      <c r="F279" s="118"/>
      <c r="G279" s="1"/>
      <c r="H279" s="211"/>
      <c r="I279" s="36"/>
      <c r="J279" s="1"/>
      <c r="K279" s="1"/>
      <c r="L279" s="1"/>
      <c r="M279" s="1"/>
      <c r="N279" s="1"/>
      <c r="O279" s="1"/>
      <c r="P279" s="118"/>
      <c r="Q279" s="37"/>
      <c r="R279" s="1"/>
      <c r="S279" s="1"/>
      <c r="T279" s="1"/>
      <c r="U279" s="1"/>
      <c r="V279" s="1"/>
      <c r="W279" s="1"/>
      <c r="X279" s="1"/>
      <c r="Y279" s="37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37"/>
      <c r="AK279" s="237"/>
      <c r="AL279" s="223"/>
    </row>
    <row r="280" spans="1:38" ht="18.75" x14ac:dyDescent="0.3">
      <c r="A280" s="11" t="s">
        <v>47</v>
      </c>
      <c r="B280" s="1"/>
      <c r="C280" s="1"/>
      <c r="D280" s="1"/>
      <c r="E280" s="1"/>
      <c r="F280" s="118"/>
      <c r="G280" s="1"/>
      <c r="H280" s="173"/>
      <c r="I280" s="36"/>
      <c r="J280" s="1"/>
      <c r="K280" s="1"/>
      <c r="L280" s="1"/>
      <c r="M280" s="1"/>
      <c r="N280" s="1"/>
      <c r="O280" s="1"/>
      <c r="P280" s="118"/>
      <c r="Q280" s="37"/>
      <c r="R280" s="1"/>
      <c r="S280" s="1"/>
      <c r="T280" s="1"/>
      <c r="U280" s="1"/>
      <c r="V280" s="1"/>
      <c r="W280" s="1"/>
      <c r="X280" s="1"/>
      <c r="Y280" s="37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37"/>
      <c r="AK280" s="238"/>
      <c r="AL280" s="223"/>
    </row>
    <row r="281" spans="1:38" ht="18.75" x14ac:dyDescent="0.3">
      <c r="A281" s="11" t="s">
        <v>48</v>
      </c>
      <c r="B281" s="1"/>
      <c r="C281" s="1"/>
      <c r="D281" s="1"/>
      <c r="E281" s="1"/>
      <c r="F281" s="1"/>
      <c r="G281" s="1"/>
      <c r="H281" s="173"/>
      <c r="I281" s="36"/>
      <c r="J281" s="1"/>
      <c r="K281" s="1"/>
      <c r="L281" s="1"/>
      <c r="M281" s="1"/>
      <c r="N281" s="1"/>
      <c r="O281" s="1"/>
      <c r="P281" s="118"/>
      <c r="Q281" s="37"/>
      <c r="R281" s="1"/>
      <c r="S281" s="1"/>
      <c r="T281" s="1"/>
      <c r="U281" s="1"/>
      <c r="V281" s="1"/>
      <c r="W281" s="1"/>
      <c r="X281" s="1"/>
      <c r="Y281" s="37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37"/>
      <c r="AK281" s="238"/>
      <c r="AL281" s="223"/>
    </row>
    <row r="282" spans="1:38" ht="18.75" x14ac:dyDescent="0.3">
      <c r="A282" s="11" t="s">
        <v>37</v>
      </c>
      <c r="B282" s="1"/>
      <c r="C282" s="1"/>
      <c r="D282" s="1"/>
      <c r="E282" s="1"/>
      <c r="F282" s="118"/>
      <c r="G282" s="1"/>
      <c r="H282" s="173"/>
      <c r="I282" s="36"/>
      <c r="J282" s="1"/>
      <c r="K282" s="1"/>
      <c r="L282" s="1"/>
      <c r="M282" s="1"/>
      <c r="N282" s="1"/>
      <c r="O282" s="1"/>
      <c r="P282" s="118"/>
      <c r="Q282" s="37"/>
      <c r="R282" s="1"/>
      <c r="S282" s="1"/>
      <c r="T282" s="1"/>
      <c r="U282" s="1"/>
      <c r="V282" s="1"/>
      <c r="W282" s="1"/>
      <c r="X282" s="1"/>
      <c r="Y282" s="37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37"/>
      <c r="AK282" s="238"/>
      <c r="AL282" s="223"/>
    </row>
    <row r="283" spans="1:38" ht="18.75" x14ac:dyDescent="0.3">
      <c r="A283" s="11" t="s">
        <v>26</v>
      </c>
      <c r="B283" s="1"/>
      <c r="C283" s="1"/>
      <c r="D283" s="1"/>
      <c r="E283" s="1"/>
      <c r="F283" s="1"/>
      <c r="G283" s="118"/>
      <c r="H283" s="173"/>
      <c r="I283" s="36"/>
      <c r="J283" s="1"/>
      <c r="K283" s="1"/>
      <c r="L283" s="1"/>
      <c r="M283" s="1"/>
      <c r="N283" s="1"/>
      <c r="O283" s="1"/>
      <c r="P283" s="1"/>
      <c r="Q283" s="37"/>
      <c r="R283" s="1"/>
      <c r="S283" s="1"/>
      <c r="T283" s="1"/>
      <c r="U283" s="1"/>
      <c r="V283" s="1"/>
      <c r="W283" s="1"/>
      <c r="X283" s="1"/>
      <c r="Y283" s="37"/>
      <c r="Z283" s="118"/>
      <c r="AA283" s="1"/>
      <c r="AB283" s="1"/>
      <c r="AC283" s="1"/>
      <c r="AD283" s="1"/>
      <c r="AE283" s="1"/>
      <c r="AF283" s="1"/>
      <c r="AG283" s="1"/>
      <c r="AH283" s="1"/>
      <c r="AI283" s="1"/>
      <c r="AJ283" s="37"/>
      <c r="AK283" s="341"/>
      <c r="AL283" s="223"/>
    </row>
    <row r="284" spans="1:38" ht="18.75" x14ac:dyDescent="0.3">
      <c r="A284" s="11" t="s">
        <v>27</v>
      </c>
      <c r="B284" s="1"/>
      <c r="C284" s="1"/>
      <c r="D284" s="1"/>
      <c r="E284" s="1"/>
      <c r="F284" s="1"/>
      <c r="G284" s="118"/>
      <c r="H284" s="211"/>
      <c r="I284" s="36"/>
      <c r="J284" s="1"/>
      <c r="K284" s="1"/>
      <c r="L284" s="1"/>
      <c r="M284" s="1"/>
      <c r="N284" s="1"/>
      <c r="O284" s="1"/>
      <c r="P284" s="1"/>
      <c r="Q284" s="37"/>
      <c r="R284" s="118"/>
      <c r="S284" s="1"/>
      <c r="T284" s="118"/>
      <c r="U284" s="1"/>
      <c r="V284" s="1"/>
      <c r="W284" s="1"/>
      <c r="X284" s="1"/>
      <c r="Y284" s="37"/>
      <c r="Z284" s="1"/>
      <c r="AA284" s="1"/>
      <c r="AB284" s="1"/>
      <c r="AC284" s="1"/>
      <c r="AD284" s="1"/>
      <c r="AE284" s="118"/>
      <c r="AF284" s="1"/>
      <c r="AG284" s="1"/>
      <c r="AH284" s="1"/>
      <c r="AI284" s="1"/>
      <c r="AJ284" s="37"/>
      <c r="AK284" s="341"/>
      <c r="AL284" s="223"/>
    </row>
    <row r="285" spans="1:38" ht="18.75" x14ac:dyDescent="0.3">
      <c r="A285" s="62" t="s">
        <v>89</v>
      </c>
      <c r="B285" s="123"/>
      <c r="C285" s="123"/>
      <c r="D285" s="123"/>
      <c r="E285" s="123"/>
      <c r="F285" s="123"/>
      <c r="G285" s="123"/>
      <c r="H285" s="213"/>
      <c r="I285" s="126"/>
      <c r="J285" s="123"/>
      <c r="K285" s="123"/>
      <c r="L285" s="123"/>
      <c r="M285" s="123"/>
      <c r="N285" s="123"/>
      <c r="O285" s="123"/>
      <c r="P285" s="123"/>
      <c r="Q285" s="43"/>
      <c r="R285" s="123"/>
      <c r="S285" s="123"/>
      <c r="T285" s="123"/>
      <c r="U285" s="123"/>
      <c r="V285" s="123"/>
      <c r="W285" s="123"/>
      <c r="X285" s="123"/>
      <c r="Y285" s="4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43"/>
      <c r="AK285" s="421"/>
      <c r="AL285" s="229"/>
    </row>
    <row r="286" spans="1:38" ht="19.5" thickBot="1" x14ac:dyDescent="0.35">
      <c r="A286" s="62" t="s">
        <v>28</v>
      </c>
      <c r="B286" s="123"/>
      <c r="C286" s="123"/>
      <c r="D286" s="123"/>
      <c r="E286" s="123"/>
      <c r="F286" s="123"/>
      <c r="G286" s="123"/>
      <c r="H286" s="213"/>
      <c r="I286" s="126"/>
      <c r="J286" s="123"/>
      <c r="K286" s="123"/>
      <c r="L286" s="123"/>
      <c r="M286" s="123"/>
      <c r="N286" s="123"/>
      <c r="O286" s="123"/>
      <c r="P286" s="123"/>
      <c r="Q286" s="43"/>
      <c r="R286" s="123"/>
      <c r="S286" s="123"/>
      <c r="T286" s="123"/>
      <c r="U286" s="123"/>
      <c r="V286" s="123"/>
      <c r="W286" s="123"/>
      <c r="X286" s="123"/>
      <c r="Y286" s="4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43"/>
      <c r="AK286" s="239"/>
      <c r="AL286" s="229"/>
    </row>
    <row r="287" spans="1:38" ht="18.75" x14ac:dyDescent="0.3">
      <c r="A287" s="230" t="s">
        <v>2</v>
      </c>
      <c r="B287" s="232"/>
      <c r="C287" s="232"/>
      <c r="D287" s="232"/>
      <c r="E287" s="232"/>
      <c r="F287" s="232"/>
      <c r="G287" s="232"/>
      <c r="H287" s="248"/>
      <c r="I287" s="249"/>
      <c r="J287" s="231"/>
      <c r="K287" s="231"/>
      <c r="L287" s="231"/>
      <c r="M287" s="231"/>
      <c r="N287" s="231"/>
      <c r="O287" s="231"/>
      <c r="P287" s="231"/>
      <c r="Q287" s="249"/>
      <c r="R287" s="233"/>
      <c r="S287" s="233"/>
      <c r="T287" s="233"/>
      <c r="U287" s="233"/>
      <c r="V287" s="233"/>
      <c r="W287" s="233"/>
      <c r="X287" s="233"/>
      <c r="Y287" s="249"/>
      <c r="Z287" s="233"/>
      <c r="AA287" s="233"/>
      <c r="AB287" s="233"/>
      <c r="AC287" s="233"/>
      <c r="AD287" s="233"/>
      <c r="AE287" s="233"/>
      <c r="AF287" s="233"/>
      <c r="AG287" s="233"/>
      <c r="AH287" s="233"/>
      <c r="AI287" s="233"/>
      <c r="AJ287" s="249"/>
      <c r="AK287" s="234"/>
      <c r="AL287" s="235"/>
    </row>
    <row r="288" spans="1:38" ht="15.75" thickBot="1" x14ac:dyDescent="0.3">
      <c r="A288" s="224"/>
      <c r="B288" s="335"/>
      <c r="C288" s="225"/>
      <c r="D288" s="225"/>
      <c r="E288" s="225"/>
      <c r="F288" s="225"/>
      <c r="G288" s="225"/>
      <c r="H288" s="225"/>
      <c r="I288" s="56"/>
      <c r="J288" s="225"/>
      <c r="K288" s="225"/>
      <c r="L288" s="225"/>
      <c r="M288" s="225"/>
      <c r="N288" s="225"/>
      <c r="O288" s="225"/>
      <c r="P288" s="225"/>
      <c r="Q288" s="56"/>
      <c r="R288" s="225"/>
      <c r="S288" s="225"/>
      <c r="T288" s="225"/>
      <c r="U288" s="225"/>
      <c r="V288" s="225"/>
      <c r="W288" s="225"/>
      <c r="X288" s="225"/>
      <c r="Y288" s="56"/>
      <c r="Z288" s="226"/>
      <c r="AA288" s="225"/>
      <c r="AB288" s="227"/>
      <c r="AC288" s="225"/>
      <c r="AD288" s="225"/>
      <c r="AE288" s="225"/>
      <c r="AF288" s="225"/>
      <c r="AG288" s="225"/>
      <c r="AH288" s="225"/>
      <c r="AI288" s="225"/>
      <c r="AJ288" s="56"/>
      <c r="AK288" s="225"/>
      <c r="AL288" s="22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288"/>
  <sheetViews>
    <sheetView topLeftCell="A262" workbookViewId="0">
      <selection activeCell="A276" sqref="A276"/>
    </sheetView>
  </sheetViews>
  <sheetFormatPr defaultRowHeight="15" x14ac:dyDescent="0.25"/>
  <cols>
    <col min="1" max="1" width="13.5703125" customWidth="1"/>
    <col min="2" max="2" width="1.28515625" customWidth="1"/>
    <col min="3" max="3" width="1.140625" customWidth="1"/>
    <col min="4" max="4" width="1.42578125" customWidth="1"/>
    <col min="5" max="5" width="1.140625" customWidth="1"/>
    <col min="6" max="6" width="1.28515625" customWidth="1"/>
    <col min="7" max="7" width="1.140625" customWidth="1"/>
    <col min="8" max="8" width="1.28515625" customWidth="1"/>
    <col min="9" max="9" width="10.7109375" customWidth="1"/>
    <col min="10" max="10" width="1.28515625" customWidth="1"/>
    <col min="11" max="11" width="1.42578125" customWidth="1"/>
    <col min="12" max="12" width="1.5703125" customWidth="1"/>
    <col min="13" max="13" width="1.42578125" customWidth="1"/>
    <col min="14" max="15" width="1.28515625" customWidth="1"/>
    <col min="16" max="16" width="1.42578125" customWidth="1"/>
    <col min="17" max="17" width="10.7109375" customWidth="1"/>
    <col min="18" max="19" width="1.140625" customWidth="1"/>
    <col min="20" max="20" width="1.42578125" customWidth="1"/>
    <col min="21" max="21" width="1.5703125" customWidth="1"/>
    <col min="22" max="22" width="1.42578125" customWidth="1"/>
    <col min="23" max="24" width="1.140625" customWidth="1"/>
    <col min="25" max="25" width="10.7109375" customWidth="1"/>
    <col min="26" max="34" width="9.28515625" customWidth="1"/>
    <col min="35" max="35" width="0.42578125" customWidth="1"/>
    <col min="36" max="36" width="10.7109375" customWidth="1"/>
    <col min="37" max="37" width="13.140625" customWidth="1"/>
    <col min="38" max="38" width="9.140625" customWidth="1"/>
    <col min="39" max="39" width="9.140625" hidden="1" customWidth="1"/>
  </cols>
  <sheetData>
    <row r="1" spans="1:38" ht="24" thickBot="1" x14ac:dyDescent="0.4">
      <c r="A1" s="256" t="s">
        <v>190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</row>
    <row r="2" spans="1:38" ht="15.75" x14ac:dyDescent="0.25">
      <c r="A2" s="321" t="s">
        <v>3</v>
      </c>
      <c r="B2" s="322">
        <v>1</v>
      </c>
      <c r="C2" s="322">
        <v>2</v>
      </c>
      <c r="D2" s="322">
        <v>3</v>
      </c>
      <c r="E2" s="322">
        <v>4</v>
      </c>
      <c r="F2" s="322">
        <v>5</v>
      </c>
      <c r="G2" s="322">
        <v>6</v>
      </c>
      <c r="H2" s="322">
        <v>7</v>
      </c>
      <c r="I2" s="323" t="s">
        <v>6</v>
      </c>
      <c r="J2" s="322">
        <v>8</v>
      </c>
      <c r="K2" s="322">
        <v>9</v>
      </c>
      <c r="L2" s="322">
        <v>10</v>
      </c>
      <c r="M2" s="322">
        <v>11</v>
      </c>
      <c r="N2" s="322">
        <v>12</v>
      </c>
      <c r="O2" s="322">
        <v>13</v>
      </c>
      <c r="P2" s="322">
        <v>14</v>
      </c>
      <c r="Q2" s="323" t="s">
        <v>6</v>
      </c>
      <c r="R2" s="322">
        <v>15</v>
      </c>
      <c r="S2" s="322">
        <v>16</v>
      </c>
      <c r="T2" s="322">
        <v>17</v>
      </c>
      <c r="U2" s="322">
        <v>18</v>
      </c>
      <c r="V2" s="322">
        <v>19</v>
      </c>
      <c r="W2" s="322">
        <v>20</v>
      </c>
      <c r="X2" s="322">
        <v>21</v>
      </c>
      <c r="Y2" s="323" t="s">
        <v>6</v>
      </c>
      <c r="Z2" s="322">
        <v>22</v>
      </c>
      <c r="AA2" s="322">
        <v>23</v>
      </c>
      <c r="AB2" s="322">
        <v>24</v>
      </c>
      <c r="AC2" s="322">
        <v>25</v>
      </c>
      <c r="AD2" s="322">
        <v>26</v>
      </c>
      <c r="AE2" s="322">
        <v>27</v>
      </c>
      <c r="AF2" s="322">
        <v>28</v>
      </c>
      <c r="AG2" s="322">
        <v>29</v>
      </c>
      <c r="AH2" s="322">
        <v>30</v>
      </c>
      <c r="AI2" s="322">
        <v>31</v>
      </c>
      <c r="AJ2" s="324" t="s">
        <v>6</v>
      </c>
      <c r="AK2" s="325" t="s">
        <v>0</v>
      </c>
      <c r="AL2" s="395" t="s">
        <v>42</v>
      </c>
    </row>
    <row r="3" spans="1:38" x14ac:dyDescent="0.25">
      <c r="A3" s="11">
        <v>1</v>
      </c>
      <c r="B3" s="106"/>
      <c r="C3" s="106"/>
      <c r="D3" s="106"/>
      <c r="E3" s="106"/>
      <c r="F3" s="106"/>
      <c r="G3" s="106"/>
      <c r="H3" s="106"/>
      <c r="I3" s="157"/>
      <c r="J3" s="106"/>
      <c r="K3" s="106"/>
      <c r="L3" s="106"/>
      <c r="M3" s="106"/>
      <c r="N3" s="106"/>
      <c r="O3" s="106"/>
      <c r="P3" s="106"/>
      <c r="Q3" s="35"/>
      <c r="R3" s="106"/>
      <c r="S3" s="106"/>
      <c r="T3" s="106"/>
      <c r="U3" s="106"/>
      <c r="V3" s="106"/>
      <c r="W3" s="106"/>
      <c r="X3" s="106"/>
      <c r="Y3" s="3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36"/>
      <c r="AK3" s="14"/>
      <c r="AL3" s="203"/>
    </row>
    <row r="4" spans="1:38" x14ac:dyDescent="0.25">
      <c r="A4" s="11">
        <v>2</v>
      </c>
      <c r="B4" s="106"/>
      <c r="C4" s="106"/>
      <c r="D4" s="106"/>
      <c r="E4" s="106"/>
      <c r="F4" s="106"/>
      <c r="G4" s="106"/>
      <c r="H4" s="106"/>
      <c r="I4" s="37"/>
      <c r="J4" s="106"/>
      <c r="K4" s="106"/>
      <c r="L4" s="106"/>
      <c r="M4" s="106"/>
      <c r="N4" s="106"/>
      <c r="O4" s="106"/>
      <c r="P4" s="106"/>
      <c r="Q4" s="37"/>
      <c r="R4" s="106"/>
      <c r="S4" s="106"/>
      <c r="T4" s="106"/>
      <c r="U4" s="106"/>
      <c r="V4" s="106"/>
      <c r="W4" s="106"/>
      <c r="X4" s="106"/>
      <c r="Y4" s="37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37"/>
      <c r="AK4" s="38"/>
      <c r="AL4" s="154"/>
    </row>
    <row r="5" spans="1:38" x14ac:dyDescent="0.25">
      <c r="A5" s="11">
        <v>3</v>
      </c>
      <c r="B5" s="106"/>
      <c r="C5" s="106"/>
      <c r="D5" s="106"/>
      <c r="E5" s="106"/>
      <c r="F5" s="106"/>
      <c r="G5" s="106"/>
      <c r="H5" s="106"/>
      <c r="I5" s="37"/>
      <c r="J5" s="106"/>
      <c r="K5" s="106"/>
      <c r="L5" s="106"/>
      <c r="M5" s="106"/>
      <c r="N5" s="106"/>
      <c r="O5" s="106"/>
      <c r="P5" s="106"/>
      <c r="Q5" s="37"/>
      <c r="R5" s="106"/>
      <c r="S5" s="106"/>
      <c r="T5" s="106"/>
      <c r="U5" s="106"/>
      <c r="V5" s="106"/>
      <c r="W5" s="106"/>
      <c r="X5" s="106"/>
      <c r="Y5" s="37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37"/>
      <c r="AK5" s="38"/>
      <c r="AL5" s="176"/>
    </row>
    <row r="6" spans="1:38" x14ac:dyDescent="0.25">
      <c r="A6" s="11">
        <v>4</v>
      </c>
      <c r="B6" s="106"/>
      <c r="C6" s="106"/>
      <c r="D6" s="106"/>
      <c r="E6" s="106"/>
      <c r="F6" s="106"/>
      <c r="G6" s="106"/>
      <c r="H6" s="106"/>
      <c r="I6" s="37"/>
      <c r="J6" s="106"/>
      <c r="K6" s="106"/>
      <c r="L6" s="106"/>
      <c r="M6" s="106"/>
      <c r="N6" s="106"/>
      <c r="O6" s="106"/>
      <c r="P6" s="106"/>
      <c r="Q6" s="37"/>
      <c r="R6" s="106"/>
      <c r="S6" s="106"/>
      <c r="T6" s="106"/>
      <c r="U6" s="106"/>
      <c r="V6" s="106"/>
      <c r="W6" s="106"/>
      <c r="X6" s="106"/>
      <c r="Y6" s="37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37"/>
      <c r="AK6" s="38"/>
      <c r="AL6" s="176"/>
    </row>
    <row r="7" spans="1:38" x14ac:dyDescent="0.25">
      <c r="A7" s="11">
        <v>5</v>
      </c>
      <c r="B7" s="106"/>
      <c r="C7" s="106"/>
      <c r="D7" s="106"/>
      <c r="E7" s="106"/>
      <c r="F7" s="106"/>
      <c r="G7" s="106"/>
      <c r="H7" s="106"/>
      <c r="I7" s="37"/>
      <c r="J7" s="106"/>
      <c r="K7" s="106"/>
      <c r="L7" s="106"/>
      <c r="M7" s="106"/>
      <c r="N7" s="106"/>
      <c r="O7" s="106"/>
      <c r="P7" s="106"/>
      <c r="Q7" s="37"/>
      <c r="R7" s="106"/>
      <c r="S7" s="106"/>
      <c r="T7" s="106"/>
      <c r="U7" s="106"/>
      <c r="V7" s="106"/>
      <c r="W7" s="106"/>
      <c r="X7" s="106"/>
      <c r="Y7" s="37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37"/>
      <c r="AK7" s="38"/>
      <c r="AL7" s="176"/>
    </row>
    <row r="8" spans="1:38" x14ac:dyDescent="0.25">
      <c r="A8" s="11">
        <v>6</v>
      </c>
      <c r="B8" s="106"/>
      <c r="C8" s="106"/>
      <c r="D8" s="106"/>
      <c r="E8" s="106"/>
      <c r="F8" s="106"/>
      <c r="G8" s="106"/>
      <c r="H8" s="106"/>
      <c r="I8" s="37"/>
      <c r="J8" s="106"/>
      <c r="K8" s="106"/>
      <c r="L8" s="106"/>
      <c r="M8" s="106"/>
      <c r="N8" s="106"/>
      <c r="O8" s="106"/>
      <c r="P8" s="106"/>
      <c r="Q8" s="37"/>
      <c r="R8" s="106"/>
      <c r="S8" s="106"/>
      <c r="T8" s="106"/>
      <c r="U8" s="106"/>
      <c r="V8" s="106"/>
      <c r="W8" s="106"/>
      <c r="X8" s="106"/>
      <c r="Y8" s="37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37"/>
      <c r="AK8" s="38"/>
      <c r="AL8" s="176"/>
    </row>
    <row r="9" spans="1:38" x14ac:dyDescent="0.25">
      <c r="A9" s="11">
        <v>7</v>
      </c>
      <c r="B9" s="108"/>
      <c r="C9" s="108"/>
      <c r="D9" s="108"/>
      <c r="E9" s="108"/>
      <c r="F9" s="108"/>
      <c r="G9" s="108"/>
      <c r="H9" s="108"/>
      <c r="I9" s="111"/>
      <c r="J9" s="108"/>
      <c r="K9" s="108"/>
      <c r="L9" s="108"/>
      <c r="M9" s="108"/>
      <c r="N9" s="108"/>
      <c r="O9" s="108"/>
      <c r="P9" s="108"/>
      <c r="Q9" s="111"/>
      <c r="R9" s="108"/>
      <c r="S9" s="108"/>
      <c r="T9" s="108"/>
      <c r="U9" s="108"/>
      <c r="V9" s="108"/>
      <c r="W9" s="108"/>
      <c r="X9" s="108"/>
      <c r="Y9" s="111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11"/>
      <c r="AK9" s="38"/>
      <c r="AL9" s="197"/>
    </row>
    <row r="10" spans="1:38" x14ac:dyDescent="0.25">
      <c r="A10" s="11">
        <v>8</v>
      </c>
      <c r="B10" s="106"/>
      <c r="C10" s="106"/>
      <c r="D10" s="106"/>
      <c r="E10" s="106"/>
      <c r="F10" s="106"/>
      <c r="G10" s="106"/>
      <c r="H10" s="106"/>
      <c r="I10" s="37"/>
      <c r="J10" s="106"/>
      <c r="K10" s="106"/>
      <c r="L10" s="106"/>
      <c r="M10" s="106"/>
      <c r="N10" s="106"/>
      <c r="O10" s="106"/>
      <c r="P10" s="106"/>
      <c r="Q10" s="37"/>
      <c r="R10" s="106"/>
      <c r="S10" s="106"/>
      <c r="T10" s="106"/>
      <c r="U10" s="106"/>
      <c r="V10" s="106"/>
      <c r="W10" s="106"/>
      <c r="X10" s="106"/>
      <c r="Y10" s="37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37"/>
      <c r="AK10" s="38"/>
      <c r="AL10" s="176"/>
    </row>
    <row r="11" spans="1:38" x14ac:dyDescent="0.25">
      <c r="A11" s="11">
        <v>9</v>
      </c>
      <c r="B11" s="106"/>
      <c r="C11" s="106"/>
      <c r="D11" s="106"/>
      <c r="E11" s="106"/>
      <c r="F11" s="106"/>
      <c r="G11" s="106"/>
      <c r="H11" s="106"/>
      <c r="I11" s="37"/>
      <c r="J11" s="106"/>
      <c r="K11" s="106"/>
      <c r="L11" s="106"/>
      <c r="M11" s="106"/>
      <c r="N11" s="106"/>
      <c r="O11" s="106"/>
      <c r="P11" s="106"/>
      <c r="Q11" s="37"/>
      <c r="R11" s="106"/>
      <c r="S11" s="106"/>
      <c r="T11" s="106"/>
      <c r="U11" s="106"/>
      <c r="V11" s="106"/>
      <c r="W11" s="106"/>
      <c r="X11" s="106"/>
      <c r="Y11" s="37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37"/>
      <c r="AK11" s="38"/>
      <c r="AL11" s="176"/>
    </row>
    <row r="12" spans="1:38" x14ac:dyDescent="0.25">
      <c r="A12" s="11">
        <v>10</v>
      </c>
      <c r="B12" s="106"/>
      <c r="C12" s="106"/>
      <c r="D12" s="106"/>
      <c r="E12" s="106"/>
      <c r="F12" s="106"/>
      <c r="G12" s="106"/>
      <c r="H12" s="106"/>
      <c r="I12" s="37"/>
      <c r="J12" s="106"/>
      <c r="K12" s="106"/>
      <c r="L12" s="106"/>
      <c r="M12" s="106"/>
      <c r="N12" s="106"/>
      <c r="O12" s="106"/>
      <c r="P12" s="106"/>
      <c r="Q12" s="37"/>
      <c r="R12" s="106"/>
      <c r="S12" s="106"/>
      <c r="T12" s="106"/>
      <c r="U12" s="106"/>
      <c r="V12" s="106"/>
      <c r="W12" s="106"/>
      <c r="X12" s="106"/>
      <c r="Y12" s="37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37"/>
      <c r="AK12" s="38"/>
      <c r="AL12" s="176"/>
    </row>
    <row r="13" spans="1:38" x14ac:dyDescent="0.25">
      <c r="A13" s="11">
        <v>11</v>
      </c>
      <c r="B13" s="106"/>
      <c r="C13" s="106"/>
      <c r="D13" s="106"/>
      <c r="E13" s="106"/>
      <c r="F13" s="106"/>
      <c r="G13" s="106"/>
      <c r="H13" s="106"/>
      <c r="I13" s="37"/>
      <c r="J13" s="106"/>
      <c r="K13" s="106"/>
      <c r="L13" s="106"/>
      <c r="M13" s="106"/>
      <c r="N13" s="106"/>
      <c r="O13" s="106"/>
      <c r="P13" s="106"/>
      <c r="Q13" s="37"/>
      <c r="R13" s="106"/>
      <c r="S13" s="106"/>
      <c r="T13" s="106"/>
      <c r="U13" s="106"/>
      <c r="V13" s="106"/>
      <c r="W13" s="106"/>
      <c r="X13" s="106"/>
      <c r="Y13" s="37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37"/>
      <c r="AK13" s="38"/>
      <c r="AL13" s="197"/>
    </row>
    <row r="14" spans="1:38" x14ac:dyDescent="0.25">
      <c r="A14" s="11">
        <v>12</v>
      </c>
      <c r="B14" s="106"/>
      <c r="C14" s="106"/>
      <c r="D14" s="106"/>
      <c r="E14" s="106"/>
      <c r="F14" s="106"/>
      <c r="G14" s="106"/>
      <c r="H14" s="106"/>
      <c r="I14" s="37"/>
      <c r="J14" s="106"/>
      <c r="K14" s="106"/>
      <c r="L14" s="106"/>
      <c r="M14" s="106"/>
      <c r="N14" s="106"/>
      <c r="O14" s="106"/>
      <c r="P14" s="106"/>
      <c r="Q14" s="37"/>
      <c r="R14" s="106"/>
      <c r="S14" s="106"/>
      <c r="T14" s="106"/>
      <c r="U14" s="106"/>
      <c r="V14" s="106"/>
      <c r="W14" s="106"/>
      <c r="X14" s="106"/>
      <c r="Y14" s="37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37"/>
      <c r="AK14" s="38"/>
      <c r="AL14" s="197"/>
    </row>
    <row r="15" spans="1:38" x14ac:dyDescent="0.25">
      <c r="A15" s="11">
        <v>13</v>
      </c>
      <c r="B15" s="106"/>
      <c r="C15" s="106"/>
      <c r="D15" s="106"/>
      <c r="E15" s="106"/>
      <c r="F15" s="106"/>
      <c r="G15" s="106"/>
      <c r="H15" s="106"/>
      <c r="I15" s="37"/>
      <c r="J15" s="106"/>
      <c r="K15" s="106"/>
      <c r="L15" s="106"/>
      <c r="M15" s="106"/>
      <c r="N15" s="106"/>
      <c r="O15" s="106"/>
      <c r="P15" s="106"/>
      <c r="Q15" s="37"/>
      <c r="R15" s="106"/>
      <c r="S15" s="106"/>
      <c r="T15" s="106"/>
      <c r="U15" s="106"/>
      <c r="V15" s="106"/>
      <c r="W15" s="106"/>
      <c r="X15" s="106"/>
      <c r="Y15" s="37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37"/>
      <c r="AK15" s="38"/>
      <c r="AL15" s="197"/>
    </row>
    <row r="16" spans="1:38" x14ac:dyDescent="0.25">
      <c r="A16" s="11">
        <v>14</v>
      </c>
      <c r="B16" s="106"/>
      <c r="C16" s="106"/>
      <c r="D16" s="106"/>
      <c r="E16" s="106"/>
      <c r="F16" s="106"/>
      <c r="G16" s="106"/>
      <c r="H16" s="106"/>
      <c r="I16" s="37"/>
      <c r="J16" s="106"/>
      <c r="K16" s="106"/>
      <c r="L16" s="106"/>
      <c r="M16" s="106"/>
      <c r="N16" s="106"/>
      <c r="O16" s="106"/>
      <c r="P16" s="106"/>
      <c r="Q16" s="37"/>
      <c r="R16" s="106"/>
      <c r="S16" s="106"/>
      <c r="T16" s="106"/>
      <c r="U16" s="106"/>
      <c r="V16" s="106"/>
      <c r="W16" s="106"/>
      <c r="X16" s="106"/>
      <c r="Y16" s="37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37"/>
      <c r="AK16" s="38"/>
      <c r="AL16" s="197"/>
    </row>
    <row r="17" spans="1:38" x14ac:dyDescent="0.25">
      <c r="A17" s="11">
        <v>15</v>
      </c>
      <c r="B17" s="106"/>
      <c r="C17" s="106"/>
      <c r="D17" s="106"/>
      <c r="E17" s="106"/>
      <c r="F17" s="106"/>
      <c r="G17" s="106"/>
      <c r="H17" s="106"/>
      <c r="I17" s="37"/>
      <c r="J17" s="106"/>
      <c r="K17" s="106"/>
      <c r="L17" s="106"/>
      <c r="M17" s="106"/>
      <c r="N17" s="106"/>
      <c r="O17" s="106"/>
      <c r="P17" s="106"/>
      <c r="Q17" s="37"/>
      <c r="R17" s="106"/>
      <c r="S17" s="106"/>
      <c r="T17" s="106"/>
      <c r="U17" s="106"/>
      <c r="V17" s="106"/>
      <c r="W17" s="106"/>
      <c r="X17" s="106"/>
      <c r="Y17" s="37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37"/>
      <c r="AK17" s="38"/>
      <c r="AL17" s="197"/>
    </row>
    <row r="18" spans="1:38" x14ac:dyDescent="0.25">
      <c r="A18" s="11">
        <v>16</v>
      </c>
      <c r="B18" s="109"/>
      <c r="C18" s="109"/>
      <c r="D18" s="109"/>
      <c r="E18" s="109"/>
      <c r="F18" s="109"/>
      <c r="G18" s="109"/>
      <c r="H18" s="109"/>
      <c r="I18" s="39"/>
      <c r="J18" s="109"/>
      <c r="K18" s="109"/>
      <c r="L18" s="109"/>
      <c r="M18" s="109"/>
      <c r="N18" s="109"/>
      <c r="O18" s="109"/>
      <c r="P18" s="109"/>
      <c r="Q18" s="39"/>
      <c r="R18" s="109"/>
      <c r="S18" s="109"/>
      <c r="T18" s="109"/>
      <c r="U18" s="109"/>
      <c r="V18" s="109"/>
      <c r="W18" s="109"/>
      <c r="X18" s="109"/>
      <c r="Y18" s="3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39"/>
      <c r="AK18" s="41"/>
      <c r="AL18" s="202"/>
    </row>
    <row r="19" spans="1:38" x14ac:dyDescent="0.25">
      <c r="A19" s="11">
        <v>17</v>
      </c>
      <c r="B19" s="106"/>
      <c r="C19" s="106"/>
      <c r="D19" s="106"/>
      <c r="E19" s="106"/>
      <c r="F19" s="106"/>
      <c r="G19" s="106"/>
      <c r="H19" s="106"/>
      <c r="I19" s="37"/>
      <c r="J19" s="106"/>
      <c r="K19" s="106"/>
      <c r="L19" s="106"/>
      <c r="M19" s="106"/>
      <c r="N19" s="106"/>
      <c r="O19" s="106"/>
      <c r="P19" s="106"/>
      <c r="Q19" s="37"/>
      <c r="R19" s="106"/>
      <c r="S19" s="106"/>
      <c r="T19" s="106"/>
      <c r="U19" s="106"/>
      <c r="V19" s="106"/>
      <c r="W19" s="106"/>
      <c r="X19" s="106"/>
      <c r="Y19" s="37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37"/>
      <c r="AK19" s="38"/>
      <c r="AL19" s="197"/>
    </row>
    <row r="20" spans="1:38" x14ac:dyDescent="0.25">
      <c r="A20" s="11">
        <v>18</v>
      </c>
      <c r="B20" s="106"/>
      <c r="C20" s="106"/>
      <c r="D20" s="106"/>
      <c r="E20" s="106"/>
      <c r="F20" s="106"/>
      <c r="G20" s="106"/>
      <c r="H20" s="106"/>
      <c r="I20" s="37"/>
      <c r="J20" s="106"/>
      <c r="K20" s="106"/>
      <c r="L20" s="106"/>
      <c r="M20" s="106"/>
      <c r="N20" s="106"/>
      <c r="O20" s="106"/>
      <c r="P20" s="106"/>
      <c r="Q20" s="37"/>
      <c r="R20" s="106"/>
      <c r="S20" s="106"/>
      <c r="T20" s="106"/>
      <c r="U20" s="106"/>
      <c r="V20" s="106"/>
      <c r="W20" s="106"/>
      <c r="X20" s="106"/>
      <c r="Y20" s="37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37"/>
      <c r="AK20" s="38"/>
      <c r="AL20" s="197"/>
    </row>
    <row r="21" spans="1:38" x14ac:dyDescent="0.25">
      <c r="A21" s="11">
        <v>19</v>
      </c>
      <c r="B21" s="106"/>
      <c r="C21" s="106"/>
      <c r="D21" s="106"/>
      <c r="E21" s="106"/>
      <c r="F21" s="106"/>
      <c r="G21" s="106"/>
      <c r="H21" s="106"/>
      <c r="I21" s="37"/>
      <c r="J21" s="106"/>
      <c r="K21" s="106"/>
      <c r="L21" s="106"/>
      <c r="M21" s="106"/>
      <c r="N21" s="106"/>
      <c r="O21" s="106"/>
      <c r="P21" s="106"/>
      <c r="Q21" s="37"/>
      <c r="R21" s="106"/>
      <c r="S21" s="106"/>
      <c r="T21" s="106"/>
      <c r="U21" s="106"/>
      <c r="V21" s="106"/>
      <c r="W21" s="106"/>
      <c r="X21" s="106"/>
      <c r="Y21" s="37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37"/>
      <c r="AK21" s="38"/>
      <c r="AL21" s="197"/>
    </row>
    <row r="22" spans="1:38" x14ac:dyDescent="0.25">
      <c r="A22" s="11">
        <v>20</v>
      </c>
      <c r="B22" s="106"/>
      <c r="C22" s="106"/>
      <c r="D22" s="106"/>
      <c r="E22" s="106"/>
      <c r="F22" s="106"/>
      <c r="G22" s="106"/>
      <c r="H22" s="106"/>
      <c r="I22" s="37"/>
      <c r="J22" s="106"/>
      <c r="K22" s="106"/>
      <c r="L22" s="106"/>
      <c r="M22" s="106"/>
      <c r="N22" s="106"/>
      <c r="O22" s="106"/>
      <c r="P22" s="106"/>
      <c r="Q22" s="37"/>
      <c r="R22" s="106"/>
      <c r="S22" s="106"/>
      <c r="T22" s="106"/>
      <c r="U22" s="106"/>
      <c r="V22" s="106"/>
      <c r="W22" s="106"/>
      <c r="X22" s="106"/>
      <c r="Y22" s="37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37"/>
      <c r="AK22" s="38"/>
      <c r="AL22" s="197"/>
    </row>
    <row r="23" spans="1:38" x14ac:dyDescent="0.25">
      <c r="A23" s="11">
        <v>21</v>
      </c>
      <c r="B23" s="174"/>
      <c r="C23" s="174"/>
      <c r="D23" s="174"/>
      <c r="E23" s="174"/>
      <c r="F23" s="174"/>
      <c r="G23" s="174"/>
      <c r="H23" s="174"/>
      <c r="I23" s="111"/>
      <c r="J23" s="174"/>
      <c r="K23" s="174"/>
      <c r="L23" s="174"/>
      <c r="M23" s="174"/>
      <c r="N23" s="174"/>
      <c r="O23" s="174"/>
      <c r="P23" s="174"/>
      <c r="Q23" s="111"/>
      <c r="R23" s="174"/>
      <c r="S23" s="174"/>
      <c r="T23" s="174"/>
      <c r="U23" s="174"/>
      <c r="V23" s="174"/>
      <c r="W23" s="174"/>
      <c r="X23" s="174"/>
      <c r="Y23" s="111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11"/>
      <c r="AK23" s="38"/>
      <c r="AL23" s="197"/>
    </row>
    <row r="24" spans="1:38" x14ac:dyDescent="0.25">
      <c r="A24" s="11">
        <v>22</v>
      </c>
      <c r="B24" s="106"/>
      <c r="C24" s="106"/>
      <c r="D24" s="106"/>
      <c r="E24" s="106"/>
      <c r="F24" s="106"/>
      <c r="G24" s="106"/>
      <c r="H24" s="106"/>
      <c r="I24" s="37"/>
      <c r="J24" s="106"/>
      <c r="K24" s="106"/>
      <c r="L24" s="106"/>
      <c r="M24" s="106"/>
      <c r="N24" s="106"/>
      <c r="O24" s="106"/>
      <c r="P24" s="106"/>
      <c r="Q24" s="37"/>
      <c r="R24" s="106"/>
      <c r="S24" s="106"/>
      <c r="T24" s="106"/>
      <c r="U24" s="106"/>
      <c r="V24" s="106"/>
      <c r="W24" s="106"/>
      <c r="X24" s="106"/>
      <c r="Y24" s="37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37"/>
      <c r="AK24" s="38"/>
      <c r="AL24" s="197"/>
    </row>
    <row r="25" spans="1:38" x14ac:dyDescent="0.25">
      <c r="A25" s="11">
        <v>23</v>
      </c>
      <c r="B25" s="174"/>
      <c r="C25" s="174"/>
      <c r="D25" s="174"/>
      <c r="E25" s="174"/>
      <c r="F25" s="174"/>
      <c r="G25" s="174"/>
      <c r="H25" s="174"/>
      <c r="I25" s="111"/>
      <c r="J25" s="174"/>
      <c r="K25" s="174"/>
      <c r="L25" s="174"/>
      <c r="M25" s="174"/>
      <c r="N25" s="174"/>
      <c r="O25" s="174"/>
      <c r="P25" s="174"/>
      <c r="Q25" s="111"/>
      <c r="R25" s="174"/>
      <c r="S25" s="174"/>
      <c r="T25" s="174"/>
      <c r="U25" s="174"/>
      <c r="V25" s="174"/>
      <c r="W25" s="174"/>
      <c r="X25" s="174"/>
      <c r="Y25" s="111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11"/>
      <c r="AK25" s="38"/>
      <c r="AL25" s="197"/>
    </row>
    <row r="26" spans="1:38" x14ac:dyDescent="0.25">
      <c r="A26" s="11">
        <v>24</v>
      </c>
      <c r="B26" s="174"/>
      <c r="C26" s="174"/>
      <c r="D26" s="174"/>
      <c r="E26" s="174"/>
      <c r="F26" s="174"/>
      <c r="G26" s="174"/>
      <c r="H26" s="174"/>
      <c r="I26" s="111"/>
      <c r="J26" s="174"/>
      <c r="K26" s="174"/>
      <c r="L26" s="174"/>
      <c r="M26" s="174"/>
      <c r="N26" s="174"/>
      <c r="O26" s="174"/>
      <c r="P26" s="174"/>
      <c r="Q26" s="111"/>
      <c r="R26" s="174"/>
      <c r="S26" s="174"/>
      <c r="T26" s="174"/>
      <c r="U26" s="174"/>
      <c r="V26" s="174"/>
      <c r="W26" s="174"/>
      <c r="X26" s="174"/>
      <c r="Y26" s="111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11"/>
      <c r="AK26" s="38"/>
      <c r="AL26" s="197"/>
    </row>
    <row r="27" spans="1:38" x14ac:dyDescent="0.25">
      <c r="A27" s="11">
        <v>25</v>
      </c>
      <c r="B27" s="174"/>
      <c r="C27" s="174"/>
      <c r="D27" s="174"/>
      <c r="E27" s="174"/>
      <c r="F27" s="174"/>
      <c r="G27" s="174"/>
      <c r="H27" s="174"/>
      <c r="I27" s="111"/>
      <c r="J27" s="174"/>
      <c r="K27" s="174"/>
      <c r="L27" s="174"/>
      <c r="M27" s="174"/>
      <c r="N27" s="174"/>
      <c r="O27" s="174"/>
      <c r="P27" s="174"/>
      <c r="Q27" s="111"/>
      <c r="R27" s="174"/>
      <c r="S27" s="174"/>
      <c r="T27" s="174"/>
      <c r="U27" s="174"/>
      <c r="V27" s="174"/>
      <c r="W27" s="174"/>
      <c r="X27" s="174"/>
      <c r="Y27" s="111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11"/>
      <c r="AK27" s="38"/>
      <c r="AL27" s="197"/>
    </row>
    <row r="28" spans="1:38" x14ac:dyDescent="0.25">
      <c r="A28" s="11">
        <v>26</v>
      </c>
      <c r="B28" s="149"/>
      <c r="C28" s="149"/>
      <c r="D28" s="149"/>
      <c r="E28" s="149"/>
      <c r="F28" s="149"/>
      <c r="G28" s="149"/>
      <c r="H28" s="149"/>
      <c r="I28" s="111"/>
      <c r="J28" s="149"/>
      <c r="K28" s="149"/>
      <c r="L28" s="149"/>
      <c r="M28" s="149"/>
      <c r="N28" s="149"/>
      <c r="O28" s="149"/>
      <c r="P28" s="149"/>
      <c r="Q28" s="111"/>
      <c r="R28" s="149"/>
      <c r="S28" s="149"/>
      <c r="T28" s="149"/>
      <c r="U28" s="149"/>
      <c r="V28" s="149"/>
      <c r="W28" s="149"/>
      <c r="X28" s="149"/>
      <c r="Y28" s="111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11"/>
      <c r="AK28" s="38"/>
      <c r="AL28" s="197"/>
    </row>
    <row r="29" spans="1:38" x14ac:dyDescent="0.25">
      <c r="A29" s="11">
        <v>27</v>
      </c>
      <c r="B29" s="106"/>
      <c r="C29" s="106"/>
      <c r="D29" s="106"/>
      <c r="E29" s="106"/>
      <c r="F29" s="106"/>
      <c r="G29" s="106"/>
      <c r="H29" s="106"/>
      <c r="I29" s="37"/>
      <c r="J29" s="106"/>
      <c r="K29" s="106"/>
      <c r="L29" s="106"/>
      <c r="M29" s="106"/>
      <c r="N29" s="106"/>
      <c r="O29" s="106"/>
      <c r="P29" s="106"/>
      <c r="Q29" s="37"/>
      <c r="R29" s="106"/>
      <c r="S29" s="106"/>
      <c r="T29" s="106"/>
      <c r="U29" s="106"/>
      <c r="V29" s="106"/>
      <c r="W29" s="106"/>
      <c r="X29" s="106"/>
      <c r="Y29" s="37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37"/>
      <c r="AK29" s="38"/>
      <c r="AL29" s="197"/>
    </row>
    <row r="30" spans="1:38" x14ac:dyDescent="0.25">
      <c r="A30" s="11">
        <v>28</v>
      </c>
      <c r="B30" s="106"/>
      <c r="C30" s="106"/>
      <c r="D30" s="106"/>
      <c r="E30" s="106"/>
      <c r="F30" s="106"/>
      <c r="G30" s="106"/>
      <c r="H30" s="106"/>
      <c r="I30" s="37"/>
      <c r="J30" s="106"/>
      <c r="K30" s="106"/>
      <c r="L30" s="106"/>
      <c r="M30" s="106"/>
      <c r="N30" s="106"/>
      <c r="O30" s="106"/>
      <c r="P30" s="106"/>
      <c r="Q30" s="37"/>
      <c r="R30" s="106"/>
      <c r="S30" s="106"/>
      <c r="T30" s="106"/>
      <c r="U30" s="106"/>
      <c r="V30" s="106"/>
      <c r="W30" s="106"/>
      <c r="X30" s="106"/>
      <c r="Y30" s="37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37"/>
      <c r="AK30" s="38"/>
      <c r="AL30" s="197"/>
    </row>
    <row r="31" spans="1:38" x14ac:dyDescent="0.25">
      <c r="A31" s="11">
        <v>29</v>
      </c>
      <c r="B31" s="108"/>
      <c r="C31" s="108"/>
      <c r="D31" s="108"/>
      <c r="E31" s="108"/>
      <c r="F31" s="108"/>
      <c r="G31" s="108"/>
      <c r="H31" s="108"/>
      <c r="I31" s="111"/>
      <c r="J31" s="108"/>
      <c r="K31" s="108"/>
      <c r="L31" s="108"/>
      <c r="M31" s="108"/>
      <c r="N31" s="108"/>
      <c r="O31" s="108"/>
      <c r="P31" s="108"/>
      <c r="Q31" s="111"/>
      <c r="R31" s="108"/>
      <c r="S31" s="108"/>
      <c r="T31" s="108"/>
      <c r="U31" s="108"/>
      <c r="V31" s="108"/>
      <c r="W31" s="108"/>
      <c r="X31" s="108"/>
      <c r="Y31" s="111"/>
      <c r="Z31" s="108"/>
      <c r="AA31" s="108"/>
      <c r="AB31" s="108"/>
      <c r="AC31" s="108"/>
      <c r="AD31" s="108"/>
      <c r="AE31" s="108"/>
      <c r="AF31" s="108"/>
      <c r="AG31" s="107"/>
      <c r="AH31" s="107"/>
      <c r="AI31" s="107"/>
      <c r="AJ31" s="111"/>
      <c r="AK31" s="38"/>
      <c r="AL31" s="197"/>
    </row>
    <row r="32" spans="1:38" x14ac:dyDescent="0.25">
      <c r="A32" s="11">
        <v>30</v>
      </c>
      <c r="B32" s="106"/>
      <c r="C32" s="106"/>
      <c r="D32" s="106"/>
      <c r="E32" s="106"/>
      <c r="F32" s="106"/>
      <c r="G32" s="106"/>
      <c r="H32" s="106"/>
      <c r="I32" s="37"/>
      <c r="J32" s="106"/>
      <c r="K32" s="106"/>
      <c r="L32" s="106"/>
      <c r="M32" s="106"/>
      <c r="N32" s="106"/>
      <c r="O32" s="106"/>
      <c r="P32" s="106"/>
      <c r="Q32" s="37"/>
      <c r="R32" s="106"/>
      <c r="S32" s="106"/>
      <c r="T32" s="106"/>
      <c r="U32" s="106"/>
      <c r="V32" s="106"/>
      <c r="W32" s="106"/>
      <c r="X32" s="106"/>
      <c r="Y32" s="37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37"/>
      <c r="AK32" s="38"/>
      <c r="AL32" s="197"/>
    </row>
    <row r="33" spans="1:38" x14ac:dyDescent="0.25">
      <c r="A33" s="11">
        <v>31</v>
      </c>
      <c r="B33" s="106"/>
      <c r="C33" s="106"/>
      <c r="D33" s="106"/>
      <c r="E33" s="106"/>
      <c r="F33" s="106"/>
      <c r="G33" s="106"/>
      <c r="H33" s="106"/>
      <c r="I33" s="37"/>
      <c r="J33" s="106"/>
      <c r="K33" s="106"/>
      <c r="L33" s="106"/>
      <c r="M33" s="106"/>
      <c r="N33" s="106"/>
      <c r="O33" s="106"/>
      <c r="P33" s="106"/>
      <c r="Q33" s="37"/>
      <c r="R33" s="106"/>
      <c r="S33" s="106"/>
      <c r="T33" s="106"/>
      <c r="U33" s="106"/>
      <c r="V33" s="106"/>
      <c r="W33" s="106"/>
      <c r="X33" s="106"/>
      <c r="Y33" s="37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37"/>
      <c r="AK33" s="38"/>
      <c r="AL33" s="197"/>
    </row>
    <row r="34" spans="1:38" x14ac:dyDescent="0.25">
      <c r="A34" s="11">
        <v>32</v>
      </c>
      <c r="B34" s="106"/>
      <c r="C34" s="106"/>
      <c r="D34" s="106"/>
      <c r="E34" s="106"/>
      <c r="F34" s="106"/>
      <c r="G34" s="106"/>
      <c r="H34" s="106"/>
      <c r="I34" s="37"/>
      <c r="J34" s="106"/>
      <c r="K34" s="106"/>
      <c r="L34" s="106"/>
      <c r="M34" s="106"/>
      <c r="N34" s="106"/>
      <c r="O34" s="106"/>
      <c r="P34" s="106"/>
      <c r="Q34" s="37"/>
      <c r="R34" s="106"/>
      <c r="S34" s="106"/>
      <c r="T34" s="106"/>
      <c r="U34" s="106"/>
      <c r="V34" s="106"/>
      <c r="W34" s="106"/>
      <c r="X34" s="106"/>
      <c r="Y34" s="37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37"/>
      <c r="AK34" s="38"/>
      <c r="AL34" s="197"/>
    </row>
    <row r="35" spans="1:38" x14ac:dyDescent="0.25">
      <c r="A35" s="11">
        <v>33</v>
      </c>
      <c r="B35" s="106"/>
      <c r="C35" s="106"/>
      <c r="D35" s="106"/>
      <c r="E35" s="106"/>
      <c r="F35" s="106"/>
      <c r="G35" s="106"/>
      <c r="H35" s="106"/>
      <c r="I35" s="37"/>
      <c r="J35" s="106"/>
      <c r="K35" s="106"/>
      <c r="L35" s="106"/>
      <c r="M35" s="106"/>
      <c r="N35" s="106"/>
      <c r="O35" s="106"/>
      <c r="P35" s="106"/>
      <c r="Q35" s="37"/>
      <c r="R35" s="106"/>
      <c r="S35" s="106"/>
      <c r="T35" s="106"/>
      <c r="U35" s="106"/>
      <c r="V35" s="106"/>
      <c r="W35" s="106"/>
      <c r="X35" s="106"/>
      <c r="Y35" s="37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37"/>
      <c r="AK35" s="38"/>
      <c r="AL35" s="197"/>
    </row>
    <row r="36" spans="1:38" x14ac:dyDescent="0.25">
      <c r="A36" s="11">
        <v>34</v>
      </c>
      <c r="B36" s="106"/>
      <c r="C36" s="106"/>
      <c r="D36" s="106"/>
      <c r="E36" s="106"/>
      <c r="F36" s="106"/>
      <c r="G36" s="106"/>
      <c r="H36" s="106"/>
      <c r="I36" s="37"/>
      <c r="J36" s="106"/>
      <c r="K36" s="106"/>
      <c r="L36" s="106"/>
      <c r="M36" s="106"/>
      <c r="N36" s="106"/>
      <c r="O36" s="106"/>
      <c r="P36" s="106"/>
      <c r="Q36" s="37"/>
      <c r="R36" s="106"/>
      <c r="S36" s="106"/>
      <c r="T36" s="106"/>
      <c r="U36" s="106"/>
      <c r="V36" s="106"/>
      <c r="W36" s="106"/>
      <c r="X36" s="106"/>
      <c r="Y36" s="37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37"/>
      <c r="AK36" s="38"/>
      <c r="AL36" s="197"/>
    </row>
    <row r="37" spans="1:38" x14ac:dyDescent="0.25">
      <c r="A37" s="11">
        <v>35</v>
      </c>
      <c r="B37" s="106"/>
      <c r="C37" s="106"/>
      <c r="D37" s="106"/>
      <c r="E37" s="106"/>
      <c r="F37" s="106"/>
      <c r="G37" s="106"/>
      <c r="H37" s="106"/>
      <c r="I37" s="37"/>
      <c r="J37" s="106"/>
      <c r="K37" s="106"/>
      <c r="L37" s="106"/>
      <c r="M37" s="106"/>
      <c r="N37" s="106"/>
      <c r="O37" s="106"/>
      <c r="P37" s="106"/>
      <c r="Q37" s="37"/>
      <c r="R37" s="106"/>
      <c r="S37" s="106"/>
      <c r="T37" s="106"/>
      <c r="U37" s="106"/>
      <c r="V37" s="106"/>
      <c r="W37" s="106"/>
      <c r="X37" s="106"/>
      <c r="Y37" s="37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37"/>
      <c r="AK37" s="38"/>
      <c r="AL37" s="197"/>
    </row>
    <row r="38" spans="1:38" x14ac:dyDescent="0.25">
      <c r="A38" s="11">
        <v>36</v>
      </c>
      <c r="B38" s="108"/>
      <c r="C38" s="108"/>
      <c r="D38" s="108"/>
      <c r="E38" s="108"/>
      <c r="F38" s="108"/>
      <c r="G38" s="108"/>
      <c r="H38" s="108"/>
      <c r="I38" s="111"/>
      <c r="J38" s="108"/>
      <c r="K38" s="108"/>
      <c r="L38" s="108"/>
      <c r="M38" s="108"/>
      <c r="N38" s="108"/>
      <c r="O38" s="108"/>
      <c r="P38" s="108"/>
      <c r="Q38" s="111"/>
      <c r="R38" s="108"/>
      <c r="S38" s="108"/>
      <c r="T38" s="108"/>
      <c r="U38" s="108"/>
      <c r="V38" s="108"/>
      <c r="W38" s="108"/>
      <c r="X38" s="108"/>
      <c r="Y38" s="111"/>
      <c r="Z38" s="108"/>
      <c r="AA38" s="108"/>
      <c r="AB38" s="108"/>
      <c r="AC38" s="108"/>
      <c r="AD38" s="108"/>
      <c r="AE38" s="108"/>
      <c r="AF38" s="108"/>
      <c r="AG38" s="107"/>
      <c r="AH38" s="107"/>
      <c r="AI38" s="107"/>
      <c r="AJ38" s="111"/>
      <c r="AK38" s="38"/>
      <c r="AL38" s="197"/>
    </row>
    <row r="39" spans="1:38" x14ac:dyDescent="0.25">
      <c r="A39" s="11">
        <v>37</v>
      </c>
      <c r="B39" s="106"/>
      <c r="C39" s="106"/>
      <c r="D39" s="106"/>
      <c r="E39" s="106"/>
      <c r="F39" s="106"/>
      <c r="G39" s="106"/>
      <c r="H39" s="106"/>
      <c r="I39" s="37"/>
      <c r="J39" s="106"/>
      <c r="K39" s="106"/>
      <c r="L39" s="106"/>
      <c r="M39" s="106"/>
      <c r="N39" s="106"/>
      <c r="O39" s="106"/>
      <c r="P39" s="106"/>
      <c r="Q39" s="37"/>
      <c r="R39" s="106"/>
      <c r="S39" s="106"/>
      <c r="T39" s="106"/>
      <c r="U39" s="106"/>
      <c r="V39" s="106"/>
      <c r="W39" s="106"/>
      <c r="X39" s="106"/>
      <c r="Y39" s="37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37"/>
      <c r="AK39" s="38"/>
      <c r="AL39" s="197"/>
    </row>
    <row r="40" spans="1:38" x14ac:dyDescent="0.25">
      <c r="A40" s="11">
        <v>38</v>
      </c>
      <c r="B40" s="106"/>
      <c r="C40" s="106"/>
      <c r="D40" s="106"/>
      <c r="E40" s="106"/>
      <c r="F40" s="106"/>
      <c r="G40" s="106"/>
      <c r="H40" s="106"/>
      <c r="I40" s="37"/>
      <c r="J40" s="106"/>
      <c r="K40" s="106"/>
      <c r="L40" s="106"/>
      <c r="M40" s="106"/>
      <c r="N40" s="106"/>
      <c r="O40" s="106"/>
      <c r="P40" s="106"/>
      <c r="Q40" s="37"/>
      <c r="R40" s="106"/>
      <c r="S40" s="106"/>
      <c r="T40" s="106"/>
      <c r="U40" s="106"/>
      <c r="V40" s="106"/>
      <c r="W40" s="106"/>
      <c r="X40" s="106"/>
      <c r="Y40" s="37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37"/>
      <c r="AK40" s="38"/>
      <c r="AL40" s="197"/>
    </row>
    <row r="41" spans="1:38" x14ac:dyDescent="0.25">
      <c r="A41" s="11">
        <v>39</v>
      </c>
      <c r="B41" s="106"/>
      <c r="C41" s="106"/>
      <c r="D41" s="106"/>
      <c r="E41" s="106"/>
      <c r="F41" s="106"/>
      <c r="G41" s="106"/>
      <c r="H41" s="106"/>
      <c r="I41" s="37"/>
      <c r="J41" s="108"/>
      <c r="K41" s="116"/>
      <c r="L41" s="106"/>
      <c r="M41" s="106"/>
      <c r="N41" s="106"/>
      <c r="O41" s="106"/>
      <c r="P41" s="106"/>
      <c r="Q41" s="37"/>
      <c r="R41" s="106"/>
      <c r="S41" s="106"/>
      <c r="T41" s="106"/>
      <c r="U41" s="106"/>
      <c r="V41" s="106"/>
      <c r="W41" s="106"/>
      <c r="X41" s="106"/>
      <c r="Y41" s="37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37"/>
      <c r="AK41" s="38"/>
      <c r="AL41" s="197"/>
    </row>
    <row r="42" spans="1:38" x14ac:dyDescent="0.25">
      <c r="A42" s="11">
        <v>40</v>
      </c>
      <c r="B42" s="106"/>
      <c r="C42" s="106"/>
      <c r="D42" s="106"/>
      <c r="E42" s="106"/>
      <c r="F42" s="106"/>
      <c r="G42" s="106"/>
      <c r="H42" s="106"/>
      <c r="I42" s="37"/>
      <c r="J42" s="106"/>
      <c r="K42" s="106"/>
      <c r="L42" s="106"/>
      <c r="M42" s="106"/>
      <c r="N42" s="106"/>
      <c r="O42" s="106"/>
      <c r="P42" s="106"/>
      <c r="Q42" s="37"/>
      <c r="R42" s="106"/>
      <c r="S42" s="106"/>
      <c r="T42" s="106"/>
      <c r="U42" s="106"/>
      <c r="V42" s="106"/>
      <c r="W42" s="106"/>
      <c r="X42" s="106"/>
      <c r="Y42" s="37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37"/>
      <c r="AK42" s="38"/>
      <c r="AL42" s="197"/>
    </row>
    <row r="43" spans="1:38" x14ac:dyDescent="0.25">
      <c r="A43" s="11">
        <v>41</v>
      </c>
      <c r="B43" s="106"/>
      <c r="C43" s="106"/>
      <c r="D43" s="106"/>
      <c r="E43" s="106"/>
      <c r="F43" s="106"/>
      <c r="G43" s="106"/>
      <c r="H43" s="106"/>
      <c r="I43" s="37"/>
      <c r="J43" s="106"/>
      <c r="K43" s="106"/>
      <c r="L43" s="106"/>
      <c r="M43" s="106"/>
      <c r="N43" s="106"/>
      <c r="O43" s="106"/>
      <c r="P43" s="106"/>
      <c r="Q43" s="37"/>
      <c r="R43" s="106"/>
      <c r="S43" s="106"/>
      <c r="T43" s="106"/>
      <c r="U43" s="106"/>
      <c r="V43" s="106"/>
      <c r="W43" s="106"/>
      <c r="X43" s="106"/>
      <c r="Y43" s="37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37"/>
      <c r="AK43" s="38"/>
      <c r="AL43" s="197"/>
    </row>
    <row r="44" spans="1:38" x14ac:dyDescent="0.25">
      <c r="A44" s="11">
        <v>42</v>
      </c>
      <c r="B44" s="108"/>
      <c r="C44" s="108"/>
      <c r="D44" s="108"/>
      <c r="E44" s="108"/>
      <c r="F44" s="108"/>
      <c r="G44" s="108"/>
      <c r="H44" s="108"/>
      <c r="I44" s="111"/>
      <c r="J44" s="108"/>
      <c r="K44" s="108"/>
      <c r="L44" s="108"/>
      <c r="M44" s="108"/>
      <c r="N44" s="108"/>
      <c r="O44" s="108"/>
      <c r="P44" s="108"/>
      <c r="Q44" s="111"/>
      <c r="R44" s="108"/>
      <c r="S44" s="108"/>
      <c r="T44" s="108"/>
      <c r="U44" s="108"/>
      <c r="V44" s="108"/>
      <c r="W44" s="108"/>
      <c r="X44" s="108"/>
      <c r="Y44" s="111"/>
      <c r="Z44" s="108"/>
      <c r="AA44" s="108"/>
      <c r="AB44" s="108"/>
      <c r="AC44" s="108"/>
      <c r="AD44" s="108"/>
      <c r="AE44" s="108"/>
      <c r="AF44" s="108"/>
      <c r="AG44" s="107"/>
      <c r="AH44" s="107"/>
      <c r="AI44" s="107"/>
      <c r="AJ44" s="111"/>
      <c r="AK44" s="38"/>
      <c r="AL44" s="197"/>
    </row>
    <row r="45" spans="1:38" x14ac:dyDescent="0.25">
      <c r="A45" s="11">
        <v>43</v>
      </c>
      <c r="B45" s="106"/>
      <c r="C45" s="106"/>
      <c r="D45" s="106"/>
      <c r="E45" s="106"/>
      <c r="F45" s="106"/>
      <c r="G45" s="106"/>
      <c r="H45" s="106"/>
      <c r="I45" s="37"/>
      <c r="J45" s="106"/>
      <c r="K45" s="106"/>
      <c r="L45" s="106"/>
      <c r="M45" s="106"/>
      <c r="N45" s="106"/>
      <c r="O45" s="106"/>
      <c r="P45" s="106"/>
      <c r="Q45" s="37"/>
      <c r="R45" s="106"/>
      <c r="S45" s="106"/>
      <c r="T45" s="106"/>
      <c r="U45" s="106"/>
      <c r="V45" s="106"/>
      <c r="W45" s="106"/>
      <c r="X45" s="106"/>
      <c r="Y45" s="37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37"/>
      <c r="AK45" s="38"/>
      <c r="AL45" s="197"/>
    </row>
    <row r="46" spans="1:38" x14ac:dyDescent="0.25">
      <c r="A46" s="11">
        <v>44</v>
      </c>
      <c r="B46" s="106"/>
      <c r="C46" s="106"/>
      <c r="D46" s="106"/>
      <c r="E46" s="106"/>
      <c r="F46" s="106"/>
      <c r="G46" s="106"/>
      <c r="H46" s="106"/>
      <c r="I46" s="37"/>
      <c r="J46" s="106"/>
      <c r="K46" s="106"/>
      <c r="L46" s="106"/>
      <c r="M46" s="106"/>
      <c r="N46" s="106"/>
      <c r="O46" s="106"/>
      <c r="P46" s="106"/>
      <c r="Q46" s="37"/>
      <c r="R46" s="106"/>
      <c r="S46" s="106"/>
      <c r="T46" s="106"/>
      <c r="U46" s="106"/>
      <c r="V46" s="106"/>
      <c r="W46" s="106"/>
      <c r="X46" s="106"/>
      <c r="Y46" s="37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37"/>
      <c r="AK46" s="38"/>
      <c r="AL46" s="197"/>
    </row>
    <row r="47" spans="1:38" x14ac:dyDescent="0.25">
      <c r="A47" s="11">
        <v>45</v>
      </c>
      <c r="B47" s="106"/>
      <c r="C47" s="106"/>
      <c r="D47" s="106"/>
      <c r="E47" s="106"/>
      <c r="F47" s="106"/>
      <c r="G47" s="106"/>
      <c r="H47" s="106"/>
      <c r="I47" s="37"/>
      <c r="J47" s="106"/>
      <c r="K47" s="106"/>
      <c r="L47" s="106"/>
      <c r="M47" s="106"/>
      <c r="N47" s="106"/>
      <c r="O47" s="106"/>
      <c r="P47" s="106"/>
      <c r="Q47" s="37"/>
      <c r="R47" s="106"/>
      <c r="S47" s="106"/>
      <c r="T47" s="106"/>
      <c r="U47" s="106"/>
      <c r="V47" s="106"/>
      <c r="W47" s="106"/>
      <c r="X47" s="106"/>
      <c r="Y47" s="37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37"/>
      <c r="AK47" s="38"/>
      <c r="AL47" s="197"/>
    </row>
    <row r="48" spans="1:38" x14ac:dyDescent="0.25">
      <c r="A48" s="11">
        <v>46</v>
      </c>
      <c r="B48" s="106"/>
      <c r="C48" s="106"/>
      <c r="D48" s="106"/>
      <c r="E48" s="106"/>
      <c r="F48" s="106"/>
      <c r="G48" s="106"/>
      <c r="H48" s="106"/>
      <c r="I48" s="37"/>
      <c r="J48" s="106"/>
      <c r="K48" s="106"/>
      <c r="L48" s="106"/>
      <c r="M48" s="106"/>
      <c r="N48" s="106"/>
      <c r="O48" s="106"/>
      <c r="P48" s="106"/>
      <c r="Q48" s="37"/>
      <c r="R48" s="106"/>
      <c r="S48" s="106"/>
      <c r="T48" s="106"/>
      <c r="U48" s="106"/>
      <c r="V48" s="106"/>
      <c r="W48" s="106"/>
      <c r="X48" s="106"/>
      <c r="Y48" s="37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37"/>
      <c r="AK48" s="38"/>
      <c r="AL48" s="197"/>
    </row>
    <row r="49" spans="1:38" x14ac:dyDescent="0.25">
      <c r="A49" s="11">
        <v>47</v>
      </c>
      <c r="B49" s="106"/>
      <c r="C49" s="106"/>
      <c r="D49" s="106"/>
      <c r="E49" s="106"/>
      <c r="F49" s="106"/>
      <c r="G49" s="106"/>
      <c r="H49" s="106"/>
      <c r="I49" s="37"/>
      <c r="J49" s="106"/>
      <c r="K49" s="106"/>
      <c r="L49" s="106"/>
      <c r="M49" s="106"/>
      <c r="N49" s="106"/>
      <c r="O49" s="106"/>
      <c r="P49" s="106"/>
      <c r="Q49" s="37"/>
      <c r="R49" s="106"/>
      <c r="S49" s="106"/>
      <c r="T49" s="106"/>
      <c r="U49" s="106"/>
      <c r="V49" s="106"/>
      <c r="W49" s="106"/>
      <c r="X49" s="106"/>
      <c r="Y49" s="37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37"/>
      <c r="AK49" s="38"/>
      <c r="AL49" s="197"/>
    </row>
    <row r="50" spans="1:38" x14ac:dyDescent="0.25">
      <c r="A50" s="11">
        <v>48</v>
      </c>
      <c r="B50" s="106"/>
      <c r="C50" s="106"/>
      <c r="D50" s="106"/>
      <c r="E50" s="106"/>
      <c r="F50" s="106"/>
      <c r="G50" s="106"/>
      <c r="H50" s="106"/>
      <c r="I50" s="37"/>
      <c r="J50" s="106"/>
      <c r="K50" s="106"/>
      <c r="L50" s="106"/>
      <c r="M50" s="106"/>
      <c r="N50" s="106"/>
      <c r="O50" s="106"/>
      <c r="P50" s="106"/>
      <c r="Q50" s="37"/>
      <c r="R50" s="106"/>
      <c r="S50" s="106"/>
      <c r="T50" s="106"/>
      <c r="U50" s="106"/>
      <c r="V50" s="106"/>
      <c r="W50" s="106"/>
      <c r="X50" s="106"/>
      <c r="Y50" s="37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37"/>
      <c r="AK50" s="38"/>
      <c r="AL50" s="197"/>
    </row>
    <row r="51" spans="1:38" x14ac:dyDescent="0.25">
      <c r="A51" s="11">
        <v>49</v>
      </c>
      <c r="B51" s="106"/>
      <c r="C51" s="106"/>
      <c r="D51" s="106"/>
      <c r="E51" s="106"/>
      <c r="F51" s="106"/>
      <c r="G51" s="106"/>
      <c r="H51" s="106"/>
      <c r="I51" s="37"/>
      <c r="J51" s="106"/>
      <c r="K51" s="106"/>
      <c r="L51" s="106"/>
      <c r="M51" s="106"/>
      <c r="N51" s="106"/>
      <c r="O51" s="106"/>
      <c r="P51" s="106"/>
      <c r="Q51" s="37"/>
      <c r="R51" s="106"/>
      <c r="S51" s="106"/>
      <c r="T51" s="106"/>
      <c r="U51" s="106"/>
      <c r="V51" s="106"/>
      <c r="W51" s="106"/>
      <c r="X51" s="106"/>
      <c r="Y51" s="37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37"/>
      <c r="AK51" s="38"/>
      <c r="AL51" s="197"/>
    </row>
    <row r="52" spans="1:38" x14ac:dyDescent="0.25">
      <c r="A52" s="11">
        <v>50</v>
      </c>
      <c r="B52" s="106"/>
      <c r="C52" s="106"/>
      <c r="D52" s="106"/>
      <c r="E52" s="106"/>
      <c r="F52" s="106"/>
      <c r="G52" s="106"/>
      <c r="H52" s="106"/>
      <c r="I52" s="37"/>
      <c r="J52" s="106"/>
      <c r="K52" s="106"/>
      <c r="L52" s="106"/>
      <c r="M52" s="106"/>
      <c r="N52" s="106"/>
      <c r="O52" s="106"/>
      <c r="P52" s="106"/>
      <c r="Q52" s="37"/>
      <c r="R52" s="106"/>
      <c r="S52" s="106"/>
      <c r="T52" s="106"/>
      <c r="U52" s="106"/>
      <c r="V52" s="106"/>
      <c r="W52" s="106"/>
      <c r="X52" s="106"/>
      <c r="Y52" s="37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37"/>
      <c r="AK52" s="38"/>
      <c r="AL52" s="197"/>
    </row>
    <row r="53" spans="1:38" x14ac:dyDescent="0.25">
      <c r="A53" s="11">
        <v>51</v>
      </c>
      <c r="B53" s="106"/>
      <c r="C53" s="106"/>
      <c r="D53" s="106"/>
      <c r="E53" s="106"/>
      <c r="F53" s="106"/>
      <c r="G53" s="106"/>
      <c r="H53" s="106"/>
      <c r="I53" s="37"/>
      <c r="J53" s="106"/>
      <c r="K53" s="106"/>
      <c r="L53" s="106"/>
      <c r="M53" s="106"/>
      <c r="N53" s="106"/>
      <c r="O53" s="106"/>
      <c r="P53" s="106"/>
      <c r="Q53" s="37"/>
      <c r="R53" s="106"/>
      <c r="S53" s="106"/>
      <c r="T53" s="106"/>
      <c r="U53" s="106"/>
      <c r="V53" s="106"/>
      <c r="W53" s="106"/>
      <c r="X53" s="106"/>
      <c r="Y53" s="37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37"/>
      <c r="AK53" s="38"/>
      <c r="AL53" s="197"/>
    </row>
    <row r="54" spans="1:38" x14ac:dyDescent="0.25">
      <c r="A54" s="11">
        <v>52</v>
      </c>
      <c r="B54" s="106"/>
      <c r="C54" s="106"/>
      <c r="D54" s="106"/>
      <c r="E54" s="106"/>
      <c r="F54" s="108"/>
      <c r="G54" s="108"/>
      <c r="H54" s="108"/>
      <c r="I54" s="37"/>
      <c r="J54" s="108"/>
      <c r="K54" s="106"/>
      <c r="L54" s="106"/>
      <c r="M54" s="106"/>
      <c r="N54" s="106"/>
      <c r="O54" s="106"/>
      <c r="P54" s="106"/>
      <c r="Q54" s="37"/>
      <c r="R54" s="106"/>
      <c r="S54" s="106"/>
      <c r="T54" s="106"/>
      <c r="U54" s="106"/>
      <c r="V54" s="106"/>
      <c r="W54" s="106"/>
      <c r="X54" s="106"/>
      <c r="Y54" s="37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37"/>
      <c r="AK54" s="38"/>
      <c r="AL54" s="197"/>
    </row>
    <row r="55" spans="1:38" x14ac:dyDescent="0.25">
      <c r="A55" s="11">
        <v>53</v>
      </c>
      <c r="B55" s="106"/>
      <c r="C55" s="106"/>
      <c r="D55" s="106"/>
      <c r="E55" s="106"/>
      <c r="F55" s="106"/>
      <c r="G55" s="106"/>
      <c r="H55" s="106"/>
      <c r="I55" s="37"/>
      <c r="J55" s="106"/>
      <c r="K55" s="106"/>
      <c r="L55" s="106"/>
      <c r="M55" s="106"/>
      <c r="N55" s="106"/>
      <c r="O55" s="106"/>
      <c r="P55" s="106"/>
      <c r="Q55" s="37"/>
      <c r="R55" s="106"/>
      <c r="S55" s="106"/>
      <c r="T55" s="106"/>
      <c r="U55" s="106"/>
      <c r="V55" s="106"/>
      <c r="W55" s="106"/>
      <c r="X55" s="106"/>
      <c r="Y55" s="37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37"/>
      <c r="AK55" s="38"/>
      <c r="AL55" s="197"/>
    </row>
    <row r="56" spans="1:38" x14ac:dyDescent="0.25">
      <c r="A56" s="11">
        <v>54</v>
      </c>
      <c r="B56" s="106"/>
      <c r="C56" s="106"/>
      <c r="D56" s="106"/>
      <c r="E56" s="106"/>
      <c r="F56" s="106"/>
      <c r="G56" s="106"/>
      <c r="H56" s="106"/>
      <c r="I56" s="37"/>
      <c r="J56" s="106"/>
      <c r="K56" s="106"/>
      <c r="L56" s="106"/>
      <c r="M56" s="106"/>
      <c r="N56" s="106"/>
      <c r="O56" s="106"/>
      <c r="P56" s="106"/>
      <c r="Q56" s="37"/>
      <c r="R56" s="106"/>
      <c r="S56" s="106"/>
      <c r="T56" s="106"/>
      <c r="U56" s="106"/>
      <c r="V56" s="106"/>
      <c r="W56" s="106"/>
      <c r="X56" s="106"/>
      <c r="Y56" s="37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37"/>
      <c r="AK56" s="38"/>
      <c r="AL56" s="197"/>
    </row>
    <row r="57" spans="1:38" x14ac:dyDescent="0.25">
      <c r="A57" s="11">
        <v>55</v>
      </c>
      <c r="B57" s="106"/>
      <c r="C57" s="106"/>
      <c r="D57" s="106"/>
      <c r="E57" s="106"/>
      <c r="F57" s="106"/>
      <c r="G57" s="106"/>
      <c r="H57" s="106"/>
      <c r="I57" s="37"/>
      <c r="J57" s="106"/>
      <c r="K57" s="106"/>
      <c r="L57" s="106"/>
      <c r="M57" s="106"/>
      <c r="N57" s="106"/>
      <c r="O57" s="106"/>
      <c r="P57" s="106"/>
      <c r="Q57" s="37"/>
      <c r="R57" s="106"/>
      <c r="S57" s="106"/>
      <c r="T57" s="106"/>
      <c r="U57" s="106"/>
      <c r="V57" s="106"/>
      <c r="W57" s="106"/>
      <c r="X57" s="106"/>
      <c r="Y57" s="37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37"/>
      <c r="AK57" s="38"/>
      <c r="AL57" s="197"/>
    </row>
    <row r="58" spans="1:38" x14ac:dyDescent="0.25">
      <c r="A58" s="11">
        <v>56</v>
      </c>
      <c r="B58" s="106"/>
      <c r="C58" s="106"/>
      <c r="D58" s="106"/>
      <c r="E58" s="106"/>
      <c r="F58" s="106"/>
      <c r="G58" s="106"/>
      <c r="H58" s="106"/>
      <c r="I58" s="37"/>
      <c r="J58" s="106"/>
      <c r="K58" s="106"/>
      <c r="L58" s="106"/>
      <c r="M58" s="106"/>
      <c r="N58" s="106"/>
      <c r="O58" s="106"/>
      <c r="P58" s="106"/>
      <c r="Q58" s="37"/>
      <c r="R58" s="106"/>
      <c r="S58" s="106"/>
      <c r="T58" s="106"/>
      <c r="U58" s="106"/>
      <c r="V58" s="106"/>
      <c r="W58" s="106"/>
      <c r="X58" s="106"/>
      <c r="Y58" s="37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37"/>
      <c r="AK58" s="38"/>
      <c r="AL58" s="197"/>
    </row>
    <row r="59" spans="1:38" x14ac:dyDescent="0.25">
      <c r="A59" s="11">
        <v>57</v>
      </c>
      <c r="B59" s="106"/>
      <c r="C59" s="106"/>
      <c r="D59" s="106"/>
      <c r="E59" s="106"/>
      <c r="F59" s="106"/>
      <c r="G59" s="106"/>
      <c r="H59" s="106"/>
      <c r="I59" s="37"/>
      <c r="J59" s="106"/>
      <c r="K59" s="106"/>
      <c r="L59" s="106"/>
      <c r="M59" s="106"/>
      <c r="N59" s="106"/>
      <c r="O59" s="106"/>
      <c r="P59" s="106"/>
      <c r="Q59" s="37"/>
      <c r="R59" s="106"/>
      <c r="S59" s="106"/>
      <c r="T59" s="106"/>
      <c r="U59" s="106"/>
      <c r="V59" s="106"/>
      <c r="W59" s="106"/>
      <c r="X59" s="106"/>
      <c r="Y59" s="37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37"/>
      <c r="AK59" s="38"/>
      <c r="AL59" s="197"/>
    </row>
    <row r="60" spans="1:38" x14ac:dyDescent="0.25">
      <c r="A60" s="11">
        <v>58</v>
      </c>
      <c r="B60" s="106"/>
      <c r="C60" s="106"/>
      <c r="D60" s="106"/>
      <c r="E60" s="106"/>
      <c r="F60" s="106"/>
      <c r="G60" s="106"/>
      <c r="H60" s="106"/>
      <c r="I60" s="37"/>
      <c r="J60" s="106"/>
      <c r="K60" s="106"/>
      <c r="L60" s="106"/>
      <c r="M60" s="106"/>
      <c r="N60" s="106"/>
      <c r="O60" s="106"/>
      <c r="P60" s="106"/>
      <c r="Q60" s="37"/>
      <c r="R60" s="106"/>
      <c r="S60" s="106"/>
      <c r="T60" s="106"/>
      <c r="U60" s="106"/>
      <c r="V60" s="106"/>
      <c r="W60" s="106"/>
      <c r="X60" s="106"/>
      <c r="Y60" s="37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37"/>
      <c r="AK60" s="38"/>
      <c r="AL60" s="197"/>
    </row>
    <row r="61" spans="1:38" ht="18.75" x14ac:dyDescent="0.3">
      <c r="A61" s="11">
        <v>59</v>
      </c>
      <c r="B61" s="106"/>
      <c r="C61" s="106"/>
      <c r="D61" s="106"/>
      <c r="E61" s="106"/>
      <c r="F61" s="106"/>
      <c r="G61" s="106"/>
      <c r="H61" s="106"/>
      <c r="I61" s="37"/>
      <c r="J61" s="106"/>
      <c r="K61" s="106"/>
      <c r="L61" s="106"/>
      <c r="M61" s="106"/>
      <c r="N61" s="106"/>
      <c r="O61" s="106"/>
      <c r="P61" s="106"/>
      <c r="Q61" s="37"/>
      <c r="R61" s="106"/>
      <c r="S61" s="106"/>
      <c r="T61" s="106"/>
      <c r="U61" s="106"/>
      <c r="V61" s="106"/>
      <c r="W61" s="106"/>
      <c r="X61" s="106"/>
      <c r="Y61" s="37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37"/>
      <c r="AK61" s="340"/>
      <c r="AL61" s="197"/>
    </row>
    <row r="62" spans="1:38" ht="18.75" x14ac:dyDescent="0.3">
      <c r="A62" s="11">
        <v>60</v>
      </c>
      <c r="B62" s="106"/>
      <c r="C62" s="106"/>
      <c r="D62" s="106"/>
      <c r="E62" s="106"/>
      <c r="F62" s="106"/>
      <c r="G62" s="106"/>
      <c r="H62" s="106"/>
      <c r="I62" s="37"/>
      <c r="J62" s="106"/>
      <c r="K62" s="106"/>
      <c r="L62" s="106"/>
      <c r="M62" s="106"/>
      <c r="N62" s="106"/>
      <c r="O62" s="106"/>
      <c r="P62" s="106"/>
      <c r="Q62" s="37"/>
      <c r="R62" s="106"/>
      <c r="S62" s="106"/>
      <c r="T62" s="106"/>
      <c r="U62" s="106"/>
      <c r="V62" s="106"/>
      <c r="W62" s="106"/>
      <c r="X62" s="106"/>
      <c r="Y62" s="37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37"/>
      <c r="AK62" s="340"/>
      <c r="AL62" s="197"/>
    </row>
    <row r="63" spans="1:38" ht="18.75" x14ac:dyDescent="0.3">
      <c r="A63" s="11">
        <v>61</v>
      </c>
      <c r="B63" s="106"/>
      <c r="C63" s="106"/>
      <c r="D63" s="106"/>
      <c r="E63" s="106"/>
      <c r="F63" s="106"/>
      <c r="G63" s="106"/>
      <c r="H63" s="106"/>
      <c r="I63" s="37"/>
      <c r="J63" s="106"/>
      <c r="K63" s="106"/>
      <c r="L63" s="106"/>
      <c r="M63" s="106"/>
      <c r="N63" s="106"/>
      <c r="O63" s="106"/>
      <c r="P63" s="106"/>
      <c r="Q63" s="37"/>
      <c r="R63" s="106"/>
      <c r="S63" s="106"/>
      <c r="T63" s="106"/>
      <c r="U63" s="106"/>
      <c r="V63" s="106"/>
      <c r="W63" s="106"/>
      <c r="X63" s="106"/>
      <c r="Y63" s="37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37"/>
      <c r="AK63" s="340"/>
      <c r="AL63" s="197"/>
    </row>
    <row r="64" spans="1:38" x14ac:dyDescent="0.25">
      <c r="A64" s="11">
        <v>62</v>
      </c>
      <c r="B64" s="106"/>
      <c r="C64" s="106"/>
      <c r="D64" s="106"/>
      <c r="E64" s="106"/>
      <c r="F64" s="106"/>
      <c r="G64" s="106"/>
      <c r="H64" s="106"/>
      <c r="I64" s="37"/>
      <c r="J64" s="106"/>
      <c r="K64" s="106"/>
      <c r="L64" s="106"/>
      <c r="M64" s="106"/>
      <c r="N64" s="106"/>
      <c r="O64" s="106"/>
      <c r="P64" s="106"/>
      <c r="Q64" s="37"/>
      <c r="R64" s="106"/>
      <c r="S64" s="106"/>
      <c r="T64" s="106"/>
      <c r="U64" s="106"/>
      <c r="V64" s="106"/>
      <c r="W64" s="106"/>
      <c r="X64" s="106"/>
      <c r="Y64" s="37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37"/>
      <c r="AK64" s="38"/>
      <c r="AL64" s="197"/>
    </row>
    <row r="65" spans="1:38" ht="15.75" thickBot="1" x14ac:dyDescent="0.3">
      <c r="A65" s="62">
        <v>63</v>
      </c>
      <c r="B65" s="107"/>
      <c r="C65" s="107"/>
      <c r="D65" s="107"/>
      <c r="E65" s="107"/>
      <c r="F65" s="107"/>
      <c r="G65" s="107"/>
      <c r="H65" s="107"/>
      <c r="I65" s="110"/>
      <c r="J65" s="107"/>
      <c r="K65" s="107"/>
      <c r="L65" s="107"/>
      <c r="M65" s="107"/>
      <c r="N65" s="107"/>
      <c r="O65" s="107"/>
      <c r="P65" s="107"/>
      <c r="Q65" s="110"/>
      <c r="R65" s="107"/>
      <c r="S65" s="107"/>
      <c r="T65" s="107"/>
      <c r="U65" s="107"/>
      <c r="V65" s="107"/>
      <c r="W65" s="107"/>
      <c r="X65" s="107"/>
      <c r="Y65" s="114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14"/>
      <c r="AK65" s="44"/>
      <c r="AL65" s="204"/>
    </row>
    <row r="66" spans="1:38" ht="18.75" x14ac:dyDescent="0.3">
      <c r="A66" s="281" t="s">
        <v>2</v>
      </c>
      <c r="B66" s="163"/>
      <c r="C66" s="163"/>
      <c r="D66" s="163"/>
      <c r="E66" s="163"/>
      <c r="F66" s="163"/>
      <c r="G66" s="163"/>
      <c r="H66" s="163"/>
      <c r="I66" s="158"/>
      <c r="J66" s="163"/>
      <c r="K66" s="163"/>
      <c r="L66" s="163"/>
      <c r="M66" s="163"/>
      <c r="N66" s="163"/>
      <c r="O66" s="163"/>
      <c r="P66" s="163"/>
      <c r="Q66" s="221"/>
      <c r="R66" s="163"/>
      <c r="S66" s="163"/>
      <c r="T66" s="163"/>
      <c r="U66" s="163"/>
      <c r="V66" s="163"/>
      <c r="W66" s="163"/>
      <c r="X66" s="163"/>
      <c r="Y66" s="221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51"/>
      <c r="AK66" s="266"/>
      <c r="AL66" s="285"/>
    </row>
    <row r="67" spans="1:38" ht="15.75" thickBot="1" x14ac:dyDescent="0.3">
      <c r="A67" s="264"/>
      <c r="B67" s="265"/>
      <c r="C67" s="265"/>
      <c r="D67" s="265"/>
      <c r="E67" s="265"/>
      <c r="F67" s="265"/>
      <c r="G67" s="265"/>
      <c r="H67" s="265"/>
      <c r="I67" s="56"/>
      <c r="J67" s="265"/>
      <c r="K67" s="265"/>
      <c r="L67" s="265"/>
      <c r="M67" s="265"/>
      <c r="N67" s="265"/>
      <c r="O67" s="265"/>
      <c r="P67" s="265"/>
      <c r="Q67" s="56"/>
      <c r="R67" s="265"/>
      <c r="S67" s="265"/>
      <c r="T67" s="265"/>
      <c r="U67" s="265"/>
      <c r="V67" s="265"/>
      <c r="W67" s="265"/>
      <c r="X67" s="265"/>
      <c r="Y67" s="56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56"/>
      <c r="AK67" s="225"/>
      <c r="AL67" s="228"/>
    </row>
    <row r="68" spans="1:38" ht="24" thickBot="1" x14ac:dyDescent="0.4">
      <c r="A68" s="252" t="s">
        <v>191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60"/>
    </row>
    <row r="69" spans="1:38" ht="16.5" thickBot="1" x14ac:dyDescent="0.3">
      <c r="A69" s="321" t="s">
        <v>7</v>
      </c>
      <c r="B69" s="322"/>
      <c r="C69" s="322"/>
      <c r="D69" s="322"/>
      <c r="E69" s="322"/>
      <c r="F69" s="322"/>
      <c r="G69" s="322"/>
      <c r="H69" s="322"/>
      <c r="I69" s="323"/>
      <c r="J69" s="322"/>
      <c r="K69" s="322"/>
      <c r="L69" s="322"/>
      <c r="M69" s="322"/>
      <c r="N69" s="322"/>
      <c r="O69" s="322"/>
      <c r="P69" s="322"/>
      <c r="Q69" s="323"/>
      <c r="R69" s="322"/>
      <c r="S69" s="322"/>
      <c r="T69" s="322"/>
      <c r="U69" s="322"/>
      <c r="V69" s="322"/>
      <c r="W69" s="322"/>
      <c r="X69" s="322"/>
      <c r="Y69" s="323"/>
      <c r="Z69" s="322"/>
      <c r="AA69" s="322"/>
      <c r="AB69" s="322"/>
      <c r="AC69" s="322"/>
      <c r="AD69" s="322"/>
      <c r="AE69" s="322"/>
      <c r="AF69" s="322"/>
      <c r="AG69" s="322"/>
      <c r="AH69" s="322"/>
      <c r="AI69" s="322"/>
      <c r="AJ69" s="324"/>
      <c r="AK69" s="325"/>
      <c r="AL69" s="169"/>
    </row>
    <row r="70" spans="1:38" x14ac:dyDescent="0.25">
      <c r="A70" s="394">
        <v>23</v>
      </c>
      <c r="B70" s="386"/>
      <c r="C70" s="386"/>
      <c r="D70" s="386"/>
      <c r="E70" s="386"/>
      <c r="F70" s="386"/>
      <c r="G70" s="386"/>
      <c r="H70" s="386"/>
      <c r="I70" s="160"/>
      <c r="J70" s="386"/>
      <c r="K70" s="386"/>
      <c r="L70" s="386"/>
      <c r="M70" s="386"/>
      <c r="N70" s="386"/>
      <c r="O70" s="386"/>
      <c r="P70" s="387"/>
      <c r="Q70" s="160"/>
      <c r="R70" s="387"/>
      <c r="S70" s="386"/>
      <c r="T70" s="386"/>
      <c r="U70" s="386"/>
      <c r="V70" s="386"/>
      <c r="W70" s="386"/>
      <c r="X70" s="386"/>
      <c r="Y70" s="160"/>
      <c r="Z70" s="387"/>
      <c r="AA70" s="387"/>
      <c r="AB70" s="387"/>
      <c r="AC70" s="387"/>
      <c r="AD70" s="387"/>
      <c r="AE70" s="387"/>
      <c r="AF70" s="387"/>
      <c r="AG70" s="387"/>
      <c r="AH70" s="387"/>
      <c r="AI70" s="387"/>
      <c r="AJ70" s="160"/>
      <c r="AK70" s="14"/>
      <c r="AL70" s="172"/>
    </row>
    <row r="71" spans="1:38" x14ac:dyDescent="0.25">
      <c r="A71" s="381">
        <v>83</v>
      </c>
      <c r="B71" s="135"/>
      <c r="C71" s="121"/>
      <c r="D71" s="121"/>
      <c r="E71" s="1"/>
      <c r="F71" s="121"/>
      <c r="G71" s="121"/>
      <c r="H71" s="121"/>
      <c r="I71" s="37"/>
      <c r="J71" s="121"/>
      <c r="K71" s="121"/>
      <c r="L71" s="121"/>
      <c r="M71" s="121"/>
      <c r="N71" s="121"/>
      <c r="O71" s="120"/>
      <c r="P71" s="172"/>
      <c r="Q71" s="37"/>
      <c r="R71" s="135"/>
      <c r="S71" s="118"/>
      <c r="T71" s="118"/>
      <c r="U71" s="1"/>
      <c r="V71" s="118"/>
      <c r="W71" s="57"/>
      <c r="X71" s="57"/>
      <c r="Y71" s="37"/>
      <c r="Z71" s="1"/>
      <c r="AA71" s="118"/>
      <c r="AB71" s="1"/>
      <c r="AC71" s="1"/>
      <c r="AD71" s="1"/>
      <c r="AE71" s="118"/>
      <c r="AF71" s="118"/>
      <c r="AG71" s="118"/>
      <c r="AH71" s="118"/>
      <c r="AI71" s="118"/>
      <c r="AJ71" s="37"/>
      <c r="AK71" s="38"/>
      <c r="AL71" s="176"/>
    </row>
    <row r="72" spans="1:38" x14ac:dyDescent="0.25">
      <c r="A72" s="381">
        <v>90</v>
      </c>
      <c r="B72" s="135"/>
      <c r="C72" s="388"/>
      <c r="D72" s="388"/>
      <c r="E72" s="389"/>
      <c r="F72" s="389"/>
      <c r="G72" s="389"/>
      <c r="H72" s="389"/>
      <c r="I72" s="37"/>
      <c r="J72" s="390"/>
      <c r="K72" s="389"/>
      <c r="L72" s="390"/>
      <c r="M72" s="390"/>
      <c r="N72" s="390"/>
      <c r="O72" s="390"/>
      <c r="P72" s="391"/>
      <c r="Q72" s="111"/>
      <c r="R72" s="391"/>
      <c r="S72" s="390"/>
      <c r="T72" s="390"/>
      <c r="U72" s="390"/>
      <c r="V72" s="389"/>
      <c r="W72" s="387"/>
      <c r="X72" s="387"/>
      <c r="Y72" s="111"/>
      <c r="Z72" s="387"/>
      <c r="AA72" s="387"/>
      <c r="AB72" s="387"/>
      <c r="AC72" s="387"/>
      <c r="AD72" s="387"/>
      <c r="AE72" s="387"/>
      <c r="AF72" s="387"/>
      <c r="AG72" s="387"/>
      <c r="AH72" s="387"/>
      <c r="AI72" s="387"/>
      <c r="AJ72" s="111"/>
      <c r="AK72" s="38"/>
      <c r="AL72" s="176"/>
    </row>
    <row r="73" spans="1:38" x14ac:dyDescent="0.25">
      <c r="A73" s="381">
        <v>93</v>
      </c>
      <c r="B73" s="389"/>
      <c r="C73" s="118"/>
      <c r="D73" s="118"/>
      <c r="E73" s="118"/>
      <c r="F73" s="118"/>
      <c r="G73" s="389"/>
      <c r="H73" s="118"/>
      <c r="I73" s="37"/>
      <c r="J73" s="121"/>
      <c r="K73" s="121"/>
      <c r="L73" s="121"/>
      <c r="M73" s="131"/>
      <c r="N73" s="118"/>
      <c r="O73" s="120"/>
      <c r="P73" s="391"/>
      <c r="Q73" s="37"/>
      <c r="R73" s="205"/>
      <c r="S73" s="118"/>
      <c r="T73" s="118"/>
      <c r="U73" s="1"/>
      <c r="V73" s="1"/>
      <c r="W73" s="57"/>
      <c r="X73" s="57"/>
      <c r="Y73" s="37"/>
      <c r="Z73" s="118"/>
      <c r="AA73" s="387"/>
      <c r="AB73" s="1"/>
      <c r="AC73" s="387"/>
      <c r="AD73" s="1"/>
      <c r="AE73" s="118"/>
      <c r="AF73" s="387"/>
      <c r="AG73" s="118"/>
      <c r="AH73" s="118"/>
      <c r="AI73" s="118"/>
      <c r="AJ73" s="37"/>
      <c r="AK73" s="38"/>
      <c r="AL73" s="202"/>
    </row>
    <row r="74" spans="1:38" x14ac:dyDescent="0.25">
      <c r="A74" s="381">
        <v>95</v>
      </c>
      <c r="B74" s="389"/>
      <c r="C74" s="121"/>
      <c r="D74" s="121"/>
      <c r="E74" s="121"/>
      <c r="F74" s="121"/>
      <c r="G74" s="121"/>
      <c r="H74" s="121"/>
      <c r="I74" s="37"/>
      <c r="J74" s="121"/>
      <c r="K74" s="371"/>
      <c r="L74" s="390"/>
      <c r="M74" s="121"/>
      <c r="N74" s="121"/>
      <c r="O74" s="121"/>
      <c r="P74" s="172"/>
      <c r="Q74" s="37"/>
      <c r="R74" s="131"/>
      <c r="S74" s="118"/>
      <c r="T74" s="118"/>
      <c r="U74" s="1"/>
      <c r="V74" s="118"/>
      <c r="W74" s="57"/>
      <c r="X74" s="57"/>
      <c r="Y74" s="37"/>
      <c r="Z74" s="118"/>
      <c r="AA74" s="118"/>
      <c r="AB74" s="1"/>
      <c r="AC74" s="1"/>
      <c r="AD74" s="1"/>
      <c r="AE74" s="118"/>
      <c r="AF74" s="118"/>
      <c r="AG74" s="118"/>
      <c r="AH74" s="118"/>
      <c r="AI74" s="118"/>
      <c r="AJ74" s="37"/>
      <c r="AK74" s="38"/>
      <c r="AL74" s="176"/>
    </row>
    <row r="75" spans="1:38" x14ac:dyDescent="0.25">
      <c r="A75" s="381">
        <v>98</v>
      </c>
      <c r="B75" s="389"/>
      <c r="C75" s="389"/>
      <c r="D75" s="389"/>
      <c r="E75" s="389"/>
      <c r="F75" s="389"/>
      <c r="G75" s="389"/>
      <c r="H75" s="389"/>
      <c r="I75" s="111"/>
      <c r="J75" s="390"/>
      <c r="K75" s="389"/>
      <c r="L75" s="390"/>
      <c r="M75" s="390"/>
      <c r="N75" s="390"/>
      <c r="O75" s="390"/>
      <c r="P75" s="391"/>
      <c r="Q75" s="111"/>
      <c r="R75" s="391"/>
      <c r="S75" s="390"/>
      <c r="T75" s="390"/>
      <c r="U75" s="390"/>
      <c r="V75" s="389"/>
      <c r="W75" s="387"/>
      <c r="X75" s="387"/>
      <c r="Y75" s="111"/>
      <c r="Z75" s="387"/>
      <c r="AA75" s="387"/>
      <c r="AB75" s="387"/>
      <c r="AC75" s="387"/>
      <c r="AD75" s="387"/>
      <c r="AE75" s="387"/>
      <c r="AF75" s="387"/>
      <c r="AG75" s="387"/>
      <c r="AH75" s="387"/>
      <c r="AI75" s="387"/>
      <c r="AJ75" s="111"/>
      <c r="AK75" s="38"/>
      <c r="AL75" s="176"/>
    </row>
    <row r="76" spans="1:38" x14ac:dyDescent="0.25">
      <c r="A76" s="381">
        <v>104</v>
      </c>
      <c r="B76" s="131"/>
      <c r="C76" s="121"/>
      <c r="D76" s="121"/>
      <c r="E76" s="121"/>
      <c r="F76" s="121"/>
      <c r="G76" s="121"/>
      <c r="H76" s="121"/>
      <c r="I76" s="37"/>
      <c r="J76" s="121"/>
      <c r="K76" s="121"/>
      <c r="L76" s="371"/>
      <c r="M76" s="121"/>
      <c r="N76" s="372"/>
      <c r="O76" s="121"/>
      <c r="P76" s="172"/>
      <c r="Q76" s="37"/>
      <c r="R76" s="135"/>
      <c r="S76" s="118"/>
      <c r="T76" s="118"/>
      <c r="U76" s="1"/>
      <c r="V76" s="118"/>
      <c r="W76" s="57"/>
      <c r="X76" s="57"/>
      <c r="Y76" s="37"/>
      <c r="Z76" s="1"/>
      <c r="AA76" s="118"/>
      <c r="AB76" s="1"/>
      <c r="AC76" s="1"/>
      <c r="AD76" s="1"/>
      <c r="AE76" s="387"/>
      <c r="AF76" s="193"/>
      <c r="AG76" s="118"/>
      <c r="AH76" s="118"/>
      <c r="AI76" s="118"/>
      <c r="AJ76" s="37"/>
      <c r="AK76" s="38"/>
      <c r="AL76" s="176"/>
    </row>
    <row r="77" spans="1:38" x14ac:dyDescent="0.25">
      <c r="A77" s="393">
        <v>118</v>
      </c>
      <c r="B77" s="389"/>
      <c r="C77" s="389"/>
      <c r="D77" s="389"/>
      <c r="E77" s="389"/>
      <c r="F77" s="389"/>
      <c r="G77" s="389"/>
      <c r="H77" s="389"/>
      <c r="I77" s="111"/>
      <c r="J77" s="390"/>
      <c r="K77" s="389"/>
      <c r="L77" s="390"/>
      <c r="M77" s="390"/>
      <c r="N77" s="390"/>
      <c r="O77" s="390"/>
      <c r="P77" s="391"/>
      <c r="Q77" s="111"/>
      <c r="R77" s="391"/>
      <c r="S77" s="390"/>
      <c r="T77" s="176"/>
      <c r="U77" s="390"/>
      <c r="V77" s="390"/>
      <c r="W77" s="390"/>
      <c r="X77" s="390"/>
      <c r="Y77" s="37"/>
      <c r="Z77" s="387"/>
      <c r="AA77" s="387"/>
      <c r="AB77" s="387"/>
      <c r="AC77" s="387"/>
      <c r="AD77" s="387"/>
      <c r="AE77" s="387"/>
      <c r="AF77" s="387"/>
      <c r="AG77" s="118"/>
      <c r="AH77" s="118"/>
      <c r="AI77" s="118"/>
      <c r="AJ77" s="37"/>
      <c r="AK77" s="38"/>
      <c r="AL77" s="154"/>
    </row>
    <row r="78" spans="1:38" x14ac:dyDescent="0.25">
      <c r="A78" s="382">
        <v>128</v>
      </c>
      <c r="B78" s="118"/>
      <c r="C78" s="1"/>
      <c r="D78" s="121"/>
      <c r="E78" s="121"/>
      <c r="F78" s="121"/>
      <c r="G78" s="121"/>
      <c r="H78" s="118"/>
      <c r="I78" s="37"/>
      <c r="J78" s="118"/>
      <c r="K78" s="121"/>
      <c r="L78" s="121"/>
      <c r="M78" s="121"/>
      <c r="N78" s="121"/>
      <c r="O78" s="120"/>
      <c r="P78" s="172"/>
      <c r="Q78" s="37"/>
      <c r="R78" s="131"/>
      <c r="S78" s="118"/>
      <c r="T78" s="118"/>
      <c r="U78" s="1"/>
      <c r="V78" s="118"/>
      <c r="W78" s="57"/>
      <c r="X78" s="57"/>
      <c r="Y78" s="37"/>
      <c r="Z78" s="1"/>
      <c r="AA78" s="118"/>
      <c r="AB78" s="1"/>
      <c r="AC78" s="1"/>
      <c r="AD78" s="1"/>
      <c r="AE78" s="118"/>
      <c r="AF78" s="118"/>
      <c r="AG78" s="118"/>
      <c r="AH78" s="118"/>
      <c r="AI78" s="118"/>
      <c r="AJ78" s="37"/>
      <c r="AK78" s="38"/>
      <c r="AL78" s="176"/>
    </row>
    <row r="79" spans="1:38" x14ac:dyDescent="0.25">
      <c r="A79" s="382">
        <v>131</v>
      </c>
      <c r="B79" s="155"/>
      <c r="C79" s="135"/>
      <c r="D79" s="121"/>
      <c r="E79" s="121"/>
      <c r="F79" s="389"/>
      <c r="G79" s="121"/>
      <c r="H79" s="118"/>
      <c r="I79" s="37"/>
      <c r="J79" s="121"/>
      <c r="K79" s="118"/>
      <c r="L79" s="121"/>
      <c r="M79" s="121"/>
      <c r="N79" s="121"/>
      <c r="O79" s="121"/>
      <c r="P79" s="172"/>
      <c r="Q79" s="37"/>
      <c r="R79" s="131"/>
      <c r="S79" s="118"/>
      <c r="T79" s="390"/>
      <c r="U79" s="1"/>
      <c r="V79" s="118"/>
      <c r="W79" s="57"/>
      <c r="X79" s="57"/>
      <c r="Y79" s="37"/>
      <c r="Z79" s="118"/>
      <c r="AA79" s="118"/>
      <c r="AB79" s="1"/>
      <c r="AC79" s="1"/>
      <c r="AD79" s="387"/>
      <c r="AE79" s="193"/>
      <c r="AF79" s="118"/>
      <c r="AG79" s="118"/>
      <c r="AH79" s="118"/>
      <c r="AI79" s="118"/>
      <c r="AJ79" s="37"/>
      <c r="AK79" s="38"/>
      <c r="AL79" s="176"/>
    </row>
    <row r="80" spans="1:38" x14ac:dyDescent="0.25">
      <c r="A80" s="382">
        <v>132</v>
      </c>
      <c r="B80" s="12"/>
      <c r="C80" s="121"/>
      <c r="D80" s="121"/>
      <c r="E80" s="118"/>
      <c r="F80" s="121"/>
      <c r="G80" s="121"/>
      <c r="H80" s="121"/>
      <c r="I80" s="37"/>
      <c r="J80" s="390"/>
      <c r="K80" s="121"/>
      <c r="L80" s="121"/>
      <c r="M80" s="121"/>
      <c r="N80" s="121"/>
      <c r="O80" s="121"/>
      <c r="P80" s="172"/>
      <c r="Q80" s="37"/>
      <c r="R80" s="131"/>
      <c r="S80" s="118"/>
      <c r="T80" s="118"/>
      <c r="U80" s="1"/>
      <c r="V80" s="1"/>
      <c r="W80" s="57"/>
      <c r="X80" s="57"/>
      <c r="Y80" s="37"/>
      <c r="Z80" s="118"/>
      <c r="AA80" s="1"/>
      <c r="AB80" s="1"/>
      <c r="AC80" s="1"/>
      <c r="AD80" s="387"/>
      <c r="AE80" s="135"/>
      <c r="AF80" s="118"/>
      <c r="AG80" s="118"/>
      <c r="AH80" s="118"/>
      <c r="AI80" s="118"/>
      <c r="AJ80" s="37"/>
      <c r="AK80" s="38"/>
      <c r="AL80" s="176"/>
    </row>
    <row r="81" spans="1:38" x14ac:dyDescent="0.25">
      <c r="A81" s="382">
        <v>133</v>
      </c>
      <c r="B81" s="131"/>
      <c r="C81" s="131"/>
      <c r="D81" s="121"/>
      <c r="E81" s="121"/>
      <c r="F81" s="118"/>
      <c r="G81" s="118"/>
      <c r="H81" s="1"/>
      <c r="I81" s="37"/>
      <c r="J81" s="121"/>
      <c r="K81" s="118"/>
      <c r="L81" s="1"/>
      <c r="M81" s="121"/>
      <c r="N81" s="120"/>
      <c r="O81" s="120"/>
      <c r="P81" s="205"/>
      <c r="Q81" s="37"/>
      <c r="R81" s="131"/>
      <c r="S81" s="118"/>
      <c r="T81" s="118"/>
      <c r="U81" s="1"/>
      <c r="V81" s="118"/>
      <c r="W81" s="57"/>
      <c r="X81" s="57"/>
      <c r="Y81" s="37"/>
      <c r="Z81" s="118"/>
      <c r="AA81" s="118"/>
      <c r="AB81" s="1"/>
      <c r="AC81" s="1"/>
      <c r="AD81" s="1"/>
      <c r="AE81" s="387"/>
      <c r="AF81" s="193"/>
      <c r="AG81" s="118"/>
      <c r="AH81" s="118"/>
      <c r="AI81" s="118"/>
      <c r="AJ81" s="37"/>
      <c r="AK81" s="38"/>
      <c r="AL81" s="154"/>
    </row>
    <row r="82" spans="1:38" x14ac:dyDescent="0.25">
      <c r="A82" s="382">
        <v>134</v>
      </c>
      <c r="B82" s="155"/>
      <c r="C82" s="131"/>
      <c r="D82" s="12"/>
      <c r="E82" s="121"/>
      <c r="F82" s="118"/>
      <c r="G82" s="344"/>
      <c r="H82" s="118"/>
      <c r="I82" s="37"/>
      <c r="J82" s="118"/>
      <c r="K82" s="118"/>
      <c r="L82" s="121"/>
      <c r="M82" s="121"/>
      <c r="N82" s="118"/>
      <c r="O82" s="118"/>
      <c r="P82" s="172"/>
      <c r="Q82" s="37"/>
      <c r="R82" s="131"/>
      <c r="S82" s="118"/>
      <c r="T82" s="118"/>
      <c r="U82" s="1"/>
      <c r="V82" s="118"/>
      <c r="W82" s="57"/>
      <c r="X82" s="57"/>
      <c r="Y82" s="37"/>
      <c r="Z82" s="118"/>
      <c r="AA82" s="118"/>
      <c r="AB82" s="1"/>
      <c r="AC82" s="1"/>
      <c r="AD82" s="1"/>
      <c r="AE82" s="118"/>
      <c r="AF82" s="118"/>
      <c r="AG82" s="118"/>
      <c r="AH82" s="118"/>
      <c r="AI82" s="118"/>
      <c r="AJ82" s="37"/>
      <c r="AK82" s="38"/>
      <c r="AL82" s="176"/>
    </row>
    <row r="83" spans="1:38" x14ac:dyDescent="0.25">
      <c r="A83" s="382">
        <v>135</v>
      </c>
      <c r="B83" s="389"/>
      <c r="C83" s="155"/>
      <c r="D83" s="121"/>
      <c r="E83" s="1"/>
      <c r="F83" s="118"/>
      <c r="G83" s="121"/>
      <c r="H83" s="121"/>
      <c r="I83" s="37"/>
      <c r="J83" s="121"/>
      <c r="K83" s="121"/>
      <c r="L83" s="121"/>
      <c r="M83" s="121"/>
      <c r="N83" s="121"/>
      <c r="O83" s="121"/>
      <c r="P83" s="205"/>
      <c r="Q83" s="37"/>
      <c r="R83" s="131"/>
      <c r="S83" s="118"/>
      <c r="T83" s="118"/>
      <c r="U83" s="1"/>
      <c r="V83" s="118"/>
      <c r="W83" s="57"/>
      <c r="X83" s="57"/>
      <c r="Y83" s="37"/>
      <c r="Z83" s="118"/>
      <c r="AA83" s="118"/>
      <c r="AB83" s="1"/>
      <c r="AC83" s="1"/>
      <c r="AD83" s="1"/>
      <c r="AE83" s="173"/>
      <c r="AF83" s="118"/>
      <c r="AG83" s="118"/>
      <c r="AH83" s="118"/>
      <c r="AI83" s="118"/>
      <c r="AJ83" s="37"/>
      <c r="AK83" s="38"/>
      <c r="AL83" s="176"/>
    </row>
    <row r="84" spans="1:38" x14ac:dyDescent="0.25">
      <c r="A84" s="382">
        <v>136</v>
      </c>
      <c r="B84" s="131"/>
      <c r="C84" s="135"/>
      <c r="D84" s="131"/>
      <c r="E84" s="1"/>
      <c r="F84" s="389"/>
      <c r="G84" s="121"/>
      <c r="H84" s="121"/>
      <c r="I84" s="37"/>
      <c r="J84" s="121"/>
      <c r="K84" s="121"/>
      <c r="L84" s="390"/>
      <c r="M84" s="118"/>
      <c r="N84" s="118"/>
      <c r="O84" s="118"/>
      <c r="P84" s="172"/>
      <c r="Q84" s="37"/>
      <c r="R84" s="131"/>
      <c r="S84" s="118"/>
      <c r="T84" s="1"/>
      <c r="U84" s="1"/>
      <c r="V84" s="118"/>
      <c r="W84" s="57"/>
      <c r="X84" s="57"/>
      <c r="Y84" s="37"/>
      <c r="Z84" s="1"/>
      <c r="AA84" s="387"/>
      <c r="AB84" s="1"/>
      <c r="AC84" s="1"/>
      <c r="AD84" s="1"/>
      <c r="AE84" s="118"/>
      <c r="AF84" s="173"/>
      <c r="AG84" s="118"/>
      <c r="AH84" s="118"/>
      <c r="AI84" s="118"/>
      <c r="AJ84" s="37"/>
      <c r="AK84" s="38"/>
      <c r="AL84" s="176"/>
    </row>
    <row r="85" spans="1:38" x14ac:dyDescent="0.25">
      <c r="A85" s="382">
        <v>137</v>
      </c>
      <c r="B85" s="131"/>
      <c r="C85" s="392"/>
      <c r="D85" s="392"/>
      <c r="E85" s="121"/>
      <c r="F85" s="121"/>
      <c r="G85" s="121"/>
      <c r="H85" s="121"/>
      <c r="I85" s="37"/>
      <c r="J85" s="121"/>
      <c r="K85" s="118"/>
      <c r="L85" s="121"/>
      <c r="M85" s="121"/>
      <c r="N85" s="121"/>
      <c r="O85" s="118"/>
      <c r="P85" s="172"/>
      <c r="Q85" s="37"/>
      <c r="R85" s="155"/>
      <c r="S85" s="1"/>
      <c r="T85" s="1"/>
      <c r="U85" s="1"/>
      <c r="V85" s="118"/>
      <c r="W85" s="57"/>
      <c r="X85" s="390"/>
      <c r="Y85" s="37"/>
      <c r="Z85" s="118"/>
      <c r="AA85" s="1"/>
      <c r="AB85" s="1"/>
      <c r="AC85" s="1"/>
      <c r="AD85" s="1"/>
      <c r="AE85" s="118"/>
      <c r="AF85" s="1"/>
      <c r="AG85" s="118"/>
      <c r="AH85" s="118"/>
      <c r="AI85" s="118"/>
      <c r="AJ85" s="37"/>
      <c r="AK85" s="38"/>
      <c r="AL85" s="176"/>
    </row>
    <row r="86" spans="1:38" x14ac:dyDescent="0.25">
      <c r="A86" s="382">
        <v>138</v>
      </c>
      <c r="B86" s="131"/>
      <c r="C86" s="135"/>
      <c r="D86" s="121"/>
      <c r="E86" s="118"/>
      <c r="F86" s="118"/>
      <c r="G86" s="121"/>
      <c r="H86" s="1"/>
      <c r="I86" s="37"/>
      <c r="J86" s="121"/>
      <c r="K86" s="121"/>
      <c r="L86" s="121"/>
      <c r="M86" s="121"/>
      <c r="N86" s="121"/>
      <c r="O86" s="390"/>
      <c r="P86" s="391"/>
      <c r="Q86" s="37"/>
      <c r="R86" s="391"/>
      <c r="S86" s="390"/>
      <c r="T86" s="390"/>
      <c r="U86" s="390"/>
      <c r="V86" s="390"/>
      <c r="W86" s="390"/>
      <c r="X86" s="390"/>
      <c r="Y86" s="111"/>
      <c r="Z86" s="205"/>
      <c r="AA86" s="135"/>
      <c r="AB86" s="135"/>
      <c r="AC86" s="135"/>
      <c r="AD86" s="135"/>
      <c r="AE86" s="387"/>
      <c r="AF86" s="135"/>
      <c r="AG86" s="135"/>
      <c r="AH86" s="135"/>
      <c r="AI86" s="135"/>
      <c r="AJ86" s="37"/>
      <c r="AK86" s="38"/>
      <c r="AL86" s="176"/>
    </row>
    <row r="87" spans="1:38" x14ac:dyDescent="0.25">
      <c r="A87" s="382">
        <v>139</v>
      </c>
      <c r="B87" s="131"/>
      <c r="C87" s="135"/>
      <c r="D87" s="155"/>
      <c r="E87" s="118"/>
      <c r="F87" s="118"/>
      <c r="G87" s="121"/>
      <c r="H87" s="118"/>
      <c r="I87" s="37"/>
      <c r="J87" s="118"/>
      <c r="K87" s="118"/>
      <c r="L87" s="121"/>
      <c r="M87" s="121"/>
      <c r="N87" s="121"/>
      <c r="O87" s="118"/>
      <c r="P87" s="172"/>
      <c r="Q87" s="37"/>
      <c r="R87" s="131"/>
      <c r="S87" s="118"/>
      <c r="T87" s="118"/>
      <c r="U87" s="1"/>
      <c r="V87" s="118"/>
      <c r="W87" s="57"/>
      <c r="X87" s="57"/>
      <c r="Y87" s="37"/>
      <c r="Z87" s="118"/>
      <c r="AA87" s="118"/>
      <c r="AB87" s="1"/>
      <c r="AC87" s="1"/>
      <c r="AD87" s="1"/>
      <c r="AE87" s="118"/>
      <c r="AF87" s="1"/>
      <c r="AG87" s="118"/>
      <c r="AH87" s="118"/>
      <c r="AI87" s="118"/>
      <c r="AJ87" s="37"/>
      <c r="AK87" s="38"/>
      <c r="AL87" s="176"/>
    </row>
    <row r="88" spans="1:38" x14ac:dyDescent="0.25">
      <c r="A88" s="382">
        <v>140</v>
      </c>
      <c r="B88" s="155"/>
      <c r="C88" s="131"/>
      <c r="D88" s="121"/>
      <c r="E88" s="118"/>
      <c r="F88" s="121"/>
      <c r="G88" s="121"/>
      <c r="H88" s="118"/>
      <c r="I88" s="37"/>
      <c r="J88" s="118"/>
      <c r="K88" s="118"/>
      <c r="L88" s="118"/>
      <c r="M88" s="118"/>
      <c r="N88" s="118"/>
      <c r="O88" s="118"/>
      <c r="P88" s="172"/>
      <c r="Q88" s="37"/>
      <c r="R88" s="131"/>
      <c r="S88" s="118"/>
      <c r="T88" s="118"/>
      <c r="U88" s="1"/>
      <c r="V88" s="1"/>
      <c r="W88" s="57"/>
      <c r="X88" s="57"/>
      <c r="Y88" s="37"/>
      <c r="Z88" s="118"/>
      <c r="AA88" s="118"/>
      <c r="AB88" s="1"/>
      <c r="AC88" s="1"/>
      <c r="AD88" s="1"/>
      <c r="AE88" s="118"/>
      <c r="AF88" s="1"/>
      <c r="AG88" s="118"/>
      <c r="AH88" s="118"/>
      <c r="AI88" s="118"/>
      <c r="AJ88" s="37"/>
      <c r="AK88" s="38"/>
      <c r="AL88" s="172"/>
    </row>
    <row r="89" spans="1:38" x14ac:dyDescent="0.25">
      <c r="A89" s="382">
        <v>141</v>
      </c>
      <c r="B89" s="155"/>
      <c r="C89" s="392"/>
      <c r="D89" s="155"/>
      <c r="E89" s="121"/>
      <c r="F89" s="121"/>
      <c r="G89" s="121"/>
      <c r="H89" s="121"/>
      <c r="I89" s="37"/>
      <c r="J89" s="121"/>
      <c r="K89" s="121"/>
      <c r="L89" s="121"/>
      <c r="M89" s="121"/>
      <c r="N89" s="121"/>
      <c r="O89" s="121"/>
      <c r="P89" s="172"/>
      <c r="Q89" s="37"/>
      <c r="R89" s="131"/>
      <c r="S89" s="118"/>
      <c r="T89" s="118"/>
      <c r="U89" s="1"/>
      <c r="V89" s="1"/>
      <c r="W89" s="57"/>
      <c r="X89" s="57"/>
      <c r="Y89" s="37"/>
      <c r="Z89" s="1"/>
      <c r="AA89" s="118"/>
      <c r="AB89" s="1"/>
      <c r="AC89" s="1"/>
      <c r="AD89" s="1"/>
      <c r="AE89" s="118"/>
      <c r="AF89" s="118"/>
      <c r="AG89" s="118"/>
      <c r="AH89" s="118"/>
      <c r="AI89" s="118"/>
      <c r="AJ89" s="37"/>
      <c r="AK89" s="38"/>
      <c r="AL89" s="176"/>
    </row>
    <row r="90" spans="1:38" x14ac:dyDescent="0.25">
      <c r="A90" s="382">
        <v>142</v>
      </c>
      <c r="B90" s="131"/>
      <c r="C90" s="131"/>
      <c r="D90" s="121"/>
      <c r="E90" s="118"/>
      <c r="F90" s="118"/>
      <c r="G90" s="121"/>
      <c r="H90" s="1"/>
      <c r="I90" s="37"/>
      <c r="J90" s="121"/>
      <c r="K90" s="118"/>
      <c r="L90" s="118"/>
      <c r="M90" s="121"/>
      <c r="N90" s="118"/>
      <c r="O90" s="118"/>
      <c r="P90" s="172"/>
      <c r="Q90" s="37"/>
      <c r="R90" s="131"/>
      <c r="S90" s="118"/>
      <c r="T90" s="118"/>
      <c r="U90" s="1"/>
      <c r="V90" s="118"/>
      <c r="W90" s="57"/>
      <c r="X90" s="57"/>
      <c r="Y90" s="37"/>
      <c r="Z90" s="118"/>
      <c r="AA90" s="118"/>
      <c r="AB90" s="1"/>
      <c r="AC90" s="1"/>
      <c r="AD90" s="1"/>
      <c r="AE90" s="118"/>
      <c r="AF90" s="118"/>
      <c r="AG90" s="118"/>
      <c r="AH90" s="118"/>
      <c r="AI90" s="118"/>
      <c r="AJ90" s="37"/>
      <c r="AK90" s="38"/>
      <c r="AL90" s="154"/>
    </row>
    <row r="91" spans="1:38" x14ac:dyDescent="0.25">
      <c r="A91" s="382">
        <v>143</v>
      </c>
      <c r="B91" s="155"/>
      <c r="C91" s="155"/>
      <c r="D91" s="121"/>
      <c r="E91" s="121"/>
      <c r="F91" s="121"/>
      <c r="G91" s="121"/>
      <c r="H91" s="118"/>
      <c r="I91" s="37"/>
      <c r="J91" s="121"/>
      <c r="K91" s="121"/>
      <c r="L91" s="121"/>
      <c r="M91" s="121"/>
      <c r="N91" s="121"/>
      <c r="O91" s="121"/>
      <c r="P91" s="205"/>
      <c r="Q91" s="37"/>
      <c r="R91" s="131"/>
      <c r="S91" s="118"/>
      <c r="T91" s="118"/>
      <c r="U91" s="1"/>
      <c r="V91" s="1"/>
      <c r="W91" s="57"/>
      <c r="X91" s="57"/>
      <c r="Y91" s="37"/>
      <c r="Z91" s="118"/>
      <c r="AA91" s="118"/>
      <c r="AB91" s="1"/>
      <c r="AC91" s="1"/>
      <c r="AD91" s="1"/>
      <c r="AE91" s="118"/>
      <c r="AF91" s="118"/>
      <c r="AG91" s="118"/>
      <c r="AH91" s="118"/>
      <c r="AI91" s="118"/>
      <c r="AJ91" s="37"/>
      <c r="AK91" s="38"/>
      <c r="AL91" s="154"/>
    </row>
    <row r="92" spans="1:38" x14ac:dyDescent="0.25">
      <c r="A92" s="382">
        <v>144</v>
      </c>
      <c r="B92" s="12"/>
      <c r="C92" s="389"/>
      <c r="D92" s="121"/>
      <c r="E92" s="121"/>
      <c r="F92" s="118"/>
      <c r="G92" s="121"/>
      <c r="H92" s="121"/>
      <c r="I92" s="37"/>
      <c r="J92" s="121"/>
      <c r="K92" s="118"/>
      <c r="L92" s="121"/>
      <c r="M92" s="121"/>
      <c r="N92" s="121"/>
      <c r="O92" s="120"/>
      <c r="P92" s="172"/>
      <c r="Q92" s="37"/>
      <c r="R92" s="131"/>
      <c r="S92" s="118"/>
      <c r="T92" s="118"/>
      <c r="U92" s="1"/>
      <c r="V92" s="118"/>
      <c r="W92" s="57"/>
      <c r="X92" s="57"/>
      <c r="Y92" s="37"/>
      <c r="Z92" s="1"/>
      <c r="AA92" s="118"/>
      <c r="AB92" s="1"/>
      <c r="AC92" s="1"/>
      <c r="AD92" s="1"/>
      <c r="AE92" s="118"/>
      <c r="AF92" s="118"/>
      <c r="AG92" s="118"/>
      <c r="AH92" s="118"/>
      <c r="AI92" s="118"/>
      <c r="AJ92" s="37"/>
      <c r="AK92" s="38"/>
      <c r="AL92" s="176"/>
    </row>
    <row r="93" spans="1:38" x14ac:dyDescent="0.25">
      <c r="A93" s="382">
        <v>145</v>
      </c>
      <c r="B93" s="389"/>
      <c r="C93" s="155"/>
      <c r="D93" s="121"/>
      <c r="E93" s="121"/>
      <c r="F93" s="118"/>
      <c r="G93" s="121"/>
      <c r="H93" s="121"/>
      <c r="I93" s="37"/>
      <c r="J93" s="121"/>
      <c r="K93" s="121"/>
      <c r="L93" s="121"/>
      <c r="M93" s="121"/>
      <c r="N93" s="121"/>
      <c r="O93" s="121"/>
      <c r="P93" s="172"/>
      <c r="Q93" s="37"/>
      <c r="R93" s="131"/>
      <c r="S93" s="118"/>
      <c r="T93" s="118"/>
      <c r="U93" s="1"/>
      <c r="V93" s="161"/>
      <c r="W93" s="57"/>
      <c r="X93" s="57"/>
      <c r="Y93" s="37"/>
      <c r="Z93" s="118"/>
      <c r="AA93" s="1"/>
      <c r="AB93" s="1"/>
      <c r="AC93" s="1"/>
      <c r="AD93" s="1"/>
      <c r="AE93" s="118"/>
      <c r="AF93" s="118"/>
      <c r="AG93" s="118"/>
      <c r="AH93" s="118"/>
      <c r="AI93" s="118"/>
      <c r="AJ93" s="37"/>
      <c r="AK93" s="38"/>
      <c r="AL93" s="197"/>
    </row>
    <row r="94" spans="1:38" x14ac:dyDescent="0.25">
      <c r="A94" s="382">
        <v>147</v>
      </c>
      <c r="B94" s="121"/>
      <c r="C94" s="121"/>
      <c r="D94" s="121"/>
      <c r="E94" s="389"/>
      <c r="F94" s="121"/>
      <c r="G94" s="121"/>
      <c r="H94" s="121"/>
      <c r="I94" s="37"/>
      <c r="J94" s="121"/>
      <c r="K94" s="121"/>
      <c r="L94" s="121"/>
      <c r="M94" s="121"/>
      <c r="N94" s="121"/>
      <c r="O94" s="390"/>
      <c r="P94" s="391"/>
      <c r="Q94" s="37"/>
      <c r="R94" s="172"/>
      <c r="S94" s="118"/>
      <c r="T94" s="118"/>
      <c r="U94" s="1"/>
      <c r="V94" s="118"/>
      <c r="W94" s="57"/>
      <c r="X94" s="57"/>
      <c r="Y94" s="37"/>
      <c r="Z94" s="118"/>
      <c r="AA94" s="118"/>
      <c r="AB94" s="1"/>
      <c r="AC94" s="1"/>
      <c r="AD94" s="1"/>
      <c r="AE94" s="1"/>
      <c r="AF94" s="118"/>
      <c r="AG94" s="118"/>
      <c r="AH94" s="118"/>
      <c r="AI94" s="118"/>
      <c r="AJ94" s="37"/>
      <c r="AK94" s="38"/>
      <c r="AL94" s="197"/>
    </row>
    <row r="95" spans="1:38" x14ac:dyDescent="0.25">
      <c r="A95" s="382">
        <v>148</v>
      </c>
      <c r="B95" s="135"/>
      <c r="C95" s="131"/>
      <c r="D95" s="131"/>
      <c r="E95" s="121"/>
      <c r="F95" s="121"/>
      <c r="G95" s="121"/>
      <c r="H95" s="121"/>
      <c r="I95" s="37"/>
      <c r="J95" s="121"/>
      <c r="K95" s="121"/>
      <c r="L95" s="121"/>
      <c r="M95" s="390"/>
      <c r="N95" s="121"/>
      <c r="O95" s="121"/>
      <c r="P95" s="172"/>
      <c r="Q95" s="37"/>
      <c r="R95" s="131"/>
      <c r="S95" s="118"/>
      <c r="T95" s="118"/>
      <c r="U95" s="1"/>
      <c r="V95" s="118"/>
      <c r="W95" s="57"/>
      <c r="X95" s="57"/>
      <c r="Y95" s="37"/>
      <c r="Z95" s="118"/>
      <c r="AA95" s="118"/>
      <c r="AB95" s="1"/>
      <c r="AC95" s="1"/>
      <c r="AD95" s="1"/>
      <c r="AE95" s="118"/>
      <c r="AF95" s="118"/>
      <c r="AG95" s="118"/>
      <c r="AH95" s="118"/>
      <c r="AI95" s="118"/>
      <c r="AJ95" s="37"/>
      <c r="AK95" s="38"/>
      <c r="AL95" s="197"/>
    </row>
    <row r="96" spans="1:38" x14ac:dyDescent="0.25">
      <c r="A96" s="382">
        <v>149</v>
      </c>
      <c r="B96" s="155"/>
      <c r="C96" s="121"/>
      <c r="D96" s="121"/>
      <c r="E96" s="121"/>
      <c r="F96" s="1"/>
      <c r="G96" s="121"/>
      <c r="H96" s="121"/>
      <c r="I96" s="37"/>
      <c r="J96" s="121"/>
      <c r="K96" s="121"/>
      <c r="L96" s="121"/>
      <c r="M96" s="121"/>
      <c r="N96" s="121"/>
      <c r="O96" s="121"/>
      <c r="P96" s="172"/>
      <c r="Q96" s="37"/>
      <c r="R96" s="131"/>
      <c r="S96" s="1"/>
      <c r="T96" s="118"/>
      <c r="U96" s="1"/>
      <c r="V96" s="118"/>
      <c r="W96" s="57"/>
      <c r="X96" s="57"/>
      <c r="Y96" s="37"/>
      <c r="Z96" s="118"/>
      <c r="AA96" s="118"/>
      <c r="AB96" s="1"/>
      <c r="AC96" s="1"/>
      <c r="AD96" s="1"/>
      <c r="AE96" s="118"/>
      <c r="AF96" s="118"/>
      <c r="AG96" s="118"/>
      <c r="AH96" s="118"/>
      <c r="AI96" s="118"/>
      <c r="AJ96" s="37"/>
      <c r="AK96" s="38"/>
      <c r="AL96" s="197"/>
    </row>
    <row r="97" spans="1:38" x14ac:dyDescent="0.25">
      <c r="A97" s="382">
        <v>150</v>
      </c>
      <c r="B97" s="131"/>
      <c r="C97" s="135"/>
      <c r="D97" s="121"/>
      <c r="E97" s="121"/>
      <c r="F97" s="121"/>
      <c r="G97" s="121"/>
      <c r="H97" s="121"/>
      <c r="I97" s="37"/>
      <c r="J97" s="121"/>
      <c r="K97" s="121"/>
      <c r="L97" s="121"/>
      <c r="M97" s="118"/>
      <c r="N97" s="121"/>
      <c r="O97" s="121"/>
      <c r="P97" s="172"/>
      <c r="Q97" s="37"/>
      <c r="R97" s="131"/>
      <c r="S97" s="118"/>
      <c r="T97" s="118"/>
      <c r="U97" s="1"/>
      <c r="V97" s="118"/>
      <c r="W97" s="57"/>
      <c r="X97" s="57"/>
      <c r="Y97" s="37"/>
      <c r="Z97" s="118"/>
      <c r="AA97" s="118"/>
      <c r="AB97" s="1"/>
      <c r="AC97" s="1"/>
      <c r="AD97" s="387"/>
      <c r="AE97" s="193"/>
      <c r="AF97" s="118"/>
      <c r="AG97" s="118"/>
      <c r="AH97" s="118"/>
      <c r="AI97" s="118"/>
      <c r="AJ97" s="37"/>
      <c r="AK97" s="38"/>
      <c r="AL97" s="197"/>
    </row>
    <row r="98" spans="1:38" x14ac:dyDescent="0.25">
      <c r="A98" s="382">
        <v>151</v>
      </c>
      <c r="B98" s="135"/>
      <c r="C98" s="155"/>
      <c r="D98" s="121"/>
      <c r="E98" s="121"/>
      <c r="F98" s="121"/>
      <c r="G98" s="121"/>
      <c r="H98" s="121"/>
      <c r="I98" s="37"/>
      <c r="J98" s="121"/>
      <c r="K98" s="386"/>
      <c r="L98" s="121"/>
      <c r="M98" s="121"/>
      <c r="N98" s="121"/>
      <c r="O98" s="121"/>
      <c r="P98" s="172"/>
      <c r="Q98" s="37"/>
      <c r="R98" s="391"/>
      <c r="S98" s="155"/>
      <c r="T98" s="1"/>
      <c r="U98" s="1"/>
      <c r="V98" s="118"/>
      <c r="W98" s="57"/>
      <c r="X98" s="57"/>
      <c r="Y98" s="37"/>
      <c r="Z98" s="1"/>
      <c r="AA98" s="118"/>
      <c r="AB98" s="1"/>
      <c r="AC98" s="1"/>
      <c r="AD98" s="1"/>
      <c r="AE98" s="1"/>
      <c r="AF98" s="118"/>
      <c r="AG98" s="118"/>
      <c r="AH98" s="118"/>
      <c r="AI98" s="118"/>
      <c r="AJ98" s="37"/>
      <c r="AK98" s="38"/>
      <c r="AL98" s="197"/>
    </row>
    <row r="99" spans="1:38" x14ac:dyDescent="0.25">
      <c r="A99" s="382">
        <v>152</v>
      </c>
      <c r="B99" s="389"/>
      <c r="C99" s="389"/>
      <c r="D99" s="389"/>
      <c r="E99" s="389"/>
      <c r="F99" s="389"/>
      <c r="G99" s="389"/>
      <c r="H99" s="389"/>
      <c r="I99" s="111"/>
      <c r="J99" s="390"/>
      <c r="K99" s="386"/>
      <c r="L99" s="390"/>
      <c r="M99" s="390"/>
      <c r="N99" s="390"/>
      <c r="O99" s="390"/>
      <c r="P99" s="391"/>
      <c r="Q99" s="111"/>
      <c r="R99" s="391"/>
      <c r="S99" s="390"/>
      <c r="T99" s="390"/>
      <c r="U99" s="390"/>
      <c r="V99" s="389"/>
      <c r="W99" s="387"/>
      <c r="X99" s="387"/>
      <c r="Y99" s="111"/>
      <c r="Z99" s="387"/>
      <c r="AA99" s="387"/>
      <c r="AB99" s="387"/>
      <c r="AC99" s="387"/>
      <c r="AD99" s="387"/>
      <c r="AE99" s="387"/>
      <c r="AF99" s="387"/>
      <c r="AG99" s="387"/>
      <c r="AH99" s="387"/>
      <c r="AI99" s="387"/>
      <c r="AJ99" s="111"/>
      <c r="AK99" s="38"/>
      <c r="AL99" s="197"/>
    </row>
    <row r="100" spans="1:38" x14ac:dyDescent="0.25">
      <c r="A100" s="382">
        <v>153</v>
      </c>
      <c r="B100" s="12"/>
      <c r="C100" s="135"/>
      <c r="D100" s="131"/>
      <c r="E100" s="1"/>
      <c r="F100" s="118"/>
      <c r="G100" s="121"/>
      <c r="H100" s="1"/>
      <c r="I100" s="37"/>
      <c r="J100" s="1"/>
      <c r="K100" s="1"/>
      <c r="L100" s="121"/>
      <c r="M100" s="118"/>
      <c r="N100" s="118"/>
      <c r="O100" s="121"/>
      <c r="P100" s="172"/>
      <c r="Q100" s="37"/>
      <c r="R100" s="131"/>
      <c r="S100" s="118"/>
      <c r="T100" s="118"/>
      <c r="U100" s="1"/>
      <c r="V100" s="118"/>
      <c r="W100" s="57"/>
      <c r="X100" s="57"/>
      <c r="Y100" s="37"/>
      <c r="Z100" s="118"/>
      <c r="AA100" s="118"/>
      <c r="AB100" s="1"/>
      <c r="AC100" s="1"/>
      <c r="AD100" s="1"/>
      <c r="AE100" s="118"/>
      <c r="AF100" s="118"/>
      <c r="AG100" s="118"/>
      <c r="AH100" s="118"/>
      <c r="AI100" s="118"/>
      <c r="AJ100" s="37"/>
      <c r="AK100" s="38"/>
      <c r="AL100" s="197"/>
    </row>
    <row r="101" spans="1:38" x14ac:dyDescent="0.25">
      <c r="A101" s="382">
        <v>154</v>
      </c>
      <c r="B101" s="131"/>
      <c r="C101" s="389"/>
      <c r="D101" s="121"/>
      <c r="E101" s="121"/>
      <c r="F101" s="121"/>
      <c r="G101" s="121"/>
      <c r="H101" s="121"/>
      <c r="I101" s="37"/>
      <c r="J101" s="121"/>
      <c r="K101" s="121"/>
      <c r="L101" s="121"/>
      <c r="M101" s="121"/>
      <c r="N101" s="121"/>
      <c r="O101" s="121"/>
      <c r="P101" s="172"/>
      <c r="Q101" s="37"/>
      <c r="R101" s="131"/>
      <c r="S101" s="118"/>
      <c r="T101" s="118"/>
      <c r="U101" s="1"/>
      <c r="V101" s="118"/>
      <c r="W101" s="57"/>
      <c r="X101" s="57"/>
      <c r="Y101" s="37"/>
      <c r="Z101" s="118"/>
      <c r="AA101" s="118"/>
      <c r="AB101" s="1"/>
      <c r="AC101" s="1"/>
      <c r="AD101" s="1"/>
      <c r="AE101" s="118"/>
      <c r="AF101" s="118"/>
      <c r="AG101" s="118"/>
      <c r="AH101" s="118"/>
      <c r="AI101" s="118"/>
      <c r="AJ101" s="37"/>
      <c r="AK101" s="38"/>
      <c r="AL101" s="197"/>
    </row>
    <row r="102" spans="1:38" x14ac:dyDescent="0.25">
      <c r="A102" s="382">
        <v>155</v>
      </c>
      <c r="B102" s="131"/>
      <c r="C102" s="131"/>
      <c r="D102" s="121"/>
      <c r="E102" s="389"/>
      <c r="F102" s="121"/>
      <c r="G102" s="121"/>
      <c r="H102" s="121"/>
      <c r="I102" s="37"/>
      <c r="J102" s="121"/>
      <c r="K102" s="121"/>
      <c r="L102" s="121"/>
      <c r="M102" s="121"/>
      <c r="N102" s="121"/>
      <c r="O102" s="121"/>
      <c r="P102" s="172"/>
      <c r="Q102" s="37"/>
      <c r="R102" s="12"/>
      <c r="S102" s="118"/>
      <c r="T102" s="118"/>
      <c r="U102" s="1"/>
      <c r="V102" s="118"/>
      <c r="W102" s="57"/>
      <c r="X102" s="57"/>
      <c r="Y102" s="37"/>
      <c r="Z102" s="118"/>
      <c r="AA102" s="118"/>
      <c r="AB102" s="1"/>
      <c r="AC102" s="1"/>
      <c r="AD102" s="1"/>
      <c r="AE102" s="118"/>
      <c r="AF102" s="1"/>
      <c r="AG102" s="118"/>
      <c r="AH102" s="118"/>
      <c r="AI102" s="118"/>
      <c r="AJ102" s="37"/>
      <c r="AK102" s="38"/>
      <c r="AL102" s="197"/>
    </row>
    <row r="103" spans="1:38" x14ac:dyDescent="0.25">
      <c r="A103" s="382">
        <v>156</v>
      </c>
      <c r="B103" s="131"/>
      <c r="C103" s="121"/>
      <c r="D103" s="388"/>
      <c r="E103" s="118"/>
      <c r="F103" s="118"/>
      <c r="G103" s="121"/>
      <c r="H103" s="121"/>
      <c r="I103" s="37"/>
      <c r="J103" s="121"/>
      <c r="K103" s="121"/>
      <c r="L103" s="121"/>
      <c r="M103" s="121"/>
      <c r="N103" s="121"/>
      <c r="O103" s="121"/>
      <c r="P103" s="172"/>
      <c r="Q103" s="37"/>
      <c r="R103" s="155"/>
      <c r="S103" s="118"/>
      <c r="T103" s="1"/>
      <c r="U103" s="1"/>
      <c r="V103" s="118"/>
      <c r="W103" s="57"/>
      <c r="X103" s="57"/>
      <c r="Y103" s="37"/>
      <c r="Z103" s="118"/>
      <c r="AA103" s="118"/>
      <c r="AB103" s="1"/>
      <c r="AC103" s="1"/>
      <c r="AD103" s="1"/>
      <c r="AE103" s="118"/>
      <c r="AF103" s="118"/>
      <c r="AG103" s="118"/>
      <c r="AH103" s="118"/>
      <c r="AI103" s="118"/>
      <c r="AJ103" s="37"/>
      <c r="AK103" s="38"/>
      <c r="AL103" s="197"/>
    </row>
    <row r="104" spans="1:38" x14ac:dyDescent="0.25">
      <c r="A104" s="382">
        <v>157</v>
      </c>
      <c r="B104" s="131"/>
      <c r="C104" s="155"/>
      <c r="D104" s="131"/>
      <c r="E104" s="121"/>
      <c r="F104" s="118"/>
      <c r="G104" s="121"/>
      <c r="H104" s="1"/>
      <c r="I104" s="37"/>
      <c r="J104" s="118"/>
      <c r="K104" s="121"/>
      <c r="L104" s="118"/>
      <c r="M104" s="121"/>
      <c r="N104" s="118"/>
      <c r="O104" s="1"/>
      <c r="P104" s="172"/>
      <c r="Q104" s="37"/>
      <c r="R104" s="155"/>
      <c r="S104" s="118"/>
      <c r="T104" s="118"/>
      <c r="U104" s="390"/>
      <c r="V104" s="118"/>
      <c r="W104" s="57"/>
      <c r="X104" s="57"/>
      <c r="Y104" s="37"/>
      <c r="Z104" s="118"/>
      <c r="AA104" s="118"/>
      <c r="AB104" s="1"/>
      <c r="AC104" s="1"/>
      <c r="AD104" s="1"/>
      <c r="AE104" s="118"/>
      <c r="AF104" s="1"/>
      <c r="AG104" s="118"/>
      <c r="AH104" s="118"/>
      <c r="AI104" s="118"/>
      <c r="AJ104" s="37"/>
      <c r="AK104" s="38"/>
      <c r="AL104" s="197"/>
    </row>
    <row r="105" spans="1:38" x14ac:dyDescent="0.25">
      <c r="A105" s="382">
        <v>158</v>
      </c>
      <c r="B105" s="389"/>
      <c r="C105" s="392"/>
      <c r="D105" s="155"/>
      <c r="E105" s="1"/>
      <c r="F105" s="118"/>
      <c r="G105" s="121"/>
      <c r="H105" s="121"/>
      <c r="I105" s="37"/>
      <c r="J105" s="121"/>
      <c r="K105" s="121"/>
      <c r="L105" s="121"/>
      <c r="M105" s="121"/>
      <c r="N105" s="121"/>
      <c r="O105" s="120"/>
      <c r="P105" s="172"/>
      <c r="Q105" s="37"/>
      <c r="R105" s="131"/>
      <c r="S105" s="1"/>
      <c r="T105" s="118"/>
      <c r="U105" s="1"/>
      <c r="V105" s="118"/>
      <c r="W105" s="57"/>
      <c r="X105" s="57"/>
      <c r="Y105" s="37"/>
      <c r="Z105" s="118"/>
      <c r="AA105" s="387"/>
      <c r="AB105" s="1"/>
      <c r="AC105" s="1"/>
      <c r="AD105" s="1"/>
      <c r="AE105" s="118"/>
      <c r="AF105" s="118"/>
      <c r="AG105" s="118"/>
      <c r="AH105" s="118"/>
      <c r="AI105" s="118"/>
      <c r="AJ105" s="37"/>
      <c r="AK105" s="38"/>
      <c r="AL105" s="197"/>
    </row>
    <row r="106" spans="1:38" x14ac:dyDescent="0.25">
      <c r="A106" s="382">
        <v>159</v>
      </c>
      <c r="B106" s="131"/>
      <c r="C106" s="179"/>
      <c r="D106" s="121"/>
      <c r="E106" s="121"/>
      <c r="F106" s="118"/>
      <c r="G106" s="1"/>
      <c r="H106" s="121"/>
      <c r="I106" s="37"/>
      <c r="J106" s="121"/>
      <c r="K106" s="121"/>
      <c r="L106" s="121"/>
      <c r="M106" s="120"/>
      <c r="N106" s="121"/>
      <c r="O106" s="1"/>
      <c r="P106" s="172"/>
      <c r="Q106" s="37"/>
      <c r="R106" s="155"/>
      <c r="S106" s="1"/>
      <c r="T106" s="118"/>
      <c r="U106" s="1"/>
      <c r="V106" s="118"/>
      <c r="W106" s="57"/>
      <c r="X106" s="57"/>
      <c r="Y106" s="37"/>
      <c r="Z106" s="1"/>
      <c r="AA106" s="118"/>
      <c r="AB106" s="1"/>
      <c r="AC106" s="1"/>
      <c r="AD106" s="1"/>
      <c r="AE106" s="118"/>
      <c r="AF106" s="118"/>
      <c r="AG106" s="118"/>
      <c r="AH106" s="118"/>
      <c r="AI106" s="118"/>
      <c r="AJ106" s="37"/>
      <c r="AK106" s="38"/>
      <c r="AL106" s="197"/>
    </row>
    <row r="107" spans="1:38" x14ac:dyDescent="0.25">
      <c r="A107" s="382">
        <v>161</v>
      </c>
      <c r="B107" s="389"/>
      <c r="C107" s="389"/>
      <c r="D107" s="392"/>
      <c r="E107" s="389"/>
      <c r="F107" s="389"/>
      <c r="G107" s="389"/>
      <c r="H107" s="389"/>
      <c r="I107" s="111"/>
      <c r="J107" s="390"/>
      <c r="K107" s="121"/>
      <c r="L107" s="121"/>
      <c r="M107" s="121"/>
      <c r="N107" s="121"/>
      <c r="O107" s="121"/>
      <c r="P107" s="172"/>
      <c r="Q107" s="37"/>
      <c r="R107" s="131"/>
      <c r="S107" s="118"/>
      <c r="T107" s="118"/>
      <c r="U107" s="1"/>
      <c r="V107" s="118"/>
      <c r="W107" s="57"/>
      <c r="X107" s="57"/>
      <c r="Y107" s="37"/>
      <c r="Z107" s="118"/>
      <c r="AA107" s="118"/>
      <c r="AB107" s="1"/>
      <c r="AC107" s="1"/>
      <c r="AD107" s="1"/>
      <c r="AE107" s="118"/>
      <c r="AF107" s="118"/>
      <c r="AG107" s="118"/>
      <c r="AH107" s="118"/>
      <c r="AI107" s="118"/>
      <c r="AJ107" s="37"/>
      <c r="AK107" s="38"/>
      <c r="AL107" s="197"/>
    </row>
    <row r="108" spans="1:38" x14ac:dyDescent="0.25">
      <c r="A108" s="382">
        <v>162</v>
      </c>
      <c r="B108" s="131"/>
      <c r="C108" s="121"/>
      <c r="D108" s="121"/>
      <c r="E108" s="1"/>
      <c r="F108" s="118"/>
      <c r="G108" s="1"/>
      <c r="H108" s="121"/>
      <c r="I108" s="37"/>
      <c r="J108" s="121"/>
      <c r="K108" s="1"/>
      <c r="L108" s="121"/>
      <c r="M108" s="121"/>
      <c r="N108" s="121"/>
      <c r="O108" s="1"/>
      <c r="P108" s="172"/>
      <c r="Q108" s="37"/>
      <c r="R108" s="131"/>
      <c r="S108" s="118"/>
      <c r="T108" s="118"/>
      <c r="U108" s="1"/>
      <c r="V108" s="118"/>
      <c r="W108" s="57"/>
      <c r="X108" s="57"/>
      <c r="Y108" s="37"/>
      <c r="Z108" s="118"/>
      <c r="AA108" s="118"/>
      <c r="AB108" s="1"/>
      <c r="AC108" s="1"/>
      <c r="AD108" s="1"/>
      <c r="AE108" s="118"/>
      <c r="AF108" s="118"/>
      <c r="AG108" s="118"/>
      <c r="AH108" s="118"/>
      <c r="AI108" s="118"/>
      <c r="AJ108" s="37"/>
      <c r="AK108" s="38"/>
      <c r="AL108" s="197"/>
    </row>
    <row r="109" spans="1:38" x14ac:dyDescent="0.25">
      <c r="A109" s="382">
        <v>163</v>
      </c>
      <c r="B109" s="155"/>
      <c r="C109" s="155"/>
      <c r="D109" s="121"/>
      <c r="E109" s="121"/>
      <c r="F109" s="121"/>
      <c r="G109" s="121"/>
      <c r="H109" s="121"/>
      <c r="I109" s="37"/>
      <c r="J109" s="121"/>
      <c r="K109" s="121"/>
      <c r="L109" s="390"/>
      <c r="M109" s="390"/>
      <c r="N109" s="390"/>
      <c r="O109" s="390"/>
      <c r="P109" s="390"/>
      <c r="Q109" s="37"/>
      <c r="R109" s="205"/>
      <c r="S109" s="118"/>
      <c r="T109" s="118"/>
      <c r="U109" s="1"/>
      <c r="V109" s="118"/>
      <c r="W109" s="57"/>
      <c r="X109" s="57"/>
      <c r="Y109" s="37"/>
      <c r="Z109" s="118"/>
      <c r="AA109" s="118"/>
      <c r="AB109" s="1"/>
      <c r="AC109" s="1"/>
      <c r="AD109" s="1"/>
      <c r="AE109" s="118"/>
      <c r="AF109" s="118"/>
      <c r="AG109" s="118"/>
      <c r="AH109" s="118"/>
      <c r="AI109" s="118"/>
      <c r="AJ109" s="37"/>
      <c r="AK109" s="38"/>
      <c r="AL109" s="197"/>
    </row>
    <row r="110" spans="1:38" x14ac:dyDescent="0.25">
      <c r="A110" s="382">
        <v>164</v>
      </c>
      <c r="B110" s="131"/>
      <c r="C110" s="121"/>
      <c r="D110" s="390"/>
      <c r="E110" s="118"/>
      <c r="F110" s="121"/>
      <c r="G110" s="121"/>
      <c r="H110" s="1"/>
      <c r="I110" s="37"/>
      <c r="J110" s="121"/>
      <c r="K110" s="121"/>
      <c r="L110" s="121"/>
      <c r="M110" s="121"/>
      <c r="N110" s="121"/>
      <c r="O110" s="121"/>
      <c r="P110" s="172"/>
      <c r="Q110" s="37"/>
      <c r="R110" s="131"/>
      <c r="S110" s="118"/>
      <c r="T110" s="118"/>
      <c r="U110" s="1"/>
      <c r="V110" s="118"/>
      <c r="W110" s="57"/>
      <c r="X110" s="57"/>
      <c r="Y110" s="37"/>
      <c r="Z110" s="118"/>
      <c r="AA110" s="118"/>
      <c r="AB110" s="1"/>
      <c r="AC110" s="1"/>
      <c r="AD110" s="1"/>
      <c r="AE110" s="118"/>
      <c r="AF110" s="118"/>
      <c r="AG110" s="118"/>
      <c r="AH110" s="118"/>
      <c r="AI110" s="118"/>
      <c r="AJ110" s="37"/>
      <c r="AK110" s="38"/>
      <c r="AL110" s="197"/>
    </row>
    <row r="111" spans="1:38" x14ac:dyDescent="0.25">
      <c r="A111" s="382">
        <v>165</v>
      </c>
      <c r="B111" s="155"/>
      <c r="C111" s="390"/>
      <c r="D111" s="121"/>
      <c r="E111" s="118"/>
      <c r="F111" s="121"/>
      <c r="G111" s="121"/>
      <c r="H111" s="121"/>
      <c r="I111" s="37"/>
      <c r="J111" s="390"/>
      <c r="K111" s="121"/>
      <c r="L111" s="121"/>
      <c r="M111" s="121"/>
      <c r="N111" s="121"/>
      <c r="O111" s="120"/>
      <c r="P111" s="172"/>
      <c r="Q111" s="37"/>
      <c r="R111" s="131"/>
      <c r="S111" s="118"/>
      <c r="T111" s="118"/>
      <c r="U111" s="1"/>
      <c r="V111" s="118"/>
      <c r="W111" s="57"/>
      <c r="X111" s="57"/>
      <c r="Y111" s="37"/>
      <c r="Z111" s="118"/>
      <c r="AA111" s="118"/>
      <c r="AB111" s="1"/>
      <c r="AC111" s="1"/>
      <c r="AD111" s="1"/>
      <c r="AE111" s="118"/>
      <c r="AF111" s="118"/>
      <c r="AG111" s="118"/>
      <c r="AH111" s="118"/>
      <c r="AI111" s="118"/>
      <c r="AJ111" s="37"/>
      <c r="AK111" s="38"/>
      <c r="AL111" s="197"/>
    </row>
    <row r="112" spans="1:38" x14ac:dyDescent="0.25">
      <c r="A112" s="382">
        <v>166</v>
      </c>
      <c r="B112" s="135"/>
      <c r="C112" s="135"/>
      <c r="D112" s="121"/>
      <c r="E112" s="121"/>
      <c r="F112" s="121"/>
      <c r="G112" s="1"/>
      <c r="H112" s="1"/>
      <c r="I112" s="37"/>
      <c r="J112" s="121"/>
      <c r="K112" s="1"/>
      <c r="L112" s="336"/>
      <c r="M112" s="121"/>
      <c r="N112" s="118"/>
      <c r="O112" s="120"/>
      <c r="P112" s="172"/>
      <c r="Q112" s="37"/>
      <c r="R112" s="131"/>
      <c r="S112" s="118"/>
      <c r="T112" s="118"/>
      <c r="U112" s="1"/>
      <c r="V112" s="118"/>
      <c r="W112" s="57"/>
      <c r="X112" s="57"/>
      <c r="Y112" s="37"/>
      <c r="Z112" s="118"/>
      <c r="AA112" s="118"/>
      <c r="AB112" s="1"/>
      <c r="AC112" s="1"/>
      <c r="AD112" s="1"/>
      <c r="AE112" s="118"/>
      <c r="AF112" s="1"/>
      <c r="AG112" s="118"/>
      <c r="AH112" s="118"/>
      <c r="AI112" s="118"/>
      <c r="AJ112" s="37"/>
      <c r="AK112" s="38"/>
      <c r="AL112" s="197"/>
    </row>
    <row r="113" spans="1:38" x14ac:dyDescent="0.25">
      <c r="A113" s="382">
        <v>167</v>
      </c>
      <c r="B113" s="155"/>
      <c r="C113" s="155"/>
      <c r="D113" s="121"/>
      <c r="E113" s="121"/>
      <c r="F113" s="390"/>
      <c r="G113" s="121"/>
      <c r="H113" s="121"/>
      <c r="I113" s="37"/>
      <c r="J113" s="121"/>
      <c r="K113" s="121"/>
      <c r="L113" s="121"/>
      <c r="M113" s="118"/>
      <c r="N113" s="120"/>
      <c r="O113" s="121"/>
      <c r="P113" s="172"/>
      <c r="Q113" s="37"/>
      <c r="R113" s="131"/>
      <c r="S113" s="118"/>
      <c r="T113" s="118"/>
      <c r="U113" s="1"/>
      <c r="V113" s="118"/>
      <c r="W113" s="57"/>
      <c r="X113" s="57"/>
      <c r="Y113" s="37"/>
      <c r="Z113" s="118"/>
      <c r="AA113" s="118"/>
      <c r="AB113" s="1"/>
      <c r="AC113" s="1"/>
      <c r="AD113" s="1"/>
      <c r="AE113" s="118"/>
      <c r="AF113" s="118"/>
      <c r="AG113" s="118"/>
      <c r="AH113" s="118"/>
      <c r="AI113" s="118"/>
      <c r="AJ113" s="37"/>
      <c r="AK113" s="38"/>
      <c r="AL113" s="197"/>
    </row>
    <row r="114" spans="1:38" x14ac:dyDescent="0.25">
      <c r="A114" s="382">
        <v>168</v>
      </c>
      <c r="B114" s="131"/>
      <c r="C114" s="390"/>
      <c r="D114" s="121"/>
      <c r="E114" s="121"/>
      <c r="F114" s="121"/>
      <c r="G114" s="121"/>
      <c r="H114" s="1"/>
      <c r="I114" s="37"/>
      <c r="J114" s="121"/>
      <c r="K114" s="121"/>
      <c r="L114" s="155"/>
      <c r="M114" s="118"/>
      <c r="N114" s="118"/>
      <c r="O114" s="120"/>
      <c r="P114" s="172"/>
      <c r="Q114" s="37"/>
      <c r="R114" s="131"/>
      <c r="S114" s="118"/>
      <c r="T114" s="118"/>
      <c r="U114" s="1"/>
      <c r="V114" s="118"/>
      <c r="W114" s="57"/>
      <c r="X114" s="57"/>
      <c r="Y114" s="37"/>
      <c r="Z114" s="118"/>
      <c r="AA114" s="1"/>
      <c r="AB114" s="1"/>
      <c r="AC114" s="1"/>
      <c r="AD114" s="1"/>
      <c r="AE114" s="118"/>
      <c r="AF114" s="118"/>
      <c r="AG114" s="118"/>
      <c r="AH114" s="118"/>
      <c r="AI114" s="118"/>
      <c r="AJ114" s="37"/>
      <c r="AK114" s="38"/>
      <c r="AL114" s="197"/>
    </row>
    <row r="115" spans="1:38" x14ac:dyDescent="0.25">
      <c r="A115" s="382">
        <v>169</v>
      </c>
      <c r="B115" s="12"/>
      <c r="C115" s="155"/>
      <c r="D115" s="121"/>
      <c r="E115" s="118"/>
      <c r="F115" s="121"/>
      <c r="G115" s="1"/>
      <c r="H115" s="1"/>
      <c r="I115" s="37"/>
      <c r="J115" s="121"/>
      <c r="K115" s="118"/>
      <c r="L115" s="118"/>
      <c r="M115" s="121"/>
      <c r="N115" s="1"/>
      <c r="O115" s="118"/>
      <c r="P115" s="172"/>
      <c r="Q115" s="37"/>
      <c r="R115" s="131"/>
      <c r="S115" s="118"/>
      <c r="T115" s="118"/>
      <c r="U115" s="1"/>
      <c r="V115" s="118"/>
      <c r="W115" s="57"/>
      <c r="X115" s="57"/>
      <c r="Y115" s="37"/>
      <c r="Z115" s="1"/>
      <c r="AA115" s="118"/>
      <c r="AB115" s="1"/>
      <c r="AC115" s="1"/>
      <c r="AD115" s="1"/>
      <c r="AE115" s="118"/>
      <c r="AF115" s="1"/>
      <c r="AG115" s="118"/>
      <c r="AH115" s="118"/>
      <c r="AI115" s="118"/>
      <c r="AJ115" s="37"/>
      <c r="AK115" s="38"/>
      <c r="AL115" s="197"/>
    </row>
    <row r="116" spans="1:38" x14ac:dyDescent="0.25">
      <c r="A116" s="382">
        <v>170</v>
      </c>
      <c r="B116" s="155"/>
      <c r="C116" s="121"/>
      <c r="D116" s="121"/>
      <c r="E116" s="121"/>
      <c r="F116" s="121"/>
      <c r="G116" s="121"/>
      <c r="H116" s="121"/>
      <c r="I116" s="37"/>
      <c r="J116" s="121"/>
      <c r="K116" s="121"/>
      <c r="L116" s="390"/>
      <c r="M116" s="121"/>
      <c r="N116" s="121"/>
      <c r="O116" s="121"/>
      <c r="P116" s="172"/>
      <c r="Q116" s="37"/>
      <c r="R116" s="131"/>
      <c r="S116" s="118"/>
      <c r="T116" s="118"/>
      <c r="U116" s="1"/>
      <c r="V116" s="1"/>
      <c r="W116" s="57"/>
      <c r="X116" s="57"/>
      <c r="Y116" s="37"/>
      <c r="Z116" s="118"/>
      <c r="AA116" s="118"/>
      <c r="AB116" s="1"/>
      <c r="AC116" s="1"/>
      <c r="AD116" s="1"/>
      <c r="AE116" s="118"/>
      <c r="AF116" s="387"/>
      <c r="AG116" s="118"/>
      <c r="AH116" s="118"/>
      <c r="AI116" s="118"/>
      <c r="AJ116" s="37"/>
      <c r="AK116" s="38"/>
      <c r="AL116" s="197"/>
    </row>
    <row r="117" spans="1:38" x14ac:dyDescent="0.25">
      <c r="A117" s="382">
        <v>171</v>
      </c>
      <c r="B117" s="390"/>
      <c r="C117" s="121"/>
      <c r="D117" s="155"/>
      <c r="E117" s="1"/>
      <c r="F117" s="118"/>
      <c r="G117" s="121"/>
      <c r="H117" s="121"/>
      <c r="I117" s="37"/>
      <c r="J117" s="121"/>
      <c r="K117" s="121"/>
      <c r="L117" s="121"/>
      <c r="M117" s="121"/>
      <c r="N117" s="121"/>
      <c r="O117" s="121"/>
      <c r="P117" s="172"/>
      <c r="Q117" s="37"/>
      <c r="R117" s="12"/>
      <c r="S117" s="118"/>
      <c r="T117" s="118"/>
      <c r="U117" s="1"/>
      <c r="V117" s="131"/>
      <c r="W117" s="57"/>
      <c r="X117" s="57"/>
      <c r="Y117" s="37"/>
      <c r="Z117" s="118"/>
      <c r="AA117" s="118"/>
      <c r="AB117" s="1"/>
      <c r="AC117" s="1"/>
      <c r="AD117" s="1"/>
      <c r="AE117" s="118"/>
      <c r="AF117" s="118"/>
      <c r="AG117" s="118"/>
      <c r="AH117" s="118"/>
      <c r="AI117" s="118"/>
      <c r="AJ117" s="37"/>
      <c r="AK117" s="38"/>
      <c r="AL117" s="197"/>
    </row>
    <row r="118" spans="1:38" x14ac:dyDescent="0.25">
      <c r="A118" s="382">
        <v>172</v>
      </c>
      <c r="B118" s="390"/>
      <c r="C118" s="390"/>
      <c r="D118" s="390"/>
      <c r="E118" s="390"/>
      <c r="F118" s="390"/>
      <c r="G118" s="390"/>
      <c r="H118" s="390"/>
      <c r="I118" s="111"/>
      <c r="J118" s="121"/>
      <c r="K118" s="118"/>
      <c r="L118" s="390"/>
      <c r="M118" s="390"/>
      <c r="N118" s="390"/>
      <c r="O118" s="118"/>
      <c r="P118" s="390"/>
      <c r="Q118" s="37"/>
      <c r="R118" s="390"/>
      <c r="S118" s="390"/>
      <c r="T118" s="390"/>
      <c r="U118" s="390"/>
      <c r="V118" s="389"/>
      <c r="W118" s="205"/>
      <c r="X118" s="387"/>
      <c r="Y118" s="37"/>
      <c r="Z118" s="118"/>
      <c r="AA118" s="387"/>
      <c r="AB118" s="387"/>
      <c r="AC118" s="387"/>
      <c r="AD118" s="387"/>
      <c r="AE118" s="387"/>
      <c r="AF118" s="387"/>
      <c r="AG118" s="118"/>
      <c r="AH118" s="118"/>
      <c r="AI118" s="118"/>
      <c r="AJ118" s="37"/>
      <c r="AK118" s="38"/>
      <c r="AL118" s="197"/>
    </row>
    <row r="119" spans="1:38" x14ac:dyDescent="0.25">
      <c r="A119" s="382">
        <v>173</v>
      </c>
      <c r="B119" s="390"/>
      <c r="C119" s="390"/>
      <c r="D119" s="390"/>
      <c r="E119" s="390"/>
      <c r="F119" s="390"/>
      <c r="G119" s="390"/>
      <c r="H119" s="390"/>
      <c r="I119" s="111"/>
      <c r="J119" s="390"/>
      <c r="K119" s="390"/>
      <c r="L119" s="390"/>
      <c r="M119" s="390"/>
      <c r="N119" s="390"/>
      <c r="O119" s="390"/>
      <c r="P119" s="390"/>
      <c r="Q119" s="111"/>
      <c r="R119" s="390"/>
      <c r="S119" s="390"/>
      <c r="T119" s="390"/>
      <c r="U119" s="203"/>
      <c r="V119" s="390"/>
      <c r="W119" s="390"/>
      <c r="X119" s="390"/>
      <c r="Y119" s="37"/>
      <c r="Z119" s="387"/>
      <c r="AA119" s="387"/>
      <c r="AB119" s="387"/>
      <c r="AC119" s="387"/>
      <c r="AD119" s="387"/>
      <c r="AE119" s="387"/>
      <c r="AF119" s="387"/>
      <c r="AG119" s="387"/>
      <c r="AH119" s="387"/>
      <c r="AI119" s="387"/>
      <c r="AJ119" s="111"/>
      <c r="AK119" s="38"/>
      <c r="AL119" s="197"/>
    </row>
    <row r="120" spans="1:38" x14ac:dyDescent="0.25">
      <c r="A120" s="385">
        <v>174</v>
      </c>
      <c r="B120" s="131"/>
      <c r="C120" s="131"/>
      <c r="D120" s="155"/>
      <c r="E120" s="1"/>
      <c r="F120" s="121"/>
      <c r="G120" s="118"/>
      <c r="H120" s="118"/>
      <c r="I120" s="37"/>
      <c r="J120" s="118"/>
      <c r="K120" s="118"/>
      <c r="L120" s="121"/>
      <c r="M120" s="118"/>
      <c r="N120" s="118"/>
      <c r="O120" s="118"/>
      <c r="P120" s="172"/>
      <c r="Q120" s="37"/>
      <c r="R120" s="12"/>
      <c r="S120" s="118"/>
      <c r="T120" s="118"/>
      <c r="U120" s="1"/>
      <c r="V120" s="118"/>
      <c r="W120" s="57"/>
      <c r="X120" s="57"/>
      <c r="Y120" s="37"/>
      <c r="Z120" s="118"/>
      <c r="AA120" s="118"/>
      <c r="AB120" s="1"/>
      <c r="AC120" s="1"/>
      <c r="AD120" s="1"/>
      <c r="AE120" s="118"/>
      <c r="AF120" s="118"/>
      <c r="AG120" s="118"/>
      <c r="AH120" s="118"/>
      <c r="AI120" s="118"/>
      <c r="AJ120" s="37"/>
      <c r="AK120" s="38"/>
      <c r="AL120" s="176"/>
    </row>
    <row r="121" spans="1:38" x14ac:dyDescent="0.25">
      <c r="A121" s="385">
        <v>175</v>
      </c>
      <c r="B121" s="155"/>
      <c r="C121" s="131"/>
      <c r="D121" s="12"/>
      <c r="E121" s="121"/>
      <c r="F121" s="120"/>
      <c r="G121" s="121"/>
      <c r="H121" s="121"/>
      <c r="I121" s="37"/>
      <c r="J121" s="121"/>
      <c r="K121" s="121"/>
      <c r="L121" s="121"/>
      <c r="M121" s="121"/>
      <c r="N121" s="121"/>
      <c r="O121" s="120"/>
      <c r="P121" s="205"/>
      <c r="Q121" s="37"/>
      <c r="R121" s="131"/>
      <c r="S121" s="118"/>
      <c r="T121" s="118"/>
      <c r="U121" s="1"/>
      <c r="V121" s="118"/>
      <c r="W121" s="57"/>
      <c r="X121" s="57"/>
      <c r="Y121" s="37"/>
      <c r="Z121" s="118"/>
      <c r="AA121" s="118"/>
      <c r="AB121" s="1"/>
      <c r="AC121" s="1"/>
      <c r="AD121" s="1"/>
      <c r="AE121" s="118"/>
      <c r="AF121" s="118"/>
      <c r="AG121" s="118"/>
      <c r="AH121" s="118"/>
      <c r="AI121" s="118"/>
      <c r="AJ121" s="37"/>
      <c r="AK121" s="38"/>
      <c r="AL121" s="197"/>
    </row>
    <row r="122" spans="1:38" x14ac:dyDescent="0.25">
      <c r="A122" s="385">
        <v>176</v>
      </c>
      <c r="B122" s="390"/>
      <c r="C122" s="390"/>
      <c r="D122" s="390"/>
      <c r="E122" s="390"/>
      <c r="F122" s="390"/>
      <c r="G122" s="390"/>
      <c r="H122" s="390"/>
      <c r="I122" s="111"/>
      <c r="J122" s="390"/>
      <c r="K122" s="390"/>
      <c r="L122" s="390"/>
      <c r="M122" s="390"/>
      <c r="N122" s="390"/>
      <c r="O122" s="390"/>
      <c r="P122" s="390"/>
      <c r="Q122" s="111"/>
      <c r="R122" s="390"/>
      <c r="S122" s="390"/>
      <c r="T122" s="390"/>
      <c r="U122" s="390"/>
      <c r="V122" s="389"/>
      <c r="W122" s="387"/>
      <c r="X122" s="387"/>
      <c r="Y122" s="111"/>
      <c r="Z122" s="387"/>
      <c r="AA122" s="387"/>
      <c r="AB122" s="387"/>
      <c r="AC122" s="387"/>
      <c r="AD122" s="387"/>
      <c r="AE122" s="387"/>
      <c r="AF122" s="387"/>
      <c r="AG122" s="387"/>
      <c r="AH122" s="387"/>
      <c r="AI122" s="387"/>
      <c r="AJ122" s="114"/>
      <c r="AK122" s="44"/>
      <c r="AL122" s="197"/>
    </row>
    <row r="123" spans="1:38" x14ac:dyDescent="0.25">
      <c r="A123" s="385">
        <v>177</v>
      </c>
      <c r="B123" s="390"/>
      <c r="C123" s="155"/>
      <c r="D123" s="131"/>
      <c r="E123" s="118"/>
      <c r="F123" s="118"/>
      <c r="G123" s="118"/>
      <c r="H123" s="118"/>
      <c r="I123" s="37"/>
      <c r="J123" s="120"/>
      <c r="K123" s="118"/>
      <c r="L123" s="1"/>
      <c r="M123" s="118"/>
      <c r="N123" s="118"/>
      <c r="O123" s="118"/>
      <c r="P123" s="172"/>
      <c r="Q123" s="37"/>
      <c r="R123" s="131"/>
      <c r="S123" s="118"/>
      <c r="T123" s="118"/>
      <c r="U123" s="1"/>
      <c r="V123" s="118"/>
      <c r="W123" s="57"/>
      <c r="X123" s="57"/>
      <c r="Y123" s="37"/>
      <c r="Z123" s="387"/>
      <c r="AA123" s="118"/>
      <c r="AB123" s="1"/>
      <c r="AC123" s="1"/>
      <c r="AD123" s="1"/>
      <c r="AE123" s="387"/>
      <c r="AF123" s="118"/>
      <c r="AG123" s="118"/>
      <c r="AH123" s="118"/>
      <c r="AI123" s="118"/>
      <c r="AJ123" s="47"/>
      <c r="AK123" s="48"/>
      <c r="AL123" s="197"/>
    </row>
    <row r="124" spans="1:38" x14ac:dyDescent="0.25">
      <c r="A124" s="385">
        <v>178</v>
      </c>
      <c r="B124" s="390"/>
      <c r="C124" s="155"/>
      <c r="D124" s="121"/>
      <c r="E124" s="121"/>
      <c r="F124" s="121"/>
      <c r="G124" s="121"/>
      <c r="H124" s="121"/>
      <c r="I124" s="37"/>
      <c r="J124" s="121"/>
      <c r="K124" s="118"/>
      <c r="L124" s="161"/>
      <c r="M124" s="121"/>
      <c r="N124" s="121"/>
      <c r="O124" s="120"/>
      <c r="P124" s="205"/>
      <c r="Q124" s="37"/>
      <c r="R124" s="131"/>
      <c r="S124" s="118"/>
      <c r="T124" s="118"/>
      <c r="U124" s="1"/>
      <c r="V124" s="1"/>
      <c r="W124" s="57"/>
      <c r="X124" s="57"/>
      <c r="Y124" s="37"/>
      <c r="Z124" s="118"/>
      <c r="AA124" s="1"/>
      <c r="AB124" s="1"/>
      <c r="AC124" s="1"/>
      <c r="AD124" s="1"/>
      <c r="AE124" s="118"/>
      <c r="AF124" s="118"/>
      <c r="AG124" s="118"/>
      <c r="AH124" s="118"/>
      <c r="AI124" s="118"/>
      <c r="AJ124" s="49"/>
      <c r="AK124" s="48"/>
      <c r="AL124" s="197"/>
    </row>
    <row r="125" spans="1:38" x14ac:dyDescent="0.25">
      <c r="A125" s="385">
        <v>179</v>
      </c>
      <c r="B125" s="390"/>
      <c r="C125" s="155"/>
      <c r="D125" s="390"/>
      <c r="E125" s="1"/>
      <c r="F125" s="390"/>
      <c r="G125" s="390"/>
      <c r="H125" s="118"/>
      <c r="I125" s="37"/>
      <c r="J125" s="118"/>
      <c r="K125" s="118"/>
      <c r="L125" s="118"/>
      <c r="M125" s="121"/>
      <c r="N125" s="1"/>
      <c r="O125" s="118"/>
      <c r="P125" s="172"/>
      <c r="Q125" s="37"/>
      <c r="R125" s="131"/>
      <c r="S125" s="118"/>
      <c r="T125" s="118"/>
      <c r="U125" s="1"/>
      <c r="V125" s="118"/>
      <c r="W125" s="57"/>
      <c r="X125" s="57"/>
      <c r="Y125" s="37"/>
      <c r="Z125" s="118"/>
      <c r="AA125" s="118"/>
      <c r="AB125" s="1"/>
      <c r="AC125" s="1"/>
      <c r="AD125" s="1"/>
      <c r="AE125" s="118"/>
      <c r="AF125" s="118"/>
      <c r="AG125" s="118"/>
      <c r="AH125" s="118"/>
      <c r="AI125" s="118"/>
      <c r="AJ125" s="36"/>
      <c r="AK125" s="14"/>
      <c r="AL125" s="197"/>
    </row>
    <row r="126" spans="1:38" x14ac:dyDescent="0.25">
      <c r="A126" s="385">
        <v>180</v>
      </c>
      <c r="B126" s="390"/>
      <c r="C126" s="390"/>
      <c r="D126" s="390"/>
      <c r="E126" s="390"/>
      <c r="F126" s="390"/>
      <c r="G126" s="118"/>
      <c r="H126" s="390"/>
      <c r="I126" s="37"/>
      <c r="J126" s="118"/>
      <c r="K126" s="390"/>
      <c r="L126" s="390"/>
      <c r="M126" s="390"/>
      <c r="N126" s="390"/>
      <c r="O126" s="390"/>
      <c r="P126" s="390"/>
      <c r="Q126" s="37"/>
      <c r="R126" s="176"/>
      <c r="S126" s="390"/>
      <c r="T126" s="390"/>
      <c r="U126" s="390"/>
      <c r="V126" s="390"/>
      <c r="W126" s="57"/>
      <c r="X126" s="390"/>
      <c r="Y126" s="37"/>
      <c r="Z126" s="387"/>
      <c r="AA126" s="387"/>
      <c r="AB126" s="1"/>
      <c r="AC126" s="387"/>
      <c r="AD126" s="387"/>
      <c r="AE126" s="387"/>
      <c r="AF126" s="387"/>
      <c r="AG126" s="118"/>
      <c r="AH126" s="118"/>
      <c r="AI126" s="118"/>
      <c r="AJ126" s="37"/>
      <c r="AK126" s="38"/>
      <c r="AL126" s="197"/>
    </row>
    <row r="127" spans="1:38" x14ac:dyDescent="0.25">
      <c r="A127" s="385">
        <v>181</v>
      </c>
      <c r="B127" s="131"/>
      <c r="C127" s="155"/>
      <c r="D127" s="131"/>
      <c r="E127" s="121"/>
      <c r="F127" s="118"/>
      <c r="G127" s="118"/>
      <c r="H127" s="121"/>
      <c r="I127" s="37"/>
      <c r="J127" s="118"/>
      <c r="K127" s="118"/>
      <c r="L127" s="118"/>
      <c r="M127" s="390"/>
      <c r="N127" s="121"/>
      <c r="O127" s="120"/>
      <c r="P127" s="205"/>
      <c r="Q127" s="37"/>
      <c r="R127" s="131"/>
      <c r="S127" s="118"/>
      <c r="T127" s="118"/>
      <c r="U127" s="1"/>
      <c r="V127" s="118"/>
      <c r="W127" s="57"/>
      <c r="X127" s="57"/>
      <c r="Y127" s="37"/>
      <c r="Z127" s="118"/>
      <c r="AA127" s="118"/>
      <c r="AB127" s="1"/>
      <c r="AC127" s="1"/>
      <c r="AD127" s="1"/>
      <c r="AE127" s="118"/>
      <c r="AF127" s="118"/>
      <c r="AG127" s="118"/>
      <c r="AH127" s="118"/>
      <c r="AI127" s="118"/>
      <c r="AJ127" s="37"/>
      <c r="AK127" s="38"/>
      <c r="AL127" s="197"/>
    </row>
    <row r="128" spans="1:38" x14ac:dyDescent="0.25">
      <c r="A128" s="385">
        <v>182</v>
      </c>
      <c r="B128" s="390"/>
      <c r="C128" s="121"/>
      <c r="D128" s="121"/>
      <c r="E128" s="121"/>
      <c r="F128" s="121"/>
      <c r="G128" s="121"/>
      <c r="H128" s="121"/>
      <c r="I128" s="37"/>
      <c r="J128" s="121"/>
      <c r="K128" s="121"/>
      <c r="L128" s="121"/>
      <c r="M128" s="121"/>
      <c r="N128" s="121"/>
      <c r="O128" s="120"/>
      <c r="P128" s="172"/>
      <c r="Q128" s="37"/>
      <c r="R128" s="131"/>
      <c r="S128" s="118"/>
      <c r="T128" s="118"/>
      <c r="U128" s="1"/>
      <c r="V128" s="118"/>
      <c r="W128" s="57"/>
      <c r="X128" s="57"/>
      <c r="Y128" s="37"/>
      <c r="Z128" s="118"/>
      <c r="AA128" s="118"/>
      <c r="AB128" s="1"/>
      <c r="AC128" s="1"/>
      <c r="AD128" s="1"/>
      <c r="AE128" s="1"/>
      <c r="AF128" s="118"/>
      <c r="AG128" s="118"/>
      <c r="AH128" s="118"/>
      <c r="AI128" s="118"/>
      <c r="AJ128" s="37"/>
      <c r="AK128" s="38"/>
      <c r="AL128" s="197"/>
    </row>
    <row r="129" spans="1:38" x14ac:dyDescent="0.25">
      <c r="A129" s="385">
        <v>183</v>
      </c>
      <c r="B129" s="390"/>
      <c r="C129" s="131"/>
      <c r="D129" s="131"/>
      <c r="E129" s="118"/>
      <c r="F129" s="118"/>
      <c r="G129" s="390"/>
      <c r="H129" s="390"/>
      <c r="I129" s="37"/>
      <c r="J129" s="118"/>
      <c r="K129" s="118"/>
      <c r="L129" s="118"/>
      <c r="M129" s="118"/>
      <c r="N129" s="121"/>
      <c r="O129" s="390"/>
      <c r="P129" s="172"/>
      <c r="Q129" s="37"/>
      <c r="R129" s="390"/>
      <c r="S129" s="390"/>
      <c r="T129" s="390"/>
      <c r="U129" s="1"/>
      <c r="V129" s="118"/>
      <c r="W129" s="57"/>
      <c r="X129" s="57"/>
      <c r="Y129" s="37"/>
      <c r="Z129" s="118"/>
      <c r="AA129" s="118"/>
      <c r="AB129" s="1"/>
      <c r="AC129" s="1"/>
      <c r="AD129" s="1"/>
      <c r="AE129" s="118"/>
      <c r="AF129" s="118"/>
      <c r="AG129" s="118"/>
      <c r="AH129" s="118"/>
      <c r="AI129" s="118"/>
      <c r="AJ129" s="37"/>
      <c r="AK129" s="38"/>
      <c r="AL129" s="197"/>
    </row>
    <row r="130" spans="1:38" x14ac:dyDescent="0.25">
      <c r="A130" s="385">
        <v>184</v>
      </c>
      <c r="B130" s="155"/>
      <c r="C130" s="135"/>
      <c r="D130" s="121"/>
      <c r="E130" s="121"/>
      <c r="F130" s="118"/>
      <c r="G130" s="121"/>
      <c r="H130" s="390"/>
      <c r="I130" s="37"/>
      <c r="J130" s="390"/>
      <c r="K130" s="371"/>
      <c r="L130" s="121"/>
      <c r="M130" s="121"/>
      <c r="N130" s="121"/>
      <c r="O130" s="121"/>
      <c r="P130" s="172"/>
      <c r="Q130" s="37"/>
      <c r="R130" s="131"/>
      <c r="S130" s="118"/>
      <c r="T130" s="118"/>
      <c r="U130" s="1"/>
      <c r="V130" s="118"/>
      <c r="W130" s="57"/>
      <c r="X130" s="57"/>
      <c r="Y130" s="37"/>
      <c r="Z130" s="118"/>
      <c r="AA130" s="118"/>
      <c r="AB130" s="1"/>
      <c r="AC130" s="1"/>
      <c r="AD130" s="1"/>
      <c r="AE130" s="118"/>
      <c r="AF130" s="118"/>
      <c r="AG130" s="118"/>
      <c r="AH130" s="118"/>
      <c r="AI130" s="118"/>
      <c r="AJ130" s="37"/>
      <c r="AK130" s="38"/>
      <c r="AL130" s="197"/>
    </row>
    <row r="131" spans="1:38" x14ac:dyDescent="0.25">
      <c r="A131" s="385">
        <v>185</v>
      </c>
      <c r="B131" s="390"/>
      <c r="C131" s="155"/>
      <c r="D131" s="135"/>
      <c r="E131" s="1"/>
      <c r="F131" s="390"/>
      <c r="G131" s="118"/>
      <c r="H131" s="390"/>
      <c r="I131" s="37"/>
      <c r="J131" s="390"/>
      <c r="K131" s="118"/>
      <c r="L131" s="118"/>
      <c r="M131" s="118"/>
      <c r="N131" s="131"/>
      <c r="O131" s="1"/>
      <c r="P131" s="172"/>
      <c r="Q131" s="37"/>
      <c r="R131" s="131"/>
      <c r="S131" s="1"/>
      <c r="T131" s="118"/>
      <c r="U131" s="1"/>
      <c r="V131" s="118"/>
      <c r="W131" s="57"/>
      <c r="X131" s="57"/>
      <c r="Y131" s="37"/>
      <c r="Z131" s="1"/>
      <c r="AA131" s="387"/>
      <c r="AB131" s="1"/>
      <c r="AC131" s="1"/>
      <c r="AD131" s="1"/>
      <c r="AE131" s="118"/>
      <c r="AF131" s="118"/>
      <c r="AG131" s="118"/>
      <c r="AH131" s="118"/>
      <c r="AI131" s="118"/>
      <c r="AJ131" s="37"/>
      <c r="AK131" s="38"/>
      <c r="AL131" s="197"/>
    </row>
    <row r="132" spans="1:38" x14ac:dyDescent="0.25">
      <c r="A132" s="385">
        <v>186</v>
      </c>
      <c r="B132" s="131"/>
      <c r="C132" s="131"/>
      <c r="D132" s="155"/>
      <c r="E132" s="118"/>
      <c r="F132" s="390"/>
      <c r="G132" s="121"/>
      <c r="H132" s="121"/>
      <c r="I132" s="37"/>
      <c r="J132" s="121"/>
      <c r="K132" s="121"/>
      <c r="L132" s="121"/>
      <c r="M132" s="121"/>
      <c r="N132" s="121"/>
      <c r="O132" s="120"/>
      <c r="P132" s="172"/>
      <c r="Q132" s="37"/>
      <c r="R132" s="12"/>
      <c r="S132" s="118"/>
      <c r="T132" s="118"/>
      <c r="U132" s="1"/>
      <c r="V132" s="118"/>
      <c r="W132" s="57"/>
      <c r="X132" s="57"/>
      <c r="Y132" s="37"/>
      <c r="Z132" s="118"/>
      <c r="AA132" s="118"/>
      <c r="AB132" s="1"/>
      <c r="AC132" s="1"/>
      <c r="AD132" s="1"/>
      <c r="AE132" s="1"/>
      <c r="AF132" s="118"/>
      <c r="AG132" s="118"/>
      <c r="AH132" s="118"/>
      <c r="AI132" s="118"/>
      <c r="AJ132" s="37"/>
      <c r="AK132" s="38"/>
      <c r="AL132" s="197"/>
    </row>
    <row r="133" spans="1:38" x14ac:dyDescent="0.25">
      <c r="A133" s="385">
        <v>187</v>
      </c>
      <c r="B133" s="390"/>
      <c r="C133" s="390"/>
      <c r="D133" s="390"/>
      <c r="E133" s="390"/>
      <c r="F133" s="390"/>
      <c r="G133" s="390"/>
      <c r="H133" s="390"/>
      <c r="I133" s="111"/>
      <c r="J133" s="390"/>
      <c r="K133" s="390"/>
      <c r="L133" s="390"/>
      <c r="M133" s="390"/>
      <c r="N133" s="390"/>
      <c r="O133" s="390"/>
      <c r="P133" s="390"/>
      <c r="Q133" s="111"/>
      <c r="R133" s="390"/>
      <c r="S133" s="390"/>
      <c r="T133" s="390"/>
      <c r="U133" s="390"/>
      <c r="V133" s="389"/>
      <c r="W133" s="387"/>
      <c r="X133" s="387"/>
      <c r="Y133" s="111"/>
      <c r="Z133" s="387"/>
      <c r="AA133" s="387"/>
      <c r="AB133" s="387"/>
      <c r="AC133" s="387"/>
      <c r="AD133" s="387"/>
      <c r="AE133" s="387"/>
      <c r="AF133" s="387"/>
      <c r="AG133" s="387"/>
      <c r="AH133" s="387"/>
      <c r="AI133" s="387"/>
      <c r="AJ133" s="111"/>
      <c r="AK133" s="38"/>
      <c r="AL133" s="197"/>
    </row>
    <row r="134" spans="1:38" x14ac:dyDescent="0.25">
      <c r="A134" s="385">
        <v>188</v>
      </c>
      <c r="B134" s="131"/>
      <c r="C134" s="12"/>
      <c r="D134" s="131"/>
      <c r="E134" s="118"/>
      <c r="F134" s="390"/>
      <c r="G134" s="121"/>
      <c r="H134" s="121"/>
      <c r="I134" s="37"/>
      <c r="J134" s="121"/>
      <c r="K134" s="121"/>
      <c r="L134" s="121"/>
      <c r="M134" s="121"/>
      <c r="N134" s="130"/>
      <c r="O134" s="118"/>
      <c r="P134" s="172"/>
      <c r="Q134" s="37"/>
      <c r="R134" s="131"/>
      <c r="S134" s="118"/>
      <c r="T134" s="118"/>
      <c r="U134" s="1"/>
      <c r="V134" s="118"/>
      <c r="W134" s="57"/>
      <c r="X134" s="57"/>
      <c r="Y134" s="37"/>
      <c r="Z134" s="118"/>
      <c r="AA134" s="118"/>
      <c r="AB134" s="1"/>
      <c r="AC134" s="1"/>
      <c r="AD134" s="1"/>
      <c r="AE134" s="118"/>
      <c r="AF134" s="118"/>
      <c r="AG134" s="118"/>
      <c r="AH134" s="118"/>
      <c r="AI134" s="118"/>
      <c r="AJ134" s="37"/>
      <c r="AK134" s="38"/>
      <c r="AL134" s="197"/>
    </row>
    <row r="135" spans="1:38" x14ac:dyDescent="0.25">
      <c r="A135" s="385">
        <v>189</v>
      </c>
      <c r="B135" s="155"/>
      <c r="C135" s="390"/>
      <c r="D135" s="131"/>
      <c r="E135" s="118"/>
      <c r="F135" s="121"/>
      <c r="G135" s="118"/>
      <c r="H135" s="121"/>
      <c r="I135" s="37"/>
      <c r="J135" s="118"/>
      <c r="K135" s="1"/>
      <c r="L135" s="1"/>
      <c r="M135" s="118"/>
      <c r="N135" s="118"/>
      <c r="O135" s="118"/>
      <c r="P135" s="172"/>
      <c r="Q135" s="37"/>
      <c r="R135" s="155"/>
      <c r="S135" s="118"/>
      <c r="T135" s="1"/>
      <c r="U135" s="1"/>
      <c r="V135" s="118"/>
      <c r="W135" s="57"/>
      <c r="X135" s="57"/>
      <c r="Y135" s="37"/>
      <c r="Z135" s="118"/>
      <c r="AA135" s="118"/>
      <c r="AB135" s="1"/>
      <c r="AC135" s="1"/>
      <c r="AD135" s="1"/>
      <c r="AE135" s="118"/>
      <c r="AF135" s="1"/>
      <c r="AG135" s="118"/>
      <c r="AH135" s="118"/>
      <c r="AI135" s="118"/>
      <c r="AJ135" s="37"/>
      <c r="AK135" s="38"/>
      <c r="AL135" s="197"/>
    </row>
    <row r="136" spans="1:38" x14ac:dyDescent="0.25">
      <c r="A136" s="385">
        <v>190</v>
      </c>
      <c r="B136" s="390"/>
      <c r="C136" s="155"/>
      <c r="D136" s="135"/>
      <c r="E136" s="118"/>
      <c r="F136" s="1"/>
      <c r="G136" s="121"/>
      <c r="H136" s="1"/>
      <c r="I136" s="37"/>
      <c r="J136" s="121"/>
      <c r="K136" s="121"/>
      <c r="L136" s="390"/>
      <c r="M136" s="390"/>
      <c r="N136" s="121"/>
      <c r="O136" s="121"/>
      <c r="P136" s="172"/>
      <c r="Q136" s="37"/>
      <c r="R136" s="12"/>
      <c r="S136" s="118"/>
      <c r="T136" s="118"/>
      <c r="U136" s="1"/>
      <c r="V136" s="1"/>
      <c r="W136" s="57"/>
      <c r="X136" s="57"/>
      <c r="Y136" s="37"/>
      <c r="Z136" s="118"/>
      <c r="AA136" s="118"/>
      <c r="AB136" s="1"/>
      <c r="AC136" s="1"/>
      <c r="AD136" s="1"/>
      <c r="AE136" s="118"/>
      <c r="AF136" s="118"/>
      <c r="AG136" s="118"/>
      <c r="AH136" s="118"/>
      <c r="AI136" s="118"/>
      <c r="AJ136" s="37"/>
      <c r="AK136" s="38"/>
      <c r="AL136" s="197"/>
    </row>
    <row r="137" spans="1:38" x14ac:dyDescent="0.25">
      <c r="A137" s="385">
        <v>191</v>
      </c>
      <c r="B137" s="131"/>
      <c r="C137" s="121"/>
      <c r="D137" s="155"/>
      <c r="E137" s="121"/>
      <c r="F137" s="121"/>
      <c r="G137" s="121"/>
      <c r="H137" s="121"/>
      <c r="I137" s="37"/>
      <c r="J137" s="121"/>
      <c r="K137" s="121"/>
      <c r="L137" s="121"/>
      <c r="M137" s="121"/>
      <c r="N137" s="121"/>
      <c r="O137" s="118"/>
      <c r="P137" s="172"/>
      <c r="Q137" s="37"/>
      <c r="R137" s="155"/>
      <c r="S137" s="118"/>
      <c r="T137" s="118"/>
      <c r="U137" s="1"/>
      <c r="V137" s="131"/>
      <c r="W137" s="57"/>
      <c r="X137" s="57"/>
      <c r="Y137" s="37"/>
      <c r="Z137" s="118"/>
      <c r="AA137" s="118"/>
      <c r="AB137" s="1"/>
      <c r="AC137" s="1"/>
      <c r="AD137" s="1"/>
      <c r="AE137" s="118"/>
      <c r="AF137" s="1"/>
      <c r="AG137" s="118"/>
      <c r="AH137" s="118"/>
      <c r="AI137" s="118"/>
      <c r="AJ137" s="37"/>
      <c r="AK137" s="38"/>
      <c r="AL137" s="197"/>
    </row>
    <row r="138" spans="1:38" x14ac:dyDescent="0.25">
      <c r="A138" s="385">
        <v>192</v>
      </c>
      <c r="B138" s="131"/>
      <c r="C138" s="155"/>
      <c r="D138" s="121"/>
      <c r="E138" s="121"/>
      <c r="F138" s="121"/>
      <c r="G138" s="121"/>
      <c r="H138" s="121"/>
      <c r="I138" s="37"/>
      <c r="J138" s="390"/>
      <c r="K138" s="390"/>
      <c r="L138" s="390"/>
      <c r="M138" s="390"/>
      <c r="N138" s="390"/>
      <c r="O138" s="390"/>
      <c r="P138" s="390"/>
      <c r="Q138" s="111"/>
      <c r="R138" s="172"/>
      <c r="S138" s="118"/>
      <c r="T138" s="390"/>
      <c r="U138" s="1"/>
      <c r="V138" s="390"/>
      <c r="W138" s="57"/>
      <c r="X138" s="390"/>
      <c r="Y138" s="37"/>
      <c r="Z138" s="387"/>
      <c r="AA138" s="118"/>
      <c r="AB138" s="1"/>
      <c r="AC138" s="1"/>
      <c r="AD138" s="1"/>
      <c r="AE138" s="118"/>
      <c r="AF138" s="118"/>
      <c r="AG138" s="118"/>
      <c r="AH138" s="118"/>
      <c r="AI138" s="118"/>
      <c r="AJ138" s="37"/>
      <c r="AK138" s="38"/>
      <c r="AL138" s="197"/>
    </row>
    <row r="139" spans="1:38" x14ac:dyDescent="0.25">
      <c r="A139" s="385">
        <v>193</v>
      </c>
      <c r="B139" s="131"/>
      <c r="C139" s="135"/>
      <c r="D139" s="131"/>
      <c r="E139" s="121"/>
      <c r="F139" s="118"/>
      <c r="G139" s="118"/>
      <c r="H139" s="118"/>
      <c r="I139" s="37"/>
      <c r="J139" s="121"/>
      <c r="K139" s="121"/>
      <c r="L139" s="118"/>
      <c r="M139" s="118"/>
      <c r="N139" s="118"/>
      <c r="O139" s="118"/>
      <c r="P139" s="172"/>
      <c r="Q139" s="37"/>
      <c r="R139" s="131"/>
      <c r="S139" s="1"/>
      <c r="T139" s="118"/>
      <c r="U139" s="1"/>
      <c r="V139" s="118"/>
      <c r="W139" s="57"/>
      <c r="X139" s="57"/>
      <c r="Y139" s="37"/>
      <c r="Z139" s="118"/>
      <c r="AA139" s="118"/>
      <c r="AB139" s="1"/>
      <c r="AC139" s="1"/>
      <c r="AD139" s="1"/>
      <c r="AE139" s="118"/>
      <c r="AF139" s="118"/>
      <c r="AG139" s="118"/>
      <c r="AH139" s="118"/>
      <c r="AI139" s="118"/>
      <c r="AJ139" s="37"/>
      <c r="AK139" s="38"/>
      <c r="AL139" s="197"/>
    </row>
    <row r="140" spans="1:38" x14ac:dyDescent="0.25">
      <c r="A140" s="385">
        <v>194</v>
      </c>
      <c r="B140" s="135"/>
      <c r="C140" s="155"/>
      <c r="D140" s="121"/>
      <c r="E140" s="118"/>
      <c r="F140" s="121"/>
      <c r="G140" s="118"/>
      <c r="H140" s="118"/>
      <c r="I140" s="37"/>
      <c r="J140" s="118"/>
      <c r="K140" s="1"/>
      <c r="L140" s="118"/>
      <c r="M140" s="118"/>
      <c r="N140" s="12"/>
      <c r="O140" s="120"/>
      <c r="P140" s="172"/>
      <c r="Q140" s="37"/>
      <c r="R140" s="131"/>
      <c r="S140" s="390"/>
      <c r="T140" s="118"/>
      <c r="U140" s="1"/>
      <c r="V140" s="118"/>
      <c r="W140" s="57"/>
      <c r="X140" s="57"/>
      <c r="Y140" s="37"/>
      <c r="Z140" s="118"/>
      <c r="AA140" s="1"/>
      <c r="AB140" s="387"/>
      <c r="AC140" s="1"/>
      <c r="AD140" s="1"/>
      <c r="AE140" s="118"/>
      <c r="AF140" s="118"/>
      <c r="AG140" s="118"/>
      <c r="AH140" s="118"/>
      <c r="AI140" s="118"/>
      <c r="AJ140" s="40"/>
      <c r="AK140" s="41"/>
      <c r="AL140" s="197"/>
    </row>
    <row r="141" spans="1:38" x14ac:dyDescent="0.25">
      <c r="A141" s="385">
        <v>195</v>
      </c>
      <c r="B141" s="131"/>
      <c r="C141" s="135"/>
      <c r="D141" s="121"/>
      <c r="E141" s="118"/>
      <c r="F141" s="121"/>
      <c r="G141" s="121"/>
      <c r="H141" s="121"/>
      <c r="I141" s="37"/>
      <c r="J141" s="121"/>
      <c r="K141" s="121"/>
      <c r="L141" s="371"/>
      <c r="M141" s="121"/>
      <c r="N141" s="121"/>
      <c r="O141" s="161"/>
      <c r="P141" s="172"/>
      <c r="Q141" s="37"/>
      <c r="R141" s="12"/>
      <c r="S141" s="118"/>
      <c r="T141" s="118"/>
      <c r="U141" s="1"/>
      <c r="V141" s="390"/>
      <c r="W141" s="57"/>
      <c r="X141" s="57"/>
      <c r="Y141" s="37"/>
      <c r="Z141" s="118"/>
      <c r="AA141" s="1"/>
      <c r="AB141" s="1"/>
      <c r="AC141" s="1"/>
      <c r="AD141" s="1"/>
      <c r="AE141" s="118"/>
      <c r="AF141" s="118"/>
      <c r="AG141" s="118"/>
      <c r="AH141" s="118"/>
      <c r="AI141" s="118"/>
      <c r="AJ141" s="37"/>
      <c r="AK141" s="38"/>
      <c r="AL141" s="197"/>
    </row>
    <row r="142" spans="1:38" x14ac:dyDescent="0.25">
      <c r="A142" s="385">
        <v>196</v>
      </c>
      <c r="B142" s="12"/>
      <c r="C142" s="155"/>
      <c r="D142" s="121"/>
      <c r="E142" s="121"/>
      <c r="F142" s="121"/>
      <c r="G142" s="121"/>
      <c r="H142" s="121"/>
      <c r="I142" s="37"/>
      <c r="J142" s="121"/>
      <c r="K142" s="120"/>
      <c r="L142" s="121"/>
      <c r="M142" s="121"/>
      <c r="N142" s="121"/>
      <c r="O142" s="390"/>
      <c r="P142" s="390"/>
      <c r="Q142" s="37"/>
      <c r="R142" s="390"/>
      <c r="S142" s="176"/>
      <c r="T142" s="1"/>
      <c r="U142" s="1"/>
      <c r="V142" s="118"/>
      <c r="W142" s="57"/>
      <c r="X142" s="57"/>
      <c r="Y142" s="37"/>
      <c r="Z142" s="118"/>
      <c r="AA142" s="118"/>
      <c r="AB142" s="1"/>
      <c r="AC142" s="1"/>
      <c r="AD142" s="1"/>
      <c r="AE142" s="118"/>
      <c r="AF142" s="118"/>
      <c r="AG142" s="118"/>
      <c r="AH142" s="118"/>
      <c r="AI142" s="118"/>
      <c r="AJ142" s="37"/>
      <c r="AK142" s="38"/>
      <c r="AL142" s="197"/>
    </row>
    <row r="143" spans="1:38" x14ac:dyDescent="0.25">
      <c r="A143" s="385">
        <v>197</v>
      </c>
      <c r="B143" s="131"/>
      <c r="C143" s="155"/>
      <c r="D143" s="155"/>
      <c r="E143" s="118"/>
      <c r="F143" s="121"/>
      <c r="G143" s="118"/>
      <c r="H143" s="121"/>
      <c r="I143" s="37"/>
      <c r="J143" s="12"/>
      <c r="K143" s="118"/>
      <c r="L143" s="121"/>
      <c r="M143" s="118"/>
      <c r="N143" s="118"/>
      <c r="O143" s="121"/>
      <c r="P143" s="172"/>
      <c r="Q143" s="37"/>
      <c r="R143" s="131"/>
      <c r="S143" s="118"/>
      <c r="T143" s="118"/>
      <c r="U143" s="1"/>
      <c r="V143" s="118"/>
      <c r="W143" s="57"/>
      <c r="X143" s="57"/>
      <c r="Y143" s="37"/>
      <c r="Z143" s="118"/>
      <c r="AA143" s="1"/>
      <c r="AB143" s="1"/>
      <c r="AC143" s="1"/>
      <c r="AD143" s="1"/>
      <c r="AE143" s="118"/>
      <c r="AF143" s="1"/>
      <c r="AG143" s="118"/>
      <c r="AH143" s="118"/>
      <c r="AI143" s="118"/>
      <c r="AJ143" s="37"/>
      <c r="AK143" s="38"/>
      <c r="AL143" s="197"/>
    </row>
    <row r="144" spans="1:38" x14ac:dyDescent="0.25">
      <c r="A144" s="385">
        <v>198</v>
      </c>
      <c r="B144" s="131"/>
      <c r="C144" s="121"/>
      <c r="D144" s="121"/>
      <c r="E144" s="121"/>
      <c r="F144" s="121"/>
      <c r="G144" s="121"/>
      <c r="H144" s="121"/>
      <c r="I144" s="37"/>
      <c r="J144" s="121"/>
      <c r="K144" s="371"/>
      <c r="L144" s="121"/>
      <c r="M144" s="121"/>
      <c r="N144" s="121"/>
      <c r="O144" s="121"/>
      <c r="P144" s="172"/>
      <c r="Q144" s="37"/>
      <c r="R144" s="131"/>
      <c r="S144" s="118"/>
      <c r="T144" s="118"/>
      <c r="U144" s="1"/>
      <c r="V144" s="118"/>
      <c r="W144" s="57"/>
      <c r="X144" s="57"/>
      <c r="Y144" s="37"/>
      <c r="Z144" s="118"/>
      <c r="AA144" s="118"/>
      <c r="AB144" s="1"/>
      <c r="AC144" s="1"/>
      <c r="AD144" s="1"/>
      <c r="AE144" s="118"/>
      <c r="AF144" s="118"/>
      <c r="AG144" s="118"/>
      <c r="AH144" s="118"/>
      <c r="AI144" s="118"/>
      <c r="AJ144" s="37"/>
      <c r="AK144" s="38"/>
      <c r="AL144" s="197"/>
    </row>
    <row r="145" spans="1:38" x14ac:dyDescent="0.25">
      <c r="A145" s="385">
        <v>199</v>
      </c>
      <c r="B145" s="131"/>
      <c r="C145" s="131"/>
      <c r="D145" s="12"/>
      <c r="E145" s="1"/>
      <c r="F145" s="118"/>
      <c r="G145" s="1"/>
      <c r="H145" s="118"/>
      <c r="I145" s="37"/>
      <c r="J145" s="118"/>
      <c r="K145" s="118"/>
      <c r="L145" s="135"/>
      <c r="M145" s="121"/>
      <c r="N145" s="121"/>
      <c r="O145" s="118"/>
      <c r="P145" s="172"/>
      <c r="Q145" s="37"/>
      <c r="R145" s="131"/>
      <c r="S145" s="118"/>
      <c r="T145" s="390"/>
      <c r="U145" s="1"/>
      <c r="V145" s="118"/>
      <c r="W145" s="57"/>
      <c r="X145" s="57"/>
      <c r="Y145" s="37"/>
      <c r="Z145" s="118"/>
      <c r="AA145" s="118"/>
      <c r="AB145" s="1"/>
      <c r="AC145" s="387"/>
      <c r="AD145" s="387"/>
      <c r="AE145" s="387"/>
      <c r="AF145" s="193"/>
      <c r="AG145" s="118"/>
      <c r="AH145" s="118"/>
      <c r="AI145" s="118"/>
      <c r="AJ145" s="37"/>
      <c r="AK145" s="38"/>
      <c r="AL145" s="197"/>
    </row>
    <row r="146" spans="1:38" x14ac:dyDescent="0.25">
      <c r="A146" s="385">
        <v>200</v>
      </c>
      <c r="B146" s="390"/>
      <c r="C146" s="390"/>
      <c r="D146" s="390"/>
      <c r="E146" s="390"/>
      <c r="F146" s="390"/>
      <c r="G146" s="390"/>
      <c r="H146" s="390"/>
      <c r="I146" s="111"/>
      <c r="J146" s="390"/>
      <c r="K146" s="390"/>
      <c r="L146" s="390"/>
      <c r="M146" s="390"/>
      <c r="N146" s="390"/>
      <c r="O146" s="390"/>
      <c r="P146" s="390"/>
      <c r="Q146" s="111"/>
      <c r="R146" s="390"/>
      <c r="S146" s="390"/>
      <c r="T146" s="390"/>
      <c r="U146" s="390"/>
      <c r="V146" s="389"/>
      <c r="W146" s="387"/>
      <c r="X146" s="387"/>
      <c r="Y146" s="111"/>
      <c r="Z146" s="387"/>
      <c r="AA146" s="387"/>
      <c r="AB146" s="387"/>
      <c r="AC146" s="387"/>
      <c r="AD146" s="387"/>
      <c r="AE146" s="387"/>
      <c r="AF146" s="387"/>
      <c r="AG146" s="387"/>
      <c r="AH146" s="387"/>
      <c r="AI146" s="387"/>
      <c r="AJ146" s="111"/>
      <c r="AK146" s="38"/>
      <c r="AL146" s="197"/>
    </row>
    <row r="147" spans="1:38" x14ac:dyDescent="0.25">
      <c r="A147" s="385">
        <v>201</v>
      </c>
      <c r="B147" s="12"/>
      <c r="C147" s="121"/>
      <c r="D147" s="121"/>
      <c r="E147" s="1"/>
      <c r="F147" s="118"/>
      <c r="G147" s="121"/>
      <c r="H147" s="118"/>
      <c r="I147" s="37"/>
      <c r="J147" s="118"/>
      <c r="K147" s="121"/>
      <c r="L147" s="121"/>
      <c r="M147" s="121"/>
      <c r="N147" s="118"/>
      <c r="O147" s="118"/>
      <c r="P147" s="172"/>
      <c r="Q147" s="37"/>
      <c r="R147" s="131"/>
      <c r="S147" s="118"/>
      <c r="T147" s="118"/>
      <c r="U147" s="1"/>
      <c r="V147" s="118"/>
      <c r="W147" s="57"/>
      <c r="X147" s="57"/>
      <c r="Y147" s="37"/>
      <c r="Z147" s="118"/>
      <c r="AA147" s="118"/>
      <c r="AB147" s="1"/>
      <c r="AC147" s="1"/>
      <c r="AD147" s="1"/>
      <c r="AE147" s="118"/>
      <c r="AF147" s="118"/>
      <c r="AG147" s="118"/>
      <c r="AH147" s="118"/>
      <c r="AI147" s="118"/>
      <c r="AJ147" s="37"/>
      <c r="AK147" s="38"/>
      <c r="AL147" s="197"/>
    </row>
    <row r="148" spans="1:38" x14ac:dyDescent="0.25">
      <c r="A148" s="385">
        <v>202</v>
      </c>
      <c r="B148" s="121"/>
      <c r="C148" s="121"/>
      <c r="D148" s="155"/>
      <c r="E148" s="1"/>
      <c r="F148" s="121"/>
      <c r="G148" s="121"/>
      <c r="H148" s="390"/>
      <c r="I148" s="37"/>
      <c r="J148" s="118"/>
      <c r="K148" s="118"/>
      <c r="L148" s="118"/>
      <c r="M148" s="121"/>
      <c r="N148" s="57"/>
      <c r="O148" s="118"/>
      <c r="P148" s="172"/>
      <c r="Q148" s="37"/>
      <c r="R148" s="131"/>
      <c r="S148" s="118"/>
      <c r="T148" s="118"/>
      <c r="U148" s="1"/>
      <c r="V148" s="118"/>
      <c r="W148" s="57"/>
      <c r="X148" s="57"/>
      <c r="Y148" s="37"/>
      <c r="Z148" s="387"/>
      <c r="AA148" s="387"/>
      <c r="AB148" s="1"/>
      <c r="AC148" s="387"/>
      <c r="AD148" s="1"/>
      <c r="AE148" s="211"/>
      <c r="AF148" s="387"/>
      <c r="AG148" s="118"/>
      <c r="AH148" s="118"/>
      <c r="AI148" s="118"/>
      <c r="AJ148" s="37"/>
      <c r="AK148" s="38"/>
      <c r="AL148" s="197"/>
    </row>
    <row r="149" spans="1:38" x14ac:dyDescent="0.25">
      <c r="A149" s="385">
        <v>203</v>
      </c>
      <c r="B149" s="390"/>
      <c r="C149" s="155"/>
      <c r="D149" s="121"/>
      <c r="E149" s="121"/>
      <c r="F149" s="121"/>
      <c r="G149" s="121"/>
      <c r="H149" s="121"/>
      <c r="I149" s="37"/>
      <c r="J149" s="121"/>
      <c r="K149" s="121"/>
      <c r="L149" s="121"/>
      <c r="M149" s="121"/>
      <c r="N149" s="121"/>
      <c r="O149" s="121"/>
      <c r="P149" s="205"/>
      <c r="Q149" s="37"/>
      <c r="R149" s="131"/>
      <c r="S149" s="1"/>
      <c r="T149" s="118"/>
      <c r="U149" s="1"/>
      <c r="V149" s="118"/>
      <c r="W149" s="57"/>
      <c r="X149" s="57"/>
      <c r="Y149" s="37"/>
      <c r="Z149" s="118"/>
      <c r="AA149" s="1"/>
      <c r="AB149" s="1"/>
      <c r="AC149" s="1"/>
      <c r="AD149" s="1"/>
      <c r="AE149" s="118"/>
      <c r="AF149" s="118"/>
      <c r="AG149" s="118"/>
      <c r="AH149" s="118"/>
      <c r="AI149" s="118"/>
      <c r="AJ149" s="37"/>
      <c r="AK149" s="38"/>
      <c r="AL149" s="197"/>
    </row>
    <row r="150" spans="1:38" x14ac:dyDescent="0.25">
      <c r="A150" s="383">
        <v>204</v>
      </c>
      <c r="B150" s="155"/>
      <c r="C150" s="155"/>
      <c r="D150" s="121"/>
      <c r="E150" s="121"/>
      <c r="F150" s="1"/>
      <c r="G150" s="121"/>
      <c r="H150" s="1"/>
      <c r="I150" s="37"/>
      <c r="J150" s="121"/>
      <c r="K150" s="118"/>
      <c r="L150" s="118"/>
      <c r="M150" s="118"/>
      <c r="N150" s="118"/>
      <c r="O150" s="120"/>
      <c r="P150" s="172"/>
      <c r="Q150" s="37"/>
      <c r="R150" s="131"/>
      <c r="S150" s="118"/>
      <c r="T150" s="118"/>
      <c r="U150" s="1"/>
      <c r="V150" s="118"/>
      <c r="W150" s="57"/>
      <c r="X150" s="57"/>
      <c r="Y150" s="37"/>
      <c r="Z150" s="118"/>
      <c r="AA150" s="118"/>
      <c r="AB150" s="1"/>
      <c r="AC150" s="1"/>
      <c r="AD150" s="1"/>
      <c r="AE150" s="118"/>
      <c r="AF150" s="118"/>
      <c r="AG150" s="118"/>
      <c r="AH150" s="118"/>
      <c r="AI150" s="118"/>
      <c r="AJ150" s="37"/>
      <c r="AK150" s="38"/>
      <c r="AL150" s="176"/>
    </row>
    <row r="151" spans="1:38" x14ac:dyDescent="0.25">
      <c r="A151" s="383">
        <v>205</v>
      </c>
      <c r="B151" s="155"/>
      <c r="C151" s="121"/>
      <c r="D151" s="121"/>
      <c r="E151" s="121"/>
      <c r="F151" s="121"/>
      <c r="G151" s="121"/>
      <c r="H151" s="121"/>
      <c r="I151" s="37"/>
      <c r="J151" s="121"/>
      <c r="K151" s="121"/>
      <c r="L151" s="121"/>
      <c r="M151" s="121"/>
      <c r="N151" s="121"/>
      <c r="O151" s="121"/>
      <c r="P151" s="172"/>
      <c r="Q151" s="37"/>
      <c r="R151" s="131"/>
      <c r="S151" s="118"/>
      <c r="T151" s="118"/>
      <c r="U151" s="1"/>
      <c r="V151" s="118"/>
      <c r="W151" s="57"/>
      <c r="X151" s="57"/>
      <c r="Y151" s="37"/>
      <c r="Z151" s="118"/>
      <c r="AA151" s="118"/>
      <c r="AB151" s="1"/>
      <c r="AC151" s="1"/>
      <c r="AD151" s="1"/>
      <c r="AE151" s="118"/>
      <c r="AF151" s="118"/>
      <c r="AG151" s="118"/>
      <c r="AH151" s="118"/>
      <c r="AI151" s="118"/>
      <c r="AJ151" s="37"/>
      <c r="AK151" s="38"/>
      <c r="AL151" s="197"/>
    </row>
    <row r="152" spans="1:38" x14ac:dyDescent="0.25">
      <c r="A152" s="383">
        <v>206</v>
      </c>
      <c r="B152" s="131"/>
      <c r="C152" s="121"/>
      <c r="D152" s="121"/>
      <c r="E152" s="118"/>
      <c r="F152" s="121"/>
      <c r="G152" s="121"/>
      <c r="H152" s="118"/>
      <c r="I152" s="37"/>
      <c r="J152" s="121"/>
      <c r="K152" s="121"/>
      <c r="L152" s="121"/>
      <c r="M152" s="121"/>
      <c r="N152" s="121"/>
      <c r="O152" s="121"/>
      <c r="P152" s="172"/>
      <c r="Q152" s="37"/>
      <c r="R152" s="12"/>
      <c r="S152" s="118"/>
      <c r="T152" s="1"/>
      <c r="U152" s="1"/>
      <c r="V152" s="118"/>
      <c r="W152" s="57"/>
      <c r="X152" s="57"/>
      <c r="Y152" s="37"/>
      <c r="Z152" s="1"/>
      <c r="AA152" s="118"/>
      <c r="AB152" s="1"/>
      <c r="AC152" s="1"/>
      <c r="AD152" s="1"/>
      <c r="AE152" s="118"/>
      <c r="AF152" s="1"/>
      <c r="AG152" s="118"/>
      <c r="AH152" s="118"/>
      <c r="AI152" s="118"/>
      <c r="AJ152" s="37"/>
      <c r="AK152" s="38"/>
      <c r="AL152" s="197"/>
    </row>
    <row r="153" spans="1:38" x14ac:dyDescent="0.25">
      <c r="A153" s="383">
        <v>207</v>
      </c>
      <c r="B153" s="155"/>
      <c r="C153" s="390"/>
      <c r="D153" s="155"/>
      <c r="E153" s="121"/>
      <c r="F153" s="121"/>
      <c r="G153" s="121"/>
      <c r="H153" s="118"/>
      <c r="I153" s="37"/>
      <c r="J153" s="121"/>
      <c r="K153" s="121"/>
      <c r="L153" s="121"/>
      <c r="M153" s="121"/>
      <c r="N153" s="121"/>
      <c r="O153" s="120"/>
      <c r="P153" s="172"/>
      <c r="Q153" s="37"/>
      <c r="R153" s="131"/>
      <c r="S153" s="118"/>
      <c r="T153" s="118"/>
      <c r="U153" s="1"/>
      <c r="V153" s="118"/>
      <c r="W153" s="57"/>
      <c r="X153" s="57"/>
      <c r="Y153" s="37"/>
      <c r="Z153" s="118"/>
      <c r="AA153" s="118"/>
      <c r="AB153" s="1"/>
      <c r="AC153" s="1"/>
      <c r="AD153" s="1"/>
      <c r="AE153" s="118"/>
      <c r="AF153" s="118"/>
      <c r="AG153" s="118"/>
      <c r="AH153" s="118"/>
      <c r="AI153" s="118"/>
      <c r="AJ153" s="37"/>
      <c r="AK153" s="38"/>
      <c r="AL153" s="197"/>
    </row>
    <row r="154" spans="1:38" x14ac:dyDescent="0.25">
      <c r="A154" s="383">
        <v>208</v>
      </c>
      <c r="B154" s="131"/>
      <c r="C154" s="135"/>
      <c r="D154" s="155"/>
      <c r="E154" s="121"/>
      <c r="F154" s="118"/>
      <c r="G154" s="118"/>
      <c r="H154" s="118"/>
      <c r="I154" s="37"/>
      <c r="J154" s="118"/>
      <c r="K154" s="118"/>
      <c r="L154" s="118"/>
      <c r="M154" s="121"/>
      <c r="N154" s="118"/>
      <c r="O154" s="118"/>
      <c r="P154" s="172"/>
      <c r="Q154" s="37"/>
      <c r="R154" s="131"/>
      <c r="S154" s="118"/>
      <c r="T154" s="118"/>
      <c r="U154" s="1"/>
      <c r="V154" s="1"/>
      <c r="W154" s="57"/>
      <c r="X154" s="57"/>
      <c r="Y154" s="37"/>
      <c r="Z154" s="118"/>
      <c r="AA154" s="118"/>
      <c r="AB154" s="1"/>
      <c r="AC154" s="1"/>
      <c r="AD154" s="1"/>
      <c r="AE154" s="118"/>
      <c r="AF154" s="118"/>
      <c r="AG154" s="118"/>
      <c r="AH154" s="118"/>
      <c r="AI154" s="118"/>
      <c r="AJ154" s="37"/>
      <c r="AK154" s="38"/>
      <c r="AL154" s="197"/>
    </row>
    <row r="155" spans="1:38" x14ac:dyDescent="0.25">
      <c r="A155" s="383">
        <v>209</v>
      </c>
      <c r="B155" s="155"/>
      <c r="C155" s="155"/>
      <c r="D155" s="121"/>
      <c r="E155" s="121"/>
      <c r="F155" s="121"/>
      <c r="G155" s="121"/>
      <c r="H155" s="121"/>
      <c r="I155" s="37"/>
      <c r="J155" s="121"/>
      <c r="K155" s="121"/>
      <c r="L155" s="121"/>
      <c r="M155" s="121"/>
      <c r="N155" s="121"/>
      <c r="O155" s="121"/>
      <c r="P155" s="205"/>
      <c r="Q155" s="37"/>
      <c r="R155" s="131"/>
      <c r="S155" s="118"/>
      <c r="T155" s="118"/>
      <c r="U155" s="1"/>
      <c r="V155" s="118"/>
      <c r="W155" s="57"/>
      <c r="X155" s="57"/>
      <c r="Y155" s="37"/>
      <c r="Z155" s="118"/>
      <c r="AA155" s="118"/>
      <c r="AB155" s="1"/>
      <c r="AC155" s="1"/>
      <c r="AD155" s="387"/>
      <c r="AE155" s="185"/>
      <c r="AF155" s="118"/>
      <c r="AG155" s="118"/>
      <c r="AH155" s="118"/>
      <c r="AI155" s="118"/>
      <c r="AJ155" s="37"/>
      <c r="AK155" s="38"/>
      <c r="AL155" s="197"/>
    </row>
    <row r="156" spans="1:38" x14ac:dyDescent="0.25">
      <c r="A156" s="383">
        <v>210</v>
      </c>
      <c r="B156" s="131"/>
      <c r="C156" s="135"/>
      <c r="D156" s="121"/>
      <c r="E156" s="121"/>
      <c r="F156" s="1"/>
      <c r="G156" s="121"/>
      <c r="H156" s="121"/>
      <c r="I156" s="37"/>
      <c r="J156" s="121"/>
      <c r="K156" s="121"/>
      <c r="L156" s="390"/>
      <c r="M156" s="121"/>
      <c r="N156" s="121"/>
      <c r="O156" s="120"/>
      <c r="P156" s="205"/>
      <c r="Q156" s="37"/>
      <c r="R156" s="131"/>
      <c r="S156" s="118"/>
      <c r="T156" s="118"/>
      <c r="U156" s="1"/>
      <c r="V156" s="118"/>
      <c r="W156" s="57"/>
      <c r="X156" s="57"/>
      <c r="Y156" s="37"/>
      <c r="Z156" s="118"/>
      <c r="AA156" s="118"/>
      <c r="AB156" s="1"/>
      <c r="AC156" s="1"/>
      <c r="AD156" s="1"/>
      <c r="AE156" s="1"/>
      <c r="AF156" s="118"/>
      <c r="AG156" s="118"/>
      <c r="AH156" s="118"/>
      <c r="AI156" s="118"/>
      <c r="AJ156" s="37"/>
      <c r="AK156" s="38"/>
      <c r="AL156" s="197"/>
    </row>
    <row r="157" spans="1:38" x14ac:dyDescent="0.25">
      <c r="A157" s="383">
        <v>211</v>
      </c>
      <c r="B157" s="155"/>
      <c r="C157" s="155"/>
      <c r="D157" s="121"/>
      <c r="E157" s="121"/>
      <c r="F157" s="118"/>
      <c r="G157" s="121"/>
      <c r="H157" s="118"/>
      <c r="I157" s="37"/>
      <c r="J157" s="121"/>
      <c r="K157" s="121"/>
      <c r="L157" s="121"/>
      <c r="M157" s="121"/>
      <c r="N157" s="121"/>
      <c r="O157" s="121"/>
      <c r="P157" s="172"/>
      <c r="Q157" s="37"/>
      <c r="R157" s="131"/>
      <c r="S157" s="118"/>
      <c r="T157" s="118"/>
      <c r="U157" s="1"/>
      <c r="V157" s="118"/>
      <c r="W157" s="57"/>
      <c r="X157" s="57"/>
      <c r="Y157" s="37"/>
      <c r="Z157" s="118"/>
      <c r="AA157" s="1"/>
      <c r="AB157" s="1"/>
      <c r="AC157" s="1"/>
      <c r="AD157" s="1"/>
      <c r="AE157" s="118"/>
      <c r="AF157" s="1"/>
      <c r="AG157" s="118"/>
      <c r="AH157" s="118"/>
      <c r="AI157" s="118"/>
      <c r="AJ157" s="37"/>
      <c r="AK157" s="38"/>
      <c r="AL157" s="197"/>
    </row>
    <row r="158" spans="1:38" x14ac:dyDescent="0.25">
      <c r="A158" s="383">
        <v>212</v>
      </c>
      <c r="B158" s="121"/>
      <c r="C158" s="155"/>
      <c r="D158" s="390"/>
      <c r="E158" s="118"/>
      <c r="F158" s="118"/>
      <c r="G158" s="118"/>
      <c r="H158" s="121"/>
      <c r="I158" s="37"/>
      <c r="J158" s="121"/>
      <c r="K158" s="121"/>
      <c r="L158" s="121"/>
      <c r="M158" s="121"/>
      <c r="N158" s="121"/>
      <c r="O158" s="120"/>
      <c r="P158" s="172"/>
      <c r="Q158" s="37"/>
      <c r="R158" s="131"/>
      <c r="S158" s="118"/>
      <c r="T158" s="118"/>
      <c r="U158" s="1"/>
      <c r="V158" s="118"/>
      <c r="W158" s="57"/>
      <c r="X158" s="57"/>
      <c r="Y158" s="37"/>
      <c r="Z158" s="118"/>
      <c r="AA158" s="118"/>
      <c r="AB158" s="1"/>
      <c r="AC158" s="1"/>
      <c r="AD158" s="1"/>
      <c r="AE158" s="118"/>
      <c r="AF158" s="118"/>
      <c r="AG158" s="118"/>
      <c r="AH158" s="118"/>
      <c r="AI158" s="118"/>
      <c r="AJ158" s="37"/>
      <c r="AK158" s="38"/>
      <c r="AL158" s="197"/>
    </row>
    <row r="159" spans="1:38" ht="18.75" x14ac:dyDescent="0.3">
      <c r="A159" s="383">
        <v>213</v>
      </c>
      <c r="B159" s="135"/>
      <c r="C159" s="121"/>
      <c r="D159" s="121"/>
      <c r="E159" s="121"/>
      <c r="F159" s="118"/>
      <c r="G159" s="121"/>
      <c r="H159" s="121"/>
      <c r="I159" s="37"/>
      <c r="J159" s="121"/>
      <c r="K159" s="121"/>
      <c r="L159" s="121"/>
      <c r="M159" s="121"/>
      <c r="N159" s="121"/>
      <c r="O159" s="120"/>
      <c r="P159" s="172"/>
      <c r="Q159" s="37"/>
      <c r="R159" s="131"/>
      <c r="S159" s="118"/>
      <c r="T159" s="118"/>
      <c r="U159" s="1"/>
      <c r="V159" s="118"/>
      <c r="W159" s="57"/>
      <c r="X159" s="57"/>
      <c r="Y159" s="37"/>
      <c r="Z159" s="1"/>
      <c r="AA159" s="118"/>
      <c r="AB159" s="1"/>
      <c r="AC159" s="1"/>
      <c r="AD159" s="1"/>
      <c r="AE159" s="118"/>
      <c r="AF159" s="118"/>
      <c r="AG159" s="118"/>
      <c r="AH159" s="118"/>
      <c r="AI159" s="118"/>
      <c r="AJ159" s="37"/>
      <c r="AK159" s="339"/>
      <c r="AL159" s="197"/>
    </row>
    <row r="160" spans="1:38" ht="18.75" x14ac:dyDescent="0.3">
      <c r="A160" s="383">
        <v>214</v>
      </c>
      <c r="B160" s="131"/>
      <c r="C160" s="121"/>
      <c r="D160" s="121"/>
      <c r="E160" s="121"/>
      <c r="F160" s="121"/>
      <c r="G160" s="121"/>
      <c r="H160" s="121"/>
      <c r="I160" s="37"/>
      <c r="J160" s="121"/>
      <c r="K160" s="1"/>
      <c r="L160" s="121"/>
      <c r="M160" s="121"/>
      <c r="N160" s="121"/>
      <c r="O160" s="390"/>
      <c r="P160" s="172"/>
      <c r="Q160" s="37"/>
      <c r="R160" s="131"/>
      <c r="S160" s="118"/>
      <c r="T160" s="118"/>
      <c r="U160" s="1"/>
      <c r="V160" s="118"/>
      <c r="W160" s="57"/>
      <c r="X160" s="57"/>
      <c r="Y160" s="37"/>
      <c r="Z160" s="118"/>
      <c r="AA160" s="118"/>
      <c r="AB160" s="1"/>
      <c r="AC160" s="1"/>
      <c r="AD160" s="1"/>
      <c r="AE160" s="118"/>
      <c r="AF160" s="118"/>
      <c r="AG160" s="118"/>
      <c r="AH160" s="118"/>
      <c r="AI160" s="118"/>
      <c r="AJ160" s="37"/>
      <c r="AK160" s="339"/>
      <c r="AL160" s="197"/>
    </row>
    <row r="161" spans="1:79" ht="18.75" x14ac:dyDescent="0.3">
      <c r="A161" s="383">
        <v>215</v>
      </c>
      <c r="B161" s="131"/>
      <c r="C161" s="135"/>
      <c r="D161" s="121"/>
      <c r="E161" s="121"/>
      <c r="F161" s="118"/>
      <c r="G161" s="121"/>
      <c r="H161" s="121"/>
      <c r="I161" s="37"/>
      <c r="J161" s="121"/>
      <c r="K161" s="121"/>
      <c r="L161" s="121"/>
      <c r="M161" s="121"/>
      <c r="N161" s="121"/>
      <c r="O161" s="121"/>
      <c r="P161" s="172"/>
      <c r="Q161" s="37"/>
      <c r="R161" s="131"/>
      <c r="S161" s="118"/>
      <c r="T161" s="118"/>
      <c r="U161" s="1"/>
      <c r="V161" s="118"/>
      <c r="W161" s="57"/>
      <c r="X161" s="57"/>
      <c r="Y161" s="37"/>
      <c r="Z161" s="118"/>
      <c r="AA161" s="1"/>
      <c r="AB161" s="1"/>
      <c r="AC161" s="1"/>
      <c r="AD161" s="1"/>
      <c r="AE161" s="118"/>
      <c r="AF161" s="118"/>
      <c r="AG161" s="118"/>
      <c r="AH161" s="118"/>
      <c r="AI161" s="118"/>
      <c r="AJ161" s="37"/>
      <c r="AK161" s="339"/>
      <c r="AL161" s="197"/>
    </row>
    <row r="162" spans="1:79" ht="15.75" thickBot="1" x14ac:dyDescent="0.3">
      <c r="A162" s="384">
        <v>216</v>
      </c>
      <c r="B162" s="152"/>
      <c r="C162" s="171"/>
      <c r="D162" s="128"/>
      <c r="E162" s="128"/>
      <c r="F162" s="128"/>
      <c r="G162" s="390"/>
      <c r="H162" s="128"/>
      <c r="I162" s="43"/>
      <c r="J162" s="128"/>
      <c r="K162" s="390"/>
      <c r="L162" s="390"/>
      <c r="M162" s="390"/>
      <c r="N162" s="128"/>
      <c r="O162" s="122"/>
      <c r="P162" s="206"/>
      <c r="Q162" s="43"/>
      <c r="R162" s="152"/>
      <c r="S162" s="119"/>
      <c r="T162" s="119"/>
      <c r="U162" s="123"/>
      <c r="V162" s="119"/>
      <c r="W162" s="178"/>
      <c r="X162" s="178"/>
      <c r="Y162" s="43"/>
      <c r="Z162" s="387"/>
      <c r="AA162" s="119"/>
      <c r="AB162" s="123"/>
      <c r="AC162" s="123"/>
      <c r="AD162" s="123"/>
      <c r="AE162" s="119"/>
      <c r="AF162" s="119"/>
      <c r="AG162" s="119"/>
      <c r="AH162" s="119"/>
      <c r="AI162" s="119"/>
      <c r="AJ162" s="43"/>
      <c r="AK162" s="44"/>
      <c r="AL162" s="204"/>
    </row>
    <row r="163" spans="1:79" ht="18.75" x14ac:dyDescent="0.3">
      <c r="A163" s="281" t="s">
        <v>2</v>
      </c>
      <c r="B163" s="163"/>
      <c r="C163" s="163"/>
      <c r="D163" s="163"/>
      <c r="E163" s="163"/>
      <c r="F163" s="163"/>
      <c r="G163" s="163"/>
      <c r="H163" s="163"/>
      <c r="I163" s="158"/>
      <c r="J163" s="163"/>
      <c r="K163" s="163"/>
      <c r="L163" s="163"/>
      <c r="M163" s="163"/>
      <c r="N163" s="163"/>
      <c r="O163" s="163"/>
      <c r="P163" s="163"/>
      <c r="Q163" s="221"/>
      <c r="R163" s="163"/>
      <c r="S163" s="163"/>
      <c r="T163" s="163"/>
      <c r="U163" s="163"/>
      <c r="V163" s="163"/>
      <c r="W163" s="163"/>
      <c r="X163" s="163"/>
      <c r="Y163" s="221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262"/>
      <c r="AK163" s="263"/>
      <c r="AL163" s="235"/>
    </row>
    <row r="164" spans="1:79" ht="15.75" thickBot="1" x14ac:dyDescent="0.3">
      <c r="A164" s="264"/>
      <c r="B164" s="265"/>
      <c r="C164" s="265"/>
      <c r="D164" s="265"/>
      <c r="E164" s="265"/>
      <c r="F164" s="265"/>
      <c r="G164" s="265"/>
      <c r="H164" s="265"/>
      <c r="I164" s="56"/>
      <c r="J164" s="265"/>
      <c r="K164" s="265"/>
      <c r="L164" s="265"/>
      <c r="M164" s="265"/>
      <c r="N164" s="265"/>
      <c r="O164" s="265"/>
      <c r="P164" s="265"/>
      <c r="Q164" s="56"/>
      <c r="R164" s="265"/>
      <c r="S164" s="265"/>
      <c r="T164" s="265"/>
      <c r="U164" s="265"/>
      <c r="V164" s="265"/>
      <c r="W164" s="265"/>
      <c r="X164" s="265"/>
      <c r="Y164" s="56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56"/>
      <c r="AK164" s="225"/>
      <c r="AL164" s="228"/>
    </row>
    <row r="165" spans="1:79" ht="24" thickBot="1" x14ac:dyDescent="0.4">
      <c r="A165" s="252" t="s">
        <v>192</v>
      </c>
      <c r="B165" s="258"/>
      <c r="C165" s="258"/>
      <c r="D165" s="258"/>
      <c r="E165" s="258"/>
      <c r="F165" s="258"/>
      <c r="G165" s="254"/>
      <c r="H165" s="254"/>
      <c r="I165" s="259"/>
      <c r="J165" s="259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60"/>
      <c r="AK165" s="261"/>
      <c r="AL165" s="255"/>
    </row>
    <row r="166" spans="1:79" ht="15.75" x14ac:dyDescent="0.25">
      <c r="A166" s="320" t="s">
        <v>8</v>
      </c>
      <c r="B166" s="326"/>
      <c r="C166" s="326"/>
      <c r="D166" s="326"/>
      <c r="E166" s="326"/>
      <c r="F166" s="326"/>
      <c r="G166" s="326"/>
      <c r="H166" s="326"/>
      <c r="I166" s="323"/>
      <c r="J166" s="326"/>
      <c r="K166" s="326"/>
      <c r="L166" s="326"/>
      <c r="M166" s="326"/>
      <c r="N166" s="326"/>
      <c r="O166" s="326"/>
      <c r="P166" s="326"/>
      <c r="Q166" s="323"/>
      <c r="R166" s="326"/>
      <c r="S166" s="326"/>
      <c r="T166" s="326"/>
      <c r="U166" s="326"/>
      <c r="V166" s="326"/>
      <c r="W166" s="326"/>
      <c r="X166" s="326"/>
      <c r="Y166" s="323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4"/>
      <c r="AK166" s="325"/>
      <c r="AL166" s="327"/>
    </row>
    <row r="167" spans="1:79" x14ac:dyDescent="0.25">
      <c r="A167" s="67" t="s">
        <v>9</v>
      </c>
      <c r="B167" s="1"/>
      <c r="C167" s="1"/>
      <c r="D167" s="1"/>
      <c r="E167" s="1"/>
      <c r="F167" s="1"/>
      <c r="G167" s="1"/>
      <c r="H167" s="1"/>
      <c r="I167" s="36"/>
      <c r="J167" s="1"/>
      <c r="K167" s="1"/>
      <c r="L167" s="173"/>
      <c r="M167" s="1"/>
      <c r="N167" s="1"/>
      <c r="O167" s="1"/>
      <c r="P167" s="1"/>
      <c r="Q167" s="36"/>
      <c r="R167" s="1"/>
      <c r="S167" s="1"/>
      <c r="T167" s="1"/>
      <c r="U167" s="1"/>
      <c r="V167" s="173"/>
      <c r="W167" s="173"/>
      <c r="X167" s="173"/>
      <c r="Y167" s="36"/>
      <c r="Z167" s="1"/>
      <c r="AA167" s="1"/>
      <c r="AB167" s="173"/>
      <c r="AC167" s="173"/>
      <c r="AD167" s="173"/>
      <c r="AE167" s="1"/>
      <c r="AF167" s="1"/>
      <c r="AG167" s="1"/>
      <c r="AH167" s="1"/>
      <c r="AI167" s="1"/>
      <c r="AJ167" s="37"/>
      <c r="AK167" s="38"/>
      <c r="AL167" s="197"/>
    </row>
    <row r="168" spans="1:79" x14ac:dyDescent="0.25">
      <c r="A168" s="67" t="s">
        <v>10</v>
      </c>
      <c r="B168" s="118"/>
      <c r="C168" s="118"/>
      <c r="D168" s="118"/>
      <c r="E168" s="118"/>
      <c r="F168" s="118"/>
      <c r="G168" s="118"/>
      <c r="H168" s="118"/>
      <c r="I168" s="37"/>
      <c r="J168" s="2"/>
      <c r="K168" s="2"/>
      <c r="L168" s="211"/>
      <c r="M168" s="2"/>
      <c r="N168" s="2"/>
      <c r="O168" s="2"/>
      <c r="P168" s="336"/>
      <c r="Q168" s="37"/>
      <c r="R168" s="118"/>
      <c r="S168" s="118"/>
      <c r="T168" s="118"/>
      <c r="U168" s="2"/>
      <c r="V168" s="211"/>
      <c r="W168" s="211"/>
      <c r="X168" s="211"/>
      <c r="Y168" s="37"/>
      <c r="Z168" s="118"/>
      <c r="AA168" s="118"/>
      <c r="AB168" s="211"/>
      <c r="AC168" s="211"/>
      <c r="AD168" s="211"/>
      <c r="AE168" s="2"/>
      <c r="AF168" s="2"/>
      <c r="AG168" s="2"/>
      <c r="AH168" s="2"/>
      <c r="AI168" s="2"/>
      <c r="AJ168" s="37"/>
      <c r="AK168" s="38"/>
      <c r="AL168" s="197"/>
    </row>
    <row r="169" spans="1:79" ht="18.75" x14ac:dyDescent="0.3">
      <c r="A169" s="67" t="s">
        <v>45</v>
      </c>
      <c r="B169" s="118"/>
      <c r="C169" s="118"/>
      <c r="D169" s="118"/>
      <c r="E169" s="118"/>
      <c r="F169" s="118"/>
      <c r="G169" s="118"/>
      <c r="H169" s="118"/>
      <c r="I169" s="37"/>
      <c r="J169" s="2"/>
      <c r="K169" s="2"/>
      <c r="L169" s="211"/>
      <c r="M169" s="2"/>
      <c r="N169" s="2"/>
      <c r="O169" s="2"/>
      <c r="P169" s="336"/>
      <c r="Q169" s="37"/>
      <c r="R169" s="118"/>
      <c r="S169" s="118"/>
      <c r="T169" s="118"/>
      <c r="U169" s="2"/>
      <c r="V169" s="211"/>
      <c r="W169" s="211"/>
      <c r="X169" s="211"/>
      <c r="Y169" s="37"/>
      <c r="Z169" s="118"/>
      <c r="AA169" s="118"/>
      <c r="AB169" s="211"/>
      <c r="AC169" s="211"/>
      <c r="AD169" s="211"/>
      <c r="AE169" s="2"/>
      <c r="AF169" s="2"/>
      <c r="AG169" s="2"/>
      <c r="AH169" s="2"/>
      <c r="AI169" s="2"/>
      <c r="AJ169" s="37"/>
      <c r="AK169" s="339"/>
      <c r="AL169" s="197"/>
    </row>
    <row r="170" spans="1:79" ht="18.75" x14ac:dyDescent="0.3">
      <c r="A170" s="67" t="s">
        <v>11</v>
      </c>
      <c r="B170" s="118"/>
      <c r="C170" s="118"/>
      <c r="D170" s="118"/>
      <c r="E170" s="118"/>
      <c r="F170" s="118"/>
      <c r="G170" s="118"/>
      <c r="H170" s="118"/>
      <c r="I170" s="37"/>
      <c r="J170" s="2"/>
      <c r="K170" s="118"/>
      <c r="L170" s="211"/>
      <c r="M170" s="118"/>
      <c r="N170" s="118"/>
      <c r="O170" s="2"/>
      <c r="P170" s="1"/>
      <c r="Q170" s="37"/>
      <c r="R170" s="118"/>
      <c r="S170" s="118"/>
      <c r="T170" s="118"/>
      <c r="U170" s="2"/>
      <c r="V170" s="211"/>
      <c r="W170" s="211"/>
      <c r="X170" s="211"/>
      <c r="Y170" s="37"/>
      <c r="Z170" s="118"/>
      <c r="AA170" s="118"/>
      <c r="AB170" s="211"/>
      <c r="AC170" s="211"/>
      <c r="AD170" s="211"/>
      <c r="AE170" s="1"/>
      <c r="AF170" s="2"/>
      <c r="AG170" s="2"/>
      <c r="AH170" s="2"/>
      <c r="AI170" s="2"/>
      <c r="AJ170" s="37"/>
      <c r="AK170" s="339"/>
      <c r="AL170" s="197"/>
    </row>
    <row r="171" spans="1:79" ht="18.75" x14ac:dyDescent="0.3">
      <c r="A171" s="67" t="s">
        <v>12</v>
      </c>
      <c r="B171" s="118"/>
      <c r="C171" s="118"/>
      <c r="D171" s="118"/>
      <c r="E171" s="118"/>
      <c r="F171" s="118"/>
      <c r="G171" s="118"/>
      <c r="H171" s="118"/>
      <c r="I171" s="37"/>
      <c r="J171" s="118"/>
      <c r="K171" s="118"/>
      <c r="L171" s="211"/>
      <c r="M171" s="2"/>
      <c r="N171" s="2"/>
      <c r="O171" s="118"/>
      <c r="P171" s="1"/>
      <c r="Q171" s="37"/>
      <c r="R171" s="118"/>
      <c r="S171" s="118"/>
      <c r="T171" s="118"/>
      <c r="U171" s="1"/>
      <c r="V171" s="211"/>
      <c r="W171" s="211"/>
      <c r="X171" s="211"/>
      <c r="Y171" s="37"/>
      <c r="Z171" s="118"/>
      <c r="AA171" s="118"/>
      <c r="AB171" s="211"/>
      <c r="AC171" s="211"/>
      <c r="AD171" s="211"/>
      <c r="AE171" s="2"/>
      <c r="AF171" s="1"/>
      <c r="AG171" s="2"/>
      <c r="AH171" s="2"/>
      <c r="AI171" s="2"/>
      <c r="AJ171" s="37"/>
      <c r="AK171" s="339"/>
      <c r="AL171" s="197"/>
    </row>
    <row r="172" spans="1:79" ht="15.75" thickBot="1" x14ac:dyDescent="0.3">
      <c r="A172" s="63" t="s">
        <v>79</v>
      </c>
      <c r="B172" s="119"/>
      <c r="C172" s="123"/>
      <c r="D172" s="119"/>
      <c r="E172" s="119"/>
      <c r="F172" s="119"/>
      <c r="G172" s="119"/>
      <c r="H172" s="119"/>
      <c r="I172" s="43"/>
      <c r="J172" s="119"/>
      <c r="K172" s="119"/>
      <c r="L172" s="200"/>
      <c r="M172" s="119"/>
      <c r="N172" s="119"/>
      <c r="O172" s="42"/>
      <c r="P172" s="123"/>
      <c r="Q172" s="43"/>
      <c r="R172" s="119"/>
      <c r="S172" s="119"/>
      <c r="T172" s="119"/>
      <c r="U172" s="42"/>
      <c r="V172" s="200"/>
      <c r="W172" s="200"/>
      <c r="X172" s="200"/>
      <c r="Y172" s="43"/>
      <c r="Z172" s="119"/>
      <c r="AA172" s="119"/>
      <c r="AB172" s="200"/>
      <c r="AC172" s="200"/>
      <c r="AD172" s="200"/>
      <c r="AE172" s="119"/>
      <c r="AF172" s="42"/>
      <c r="AG172" s="42"/>
      <c r="AH172" s="42"/>
      <c r="AI172" s="42"/>
      <c r="AJ172" s="43"/>
      <c r="AK172" s="44"/>
      <c r="AL172" s="204"/>
    </row>
    <row r="173" spans="1:79" s="2" customFormat="1" ht="19.5" thickBot="1" x14ac:dyDescent="0.35">
      <c r="A173" s="281" t="s">
        <v>2</v>
      </c>
      <c r="B173" s="241"/>
      <c r="C173" s="241"/>
      <c r="D173" s="241"/>
      <c r="E173" s="241"/>
      <c r="F173" s="241"/>
      <c r="G173" s="241"/>
      <c r="H173" s="241"/>
      <c r="I173" s="221"/>
      <c r="J173" s="241"/>
      <c r="K173" s="241"/>
      <c r="L173" s="241"/>
      <c r="M173" s="241"/>
      <c r="N173" s="191"/>
      <c r="O173" s="191"/>
      <c r="P173" s="241"/>
      <c r="Q173" s="221"/>
      <c r="R173" s="241"/>
      <c r="S173" s="241"/>
      <c r="T173" s="241"/>
      <c r="U173" s="241"/>
      <c r="V173" s="241"/>
      <c r="W173" s="241"/>
      <c r="X173" s="241"/>
      <c r="Y173" s="221"/>
      <c r="Z173" s="241"/>
      <c r="AA173" s="191"/>
      <c r="AB173" s="241"/>
      <c r="AC173" s="241"/>
      <c r="AD173" s="241"/>
      <c r="AE173" s="241"/>
      <c r="AF173" s="241"/>
      <c r="AG173" s="191"/>
      <c r="AH173" s="191"/>
      <c r="AI173" s="191"/>
      <c r="AJ173" s="262"/>
      <c r="AK173" s="263"/>
      <c r="AL173" s="284"/>
      <c r="AM173" s="167"/>
      <c r="AN173" s="167"/>
      <c r="AO173" s="167"/>
      <c r="AP173" s="167"/>
      <c r="AQ173" s="167"/>
      <c r="AR173" s="167"/>
      <c r="AS173" s="167"/>
      <c r="AT173" s="167"/>
      <c r="AU173" s="167"/>
      <c r="AV173" s="167"/>
      <c r="AW173" s="167"/>
      <c r="AX173" s="167"/>
      <c r="AY173" s="167"/>
      <c r="AZ173" s="167"/>
      <c r="BA173" s="167"/>
      <c r="BB173" s="167"/>
      <c r="BC173" s="167"/>
      <c r="BD173" s="167"/>
      <c r="BE173" s="167"/>
      <c r="BF173" s="167"/>
      <c r="BG173" s="167"/>
      <c r="BH173" s="167"/>
      <c r="BI173" s="167"/>
      <c r="BJ173" s="167"/>
      <c r="BK173" s="167"/>
      <c r="BL173" s="167"/>
      <c r="BM173" s="167"/>
      <c r="BN173" s="167"/>
      <c r="BO173" s="167"/>
      <c r="BP173" s="167"/>
      <c r="BQ173" s="167"/>
      <c r="BR173" s="167"/>
      <c r="BS173" s="167"/>
      <c r="BT173" s="167"/>
      <c r="BU173" s="167"/>
      <c r="BV173" s="167"/>
      <c r="BW173" s="167"/>
      <c r="BX173" s="167"/>
      <c r="BY173" s="167"/>
      <c r="BZ173" s="167"/>
      <c r="CA173" s="218"/>
    </row>
    <row r="174" spans="1:79" ht="15.75" thickBot="1" x14ac:dyDescent="0.3">
      <c r="A174" s="264"/>
      <c r="B174" s="348"/>
      <c r="C174" s="348"/>
      <c r="D174" s="348"/>
      <c r="E174" s="348"/>
      <c r="F174" s="348"/>
      <c r="G174" s="348"/>
      <c r="H174" s="348"/>
      <c r="I174" s="56"/>
      <c r="J174" s="348"/>
      <c r="K174" s="348"/>
      <c r="L174" s="348"/>
      <c r="M174" s="348"/>
      <c r="N174" s="348"/>
      <c r="O174" s="348"/>
      <c r="P174" s="348"/>
      <c r="Q174" s="56"/>
      <c r="R174" s="348"/>
      <c r="S174" s="348"/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228"/>
    </row>
    <row r="175" spans="1:79" ht="24" thickBot="1" x14ac:dyDescent="0.4">
      <c r="A175" s="252" t="s">
        <v>193</v>
      </c>
      <c r="B175" s="258"/>
      <c r="C175" s="258"/>
      <c r="D175" s="258"/>
      <c r="E175" s="258"/>
      <c r="F175" s="258"/>
      <c r="G175" s="254"/>
      <c r="H175" s="254"/>
      <c r="I175" s="259"/>
      <c r="J175" s="259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60"/>
      <c r="AK175" s="261"/>
      <c r="AL175" s="260"/>
    </row>
    <row r="176" spans="1:79" ht="15.75" x14ac:dyDescent="0.25">
      <c r="A176" s="320" t="s">
        <v>8</v>
      </c>
      <c r="B176" s="326"/>
      <c r="C176" s="326"/>
      <c r="D176" s="326"/>
      <c r="E176" s="326"/>
      <c r="F176" s="326"/>
      <c r="G176" s="326"/>
      <c r="H176" s="326"/>
      <c r="I176" s="323"/>
      <c r="J176" s="326"/>
      <c r="K176" s="326"/>
      <c r="L176" s="326"/>
      <c r="M176" s="326"/>
      <c r="N176" s="326"/>
      <c r="O176" s="326"/>
      <c r="P176" s="326"/>
      <c r="Q176" s="323"/>
      <c r="R176" s="326"/>
      <c r="S176" s="326"/>
      <c r="T176" s="326"/>
      <c r="U176" s="326"/>
      <c r="V176" s="326"/>
      <c r="W176" s="326"/>
      <c r="X176" s="326"/>
      <c r="Y176" s="323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4"/>
      <c r="AK176" s="325"/>
      <c r="AL176" s="327"/>
    </row>
    <row r="177" spans="1:38" ht="18.75" x14ac:dyDescent="0.3">
      <c r="A177" s="67" t="s">
        <v>29</v>
      </c>
      <c r="B177" s="118"/>
      <c r="C177" s="118"/>
      <c r="D177" s="118"/>
      <c r="E177" s="118"/>
      <c r="F177" s="118"/>
      <c r="G177" s="118"/>
      <c r="H177" s="118"/>
      <c r="I177" s="37"/>
      <c r="J177" s="118"/>
      <c r="K177" s="118"/>
      <c r="L177" s="161"/>
      <c r="M177" s="118"/>
      <c r="N177" s="118"/>
      <c r="O177" s="2"/>
      <c r="P177" s="2"/>
      <c r="Q177" s="37"/>
      <c r="R177" s="161"/>
      <c r="S177" s="118"/>
      <c r="T177" s="118"/>
      <c r="U177" s="118"/>
      <c r="V177" s="118"/>
      <c r="W177" s="57"/>
      <c r="X177" s="57"/>
      <c r="Y177" s="37"/>
      <c r="Z177" s="118"/>
      <c r="AA177" s="118"/>
      <c r="AB177" s="161"/>
      <c r="AC177" s="161"/>
      <c r="AD177" s="161"/>
      <c r="AE177" s="2"/>
      <c r="AF177" s="2"/>
      <c r="AG177" s="2"/>
      <c r="AH177" s="2"/>
      <c r="AI177" s="2"/>
      <c r="AJ177" s="37"/>
      <c r="AK177" s="339"/>
      <c r="AL177" s="197"/>
    </row>
    <row r="178" spans="1:38" ht="18.75" x14ac:dyDescent="0.3">
      <c r="A178" s="67" t="s">
        <v>13</v>
      </c>
      <c r="B178" s="118"/>
      <c r="C178" s="1"/>
      <c r="D178" s="118"/>
      <c r="E178" s="118"/>
      <c r="F178" s="118"/>
      <c r="G178" s="118"/>
      <c r="H178" s="118"/>
      <c r="I178" s="37"/>
      <c r="J178" s="2"/>
      <c r="K178" s="2"/>
      <c r="L178" s="161"/>
      <c r="M178" s="2"/>
      <c r="N178" s="2"/>
      <c r="O178" s="118"/>
      <c r="P178" s="118"/>
      <c r="Q178" s="37"/>
      <c r="R178" s="161"/>
      <c r="S178" s="2"/>
      <c r="T178" s="2"/>
      <c r="U178" s="2"/>
      <c r="V178" s="2"/>
      <c r="W178" s="57"/>
      <c r="X178" s="57"/>
      <c r="Y178" s="37"/>
      <c r="Z178" s="2"/>
      <c r="AA178" s="2"/>
      <c r="AB178" s="161"/>
      <c r="AC178" s="161"/>
      <c r="AD178" s="161"/>
      <c r="AE178" s="1"/>
      <c r="AF178" s="118"/>
      <c r="AG178" s="2"/>
      <c r="AH178" s="2"/>
      <c r="AI178" s="2"/>
      <c r="AJ178" s="37"/>
      <c r="AK178" s="339"/>
      <c r="AL178" s="197"/>
    </row>
    <row r="179" spans="1:38" ht="18.75" x14ac:dyDescent="0.3">
      <c r="A179" s="63" t="s">
        <v>14</v>
      </c>
      <c r="B179" s="119"/>
      <c r="C179" s="119"/>
      <c r="D179" s="119"/>
      <c r="E179" s="119"/>
      <c r="F179" s="119"/>
      <c r="G179" s="119"/>
      <c r="H179" s="119"/>
      <c r="I179" s="43"/>
      <c r="J179" s="42"/>
      <c r="K179" s="42"/>
      <c r="L179" s="177"/>
      <c r="M179" s="42"/>
      <c r="N179" s="42"/>
      <c r="O179" s="42"/>
      <c r="P179" s="42"/>
      <c r="Q179" s="43"/>
      <c r="R179" s="177"/>
      <c r="S179" s="42"/>
      <c r="T179" s="42"/>
      <c r="U179" s="42"/>
      <c r="V179" s="42"/>
      <c r="W179" s="178"/>
      <c r="X179" s="178"/>
      <c r="Y179" s="43"/>
      <c r="Z179" s="42"/>
      <c r="AA179" s="42"/>
      <c r="AB179" s="177"/>
      <c r="AC179" s="177"/>
      <c r="AD179" s="177"/>
      <c r="AE179" s="42"/>
      <c r="AF179" s="42"/>
      <c r="AG179" s="42"/>
      <c r="AH179" s="42"/>
      <c r="AI179" s="42"/>
      <c r="AJ179" s="43"/>
      <c r="AK179" s="342"/>
      <c r="AL179" s="204"/>
    </row>
    <row r="180" spans="1:38" ht="19.5" thickBot="1" x14ac:dyDescent="0.35">
      <c r="A180" s="349"/>
      <c r="B180" s="175"/>
      <c r="C180" s="175"/>
      <c r="D180" s="175"/>
      <c r="E180" s="175"/>
      <c r="F180" s="175"/>
      <c r="G180" s="175"/>
      <c r="H180" s="175"/>
      <c r="I180" s="127"/>
      <c r="J180" s="245"/>
      <c r="K180" s="245"/>
      <c r="L180" s="175"/>
      <c r="M180" s="245"/>
      <c r="N180" s="245"/>
      <c r="O180" s="245"/>
      <c r="P180" s="245"/>
      <c r="Q180" s="45"/>
      <c r="R180" s="175"/>
      <c r="S180" s="245"/>
      <c r="T180" s="245"/>
      <c r="U180" s="245"/>
      <c r="V180" s="245"/>
      <c r="W180" s="175"/>
      <c r="X180" s="175"/>
      <c r="Y180" s="45"/>
      <c r="Z180" s="245"/>
      <c r="AA180" s="245"/>
      <c r="AB180" s="438"/>
      <c r="AC180" s="438"/>
      <c r="AD180" s="438"/>
      <c r="AE180" s="245"/>
      <c r="AF180" s="245"/>
      <c r="AG180" s="245"/>
      <c r="AH180" s="245"/>
      <c r="AI180" s="245"/>
      <c r="AJ180" s="43"/>
      <c r="AK180" s="293"/>
      <c r="AL180" s="204"/>
    </row>
    <row r="181" spans="1:38" ht="18.75" x14ac:dyDescent="0.3">
      <c r="A181" s="281" t="s">
        <v>2</v>
      </c>
      <c r="B181" s="163"/>
      <c r="C181" s="163"/>
      <c r="D181" s="163"/>
      <c r="E181" s="163"/>
      <c r="F181" s="163"/>
      <c r="G181" s="163"/>
      <c r="H181" s="163"/>
      <c r="I181" s="221"/>
      <c r="J181" s="163"/>
      <c r="K181" s="163"/>
      <c r="L181" s="163"/>
      <c r="M181" s="163"/>
      <c r="N181" s="163"/>
      <c r="O181" s="163"/>
      <c r="P181" s="163"/>
      <c r="Q181" s="221"/>
      <c r="R181" s="163"/>
      <c r="S181" s="163"/>
      <c r="T181" s="163"/>
      <c r="U181" s="163"/>
      <c r="V181" s="163"/>
      <c r="W181" s="163"/>
      <c r="X181" s="163"/>
      <c r="Y181" s="221"/>
      <c r="Z181" s="163"/>
      <c r="AA181" s="163"/>
      <c r="AB181" s="163"/>
      <c r="AC181" s="163"/>
      <c r="AD181" s="163"/>
      <c r="AE181" s="163"/>
      <c r="AF181" s="163"/>
      <c r="AG181" s="50"/>
      <c r="AH181" s="50"/>
      <c r="AI181" s="50"/>
      <c r="AJ181" s="262"/>
      <c r="AK181" s="263"/>
      <c r="AL181" s="235"/>
    </row>
    <row r="182" spans="1:38" ht="15.75" thickBot="1" x14ac:dyDescent="0.3">
      <c r="A182" s="264"/>
      <c r="B182" s="265"/>
      <c r="C182" s="265"/>
      <c r="D182" s="265"/>
      <c r="E182" s="265"/>
      <c r="F182" s="265"/>
      <c r="G182" s="265"/>
      <c r="H182" s="265"/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</row>
    <row r="183" spans="1:38" ht="24" thickBot="1" x14ac:dyDescent="0.4">
      <c r="A183" s="252" t="s">
        <v>194</v>
      </c>
      <c r="B183" s="258"/>
      <c r="C183" s="258"/>
      <c r="D183" s="258"/>
      <c r="E183" s="258"/>
      <c r="F183" s="258"/>
      <c r="G183" s="254"/>
      <c r="H183" s="254"/>
      <c r="I183" s="259"/>
      <c r="J183" s="259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60"/>
      <c r="AK183" s="261"/>
      <c r="AL183" s="260"/>
    </row>
    <row r="184" spans="1:38" ht="15.75" x14ac:dyDescent="0.25">
      <c r="A184" s="320" t="s">
        <v>8</v>
      </c>
      <c r="B184" s="326"/>
      <c r="C184" s="326"/>
      <c r="D184" s="326"/>
      <c r="E184" s="326"/>
      <c r="F184" s="326"/>
      <c r="G184" s="326"/>
      <c r="H184" s="326"/>
      <c r="I184" s="323"/>
      <c r="J184" s="326"/>
      <c r="K184" s="326"/>
      <c r="L184" s="326"/>
      <c r="M184" s="326"/>
      <c r="N184" s="326"/>
      <c r="O184" s="326"/>
      <c r="P184" s="326"/>
      <c r="Q184" s="323"/>
      <c r="R184" s="326"/>
      <c r="S184" s="326"/>
      <c r="T184" s="326"/>
      <c r="U184" s="326"/>
      <c r="V184" s="326"/>
      <c r="W184" s="326"/>
      <c r="X184" s="326"/>
      <c r="Y184" s="323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4"/>
      <c r="AK184" s="325"/>
      <c r="AL184" s="327"/>
    </row>
    <row r="185" spans="1:38" x14ac:dyDescent="0.25">
      <c r="A185" s="67" t="s">
        <v>32</v>
      </c>
      <c r="B185" s="118"/>
      <c r="C185" s="118"/>
      <c r="D185" s="1"/>
      <c r="E185" s="1"/>
      <c r="F185" s="118"/>
      <c r="G185" s="118"/>
      <c r="H185" s="118"/>
      <c r="I185" s="37"/>
      <c r="J185" s="118"/>
      <c r="K185" s="2"/>
      <c r="L185" s="1"/>
      <c r="M185" s="1"/>
      <c r="N185" s="1"/>
      <c r="O185" s="2"/>
      <c r="P185" s="2"/>
      <c r="Q185" s="37"/>
      <c r="R185" s="161"/>
      <c r="S185" s="2"/>
      <c r="T185" s="2"/>
      <c r="U185" s="2"/>
      <c r="V185" s="1"/>
      <c r="W185" s="57"/>
      <c r="X185" s="57"/>
      <c r="Y185" s="37"/>
      <c r="Z185" s="2"/>
      <c r="AA185" s="1"/>
      <c r="AB185" s="161"/>
      <c r="AC185" s="161"/>
      <c r="AD185" s="161"/>
      <c r="AE185" s="57"/>
      <c r="AF185" s="161"/>
      <c r="AG185" s="2"/>
      <c r="AH185" s="2"/>
      <c r="AI185" s="2"/>
      <c r="AJ185" s="37"/>
      <c r="AK185" s="38"/>
      <c r="AL185" s="197"/>
    </row>
    <row r="186" spans="1:38" x14ac:dyDescent="0.25">
      <c r="A186" s="67" t="s">
        <v>15</v>
      </c>
      <c r="B186" s="118"/>
      <c r="C186" s="118"/>
      <c r="D186" s="118"/>
      <c r="E186" s="118"/>
      <c r="F186" s="118"/>
      <c r="G186" s="118"/>
      <c r="H186" s="118"/>
      <c r="I186" s="37"/>
      <c r="J186" s="118"/>
      <c r="K186" s="2"/>
      <c r="L186" s="2"/>
      <c r="M186" s="336"/>
      <c r="N186" s="2"/>
      <c r="O186" s="2"/>
      <c r="P186" s="2"/>
      <c r="Q186" s="37"/>
      <c r="R186" s="161"/>
      <c r="S186" s="2"/>
      <c r="T186" s="2"/>
      <c r="U186" s="2"/>
      <c r="V186" s="2"/>
      <c r="W186" s="57"/>
      <c r="X186" s="57"/>
      <c r="Y186" s="37"/>
      <c r="Z186" s="1"/>
      <c r="AA186" s="2"/>
      <c r="AB186" s="161"/>
      <c r="AC186" s="161"/>
      <c r="AD186" s="161"/>
      <c r="AE186" s="161"/>
      <c r="AF186" s="161"/>
      <c r="AG186" s="2"/>
      <c r="AH186" s="2"/>
      <c r="AI186" s="2"/>
      <c r="AJ186" s="37"/>
      <c r="AK186" s="38"/>
      <c r="AL186" s="197"/>
    </row>
    <row r="187" spans="1:38" x14ac:dyDescent="0.25">
      <c r="A187" s="67" t="s">
        <v>34</v>
      </c>
      <c r="B187" s="118"/>
      <c r="C187" s="118"/>
      <c r="D187" s="118"/>
      <c r="E187" s="118"/>
      <c r="F187" s="118"/>
      <c r="G187" s="118"/>
      <c r="H187" s="118"/>
      <c r="I187" s="37"/>
      <c r="J187" s="118"/>
      <c r="K187" s="2"/>
      <c r="L187" s="2"/>
      <c r="M187" s="336"/>
      <c r="N187" s="2"/>
      <c r="O187" s="2"/>
      <c r="P187" s="2"/>
      <c r="Q187" s="37"/>
      <c r="R187" s="161"/>
      <c r="S187" s="2"/>
      <c r="T187" s="2"/>
      <c r="U187" s="2"/>
      <c r="V187" s="2"/>
      <c r="W187" s="57"/>
      <c r="X187" s="57"/>
      <c r="Y187" s="37"/>
      <c r="Z187" s="2"/>
      <c r="AA187" s="2"/>
      <c r="AB187" s="161"/>
      <c r="AC187" s="161"/>
      <c r="AD187" s="161"/>
      <c r="AE187" s="161"/>
      <c r="AF187" s="161"/>
      <c r="AG187" s="2"/>
      <c r="AH187" s="2"/>
      <c r="AI187" s="2"/>
      <c r="AJ187" s="37"/>
      <c r="AK187" s="38"/>
      <c r="AL187" s="197"/>
    </row>
    <row r="188" spans="1:38" x14ac:dyDescent="0.25">
      <c r="A188" s="67" t="s">
        <v>31</v>
      </c>
      <c r="B188" s="1"/>
      <c r="C188" s="118"/>
      <c r="D188" s="118"/>
      <c r="E188" s="118"/>
      <c r="F188" s="118"/>
      <c r="G188" s="118"/>
      <c r="H188" s="118"/>
      <c r="I188" s="37"/>
      <c r="J188" s="118"/>
      <c r="K188" s="2"/>
      <c r="L188" s="2"/>
      <c r="M188" s="336"/>
      <c r="N188" s="2"/>
      <c r="O188" s="2"/>
      <c r="P188" s="2"/>
      <c r="Q188" s="37"/>
      <c r="R188" s="161"/>
      <c r="S188" s="2"/>
      <c r="T188" s="2"/>
      <c r="U188" s="2"/>
      <c r="V188" s="2"/>
      <c r="W188" s="57"/>
      <c r="X188" s="57"/>
      <c r="Y188" s="37"/>
      <c r="Z188" s="2"/>
      <c r="AA188" s="2"/>
      <c r="AB188" s="161"/>
      <c r="AC188" s="161"/>
      <c r="AD188" s="161"/>
      <c r="AE188" s="161"/>
      <c r="AF188" s="161"/>
      <c r="AG188" s="2"/>
      <c r="AH188" s="2"/>
      <c r="AI188" s="2"/>
      <c r="AJ188" s="37"/>
      <c r="AK188" s="38"/>
      <c r="AL188" s="197"/>
    </row>
    <row r="189" spans="1:38" x14ac:dyDescent="0.25">
      <c r="A189" s="67" t="s">
        <v>30</v>
      </c>
      <c r="B189" s="118"/>
      <c r="C189" s="118"/>
      <c r="D189" s="118"/>
      <c r="E189" s="118"/>
      <c r="F189" s="118"/>
      <c r="G189" s="118"/>
      <c r="H189" s="118"/>
      <c r="I189" s="37"/>
      <c r="J189" s="118"/>
      <c r="K189" s="2"/>
      <c r="L189" s="2"/>
      <c r="M189" s="336"/>
      <c r="N189" s="2"/>
      <c r="O189" s="2"/>
      <c r="P189" s="2"/>
      <c r="Q189" s="37"/>
      <c r="R189" s="161"/>
      <c r="S189" s="2"/>
      <c r="T189" s="2"/>
      <c r="U189" s="2"/>
      <c r="V189" s="2"/>
      <c r="W189" s="57"/>
      <c r="X189" s="57"/>
      <c r="Y189" s="37"/>
      <c r="Z189" s="2"/>
      <c r="AA189" s="2"/>
      <c r="AB189" s="161"/>
      <c r="AC189" s="161"/>
      <c r="AD189" s="161"/>
      <c r="AE189" s="161"/>
      <c r="AF189" s="161"/>
      <c r="AG189" s="2"/>
      <c r="AH189" s="2"/>
      <c r="AI189" s="2"/>
      <c r="AJ189" s="37"/>
      <c r="AK189" s="38"/>
      <c r="AL189" s="197"/>
    </row>
    <row r="190" spans="1:38" x14ac:dyDescent="0.25">
      <c r="A190" s="67" t="s">
        <v>17</v>
      </c>
      <c r="B190" s="118"/>
      <c r="C190" s="118"/>
      <c r="D190" s="118"/>
      <c r="E190" s="118"/>
      <c r="F190" s="118"/>
      <c r="G190" s="118"/>
      <c r="H190" s="118"/>
      <c r="I190" s="37"/>
      <c r="J190" s="118"/>
      <c r="K190" s="118"/>
      <c r="L190" s="118"/>
      <c r="M190" s="336"/>
      <c r="N190" s="118"/>
      <c r="O190" s="118"/>
      <c r="P190" s="118"/>
      <c r="Q190" s="37"/>
      <c r="R190" s="161"/>
      <c r="S190" s="118"/>
      <c r="T190" s="118"/>
      <c r="U190" s="118"/>
      <c r="V190" s="2"/>
      <c r="W190" s="57"/>
      <c r="X190" s="57"/>
      <c r="Y190" s="37"/>
      <c r="Z190" s="118"/>
      <c r="AA190" s="2"/>
      <c r="AB190" s="161"/>
      <c r="AC190" s="161"/>
      <c r="AD190" s="161"/>
      <c r="AE190" s="161"/>
      <c r="AF190" s="161"/>
      <c r="AG190" s="2"/>
      <c r="AH190" s="2"/>
      <c r="AI190" s="2"/>
      <c r="AJ190" s="37"/>
      <c r="AK190" s="38"/>
      <c r="AL190" s="197"/>
    </row>
    <row r="191" spans="1:38" ht="18.75" x14ac:dyDescent="0.3">
      <c r="A191" s="67" t="s">
        <v>16</v>
      </c>
      <c r="B191" s="118"/>
      <c r="C191" s="118"/>
      <c r="D191" s="118"/>
      <c r="E191" s="118"/>
      <c r="F191" s="118"/>
      <c r="G191" s="118"/>
      <c r="H191" s="118"/>
      <c r="I191" s="37"/>
      <c r="J191" s="118"/>
      <c r="K191" s="2"/>
      <c r="L191" s="118"/>
      <c r="M191" s="336"/>
      <c r="N191" s="2"/>
      <c r="O191" s="2"/>
      <c r="P191" s="2"/>
      <c r="Q191" s="37"/>
      <c r="R191" s="161"/>
      <c r="S191" s="2"/>
      <c r="T191" s="2"/>
      <c r="U191" s="118"/>
      <c r="V191" s="2"/>
      <c r="W191" s="57"/>
      <c r="X191" s="57"/>
      <c r="Y191" s="37"/>
      <c r="Z191" s="2"/>
      <c r="AA191" s="2"/>
      <c r="AB191" s="161"/>
      <c r="AC191" s="161"/>
      <c r="AD191" s="161"/>
      <c r="AE191" s="161"/>
      <c r="AF191" s="161"/>
      <c r="AG191" s="2"/>
      <c r="AH191" s="2"/>
      <c r="AI191" s="2"/>
      <c r="AJ191" s="37"/>
      <c r="AK191" s="339"/>
      <c r="AL191" s="197"/>
    </row>
    <row r="192" spans="1:38" ht="18.75" x14ac:dyDescent="0.3">
      <c r="A192" s="67" t="s">
        <v>33</v>
      </c>
      <c r="B192" s="119"/>
      <c r="C192" s="119"/>
      <c r="D192" s="119"/>
      <c r="E192" s="119"/>
      <c r="F192" s="119"/>
      <c r="G192" s="119"/>
      <c r="H192" s="119"/>
      <c r="I192" s="43"/>
      <c r="J192" s="119"/>
      <c r="K192" s="42"/>
      <c r="L192" s="42"/>
      <c r="M192" s="366"/>
      <c r="N192" s="42"/>
      <c r="O192" s="42"/>
      <c r="P192" s="42"/>
      <c r="Q192" s="43"/>
      <c r="R192" s="177"/>
      <c r="S192" s="42"/>
      <c r="T192" s="42"/>
      <c r="U192" s="42"/>
      <c r="V192" s="42"/>
      <c r="W192" s="178"/>
      <c r="X192" s="178"/>
      <c r="Y192" s="43"/>
      <c r="Z192" s="42"/>
      <c r="AA192" s="42"/>
      <c r="AB192" s="177"/>
      <c r="AC192" s="177"/>
      <c r="AD192" s="178"/>
      <c r="AE192" s="177"/>
      <c r="AF192" s="177"/>
      <c r="AG192" s="42"/>
      <c r="AH192" s="42"/>
      <c r="AI192" s="42"/>
      <c r="AJ192" s="43"/>
      <c r="AK192" s="342"/>
      <c r="AL192" s="204"/>
    </row>
    <row r="193" spans="1:52" ht="18.75" x14ac:dyDescent="0.3">
      <c r="A193" s="63" t="s">
        <v>18</v>
      </c>
      <c r="B193" s="135"/>
      <c r="C193" s="135"/>
      <c r="D193" s="135"/>
      <c r="E193" s="135"/>
      <c r="F193" s="135"/>
      <c r="G193" s="135"/>
      <c r="H193" s="135"/>
      <c r="I193" s="47"/>
      <c r="J193" s="135"/>
      <c r="K193" s="124"/>
      <c r="L193" s="124"/>
      <c r="M193" s="124"/>
      <c r="N193" s="124"/>
      <c r="O193" s="124"/>
      <c r="P193" s="124"/>
      <c r="Q193" s="47"/>
      <c r="R193" s="135"/>
      <c r="S193" s="124"/>
      <c r="T193" s="135"/>
      <c r="U193" s="124"/>
      <c r="V193" s="124"/>
      <c r="W193" s="135"/>
      <c r="X193" s="135"/>
      <c r="Y193" s="47"/>
      <c r="Z193" s="124"/>
      <c r="AA193" s="124"/>
      <c r="AB193" s="135"/>
      <c r="AC193" s="135"/>
      <c r="AD193" s="135"/>
      <c r="AE193" s="135"/>
      <c r="AF193" s="135"/>
      <c r="AG193" s="124"/>
      <c r="AH193" s="124"/>
      <c r="AI193" s="124"/>
      <c r="AJ193" s="37"/>
      <c r="AK193" s="378"/>
      <c r="AL193" s="197"/>
    </row>
    <row r="194" spans="1:52" x14ac:dyDescent="0.25">
      <c r="A194" s="63" t="s">
        <v>19</v>
      </c>
      <c r="B194" s="132"/>
      <c r="C194" s="132"/>
      <c r="D194" s="132"/>
      <c r="E194" s="132"/>
      <c r="F194" s="132"/>
      <c r="G194" s="132"/>
      <c r="H194" s="132"/>
      <c r="I194" s="43"/>
      <c r="J194" s="132"/>
      <c r="K194" s="132"/>
      <c r="L194" s="132"/>
      <c r="M194" s="151"/>
      <c r="N194" s="132"/>
      <c r="O194" s="132"/>
      <c r="P194" s="132"/>
      <c r="Q194" s="43"/>
      <c r="R194" s="164"/>
      <c r="S194" s="132"/>
      <c r="T194" s="132"/>
      <c r="U194" s="132"/>
      <c r="V194" s="132"/>
      <c r="W194" s="162"/>
      <c r="X194" s="162"/>
      <c r="Y194" s="43"/>
      <c r="Z194" s="132"/>
      <c r="AA194" s="132"/>
      <c r="AB194" s="164"/>
      <c r="AC194" s="164"/>
      <c r="AD194" s="164"/>
      <c r="AE194" s="164"/>
      <c r="AF194" s="164"/>
      <c r="AG194" s="132"/>
      <c r="AH194" s="132"/>
      <c r="AI194" s="132"/>
      <c r="AJ194" s="43"/>
      <c r="AK194" s="293"/>
      <c r="AL194" s="204"/>
    </row>
    <row r="195" spans="1:52" x14ac:dyDescent="0.25">
      <c r="A195" s="67" t="s">
        <v>102</v>
      </c>
      <c r="B195" s="112"/>
      <c r="C195" s="112"/>
      <c r="D195" s="112"/>
      <c r="E195" s="112"/>
      <c r="F195" s="112"/>
      <c r="G195" s="112"/>
      <c r="H195" s="112"/>
      <c r="I195" s="37"/>
      <c r="J195" s="112"/>
      <c r="K195" s="112"/>
      <c r="L195" s="112"/>
      <c r="M195" s="113"/>
      <c r="N195" s="112"/>
      <c r="O195" s="112"/>
      <c r="P195" s="112"/>
      <c r="Q195" s="37"/>
      <c r="R195" s="18"/>
      <c r="S195" s="112"/>
      <c r="T195" s="112"/>
      <c r="U195" s="112"/>
      <c r="V195" s="112"/>
      <c r="W195" s="115"/>
      <c r="X195" s="115"/>
      <c r="Y195" s="37"/>
      <c r="Z195" s="112"/>
      <c r="AA195" s="112"/>
      <c r="AB195" s="18"/>
      <c r="AC195" s="18"/>
      <c r="AD195" s="18"/>
      <c r="AE195" s="18"/>
      <c r="AF195" s="18"/>
      <c r="AG195" s="337"/>
      <c r="AH195" s="112"/>
      <c r="AI195" s="112"/>
      <c r="AJ195" s="37"/>
      <c r="AK195" s="3"/>
      <c r="AL195" s="197"/>
    </row>
    <row r="196" spans="1:52" s="2" customFormat="1" ht="18.75" x14ac:dyDescent="0.3">
      <c r="A196" s="402" t="s">
        <v>2</v>
      </c>
      <c r="B196" s="199"/>
      <c r="C196" s="199"/>
      <c r="D196" s="199"/>
      <c r="E196" s="199"/>
      <c r="F196" s="199"/>
      <c r="G196" s="199"/>
      <c r="H196" s="199"/>
      <c r="I196" s="440"/>
      <c r="J196" s="199"/>
      <c r="K196" s="199"/>
      <c r="L196" s="199"/>
      <c r="M196" s="199"/>
      <c r="N196" s="199"/>
      <c r="O196" s="199"/>
      <c r="P196" s="199"/>
      <c r="Q196" s="440"/>
      <c r="R196" s="199"/>
      <c r="S196" s="199"/>
      <c r="T196" s="199"/>
      <c r="U196" s="199"/>
      <c r="V196" s="199"/>
      <c r="W196" s="199"/>
      <c r="X196" s="199"/>
      <c r="Y196" s="440"/>
      <c r="Z196" s="199"/>
      <c r="AA196" s="199"/>
      <c r="AB196" s="199"/>
      <c r="AC196" s="199"/>
      <c r="AD196" s="199"/>
      <c r="AE196" s="199"/>
      <c r="AF196" s="199"/>
      <c r="AG196" s="199"/>
      <c r="AH196" s="199"/>
      <c r="AI196" s="199"/>
      <c r="AJ196" s="439"/>
      <c r="AK196" s="441"/>
      <c r="AL196" s="442"/>
      <c r="AM196" s="167"/>
      <c r="AN196" s="167"/>
      <c r="AO196" s="167"/>
      <c r="AP196" s="167"/>
      <c r="AQ196" s="167"/>
      <c r="AR196" s="167"/>
      <c r="AS196" s="167"/>
      <c r="AT196" s="167"/>
      <c r="AU196" s="167"/>
      <c r="AV196" s="167"/>
      <c r="AW196" s="167"/>
      <c r="AX196" s="167"/>
      <c r="AY196" s="167"/>
      <c r="AZ196" s="218"/>
    </row>
    <row r="197" spans="1:52" ht="15.75" thickBot="1" x14ac:dyDescent="0.3">
      <c r="A197" s="264"/>
      <c r="B197" s="265"/>
      <c r="C197" s="265"/>
      <c r="D197" s="265"/>
      <c r="E197" s="265"/>
      <c r="F197" s="265"/>
      <c r="G197" s="265"/>
      <c r="H197" s="265"/>
      <c r="I197" s="56"/>
      <c r="J197" s="265"/>
      <c r="K197" s="265"/>
      <c r="L197" s="265"/>
      <c r="M197" s="265"/>
      <c r="N197" s="265"/>
      <c r="O197" s="265"/>
      <c r="P197" s="265"/>
      <c r="Q197" s="56"/>
      <c r="R197" s="265"/>
      <c r="S197" s="265"/>
      <c r="T197" s="265"/>
      <c r="U197" s="265"/>
      <c r="V197" s="265"/>
      <c r="W197" s="265"/>
      <c r="X197" s="265"/>
      <c r="Y197" s="56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56"/>
      <c r="AK197" s="225"/>
      <c r="AL197" s="228"/>
    </row>
    <row r="198" spans="1:52" ht="24" thickBot="1" x14ac:dyDescent="0.4">
      <c r="A198" s="294" t="s">
        <v>195</v>
      </c>
      <c r="B198" s="295"/>
      <c r="C198" s="295"/>
      <c r="D198" s="295"/>
      <c r="E198" s="295"/>
      <c r="F198" s="295"/>
      <c r="G198" s="296"/>
      <c r="H198" s="297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8"/>
      <c r="AA198" s="298"/>
      <c r="AB198" s="298"/>
      <c r="AC198" s="298"/>
      <c r="AD198" s="298"/>
      <c r="AE198" s="298"/>
      <c r="AF198" s="298"/>
      <c r="AG198" s="298"/>
      <c r="AH198" s="298"/>
      <c r="AI198" s="298"/>
      <c r="AJ198" s="299"/>
      <c r="AK198" s="300"/>
      <c r="AL198" s="301"/>
    </row>
    <row r="199" spans="1:52" ht="16.5" thickBot="1" x14ac:dyDescent="0.3">
      <c r="A199" s="319" t="s">
        <v>80</v>
      </c>
      <c r="B199" s="328"/>
      <c r="C199" s="328"/>
      <c r="D199" s="328"/>
      <c r="E199" s="328"/>
      <c r="F199" s="328"/>
      <c r="G199" s="328"/>
      <c r="H199" s="328"/>
      <c r="I199" s="329"/>
      <c r="J199" s="328"/>
      <c r="K199" s="328"/>
      <c r="L199" s="328"/>
      <c r="M199" s="328"/>
      <c r="N199" s="328"/>
      <c r="O199" s="328"/>
      <c r="P199" s="328"/>
      <c r="Q199" s="329"/>
      <c r="R199" s="328"/>
      <c r="S199" s="328"/>
      <c r="T199" s="328"/>
      <c r="U199" s="328"/>
      <c r="V199" s="328"/>
      <c r="W199" s="328"/>
      <c r="X199" s="328"/>
      <c r="Y199" s="329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9"/>
      <c r="AK199" s="345"/>
      <c r="AL199" s="331"/>
    </row>
    <row r="200" spans="1:52" ht="18.75" x14ac:dyDescent="0.3">
      <c r="A200" s="347" t="s">
        <v>81</v>
      </c>
      <c r="B200" s="303"/>
      <c r="C200" s="303"/>
      <c r="D200" s="303"/>
      <c r="E200" s="303"/>
      <c r="F200" s="303"/>
      <c r="G200" s="303"/>
      <c r="H200" s="303"/>
      <c r="I200" s="304"/>
      <c r="J200" s="303"/>
      <c r="K200" s="303"/>
      <c r="L200" s="303"/>
      <c r="M200" s="303"/>
      <c r="N200" s="303"/>
      <c r="O200" s="303"/>
      <c r="P200" s="303"/>
      <c r="Q200" s="304"/>
      <c r="R200" s="303"/>
      <c r="S200" s="303"/>
      <c r="T200" s="303"/>
      <c r="U200" s="303"/>
      <c r="V200" s="303"/>
      <c r="W200" s="411"/>
      <c r="X200" s="411"/>
      <c r="Y200" s="304"/>
      <c r="Z200" s="303"/>
      <c r="AA200" s="303"/>
      <c r="AB200" s="303"/>
      <c r="AC200" s="303"/>
      <c r="AD200" s="303"/>
      <c r="AE200" s="303"/>
      <c r="AF200" s="303"/>
      <c r="AG200" s="303"/>
      <c r="AH200" s="303"/>
      <c r="AI200" s="303"/>
      <c r="AJ200" s="305"/>
      <c r="AK200" s="343"/>
      <c r="AL200" s="207"/>
    </row>
    <row r="201" spans="1:52" ht="18.75" x14ac:dyDescent="0.3">
      <c r="A201" s="63" t="s">
        <v>82</v>
      </c>
      <c r="B201" s="119"/>
      <c r="C201" s="119"/>
      <c r="D201" s="119"/>
      <c r="E201" s="119"/>
      <c r="F201" s="119"/>
      <c r="G201" s="119"/>
      <c r="H201" s="119"/>
      <c r="I201" s="43"/>
      <c r="J201" s="42"/>
      <c r="K201" s="42"/>
      <c r="L201" s="42"/>
      <c r="M201" s="42"/>
      <c r="N201" s="42"/>
      <c r="O201" s="42"/>
      <c r="P201" s="42"/>
      <c r="Q201" s="43"/>
      <c r="R201" s="42"/>
      <c r="S201" s="42"/>
      <c r="T201" s="42"/>
      <c r="U201" s="42"/>
      <c r="V201" s="42"/>
      <c r="W201" s="177"/>
      <c r="X201" s="177"/>
      <c r="Y201" s="43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3"/>
      <c r="AK201" s="379"/>
      <c r="AL201" s="204"/>
    </row>
    <row r="202" spans="1:52" ht="23.25" x14ac:dyDescent="0.35">
      <c r="A202" s="195"/>
      <c r="B202" s="135"/>
      <c r="C202" s="135"/>
      <c r="D202" s="135"/>
      <c r="E202" s="135"/>
      <c r="F202" s="135"/>
      <c r="G202" s="135"/>
      <c r="H202" s="135"/>
      <c r="I202" s="157"/>
      <c r="J202" s="124"/>
      <c r="K202" s="124"/>
      <c r="L202" s="124"/>
      <c r="M202" s="124"/>
      <c r="N202" s="124"/>
      <c r="O202" s="124"/>
      <c r="P202" s="124"/>
      <c r="Q202" s="47"/>
      <c r="R202" s="124"/>
      <c r="S202" s="124"/>
      <c r="T202" s="124"/>
      <c r="U202" s="124"/>
      <c r="V202" s="124"/>
      <c r="W202" s="135"/>
      <c r="X202" s="135"/>
      <c r="Y202" s="47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47"/>
      <c r="AK202" s="422"/>
      <c r="AL202" s="292"/>
    </row>
    <row r="203" spans="1:52" ht="16.5" thickBot="1" x14ac:dyDescent="0.3">
      <c r="A203" s="63"/>
      <c r="B203" s="132"/>
      <c r="C203" s="132"/>
      <c r="D203" s="132"/>
      <c r="E203" s="132"/>
      <c r="F203" s="132"/>
      <c r="G203" s="132"/>
      <c r="H203" s="132"/>
      <c r="I203" s="43"/>
      <c r="J203" s="132"/>
      <c r="K203" s="132"/>
      <c r="L203" s="132"/>
      <c r="M203" s="132"/>
      <c r="N203" s="132"/>
      <c r="O203" s="132"/>
      <c r="P203" s="132"/>
      <c r="Q203" s="43"/>
      <c r="R203" s="132"/>
      <c r="S203" s="132"/>
      <c r="T203" s="132"/>
      <c r="U203" s="132"/>
      <c r="V203" s="132"/>
      <c r="W203" s="164"/>
      <c r="X203" s="164"/>
      <c r="Y203" s="43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43"/>
      <c r="AK203" s="117"/>
      <c r="AL203" s="350"/>
    </row>
    <row r="204" spans="1:52" ht="23.25" x14ac:dyDescent="0.35">
      <c r="A204" s="281" t="s">
        <v>2</v>
      </c>
      <c r="B204" s="163"/>
      <c r="C204" s="163"/>
      <c r="D204" s="163"/>
      <c r="E204" s="163"/>
      <c r="F204" s="163"/>
      <c r="G204" s="163"/>
      <c r="H204" s="163"/>
      <c r="I204" s="221"/>
      <c r="J204" s="163"/>
      <c r="K204" s="163"/>
      <c r="L204" s="163"/>
      <c r="M204" s="163"/>
      <c r="N204" s="163"/>
      <c r="O204" s="163"/>
      <c r="P204" s="163"/>
      <c r="Q204" s="221"/>
      <c r="R204" s="163"/>
      <c r="S204" s="163"/>
      <c r="T204" s="163"/>
      <c r="U204" s="163"/>
      <c r="V204" s="163"/>
      <c r="W204" s="163"/>
      <c r="X204" s="163"/>
      <c r="Y204" s="221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51"/>
      <c r="AK204" s="351"/>
      <c r="AL204" s="352"/>
    </row>
    <row r="205" spans="1:52" ht="16.5" thickBot="1" x14ac:dyDescent="0.3">
      <c r="A205" s="264"/>
      <c r="B205" s="265"/>
      <c r="C205" s="265"/>
      <c r="D205" s="265"/>
      <c r="E205" s="265"/>
      <c r="F205" s="265"/>
      <c r="G205" s="265"/>
      <c r="H205" s="265"/>
      <c r="I205" s="56"/>
      <c r="J205" s="265"/>
      <c r="K205" s="265"/>
      <c r="L205" s="265"/>
      <c r="M205" s="265"/>
      <c r="N205" s="265"/>
      <c r="O205" s="265"/>
      <c r="P205" s="265"/>
      <c r="Q205" s="56"/>
      <c r="R205" s="265"/>
      <c r="S205" s="265"/>
      <c r="T205" s="265"/>
      <c r="U205" s="265"/>
      <c r="V205" s="265"/>
      <c r="W205" s="265"/>
      <c r="X205" s="265"/>
      <c r="Y205" s="56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56"/>
      <c r="AK205" s="353"/>
      <c r="AL205" s="354"/>
    </row>
    <row r="206" spans="1:52" ht="24" thickBot="1" x14ac:dyDescent="0.4">
      <c r="A206" s="294" t="s">
        <v>196</v>
      </c>
      <c r="B206" s="295"/>
      <c r="C206" s="295"/>
      <c r="D206" s="295"/>
      <c r="E206" s="295"/>
      <c r="F206" s="295"/>
      <c r="G206" s="296"/>
      <c r="H206" s="297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9"/>
      <c r="AK206" s="300"/>
      <c r="AL206" s="301"/>
    </row>
    <row r="207" spans="1:52" ht="16.5" thickBot="1" x14ac:dyDescent="0.3">
      <c r="A207" s="319" t="s">
        <v>20</v>
      </c>
      <c r="B207" s="328"/>
      <c r="C207" s="328"/>
      <c r="D207" s="328"/>
      <c r="E207" s="328"/>
      <c r="F207" s="328"/>
      <c r="G207" s="328"/>
      <c r="H207" s="328"/>
      <c r="I207" s="329"/>
      <c r="J207" s="328"/>
      <c r="K207" s="328"/>
      <c r="L207" s="328"/>
      <c r="M207" s="328"/>
      <c r="N207" s="328"/>
      <c r="O207" s="328"/>
      <c r="P207" s="328"/>
      <c r="Q207" s="329"/>
      <c r="R207" s="328"/>
      <c r="S207" s="328"/>
      <c r="T207" s="328"/>
      <c r="U207" s="328"/>
      <c r="V207" s="328"/>
      <c r="W207" s="328"/>
      <c r="X207" s="328"/>
      <c r="Y207" s="329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9"/>
      <c r="AK207" s="330"/>
      <c r="AL207" s="331"/>
    </row>
    <row r="208" spans="1:52" x14ac:dyDescent="0.25">
      <c r="A208" s="302" t="s">
        <v>63</v>
      </c>
      <c r="B208" s="303"/>
      <c r="C208" s="303"/>
      <c r="D208" s="303"/>
      <c r="E208" s="303"/>
      <c r="F208" s="303"/>
      <c r="G208" s="303"/>
      <c r="H208" s="303"/>
      <c r="I208" s="304"/>
      <c r="J208" s="303"/>
      <c r="K208" s="303"/>
      <c r="L208" s="303"/>
      <c r="M208" s="303"/>
      <c r="N208" s="303"/>
      <c r="O208" s="303"/>
      <c r="P208" s="303"/>
      <c r="Q208" s="304"/>
      <c r="R208" s="303"/>
      <c r="S208" s="303"/>
      <c r="T208" s="303"/>
      <c r="U208" s="303"/>
      <c r="V208" s="303"/>
      <c r="W208" s="412"/>
      <c r="X208" s="412"/>
      <c r="Y208" s="304"/>
      <c r="Z208" s="303"/>
      <c r="AA208" s="303"/>
      <c r="AB208" s="411"/>
      <c r="AC208" s="411"/>
      <c r="AD208" s="411"/>
      <c r="AE208" s="303"/>
      <c r="AF208" s="303"/>
      <c r="AG208" s="303"/>
      <c r="AH208" s="303"/>
      <c r="AI208" s="303"/>
      <c r="AJ208" s="305"/>
      <c r="AK208" s="184"/>
      <c r="AL208" s="207"/>
    </row>
    <row r="209" spans="1:38" x14ac:dyDescent="0.25">
      <c r="A209" s="65" t="s">
        <v>64</v>
      </c>
      <c r="B209" s="118"/>
      <c r="C209" s="118"/>
      <c r="D209" s="118"/>
      <c r="E209" s="118"/>
      <c r="F209" s="118"/>
      <c r="G209" s="118"/>
      <c r="H209" s="118"/>
      <c r="I209" s="37"/>
      <c r="J209" s="118"/>
      <c r="K209" s="2"/>
      <c r="L209" s="2"/>
      <c r="M209" s="118"/>
      <c r="N209" s="2"/>
      <c r="O209" s="2"/>
      <c r="P209" s="2"/>
      <c r="Q209" s="37"/>
      <c r="R209" s="2"/>
      <c r="S209" s="118"/>
      <c r="T209" s="2"/>
      <c r="U209" s="1"/>
      <c r="V209" s="2"/>
      <c r="W209" s="414"/>
      <c r="X209" s="414"/>
      <c r="Y209" s="37"/>
      <c r="Z209" s="2"/>
      <c r="AA209" s="2"/>
      <c r="AB209" s="57"/>
      <c r="AC209" s="57"/>
      <c r="AD209" s="57"/>
      <c r="AE209" s="118"/>
      <c r="AF209" s="2"/>
      <c r="AG209" s="2"/>
      <c r="AH209" s="2"/>
      <c r="AI209" s="2"/>
      <c r="AJ209" s="37"/>
      <c r="AK209" s="38"/>
      <c r="AL209" s="197"/>
    </row>
    <row r="210" spans="1:38" x14ac:dyDescent="0.25">
      <c r="A210" s="65" t="s">
        <v>77</v>
      </c>
      <c r="B210" s="118"/>
      <c r="C210" s="118"/>
      <c r="D210" s="118"/>
      <c r="E210" s="118"/>
      <c r="F210" s="118"/>
      <c r="G210" s="118"/>
      <c r="H210" s="118"/>
      <c r="I210" s="37"/>
      <c r="J210" s="118"/>
      <c r="K210" s="2"/>
      <c r="L210" s="2"/>
      <c r="M210" s="2"/>
      <c r="N210" s="2"/>
      <c r="O210" s="2"/>
      <c r="P210" s="2"/>
      <c r="Q210" s="37"/>
      <c r="R210" s="2"/>
      <c r="S210" s="2"/>
      <c r="T210" s="2"/>
      <c r="U210" s="2"/>
      <c r="V210" s="2"/>
      <c r="W210" s="414"/>
      <c r="X210" s="414"/>
      <c r="Y210" s="37"/>
      <c r="Z210" s="2"/>
      <c r="AA210" s="2"/>
      <c r="AB210" s="57"/>
      <c r="AC210" s="57"/>
      <c r="AD210" s="57"/>
      <c r="AE210" s="118"/>
      <c r="AF210" s="2"/>
      <c r="AG210" s="2"/>
      <c r="AH210" s="2"/>
      <c r="AI210" s="2"/>
      <c r="AJ210" s="37"/>
      <c r="AK210" s="38"/>
      <c r="AL210" s="197"/>
    </row>
    <row r="211" spans="1:38" x14ac:dyDescent="0.25">
      <c r="A211" s="65" t="s">
        <v>65</v>
      </c>
      <c r="B211" s="118"/>
      <c r="C211" s="118"/>
      <c r="D211" s="118"/>
      <c r="E211" s="118"/>
      <c r="F211" s="118"/>
      <c r="G211" s="118"/>
      <c r="H211" s="1"/>
      <c r="I211" s="37"/>
      <c r="J211" s="118"/>
      <c r="K211" s="2"/>
      <c r="L211" s="2"/>
      <c r="M211" s="2"/>
      <c r="N211" s="2"/>
      <c r="O211" s="2"/>
      <c r="P211" s="2"/>
      <c r="Q211" s="37"/>
      <c r="R211" s="1"/>
      <c r="S211" s="2"/>
      <c r="T211" s="2"/>
      <c r="U211" s="2"/>
      <c r="V211" s="2"/>
      <c r="W211" s="414"/>
      <c r="X211" s="414"/>
      <c r="Y211" s="37"/>
      <c r="Z211" s="2"/>
      <c r="AA211" s="2"/>
      <c r="AB211" s="57"/>
      <c r="AC211" s="57"/>
      <c r="AD211" s="57"/>
      <c r="AE211" s="118"/>
      <c r="AF211" s="2"/>
      <c r="AG211" s="2"/>
      <c r="AH211" s="2"/>
      <c r="AI211" s="2"/>
      <c r="AJ211" s="47"/>
      <c r="AK211" s="48"/>
      <c r="AL211" s="197"/>
    </row>
    <row r="212" spans="1:38" x14ac:dyDescent="0.25">
      <c r="A212" s="65" t="s">
        <v>66</v>
      </c>
      <c r="B212" s="118"/>
      <c r="C212" s="118"/>
      <c r="D212" s="118"/>
      <c r="E212" s="118"/>
      <c r="F212" s="118"/>
      <c r="G212" s="118"/>
      <c r="H212" s="118"/>
      <c r="I212" s="37"/>
      <c r="J212" s="118"/>
      <c r="K212" s="2"/>
      <c r="L212" s="161"/>
      <c r="M212" s="2"/>
      <c r="N212" s="2"/>
      <c r="O212" s="2"/>
      <c r="P212" s="2"/>
      <c r="Q212" s="37"/>
      <c r="R212" s="2"/>
      <c r="S212" s="2"/>
      <c r="T212" s="2"/>
      <c r="U212" s="2"/>
      <c r="V212" s="2"/>
      <c r="W212" s="414"/>
      <c r="X212" s="414"/>
      <c r="Y212" s="37"/>
      <c r="Z212" s="2"/>
      <c r="AA212" s="2"/>
      <c r="AB212" s="57"/>
      <c r="AC212" s="57"/>
      <c r="AD212" s="57"/>
      <c r="AE212" s="118"/>
      <c r="AF212" s="2"/>
      <c r="AG212" s="2"/>
      <c r="AH212" s="2"/>
      <c r="AI212" s="2"/>
      <c r="AJ212" s="37"/>
      <c r="AK212" s="38"/>
      <c r="AL212" s="197"/>
    </row>
    <row r="213" spans="1:38" x14ac:dyDescent="0.25">
      <c r="A213" s="65" t="s">
        <v>67</v>
      </c>
      <c r="B213" s="118"/>
      <c r="C213" s="118"/>
      <c r="D213" s="118"/>
      <c r="E213" s="118"/>
      <c r="F213" s="1"/>
      <c r="G213" s="118"/>
      <c r="H213" s="118"/>
      <c r="I213" s="37"/>
      <c r="J213" s="118"/>
      <c r="K213" s="1"/>
      <c r="L213" s="2"/>
      <c r="M213" s="2"/>
      <c r="N213" s="2"/>
      <c r="O213" s="1"/>
      <c r="P213" s="2"/>
      <c r="Q213" s="37"/>
      <c r="R213" s="2"/>
      <c r="S213" s="118"/>
      <c r="T213" s="2"/>
      <c r="U213" s="2"/>
      <c r="V213" s="2"/>
      <c r="W213" s="414"/>
      <c r="X213" s="414"/>
      <c r="Y213" s="37"/>
      <c r="Z213" s="2"/>
      <c r="AA213" s="2"/>
      <c r="AB213" s="57"/>
      <c r="AC213" s="57"/>
      <c r="AD213" s="57"/>
      <c r="AE213" s="118"/>
      <c r="AF213" s="2"/>
      <c r="AG213" s="336"/>
      <c r="AH213" s="2"/>
      <c r="AI213" s="2"/>
      <c r="AJ213" s="37"/>
      <c r="AK213" s="38"/>
      <c r="AL213" s="197"/>
    </row>
    <row r="214" spans="1:38" x14ac:dyDescent="0.25">
      <c r="A214" s="65" t="s">
        <v>68</v>
      </c>
      <c r="B214" s="118"/>
      <c r="C214" s="118"/>
      <c r="D214" s="118"/>
      <c r="E214" s="118"/>
      <c r="F214" s="118"/>
      <c r="G214" s="118"/>
      <c r="H214" s="118"/>
      <c r="I214" s="37"/>
      <c r="J214" s="118"/>
      <c r="K214" s="2"/>
      <c r="L214" s="2"/>
      <c r="M214" s="2"/>
      <c r="N214" s="2"/>
      <c r="O214" s="1"/>
      <c r="P214" s="2"/>
      <c r="Q214" s="37"/>
      <c r="R214" s="2"/>
      <c r="S214" s="2"/>
      <c r="T214" s="2"/>
      <c r="U214" s="2"/>
      <c r="V214" s="2"/>
      <c r="W214" s="414"/>
      <c r="X214" s="414"/>
      <c r="Y214" s="37"/>
      <c r="Z214" s="2"/>
      <c r="AA214" s="2"/>
      <c r="AB214" s="57"/>
      <c r="AC214" s="57"/>
      <c r="AD214" s="57"/>
      <c r="AE214" s="118"/>
      <c r="AF214" s="2"/>
      <c r="AG214" s="2"/>
      <c r="AH214" s="2"/>
      <c r="AI214" s="2"/>
      <c r="AJ214" s="37"/>
      <c r="AK214" s="38"/>
      <c r="AL214" s="197"/>
    </row>
    <row r="215" spans="1:38" x14ac:dyDescent="0.25">
      <c r="A215" s="65" t="s">
        <v>78</v>
      </c>
      <c r="B215" s="118"/>
      <c r="C215" s="118"/>
      <c r="D215" s="118"/>
      <c r="E215" s="118"/>
      <c r="F215" s="118"/>
      <c r="G215" s="118"/>
      <c r="H215" s="118"/>
      <c r="I215" s="37"/>
      <c r="J215" s="118"/>
      <c r="K215" s="2"/>
      <c r="L215" s="2"/>
      <c r="M215" s="2"/>
      <c r="N215" s="2"/>
      <c r="O215" s="2"/>
      <c r="P215" s="2"/>
      <c r="Q215" s="37"/>
      <c r="R215" s="2"/>
      <c r="S215" s="2"/>
      <c r="T215" s="2"/>
      <c r="U215" s="2"/>
      <c r="V215" s="2"/>
      <c r="W215" s="414"/>
      <c r="X215" s="414"/>
      <c r="Y215" s="37"/>
      <c r="Z215" s="2"/>
      <c r="AA215" s="2"/>
      <c r="AB215" s="57"/>
      <c r="AC215" s="57"/>
      <c r="AD215" s="57"/>
      <c r="AE215" s="118"/>
      <c r="AF215" s="2"/>
      <c r="AG215" s="2"/>
      <c r="AH215" s="2"/>
      <c r="AI215" s="2"/>
      <c r="AJ215" s="37"/>
      <c r="AK215" s="38"/>
      <c r="AL215" s="197"/>
    </row>
    <row r="216" spans="1:38" x14ac:dyDescent="0.25">
      <c r="A216" s="65" t="s">
        <v>69</v>
      </c>
      <c r="B216" s="118"/>
      <c r="C216" s="118"/>
      <c r="D216" s="118"/>
      <c r="E216" s="118"/>
      <c r="F216" s="118"/>
      <c r="G216" s="118"/>
      <c r="H216" s="118"/>
      <c r="I216" s="37"/>
      <c r="J216" s="118"/>
      <c r="K216" s="2"/>
      <c r="L216" s="2"/>
      <c r="M216" s="2"/>
      <c r="N216" s="373"/>
      <c r="O216" s="2"/>
      <c r="P216" s="2"/>
      <c r="Q216" s="37"/>
      <c r="R216" s="2"/>
      <c r="S216" s="2"/>
      <c r="T216" s="2"/>
      <c r="U216" s="118"/>
      <c r="V216" s="2"/>
      <c r="W216" s="414"/>
      <c r="X216" s="414"/>
      <c r="Y216" s="37"/>
      <c r="Z216" s="2"/>
      <c r="AA216" s="2"/>
      <c r="AB216" s="57"/>
      <c r="AC216" s="57"/>
      <c r="AD216" s="57"/>
      <c r="AE216" s="118"/>
      <c r="AF216" s="2"/>
      <c r="AG216" s="2"/>
      <c r="AH216" s="2"/>
      <c r="AI216" s="2"/>
      <c r="AJ216" s="37"/>
      <c r="AK216" s="38"/>
      <c r="AL216" s="197"/>
    </row>
    <row r="217" spans="1:38" x14ac:dyDescent="0.25">
      <c r="A217" s="65" t="s">
        <v>70</v>
      </c>
      <c r="B217" s="118"/>
      <c r="C217" s="118"/>
      <c r="D217" s="118"/>
      <c r="E217" s="118"/>
      <c r="F217" s="118"/>
      <c r="G217" s="118"/>
      <c r="H217" s="118"/>
      <c r="I217" s="37"/>
      <c r="J217" s="118"/>
      <c r="K217" s="2"/>
      <c r="L217" s="118"/>
      <c r="M217" s="2"/>
      <c r="N217" s="373"/>
      <c r="O217" s="2"/>
      <c r="P217" s="2"/>
      <c r="Q217" s="37"/>
      <c r="R217" s="118"/>
      <c r="S217" s="2"/>
      <c r="T217" s="2"/>
      <c r="U217" s="2"/>
      <c r="V217" s="2"/>
      <c r="W217" s="414"/>
      <c r="X217" s="414"/>
      <c r="Y217" s="37"/>
      <c r="Z217" s="2"/>
      <c r="AA217" s="118"/>
      <c r="AB217" s="57"/>
      <c r="AC217" s="57"/>
      <c r="AD217" s="57"/>
      <c r="AE217" s="118"/>
      <c r="AF217" s="118"/>
      <c r="AG217" s="2"/>
      <c r="AH217" s="2"/>
      <c r="AI217" s="2"/>
      <c r="AJ217" s="37"/>
      <c r="AK217" s="38"/>
      <c r="AL217" s="197"/>
    </row>
    <row r="218" spans="1:38" x14ac:dyDescent="0.25">
      <c r="A218" s="65" t="s">
        <v>71</v>
      </c>
      <c r="B218" s="118"/>
      <c r="C218" s="118"/>
      <c r="D218" s="118"/>
      <c r="E218" s="118"/>
      <c r="F218" s="1"/>
      <c r="G218" s="118"/>
      <c r="H218" s="118"/>
      <c r="I218" s="37"/>
      <c r="J218" s="118"/>
      <c r="K218" s="2"/>
      <c r="L218" s="2"/>
      <c r="M218" s="1"/>
      <c r="N218" s="373"/>
      <c r="O218" s="2"/>
      <c r="P218" s="2"/>
      <c r="Q218" s="37"/>
      <c r="R218" s="2"/>
      <c r="S218" s="2"/>
      <c r="T218" s="2"/>
      <c r="U218" s="2"/>
      <c r="V218" s="2"/>
      <c r="W218" s="414"/>
      <c r="X218" s="414"/>
      <c r="Y218" s="37"/>
      <c r="Z218" s="2"/>
      <c r="AA218" s="2"/>
      <c r="AB218" s="57"/>
      <c r="AC218" s="57"/>
      <c r="AD218" s="57"/>
      <c r="AE218" s="118"/>
      <c r="AF218" s="2"/>
      <c r="AG218" s="2"/>
      <c r="AH218" s="2"/>
      <c r="AI218" s="2"/>
      <c r="AJ218" s="37"/>
      <c r="AK218" s="38"/>
      <c r="AL218" s="197"/>
    </row>
    <row r="219" spans="1:38" x14ac:dyDescent="0.25">
      <c r="A219" s="65" t="s">
        <v>72</v>
      </c>
      <c r="B219" s="118"/>
      <c r="C219" s="118"/>
      <c r="D219" s="118"/>
      <c r="E219" s="118"/>
      <c r="F219" s="118"/>
      <c r="G219" s="118"/>
      <c r="H219" s="118"/>
      <c r="I219" s="37"/>
      <c r="J219" s="118"/>
      <c r="K219" s="2"/>
      <c r="L219" s="2"/>
      <c r="M219" s="2"/>
      <c r="N219" s="211"/>
      <c r="O219" s="2"/>
      <c r="P219" s="2"/>
      <c r="Q219" s="37"/>
      <c r="R219" s="2"/>
      <c r="S219" s="2"/>
      <c r="T219" s="2"/>
      <c r="U219" s="2"/>
      <c r="V219" s="1"/>
      <c r="W219" s="414"/>
      <c r="X219" s="414"/>
      <c r="Y219" s="37"/>
      <c r="Z219" s="2"/>
      <c r="AA219" s="2"/>
      <c r="AB219" s="57"/>
      <c r="AC219" s="57"/>
      <c r="AD219" s="57"/>
      <c r="AE219" s="118"/>
      <c r="AF219" s="2"/>
      <c r="AG219" s="2"/>
      <c r="AH219" s="2"/>
      <c r="AI219" s="2"/>
      <c r="AJ219" s="37"/>
      <c r="AK219" s="38"/>
      <c r="AL219" s="197"/>
    </row>
    <row r="220" spans="1:38" x14ac:dyDescent="0.25">
      <c r="A220" s="65" t="s">
        <v>73</v>
      </c>
      <c r="B220" s="118"/>
      <c r="C220" s="118"/>
      <c r="D220" s="118"/>
      <c r="E220" s="118"/>
      <c r="F220" s="1"/>
      <c r="G220" s="118"/>
      <c r="H220" s="118"/>
      <c r="I220" s="37"/>
      <c r="J220" s="118"/>
      <c r="K220" s="2"/>
      <c r="L220" s="2"/>
      <c r="M220" s="2"/>
      <c r="N220" s="373"/>
      <c r="O220" s="2"/>
      <c r="P220" s="2"/>
      <c r="Q220" s="37"/>
      <c r="R220" s="118"/>
      <c r="S220" s="2"/>
      <c r="T220" s="2"/>
      <c r="U220" s="2"/>
      <c r="V220" s="2"/>
      <c r="W220" s="414"/>
      <c r="X220" s="414"/>
      <c r="Y220" s="37"/>
      <c r="Z220" s="2"/>
      <c r="AA220" s="1"/>
      <c r="AB220" s="57"/>
      <c r="AC220" s="57"/>
      <c r="AD220" s="57"/>
      <c r="AE220" s="118"/>
      <c r="AF220" s="2"/>
      <c r="AG220" s="2"/>
      <c r="AH220" s="2"/>
      <c r="AI220" s="2"/>
      <c r="AJ220" s="37"/>
      <c r="AK220" s="38"/>
      <c r="AL220" s="197"/>
    </row>
    <row r="221" spans="1:38" x14ac:dyDescent="0.25">
      <c r="A221" s="65" t="s">
        <v>74</v>
      </c>
      <c r="B221" s="118"/>
      <c r="C221" s="118"/>
      <c r="D221" s="118"/>
      <c r="E221" s="118"/>
      <c r="F221" s="118"/>
      <c r="G221" s="1"/>
      <c r="H221" s="118"/>
      <c r="I221" s="37"/>
      <c r="J221" s="118"/>
      <c r="K221" s="2"/>
      <c r="L221" s="2"/>
      <c r="M221" s="1"/>
      <c r="N221" s="373"/>
      <c r="O221" s="2"/>
      <c r="P221" s="2"/>
      <c r="Q221" s="37"/>
      <c r="R221" s="118"/>
      <c r="S221" s="2"/>
      <c r="T221" s="118"/>
      <c r="U221" s="2"/>
      <c r="V221" s="2"/>
      <c r="W221" s="414"/>
      <c r="X221" s="414"/>
      <c r="Y221" s="37"/>
      <c r="Z221" s="2"/>
      <c r="AA221" s="1"/>
      <c r="AB221" s="57"/>
      <c r="AC221" s="57"/>
      <c r="AD221" s="57"/>
      <c r="AE221" s="118"/>
      <c r="AF221" s="1"/>
      <c r="AG221" s="2"/>
      <c r="AH221" s="2"/>
      <c r="AI221" s="2"/>
      <c r="AJ221" s="37"/>
      <c r="AK221" s="38"/>
      <c r="AL221" s="197"/>
    </row>
    <row r="222" spans="1:38" x14ac:dyDescent="0.25">
      <c r="A222" s="65" t="s">
        <v>76</v>
      </c>
      <c r="B222" s="118"/>
      <c r="C222" s="118"/>
      <c r="D222" s="118"/>
      <c r="E222" s="118"/>
      <c r="F222" s="118"/>
      <c r="G222" s="118"/>
      <c r="H222" s="118"/>
      <c r="I222" s="37"/>
      <c r="J222" s="118"/>
      <c r="K222" s="2"/>
      <c r="L222" s="2"/>
      <c r="M222" s="2"/>
      <c r="N222" s="1"/>
      <c r="O222" s="2"/>
      <c r="P222" s="2"/>
      <c r="Q222" s="37"/>
      <c r="R222" s="2"/>
      <c r="S222" s="2"/>
      <c r="T222" s="2"/>
      <c r="U222" s="2"/>
      <c r="V222" s="2"/>
      <c r="W222" s="414"/>
      <c r="X222" s="414"/>
      <c r="Y222" s="37"/>
      <c r="Z222" s="2"/>
      <c r="AA222" s="2"/>
      <c r="AB222" s="57"/>
      <c r="AC222" s="57"/>
      <c r="AD222" s="57"/>
      <c r="AE222" s="118"/>
      <c r="AF222" s="2"/>
      <c r="AG222" s="2"/>
      <c r="AH222" s="2"/>
      <c r="AI222" s="2"/>
      <c r="AJ222" s="37"/>
      <c r="AK222" s="38"/>
      <c r="AL222" s="197"/>
    </row>
    <row r="223" spans="1:38" x14ac:dyDescent="0.25">
      <c r="A223" s="65" t="s">
        <v>75</v>
      </c>
      <c r="B223" s="118"/>
      <c r="C223" s="1"/>
      <c r="D223" s="118"/>
      <c r="E223" s="118"/>
      <c r="F223" s="118"/>
      <c r="G223" s="118"/>
      <c r="H223" s="118"/>
      <c r="I223" s="37"/>
      <c r="J223" s="118"/>
      <c r="K223" s="2"/>
      <c r="L223" s="1"/>
      <c r="M223" s="2"/>
      <c r="N223" s="373"/>
      <c r="O223" s="2"/>
      <c r="P223" s="2"/>
      <c r="Q223" s="37"/>
      <c r="R223" s="2"/>
      <c r="S223" s="118"/>
      <c r="T223" s="2"/>
      <c r="U223" s="2"/>
      <c r="V223" s="2"/>
      <c r="W223" s="414"/>
      <c r="X223" s="414"/>
      <c r="Y223" s="37"/>
      <c r="Z223" s="2"/>
      <c r="AA223" s="2"/>
      <c r="AB223" s="57"/>
      <c r="AC223" s="57"/>
      <c r="AD223" s="57"/>
      <c r="AE223" s="118"/>
      <c r="AF223" s="2"/>
      <c r="AG223" s="2"/>
      <c r="AH223" s="2"/>
      <c r="AI223" s="2"/>
      <c r="AJ223" s="37"/>
      <c r="AK223" s="38"/>
      <c r="AL223" s="197"/>
    </row>
    <row r="224" spans="1:38" x14ac:dyDescent="0.25">
      <c r="A224" s="65" t="s">
        <v>49</v>
      </c>
      <c r="B224" s="118"/>
      <c r="C224" s="118"/>
      <c r="D224" s="118"/>
      <c r="E224" s="118"/>
      <c r="F224" s="118"/>
      <c r="G224" s="118"/>
      <c r="H224" s="118"/>
      <c r="I224" s="37"/>
      <c r="J224" s="118"/>
      <c r="K224" s="118"/>
      <c r="L224" s="2"/>
      <c r="M224" s="2"/>
      <c r="N224" s="373"/>
      <c r="O224" s="2"/>
      <c r="P224" s="2"/>
      <c r="Q224" s="37"/>
      <c r="R224" s="2"/>
      <c r="S224" s="2"/>
      <c r="T224" s="2"/>
      <c r="U224" s="2"/>
      <c r="V224" s="2"/>
      <c r="W224" s="414"/>
      <c r="X224" s="414"/>
      <c r="Y224" s="37"/>
      <c r="Z224" s="2"/>
      <c r="AA224" s="2"/>
      <c r="AB224" s="57"/>
      <c r="AC224" s="57"/>
      <c r="AD224" s="57"/>
      <c r="AE224" s="118"/>
      <c r="AF224" s="2"/>
      <c r="AG224" s="2"/>
      <c r="AH224" s="2"/>
      <c r="AI224" s="2"/>
      <c r="AJ224" s="37"/>
      <c r="AK224" s="38"/>
      <c r="AL224" s="197"/>
    </row>
    <row r="225" spans="1:53" x14ac:dyDescent="0.25">
      <c r="A225" s="65" t="s">
        <v>23</v>
      </c>
      <c r="B225" s="118"/>
      <c r="C225" s="118"/>
      <c r="D225" s="118"/>
      <c r="E225" s="118"/>
      <c r="F225" s="118"/>
      <c r="G225" s="118"/>
      <c r="H225" s="118"/>
      <c r="I225" s="37"/>
      <c r="J225" s="118"/>
      <c r="K225" s="118"/>
      <c r="L225" s="2"/>
      <c r="M225" s="2"/>
      <c r="N225" s="373"/>
      <c r="O225" s="2"/>
      <c r="P225" s="2"/>
      <c r="Q225" s="37"/>
      <c r="R225" s="2"/>
      <c r="S225" s="2"/>
      <c r="T225" s="2"/>
      <c r="U225" s="2"/>
      <c r="V225" s="2"/>
      <c r="W225" s="414"/>
      <c r="X225" s="414"/>
      <c r="Y225" s="37"/>
      <c r="Z225" s="2"/>
      <c r="AA225" s="2"/>
      <c r="AB225" s="57"/>
      <c r="AC225" s="57"/>
      <c r="AD225" s="57"/>
      <c r="AE225" s="118"/>
      <c r="AF225" s="2"/>
      <c r="AG225" s="2"/>
      <c r="AH225" s="2"/>
      <c r="AI225" s="2"/>
      <c r="AJ225" s="37"/>
      <c r="AK225" s="38"/>
      <c r="AL225" s="197"/>
    </row>
    <row r="226" spans="1:53" x14ac:dyDescent="0.25">
      <c r="A226" s="65" t="s">
        <v>50</v>
      </c>
      <c r="B226" s="118"/>
      <c r="C226" s="118"/>
      <c r="D226" s="118"/>
      <c r="E226" s="118"/>
      <c r="F226" s="1"/>
      <c r="G226" s="118"/>
      <c r="H226" s="118"/>
      <c r="I226" s="37"/>
      <c r="J226" s="118"/>
      <c r="K226" s="118"/>
      <c r="L226" s="2"/>
      <c r="M226" s="2"/>
      <c r="N226" s="373"/>
      <c r="O226" s="2"/>
      <c r="P226" s="2"/>
      <c r="Q226" s="37"/>
      <c r="R226" s="2"/>
      <c r="S226" s="2"/>
      <c r="T226" s="2"/>
      <c r="U226" s="2"/>
      <c r="V226" s="2"/>
      <c r="W226" s="414"/>
      <c r="X226" s="414"/>
      <c r="Y226" s="37"/>
      <c r="Z226" s="2"/>
      <c r="AA226" s="2"/>
      <c r="AB226" s="57"/>
      <c r="AC226" s="57"/>
      <c r="AD226" s="57"/>
      <c r="AE226" s="118"/>
      <c r="AF226" s="2"/>
      <c r="AG226" s="2"/>
      <c r="AH226" s="2"/>
      <c r="AI226" s="2"/>
      <c r="AJ226" s="37"/>
      <c r="AK226" s="38"/>
      <c r="AL226" s="197"/>
    </row>
    <row r="227" spans="1:53" x14ac:dyDescent="0.25">
      <c r="A227" s="65" t="s">
        <v>51</v>
      </c>
      <c r="B227" s="118"/>
      <c r="C227" s="118"/>
      <c r="D227" s="118"/>
      <c r="E227" s="118"/>
      <c r="F227" s="118"/>
      <c r="G227" s="118"/>
      <c r="H227" s="118"/>
      <c r="I227" s="37"/>
      <c r="J227" s="118"/>
      <c r="K227" s="2"/>
      <c r="L227" s="2"/>
      <c r="M227" s="2"/>
      <c r="N227" s="373"/>
      <c r="O227" s="2"/>
      <c r="P227" s="2"/>
      <c r="Q227" s="37"/>
      <c r="R227" s="2"/>
      <c r="S227" s="2"/>
      <c r="T227" s="2"/>
      <c r="U227" s="2"/>
      <c r="V227" s="118"/>
      <c r="W227" s="414"/>
      <c r="X227" s="414"/>
      <c r="Y227" s="37"/>
      <c r="Z227" s="2"/>
      <c r="AA227" s="2"/>
      <c r="AB227" s="57"/>
      <c r="AC227" s="57"/>
      <c r="AD227" s="57"/>
      <c r="AE227" s="118"/>
      <c r="AF227" s="2"/>
      <c r="AG227" s="2"/>
      <c r="AH227" s="2"/>
      <c r="AI227" s="2"/>
      <c r="AJ227" s="37"/>
      <c r="AK227" s="38"/>
      <c r="AL227" s="197"/>
    </row>
    <row r="228" spans="1:53" x14ac:dyDescent="0.25">
      <c r="A228" s="65" t="s">
        <v>52</v>
      </c>
      <c r="B228" s="118"/>
      <c r="C228" s="118"/>
      <c r="D228" s="118"/>
      <c r="E228" s="118"/>
      <c r="F228" s="118"/>
      <c r="G228" s="118"/>
      <c r="H228" s="118"/>
      <c r="I228" s="37"/>
      <c r="J228" s="118"/>
      <c r="K228" s="2"/>
      <c r="L228" s="2"/>
      <c r="M228" s="2"/>
      <c r="N228" s="373"/>
      <c r="O228" s="2"/>
      <c r="P228" s="2"/>
      <c r="Q228" s="37"/>
      <c r="R228" s="118"/>
      <c r="S228" s="2"/>
      <c r="T228" s="2"/>
      <c r="U228" s="2"/>
      <c r="V228" s="2"/>
      <c r="W228" s="414"/>
      <c r="X228" s="414"/>
      <c r="Y228" s="37"/>
      <c r="Z228" s="2"/>
      <c r="AA228" s="2"/>
      <c r="AB228" s="57"/>
      <c r="AC228" s="57"/>
      <c r="AD228" s="57"/>
      <c r="AE228" s="118"/>
      <c r="AF228" s="2"/>
      <c r="AG228" s="2"/>
      <c r="AH228" s="2"/>
      <c r="AI228" s="2"/>
      <c r="AJ228" s="37"/>
      <c r="AK228" s="38"/>
      <c r="AL228" s="197"/>
    </row>
    <row r="229" spans="1:53" x14ac:dyDescent="0.25">
      <c r="A229" s="65" t="s">
        <v>53</v>
      </c>
      <c r="B229" s="118"/>
      <c r="C229" s="118"/>
      <c r="D229" s="118"/>
      <c r="E229" s="118"/>
      <c r="F229" s="118"/>
      <c r="G229" s="118"/>
      <c r="H229" s="118"/>
      <c r="I229" s="37"/>
      <c r="J229" s="118"/>
      <c r="K229" s="2"/>
      <c r="L229" s="2"/>
      <c r="M229" s="2"/>
      <c r="N229" s="373"/>
      <c r="O229" s="2"/>
      <c r="P229" s="2"/>
      <c r="Q229" s="37"/>
      <c r="R229" s="118"/>
      <c r="S229" s="2"/>
      <c r="T229" s="2"/>
      <c r="U229" s="2"/>
      <c r="V229" s="2"/>
      <c r="W229" s="414"/>
      <c r="X229" s="414"/>
      <c r="Y229" s="37"/>
      <c r="Z229" s="2"/>
      <c r="AA229" s="2"/>
      <c r="AB229" s="57"/>
      <c r="AC229" s="57"/>
      <c r="AD229" s="57"/>
      <c r="AE229" s="118"/>
      <c r="AF229" s="2"/>
      <c r="AG229" s="2"/>
      <c r="AH229" s="2"/>
      <c r="AI229" s="2"/>
      <c r="AJ229" s="37"/>
      <c r="AK229" s="38"/>
      <c r="AL229" s="197"/>
    </row>
    <row r="230" spans="1:53" x14ac:dyDescent="0.25">
      <c r="A230" s="65" t="s">
        <v>98</v>
      </c>
      <c r="B230" s="118"/>
      <c r="C230" s="118"/>
      <c r="D230" s="118"/>
      <c r="E230" s="118"/>
      <c r="F230" s="118"/>
      <c r="G230" s="118"/>
      <c r="H230" s="118"/>
      <c r="I230" s="37"/>
      <c r="J230" s="118"/>
      <c r="K230" s="2"/>
      <c r="L230" s="2"/>
      <c r="M230" s="2"/>
      <c r="N230" s="373"/>
      <c r="O230" s="2"/>
      <c r="P230" s="2"/>
      <c r="Q230" s="37"/>
      <c r="R230" s="2"/>
      <c r="S230" s="2"/>
      <c r="T230" s="118"/>
      <c r="U230" s="2"/>
      <c r="V230" s="2"/>
      <c r="W230" s="414"/>
      <c r="X230" s="414"/>
      <c r="Y230" s="37"/>
      <c r="Z230" s="2"/>
      <c r="AA230" s="2"/>
      <c r="AB230" s="57"/>
      <c r="AC230" s="57"/>
      <c r="AD230" s="57"/>
      <c r="AE230" s="118"/>
      <c r="AF230" s="2"/>
      <c r="AG230" s="2"/>
      <c r="AH230" s="2"/>
      <c r="AI230" s="2"/>
      <c r="AJ230" s="37"/>
      <c r="AK230" s="38"/>
      <c r="AL230" s="197"/>
    </row>
    <row r="231" spans="1:53" ht="18.75" x14ac:dyDescent="0.3">
      <c r="A231" s="65" t="s">
        <v>83</v>
      </c>
      <c r="B231" s="152"/>
      <c r="C231" s="267"/>
      <c r="D231" s="267"/>
      <c r="E231" s="267"/>
      <c r="F231" s="267"/>
      <c r="G231" s="153"/>
      <c r="H231" s="268"/>
      <c r="I231" s="269"/>
      <c r="J231" s="268"/>
      <c r="K231" s="153"/>
      <c r="L231" s="152"/>
      <c r="M231" s="270"/>
      <c r="N231" s="171"/>
      <c r="O231" s="270"/>
      <c r="P231" s="152"/>
      <c r="Q231" s="269"/>
      <c r="R231" s="152"/>
      <c r="S231" s="152"/>
      <c r="T231" s="152"/>
      <c r="U231" s="152"/>
      <c r="V231" s="152"/>
      <c r="W231" s="415"/>
      <c r="X231" s="416"/>
      <c r="Y231" s="269"/>
      <c r="Z231" s="270"/>
      <c r="AA231" s="152"/>
      <c r="AB231" s="175"/>
      <c r="AC231" s="239"/>
      <c r="AD231" s="175"/>
      <c r="AE231" s="152"/>
      <c r="AF231" s="270"/>
      <c r="AG231" s="356"/>
      <c r="AH231" s="270"/>
      <c r="AI231" s="270"/>
      <c r="AJ231" s="269"/>
      <c r="AK231" s="271"/>
      <c r="AL231" s="204"/>
    </row>
    <row r="232" spans="1:53" x14ac:dyDescent="0.25">
      <c r="A232" s="65" t="s">
        <v>84</v>
      </c>
      <c r="B232" s="115"/>
      <c r="C232" s="242"/>
      <c r="D232" s="115"/>
      <c r="E232" s="18"/>
      <c r="F232" s="242"/>
      <c r="G232" s="18"/>
      <c r="H232" s="18"/>
      <c r="I232" s="49"/>
      <c r="J232" s="134"/>
      <c r="K232" s="134"/>
      <c r="L232" s="240"/>
      <c r="M232" s="134"/>
      <c r="N232" s="242"/>
      <c r="O232" s="134"/>
      <c r="P232" s="240"/>
      <c r="Q232" s="49"/>
      <c r="R232" s="134"/>
      <c r="S232" s="242"/>
      <c r="T232" s="134"/>
      <c r="U232" s="240"/>
      <c r="V232" s="134"/>
      <c r="W232" s="417"/>
      <c r="X232" s="417"/>
      <c r="Y232" s="49"/>
      <c r="Z232" s="134"/>
      <c r="AA232" s="134"/>
      <c r="AB232" s="432"/>
      <c r="AC232" s="159"/>
      <c r="AD232" s="432"/>
      <c r="AE232" s="134"/>
      <c r="AF232" s="240"/>
      <c r="AG232" s="247"/>
      <c r="AH232" s="134"/>
      <c r="AI232" s="134"/>
      <c r="AJ232" s="49"/>
      <c r="AK232" s="133"/>
      <c r="AL232" s="197"/>
    </row>
    <row r="233" spans="1:53" x14ac:dyDescent="0.25">
      <c r="A233" s="65" t="s">
        <v>85</v>
      </c>
      <c r="B233" s="115"/>
      <c r="C233" s="115"/>
      <c r="D233" s="115"/>
      <c r="E233" s="18"/>
      <c r="F233" s="18"/>
      <c r="G233" s="18"/>
      <c r="H233" s="18"/>
      <c r="I233" s="49"/>
      <c r="J233" s="134"/>
      <c r="K233" s="134"/>
      <c r="L233" s="240"/>
      <c r="M233" s="134"/>
      <c r="N233" s="156"/>
      <c r="O233" s="134"/>
      <c r="P233" s="134"/>
      <c r="Q233" s="49"/>
      <c r="R233" s="240"/>
      <c r="S233" s="134"/>
      <c r="T233" s="134"/>
      <c r="U233" s="134"/>
      <c r="V233" s="240"/>
      <c r="W233" s="417"/>
      <c r="X233" s="417"/>
      <c r="Y233" s="49"/>
      <c r="Z233" s="134"/>
      <c r="AA233" s="134"/>
      <c r="AB233" s="432"/>
      <c r="AC233" s="159"/>
      <c r="AD233" s="432"/>
      <c r="AE233" s="134"/>
      <c r="AF233" s="134"/>
      <c r="AG233" s="247"/>
      <c r="AH233" s="134"/>
      <c r="AI233" s="134"/>
      <c r="AJ233" s="49"/>
      <c r="AK233" s="133"/>
      <c r="AL233" s="197"/>
    </row>
    <row r="234" spans="1:53" ht="18.75" x14ac:dyDescent="0.3">
      <c r="A234" s="65" t="s">
        <v>62</v>
      </c>
      <c r="B234" s="112"/>
      <c r="C234" s="112"/>
      <c r="D234" s="337"/>
      <c r="E234" s="112"/>
      <c r="F234" s="112"/>
      <c r="G234" s="112"/>
      <c r="H234" s="112"/>
      <c r="I234" s="244"/>
      <c r="J234" s="112"/>
      <c r="K234" s="112"/>
      <c r="L234" s="112"/>
      <c r="M234" s="112"/>
      <c r="N234" s="18"/>
      <c r="O234" s="112"/>
      <c r="P234" s="112"/>
      <c r="Q234" s="244"/>
      <c r="R234" s="337"/>
      <c r="S234" s="112"/>
      <c r="T234" s="112"/>
      <c r="U234" s="112"/>
      <c r="V234" s="337"/>
      <c r="W234" s="417"/>
      <c r="X234" s="417"/>
      <c r="Y234" s="244"/>
      <c r="Z234" s="112"/>
      <c r="AA234" s="112"/>
      <c r="AB234" s="115"/>
      <c r="AC234" s="242"/>
      <c r="AD234" s="242"/>
      <c r="AE234" s="112"/>
      <c r="AF234" s="112"/>
      <c r="AG234" s="337"/>
      <c r="AH234" s="112"/>
      <c r="AI234" s="112"/>
      <c r="AJ234" s="244"/>
      <c r="AK234" s="170"/>
      <c r="AL234" s="197"/>
    </row>
    <row r="235" spans="1:53" ht="23.25" x14ac:dyDescent="0.35">
      <c r="A235" s="65" t="s">
        <v>61</v>
      </c>
      <c r="B235" s="286"/>
      <c r="C235" s="131"/>
      <c r="D235" s="286"/>
      <c r="E235" s="286"/>
      <c r="F235" s="286"/>
      <c r="G235" s="287"/>
      <c r="H235" s="12"/>
      <c r="I235" s="289"/>
      <c r="J235" s="365"/>
      <c r="K235" s="287"/>
      <c r="L235" s="12"/>
      <c r="M235" s="287"/>
      <c r="N235" s="155"/>
      <c r="O235" s="287"/>
      <c r="P235" s="287"/>
      <c r="Q235" s="289"/>
      <c r="R235" s="131"/>
      <c r="S235" s="287"/>
      <c r="T235" s="287"/>
      <c r="U235" s="131"/>
      <c r="V235" s="287"/>
      <c r="W235" s="417"/>
      <c r="X235" s="418"/>
      <c r="Y235" s="289"/>
      <c r="Z235" s="131"/>
      <c r="AA235" s="287"/>
      <c r="AB235" s="433"/>
      <c r="AC235" s="135"/>
      <c r="AD235" s="434"/>
      <c r="AE235" s="365"/>
      <c r="AF235" s="131"/>
      <c r="AG235" s="431"/>
      <c r="AH235" s="287"/>
      <c r="AI235" s="287"/>
      <c r="AJ235" s="289"/>
      <c r="AK235" s="255"/>
      <c r="AL235" s="292"/>
    </row>
    <row r="236" spans="1:53" x14ac:dyDescent="0.25">
      <c r="A236" s="66" t="s">
        <v>86</v>
      </c>
      <c r="B236" s="288"/>
      <c r="C236" s="288"/>
      <c r="D236" s="288"/>
      <c r="E236" s="288"/>
      <c r="F236" s="338"/>
      <c r="G236" s="288"/>
      <c r="H236" s="288"/>
      <c r="I236" s="290"/>
      <c r="J236" s="288"/>
      <c r="K236" s="288"/>
      <c r="L236" s="338"/>
      <c r="M236" s="288"/>
      <c r="N236" s="288"/>
      <c r="O236" s="288"/>
      <c r="P236" s="338"/>
      <c r="Q236" s="290"/>
      <c r="R236" s="288"/>
      <c r="S236" s="288"/>
      <c r="T236" s="288"/>
      <c r="U236" s="288"/>
      <c r="V236" s="288"/>
      <c r="W236" s="415"/>
      <c r="X236" s="415"/>
      <c r="Y236" s="290"/>
      <c r="Z236" s="288"/>
      <c r="AA236" s="288"/>
      <c r="AB236" s="435"/>
      <c r="AC236" s="435"/>
      <c r="AD236" s="436"/>
      <c r="AE236" s="288"/>
      <c r="AF236" s="338"/>
      <c r="AG236" s="427"/>
      <c r="AH236" s="288"/>
      <c r="AI236" s="288"/>
      <c r="AJ236" s="290"/>
      <c r="AK236" s="291"/>
      <c r="AL236" s="204"/>
    </row>
    <row r="237" spans="1:53" x14ac:dyDescent="0.25">
      <c r="A237" s="66" t="s">
        <v>100</v>
      </c>
      <c r="B237" s="162"/>
      <c r="C237" s="162"/>
      <c r="D237" s="162"/>
      <c r="E237" s="164"/>
      <c r="F237" s="164"/>
      <c r="G237" s="164"/>
      <c r="H237" s="164"/>
      <c r="I237" s="290"/>
      <c r="J237" s="338"/>
      <c r="K237" s="288"/>
      <c r="L237" s="288"/>
      <c r="M237" s="288"/>
      <c r="N237" s="288"/>
      <c r="O237" s="288"/>
      <c r="P237" s="288"/>
      <c r="Q237" s="290"/>
      <c r="R237" s="288"/>
      <c r="S237" s="288"/>
      <c r="T237" s="288"/>
      <c r="U237" s="288"/>
      <c r="V237" s="288"/>
      <c r="W237" s="415"/>
      <c r="X237" s="415"/>
      <c r="Y237" s="290"/>
      <c r="Z237" s="288"/>
      <c r="AA237" s="288"/>
      <c r="AB237" s="435"/>
      <c r="AC237" s="435"/>
      <c r="AD237" s="436"/>
      <c r="AE237" s="288"/>
      <c r="AF237" s="288"/>
      <c r="AG237" s="427"/>
      <c r="AH237" s="288"/>
      <c r="AI237" s="332"/>
      <c r="AJ237" s="290"/>
      <c r="AK237" s="46"/>
      <c r="AL237" s="204"/>
    </row>
    <row r="238" spans="1:53" s="2" customFormat="1" x14ac:dyDescent="0.25">
      <c r="A238" s="66" t="s">
        <v>35</v>
      </c>
      <c r="B238" s="162"/>
      <c r="C238" s="162"/>
      <c r="D238" s="162"/>
      <c r="E238" s="164"/>
      <c r="F238" s="164"/>
      <c r="G238" s="164"/>
      <c r="H238" s="164"/>
      <c r="I238" s="290"/>
      <c r="J238" s="338"/>
      <c r="K238" s="288"/>
      <c r="L238" s="288"/>
      <c r="M238" s="288"/>
      <c r="N238" s="288"/>
      <c r="O238" s="288"/>
      <c r="P238" s="288"/>
      <c r="Q238" s="290"/>
      <c r="R238" s="288"/>
      <c r="S238" s="288"/>
      <c r="T238" s="288"/>
      <c r="U238" s="288"/>
      <c r="V238" s="288"/>
      <c r="W238" s="415"/>
      <c r="X238" s="415"/>
      <c r="Y238" s="290"/>
      <c r="Z238" s="288"/>
      <c r="AA238" s="288"/>
      <c r="AB238" s="435"/>
      <c r="AC238" s="435"/>
      <c r="AD238" s="436"/>
      <c r="AE238" s="288"/>
      <c r="AF238" s="288"/>
      <c r="AG238" s="443"/>
      <c r="AH238" s="288"/>
      <c r="AI238" s="332"/>
      <c r="AJ238" s="290"/>
      <c r="AK238" s="46"/>
      <c r="AL238" s="204"/>
      <c r="AM238" s="167"/>
      <c r="AN238" s="167"/>
      <c r="AO238" s="167"/>
      <c r="AP238" s="167"/>
      <c r="AQ238" s="167"/>
      <c r="AR238" s="167"/>
      <c r="AS238" s="167"/>
      <c r="AT238" s="167"/>
      <c r="AU238" s="167"/>
      <c r="AV238" s="167"/>
      <c r="AW238" s="167"/>
      <c r="AX238" s="167"/>
      <c r="AY238" s="167"/>
      <c r="AZ238" s="167"/>
      <c r="BA238" s="218"/>
    </row>
    <row r="239" spans="1:53" ht="18.75" x14ac:dyDescent="0.3">
      <c r="A239" s="368" t="s">
        <v>22</v>
      </c>
      <c r="B239" s="162"/>
      <c r="C239" s="162"/>
      <c r="D239" s="162"/>
      <c r="E239" s="164"/>
      <c r="F239" s="164"/>
      <c r="G239" s="164"/>
      <c r="H239" s="338"/>
      <c r="I239" s="290"/>
      <c r="J239" s="338"/>
      <c r="K239" s="367"/>
      <c r="L239" s="288"/>
      <c r="M239" s="288"/>
      <c r="N239" s="338"/>
      <c r="O239" s="288"/>
      <c r="P239" s="288"/>
      <c r="Q239" s="290"/>
      <c r="R239" s="288"/>
      <c r="S239" s="288"/>
      <c r="T239" s="288"/>
      <c r="U239" s="288"/>
      <c r="V239" s="288"/>
      <c r="W239" s="415"/>
      <c r="X239" s="415"/>
      <c r="Y239" s="290"/>
      <c r="Z239" s="288"/>
      <c r="AA239" s="288"/>
      <c r="AB239" s="436"/>
      <c r="AC239" s="435"/>
      <c r="AD239" s="436"/>
      <c r="AE239" s="288"/>
      <c r="AF239" s="288"/>
      <c r="AG239" s="288"/>
      <c r="AH239" s="288"/>
      <c r="AI239" s="332"/>
      <c r="AJ239" s="290"/>
      <c r="AK239" s="342"/>
      <c r="AL239" s="204"/>
      <c r="AM239" s="167"/>
      <c r="AN239" s="167"/>
      <c r="AO239" s="167"/>
      <c r="AP239" s="167"/>
      <c r="AQ239" s="167"/>
      <c r="AR239" s="167"/>
      <c r="AS239" s="167"/>
      <c r="AT239" s="167"/>
      <c r="AU239" s="167"/>
      <c r="AV239" s="167"/>
      <c r="AW239" s="167"/>
      <c r="AX239" s="167"/>
      <c r="AY239" s="167"/>
      <c r="AZ239" s="167"/>
    </row>
    <row r="240" spans="1:53" ht="18.75" x14ac:dyDescent="0.3">
      <c r="A240" s="368" t="s">
        <v>88</v>
      </c>
      <c r="B240" s="115"/>
      <c r="C240" s="115"/>
      <c r="D240" s="115"/>
      <c r="E240" s="18"/>
      <c r="F240" s="242"/>
      <c r="G240" s="18"/>
      <c r="H240" s="18"/>
      <c r="I240" s="49"/>
      <c r="J240" s="240"/>
      <c r="K240" s="134"/>
      <c r="L240" s="134"/>
      <c r="M240" s="134"/>
      <c r="N240" s="134"/>
      <c r="O240" s="134"/>
      <c r="P240" s="134"/>
      <c r="Q240" s="49"/>
      <c r="R240" s="134"/>
      <c r="S240" s="134"/>
      <c r="T240" s="134"/>
      <c r="U240" s="134"/>
      <c r="V240" s="134"/>
      <c r="W240" s="417"/>
      <c r="X240" s="417"/>
      <c r="Y240" s="49"/>
      <c r="Z240" s="134"/>
      <c r="AA240" s="134"/>
      <c r="AB240" s="159"/>
      <c r="AC240" s="159"/>
      <c r="AD240" s="432"/>
      <c r="AE240" s="134"/>
      <c r="AF240" s="134"/>
      <c r="AG240" s="134"/>
      <c r="AH240" s="134"/>
      <c r="AI240" s="134"/>
      <c r="AJ240" s="49"/>
      <c r="AK240" s="378"/>
      <c r="AL240" s="309"/>
    </row>
    <row r="241" spans="1:230" ht="18.75" x14ac:dyDescent="0.3">
      <c r="A241" s="368" t="s">
        <v>38</v>
      </c>
      <c r="B241" s="115"/>
      <c r="C241" s="115"/>
      <c r="D241" s="115"/>
      <c r="E241" s="18"/>
      <c r="F241" s="242"/>
      <c r="G241" s="18"/>
      <c r="H241" s="18"/>
      <c r="I241" s="49"/>
      <c r="J241" s="242"/>
      <c r="K241" s="134"/>
      <c r="L241" s="134"/>
      <c r="M241" s="134"/>
      <c r="N241" s="134"/>
      <c r="O241" s="134"/>
      <c r="P241" s="134"/>
      <c r="Q241" s="49"/>
      <c r="R241" s="134"/>
      <c r="S241" s="134"/>
      <c r="T241" s="134"/>
      <c r="U241" s="242"/>
      <c r="V241" s="134"/>
      <c r="W241" s="417"/>
      <c r="X241" s="417"/>
      <c r="Y241" s="49"/>
      <c r="Z241" s="242"/>
      <c r="AA241" s="134"/>
      <c r="AB241" s="159"/>
      <c r="AC241" s="159"/>
      <c r="AD241" s="159"/>
      <c r="AE241" s="242"/>
      <c r="AF241" s="134"/>
      <c r="AG241" s="134"/>
      <c r="AH241" s="134"/>
      <c r="AI241" s="134"/>
      <c r="AJ241" s="49"/>
      <c r="AK241" s="378"/>
      <c r="AL241" s="309"/>
    </row>
    <row r="242" spans="1:230" x14ac:dyDescent="0.25">
      <c r="A242" s="368" t="s">
        <v>90</v>
      </c>
      <c r="B242" s="150"/>
      <c r="C242" s="150"/>
      <c r="D242" s="282"/>
      <c r="E242" s="150"/>
      <c r="F242" s="282"/>
      <c r="G242" s="150"/>
      <c r="H242" s="150"/>
      <c r="I242" s="369"/>
      <c r="J242" s="282"/>
      <c r="K242" s="150"/>
      <c r="L242" s="149"/>
      <c r="M242" s="182"/>
      <c r="N242" s="182"/>
      <c r="O242" s="182"/>
      <c r="P242" s="182"/>
      <c r="Q242" s="370"/>
      <c r="R242" s="182"/>
      <c r="S242" s="182"/>
      <c r="T242" s="182"/>
      <c r="U242" s="182"/>
      <c r="V242" s="182"/>
      <c r="W242" s="419"/>
      <c r="X242" s="419"/>
      <c r="Y242" s="370"/>
      <c r="Z242" s="182"/>
      <c r="AA242" s="182"/>
      <c r="AB242" s="109"/>
      <c r="AC242" s="109"/>
      <c r="AD242" s="109"/>
      <c r="AE242" s="182"/>
      <c r="AF242" s="182"/>
      <c r="AG242" s="182"/>
      <c r="AH242" s="182"/>
      <c r="AI242" s="182"/>
      <c r="AJ242" s="370"/>
      <c r="AK242" s="333"/>
      <c r="AL242" s="309"/>
    </row>
    <row r="243" spans="1:230" x14ac:dyDescent="0.25">
      <c r="A243" s="368" t="s">
        <v>87</v>
      </c>
      <c r="B243" s="355"/>
      <c r="C243" s="355"/>
      <c r="D243" s="355"/>
      <c r="E243" s="355"/>
      <c r="F243" s="152"/>
      <c r="G243" s="356"/>
      <c r="H243" s="356"/>
      <c r="I243" s="357"/>
      <c r="J243" s="152"/>
      <c r="K243" s="356"/>
      <c r="L243" s="356"/>
      <c r="M243" s="356"/>
      <c r="N243" s="152"/>
      <c r="O243" s="356"/>
      <c r="P243" s="356"/>
      <c r="Q243" s="357"/>
      <c r="R243" s="356"/>
      <c r="S243" s="356"/>
      <c r="T243" s="356"/>
      <c r="U243" s="356"/>
      <c r="V243" s="356"/>
      <c r="W243" s="415"/>
      <c r="X243" s="415"/>
      <c r="Y243" s="357"/>
      <c r="Z243" s="356"/>
      <c r="AA243" s="356"/>
      <c r="AB243" s="175"/>
      <c r="AC243" s="175"/>
      <c r="AD243" s="175"/>
      <c r="AE243" s="152"/>
      <c r="AF243" s="356"/>
      <c r="AG243" s="356"/>
      <c r="AH243" s="356"/>
      <c r="AI243" s="356"/>
      <c r="AJ243" s="357"/>
      <c r="AK243" s="358"/>
      <c r="AL243" s="359"/>
    </row>
    <row r="244" spans="1:230" s="217" customFormat="1" x14ac:dyDescent="0.25">
      <c r="A244" s="368" t="s">
        <v>21</v>
      </c>
      <c r="B244" s="355"/>
      <c r="C244" s="355"/>
      <c r="D244" s="355"/>
      <c r="E244" s="355"/>
      <c r="F244" s="152"/>
      <c r="G244" s="356"/>
      <c r="H244" s="356"/>
      <c r="I244" s="357"/>
      <c r="J244" s="152"/>
      <c r="K244" s="356"/>
      <c r="L244" s="356"/>
      <c r="M244" s="356"/>
      <c r="N244" s="152"/>
      <c r="O244" s="356"/>
      <c r="P244" s="356"/>
      <c r="Q244" s="357"/>
      <c r="R244" s="356"/>
      <c r="S244" s="356"/>
      <c r="T244" s="356"/>
      <c r="U244" s="356"/>
      <c r="V244" s="356"/>
      <c r="W244" s="415"/>
      <c r="X244" s="415"/>
      <c r="Y244" s="357"/>
      <c r="Z244" s="356"/>
      <c r="AA244" s="356"/>
      <c r="AB244" s="175"/>
      <c r="AC244" s="175"/>
      <c r="AD244" s="175"/>
      <c r="AE244" s="152"/>
      <c r="AF244" s="356"/>
      <c r="AG244" s="356"/>
      <c r="AH244" s="356"/>
      <c r="AI244" s="356"/>
      <c r="AJ244" s="357"/>
      <c r="AK244" s="358"/>
      <c r="AL244" s="359"/>
      <c r="AM244" s="196"/>
      <c r="AN244" s="196"/>
      <c r="AO244" s="196"/>
      <c r="AP244" s="196"/>
      <c r="AQ244" s="196"/>
      <c r="AR244" s="196"/>
      <c r="AS244" s="196"/>
      <c r="AT244" s="196"/>
      <c r="AU244" s="196"/>
      <c r="AV244" s="196"/>
      <c r="AW244" s="196"/>
      <c r="AX244" s="196"/>
      <c r="AY244" s="196"/>
      <c r="AZ244" s="196"/>
      <c r="BA244" s="196"/>
      <c r="BB244" s="196"/>
      <c r="BC244" s="196"/>
      <c r="BD244" s="196"/>
      <c r="BE244" s="196"/>
      <c r="BF244" s="196"/>
      <c r="BG244" s="196"/>
      <c r="BH244" s="196"/>
      <c r="BI244" s="196"/>
      <c r="BJ244" s="196"/>
      <c r="BK244" s="196"/>
      <c r="BL244" s="196"/>
      <c r="BM244" s="196"/>
      <c r="BN244" s="196"/>
      <c r="BO244" s="196"/>
      <c r="BP244" s="196"/>
      <c r="BQ244" s="196"/>
      <c r="BR244" s="196"/>
      <c r="BS244" s="196"/>
      <c r="BT244" s="196"/>
      <c r="BU244" s="196"/>
      <c r="BV244" s="196"/>
      <c r="BW244" s="196"/>
      <c r="BX244" s="196"/>
      <c r="BY244" s="196"/>
      <c r="BZ244" s="196"/>
      <c r="CA244" s="196"/>
      <c r="CB244" s="196"/>
      <c r="CC244" s="196"/>
      <c r="CD244" s="196"/>
      <c r="CE244" s="196"/>
      <c r="CF244" s="196"/>
      <c r="CG244" s="196"/>
      <c r="CH244" s="196"/>
      <c r="CI244" s="196"/>
      <c r="CJ244" s="196"/>
      <c r="CK244" s="196"/>
      <c r="CL244" s="196"/>
      <c r="CM244" s="196"/>
      <c r="CN244" s="196"/>
      <c r="CO244" s="196"/>
      <c r="CP244" s="196"/>
      <c r="CQ244" s="196"/>
      <c r="CR244" s="196"/>
      <c r="CS244" s="196"/>
      <c r="CT244" s="196"/>
      <c r="CU244" s="196"/>
      <c r="CV244" s="196"/>
      <c r="CW244" s="196"/>
      <c r="CX244" s="196"/>
      <c r="CY244" s="196"/>
      <c r="CZ244" s="196"/>
      <c r="DA244" s="196"/>
      <c r="DB244" s="196"/>
      <c r="DC244" s="196"/>
      <c r="DD244" s="196"/>
      <c r="DE244" s="196"/>
      <c r="DF244" s="196"/>
      <c r="DG244" s="196"/>
      <c r="DH244" s="196"/>
      <c r="DI244" s="196"/>
      <c r="DJ244" s="196"/>
      <c r="DK244" s="196"/>
      <c r="DL244" s="196"/>
      <c r="DM244" s="196"/>
      <c r="DN244" s="196"/>
      <c r="DO244" s="196"/>
      <c r="DP244" s="196"/>
      <c r="DQ244" s="196"/>
      <c r="DR244" s="196"/>
      <c r="DS244" s="196"/>
      <c r="DT244" s="196"/>
      <c r="DU244" s="196"/>
      <c r="DV244" s="196"/>
      <c r="DW244" s="196"/>
      <c r="DX244" s="196"/>
      <c r="DY244" s="196"/>
      <c r="DZ244" s="196"/>
      <c r="EA244" s="196"/>
      <c r="EB244" s="196"/>
      <c r="EC244" s="196"/>
      <c r="ED244" s="196"/>
      <c r="EE244" s="196"/>
      <c r="EF244" s="196"/>
      <c r="EG244" s="196"/>
      <c r="EH244" s="196"/>
      <c r="EI244" s="196"/>
      <c r="EJ244" s="196"/>
      <c r="EK244" s="196"/>
      <c r="EL244" s="196"/>
      <c r="EM244" s="196"/>
      <c r="EN244" s="196"/>
      <c r="EO244" s="196"/>
      <c r="EP244" s="196"/>
      <c r="EQ244" s="196"/>
      <c r="ER244" s="196"/>
      <c r="ES244" s="196"/>
      <c r="ET244" s="196"/>
      <c r="EU244" s="196"/>
      <c r="EV244" s="196"/>
      <c r="EW244" s="196"/>
      <c r="EX244" s="196"/>
      <c r="EY244" s="196"/>
      <c r="EZ244" s="196"/>
      <c r="FA244" s="196"/>
      <c r="FB244" s="196"/>
      <c r="FC244" s="196"/>
      <c r="FD244" s="196"/>
      <c r="FE244" s="196"/>
      <c r="FF244" s="196"/>
      <c r="FG244" s="196"/>
      <c r="FH244" s="196"/>
      <c r="FI244" s="196"/>
      <c r="FJ244" s="196"/>
      <c r="FK244" s="196"/>
      <c r="FL244" s="196"/>
      <c r="FM244" s="196"/>
      <c r="FN244" s="196"/>
      <c r="FO244" s="196"/>
      <c r="FP244" s="196"/>
      <c r="FQ244" s="196"/>
      <c r="FR244" s="196"/>
      <c r="FS244" s="196"/>
      <c r="FT244" s="196"/>
      <c r="FU244" s="196"/>
      <c r="FV244" s="196"/>
      <c r="FW244" s="196"/>
      <c r="FX244" s="196"/>
      <c r="FY244" s="196"/>
      <c r="FZ244" s="196"/>
      <c r="GA244" s="196"/>
      <c r="GB244" s="196"/>
      <c r="GC244" s="196"/>
      <c r="GD244" s="196"/>
      <c r="GE244" s="196"/>
      <c r="GF244" s="196"/>
      <c r="GG244" s="196"/>
      <c r="GH244" s="196"/>
      <c r="GI244" s="196"/>
      <c r="GJ244" s="196"/>
      <c r="GK244" s="196"/>
      <c r="GL244" s="196"/>
      <c r="GM244" s="196"/>
      <c r="GN244" s="196"/>
      <c r="GO244" s="196"/>
      <c r="GP244" s="196"/>
      <c r="GQ244" s="196"/>
      <c r="GR244" s="196"/>
      <c r="GS244" s="196"/>
      <c r="GT244" s="196"/>
      <c r="GU244" s="196"/>
      <c r="GV244" s="196"/>
      <c r="GW244" s="196"/>
      <c r="GX244" s="196"/>
      <c r="GY244" s="196"/>
      <c r="GZ244" s="196"/>
      <c r="HA244" s="196"/>
      <c r="HB244" s="196"/>
      <c r="HC244" s="196"/>
      <c r="HD244" s="196"/>
      <c r="HE244" s="196"/>
      <c r="HF244" s="196"/>
      <c r="HG244" s="196"/>
      <c r="HH244" s="196"/>
      <c r="HI244" s="196"/>
      <c r="HJ244" s="196"/>
      <c r="HK244" s="196"/>
      <c r="HL244" s="196"/>
      <c r="HM244" s="196"/>
      <c r="HN244" s="196"/>
      <c r="HO244" s="196"/>
      <c r="HP244" s="196"/>
      <c r="HQ244" s="196"/>
      <c r="HR244" s="196"/>
      <c r="HS244" s="196"/>
      <c r="HT244" s="196"/>
      <c r="HU244" s="196"/>
      <c r="HV244" s="196"/>
    </row>
    <row r="245" spans="1:230" s="196" customFormat="1" x14ac:dyDescent="0.25">
      <c r="A245" s="368" t="s">
        <v>99</v>
      </c>
      <c r="B245" s="367"/>
      <c r="C245" s="367"/>
      <c r="D245" s="367"/>
      <c r="E245" s="367"/>
      <c r="F245" s="367"/>
      <c r="G245" s="367"/>
      <c r="H245" s="367"/>
      <c r="I245" s="374"/>
      <c r="J245" s="367"/>
      <c r="K245" s="367"/>
      <c r="L245" s="367"/>
      <c r="M245" s="367"/>
      <c r="N245" s="367"/>
      <c r="O245" s="367"/>
      <c r="P245" s="367"/>
      <c r="Q245" s="290"/>
      <c r="R245" s="367"/>
      <c r="S245" s="288"/>
      <c r="T245" s="338"/>
      <c r="U245" s="288"/>
      <c r="V245" s="288"/>
      <c r="W245" s="415"/>
      <c r="X245" s="415"/>
      <c r="Y245" s="290"/>
      <c r="Z245" s="288"/>
      <c r="AA245" s="288"/>
      <c r="AB245" s="435"/>
      <c r="AC245" s="435"/>
      <c r="AD245" s="435"/>
      <c r="AE245" s="288"/>
      <c r="AF245" s="288"/>
      <c r="AG245" s="288"/>
      <c r="AH245" s="288"/>
      <c r="AI245" s="288"/>
      <c r="AJ245" s="290"/>
      <c r="AK245" s="291"/>
      <c r="AL245" s="204"/>
    </row>
    <row r="246" spans="1:230" s="215" customFormat="1" ht="15.75" x14ac:dyDescent="0.25">
      <c r="A246" s="426" t="s">
        <v>91</v>
      </c>
      <c r="B246" s="242"/>
      <c r="C246" s="242"/>
      <c r="D246" s="242"/>
      <c r="E246" s="242"/>
      <c r="F246" s="242"/>
      <c r="G246" s="242"/>
      <c r="H246" s="242"/>
      <c r="I246" s="409"/>
      <c r="J246" s="242"/>
      <c r="K246" s="242"/>
      <c r="L246" s="242"/>
      <c r="M246" s="242"/>
      <c r="N246" s="242"/>
      <c r="O246" s="242"/>
      <c r="P246" s="242"/>
      <c r="Q246" s="410"/>
      <c r="R246" s="242"/>
      <c r="S246" s="240"/>
      <c r="T246" s="134"/>
      <c r="U246" s="134"/>
      <c r="V246" s="134"/>
      <c r="W246" s="417"/>
      <c r="X246" s="417"/>
      <c r="Y246" s="49"/>
      <c r="Z246" s="134"/>
      <c r="AA246" s="240"/>
      <c r="AB246" s="159"/>
      <c r="AC246" s="159"/>
      <c r="AD246" s="159"/>
      <c r="AE246" s="134"/>
      <c r="AF246" s="240"/>
      <c r="AG246" s="134"/>
      <c r="AH246" s="134"/>
      <c r="AI246" s="134"/>
      <c r="AJ246" s="49"/>
      <c r="AK246" s="133"/>
      <c r="AL246" s="197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216"/>
      <c r="BF246" s="216"/>
      <c r="BG246" s="216"/>
      <c r="BH246" s="216"/>
      <c r="BI246" s="216"/>
      <c r="BJ246" s="216"/>
      <c r="BK246" s="216"/>
      <c r="BL246" s="216"/>
      <c r="BM246" s="216"/>
      <c r="BN246" s="216"/>
      <c r="BO246" s="216"/>
      <c r="BP246" s="216"/>
      <c r="BQ246" s="216"/>
      <c r="BR246" s="216"/>
      <c r="BS246" s="216"/>
      <c r="BT246" s="216"/>
      <c r="BU246" s="216"/>
      <c r="BV246" s="216"/>
      <c r="BW246" s="216"/>
      <c r="BX246" s="216"/>
      <c r="BY246" s="216"/>
      <c r="BZ246" s="216"/>
      <c r="CA246" s="216"/>
      <c r="CB246" s="216"/>
      <c r="CC246" s="216"/>
      <c r="CD246" s="216"/>
      <c r="CE246" s="216"/>
      <c r="CF246" s="216"/>
      <c r="CG246" s="216"/>
      <c r="CH246" s="216"/>
      <c r="CI246" s="216"/>
      <c r="CJ246" s="216"/>
      <c r="CK246" s="216"/>
      <c r="CL246" s="216"/>
      <c r="CM246" s="216"/>
      <c r="CN246" s="216"/>
      <c r="CO246" s="216"/>
      <c r="CP246" s="216"/>
      <c r="CQ246" s="216"/>
      <c r="CR246" s="216"/>
      <c r="CS246" s="216"/>
      <c r="CT246" s="216"/>
      <c r="CU246" s="216"/>
      <c r="CV246" s="216"/>
      <c r="CW246" s="216"/>
      <c r="CX246" s="216"/>
      <c r="CY246" s="216"/>
      <c r="CZ246" s="216"/>
      <c r="DA246" s="216"/>
      <c r="DB246" s="216"/>
      <c r="DC246" s="216"/>
      <c r="DD246" s="216"/>
      <c r="DE246" s="216"/>
      <c r="DF246" s="216"/>
      <c r="DG246" s="216"/>
      <c r="DH246" s="216"/>
      <c r="DI246" s="216"/>
      <c r="DJ246" s="216"/>
      <c r="DK246" s="216"/>
      <c r="DL246" s="216"/>
      <c r="DM246" s="216"/>
      <c r="DN246" s="216"/>
      <c r="DO246" s="216"/>
      <c r="DP246" s="216"/>
      <c r="DQ246" s="216"/>
      <c r="DR246" s="216"/>
      <c r="DS246" s="216"/>
      <c r="DT246" s="216"/>
      <c r="DU246" s="216"/>
      <c r="DV246" s="216"/>
      <c r="DW246" s="216"/>
      <c r="DX246" s="216"/>
      <c r="DY246" s="216"/>
      <c r="DZ246" s="216"/>
      <c r="EA246" s="216"/>
      <c r="EB246" s="216"/>
      <c r="EC246" s="216"/>
      <c r="ED246" s="216"/>
      <c r="EE246" s="216"/>
      <c r="EF246" s="216"/>
      <c r="EG246" s="216"/>
      <c r="EH246" s="216"/>
      <c r="EI246" s="216"/>
      <c r="EJ246" s="216"/>
      <c r="EK246" s="216"/>
      <c r="EL246" s="216"/>
      <c r="EM246" s="216"/>
      <c r="EN246" s="216"/>
      <c r="EO246" s="216"/>
      <c r="EP246" s="216"/>
      <c r="EQ246" s="216"/>
      <c r="ER246" s="216"/>
      <c r="ES246" s="216"/>
      <c r="ET246" s="216"/>
      <c r="EU246" s="216"/>
      <c r="EV246" s="216"/>
      <c r="EW246" s="216"/>
      <c r="EX246" s="216"/>
      <c r="EY246" s="216"/>
      <c r="EZ246" s="216"/>
      <c r="FA246" s="216"/>
      <c r="FB246" s="216"/>
      <c r="FC246" s="216"/>
      <c r="FD246" s="216"/>
      <c r="FE246" s="216"/>
      <c r="FF246" s="216"/>
      <c r="FG246" s="216"/>
      <c r="FH246" s="216"/>
      <c r="FI246" s="216"/>
      <c r="FJ246" s="216"/>
      <c r="FK246" s="216"/>
      <c r="FL246" s="216"/>
      <c r="FM246" s="216"/>
      <c r="FN246" s="216"/>
      <c r="FO246" s="216"/>
      <c r="FP246" s="216"/>
      <c r="FQ246" s="216"/>
      <c r="FR246" s="216"/>
      <c r="FS246" s="216"/>
      <c r="FT246" s="216"/>
      <c r="FU246" s="216"/>
      <c r="FV246" s="216"/>
      <c r="FW246" s="216"/>
      <c r="FX246" s="216"/>
      <c r="FY246" s="216"/>
      <c r="FZ246" s="216"/>
      <c r="GA246" s="216"/>
      <c r="GB246" s="216"/>
      <c r="GC246" s="216"/>
      <c r="GD246" s="216"/>
      <c r="GE246" s="216"/>
      <c r="GF246" s="216"/>
      <c r="GG246" s="216"/>
      <c r="GH246" s="216"/>
      <c r="GI246" s="216"/>
      <c r="GJ246" s="216"/>
      <c r="GK246" s="216"/>
      <c r="GL246" s="216"/>
      <c r="GM246" s="216"/>
      <c r="GN246" s="216"/>
      <c r="GO246" s="216"/>
      <c r="GP246" s="216"/>
      <c r="GQ246" s="216"/>
      <c r="GR246" s="216"/>
      <c r="GS246" s="216"/>
      <c r="GT246" s="216"/>
      <c r="GU246" s="216"/>
      <c r="GV246" s="216"/>
      <c r="GW246" s="216"/>
      <c r="GX246" s="216"/>
      <c r="GY246" s="216"/>
      <c r="GZ246" s="216"/>
      <c r="HA246" s="216"/>
      <c r="HB246" s="216"/>
      <c r="HC246" s="216"/>
      <c r="HD246" s="216"/>
      <c r="HE246" s="216"/>
      <c r="HF246" s="216"/>
      <c r="HG246" s="216"/>
      <c r="HH246" s="216"/>
      <c r="HI246" s="216"/>
      <c r="HJ246" s="216"/>
      <c r="HK246" s="216"/>
      <c r="HL246" s="216"/>
      <c r="HM246" s="216"/>
      <c r="HN246" s="216"/>
      <c r="HO246" s="216"/>
      <c r="HP246" s="216"/>
      <c r="HQ246" s="216"/>
      <c r="HR246" s="216"/>
      <c r="HS246" s="216"/>
      <c r="HT246" s="216"/>
      <c r="HU246" s="216"/>
      <c r="HV246" s="216"/>
    </row>
    <row r="247" spans="1:230" ht="19.5" thickBot="1" x14ac:dyDescent="0.35">
      <c r="A247" s="66" t="s">
        <v>101</v>
      </c>
      <c r="B247" s="396"/>
      <c r="C247" s="396"/>
      <c r="D247" s="396"/>
      <c r="E247" s="396"/>
      <c r="F247" s="396"/>
      <c r="G247" s="396"/>
      <c r="H247" s="396"/>
      <c r="I247" s="334"/>
      <c r="J247" s="396"/>
      <c r="K247" s="396"/>
      <c r="L247" s="396"/>
      <c r="M247" s="396"/>
      <c r="N247" s="396"/>
      <c r="O247" s="396"/>
      <c r="P247" s="396"/>
      <c r="Q247" s="334"/>
      <c r="R247" s="396"/>
      <c r="S247" s="396"/>
      <c r="T247" s="396"/>
      <c r="U247" s="396"/>
      <c r="V247" s="396"/>
      <c r="W247" s="420"/>
      <c r="X247" s="420"/>
      <c r="Y247" s="334"/>
      <c r="Z247" s="396"/>
      <c r="AA247" s="396"/>
      <c r="AB247" s="437"/>
      <c r="AC247" s="437"/>
      <c r="AD247" s="437"/>
      <c r="AE247" s="396"/>
      <c r="AF247" s="396"/>
      <c r="AG247" s="396"/>
      <c r="AH247" s="396"/>
      <c r="AI247" s="396"/>
      <c r="AJ247" s="334"/>
      <c r="AK247" s="397"/>
      <c r="AL247" s="228"/>
      <c r="AM247" s="19"/>
      <c r="AN247" s="167"/>
      <c r="AO247" s="167"/>
      <c r="AP247" s="167"/>
      <c r="AQ247" s="167"/>
      <c r="AR247" s="167"/>
      <c r="AS247" s="167"/>
      <c r="AT247" s="167"/>
      <c r="AU247" s="167"/>
      <c r="AV247" s="167"/>
      <c r="AW247" s="167"/>
      <c r="AX247" s="167"/>
      <c r="AY247" s="167"/>
      <c r="AZ247" s="167"/>
      <c r="BA247" s="167"/>
      <c r="BB247" s="167"/>
      <c r="BC247" s="167"/>
      <c r="BD247" s="167"/>
    </row>
    <row r="248" spans="1:230" ht="18.75" x14ac:dyDescent="0.3">
      <c r="A248" s="281" t="s">
        <v>2</v>
      </c>
      <c r="B248" s="241"/>
      <c r="C248" s="241"/>
      <c r="D248" s="241"/>
      <c r="E248" s="241"/>
      <c r="F248" s="241"/>
      <c r="G248" s="241"/>
      <c r="H248" s="241"/>
      <c r="I248" s="380"/>
      <c r="J248" s="241"/>
      <c r="K248" s="241"/>
      <c r="L248" s="241"/>
      <c r="M248" s="241"/>
      <c r="N248" s="241"/>
      <c r="O248" s="241"/>
      <c r="P248" s="241"/>
      <c r="Q248" s="377"/>
      <c r="R248" s="241"/>
      <c r="S248" s="241"/>
      <c r="T248" s="241"/>
      <c r="U248" s="241"/>
      <c r="V248" s="241"/>
      <c r="W248" s="413"/>
      <c r="X248" s="413"/>
      <c r="Y248" s="380"/>
      <c r="Z248" s="241"/>
      <c r="AA248" s="241"/>
      <c r="AB248" s="241"/>
      <c r="AC248" s="241"/>
      <c r="AD248" s="241"/>
      <c r="AE248" s="241"/>
      <c r="AF248" s="241"/>
      <c r="AG248" s="241"/>
      <c r="AH248" s="424"/>
      <c r="AI248" s="425"/>
      <c r="AJ248" s="360"/>
      <c r="AK248" s="266"/>
      <c r="AL248" s="284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  <c r="BC248" s="167"/>
      <c r="BD248" s="167"/>
    </row>
    <row r="249" spans="1:230" ht="19.5" thickBot="1" x14ac:dyDescent="0.35">
      <c r="A249" s="272"/>
      <c r="B249" s="265"/>
      <c r="C249" s="265"/>
      <c r="D249" s="265"/>
      <c r="E249" s="265"/>
      <c r="F249" s="265"/>
      <c r="G249" s="265"/>
      <c r="H249" s="265"/>
      <c r="I249" s="334"/>
      <c r="J249" s="265"/>
      <c r="K249" s="265"/>
      <c r="L249" s="265"/>
      <c r="M249" s="265"/>
      <c r="N249" s="265"/>
      <c r="O249" s="265"/>
      <c r="P249" s="265"/>
      <c r="Q249" s="334"/>
      <c r="R249" s="265"/>
      <c r="S249" s="265"/>
      <c r="T249" s="265"/>
      <c r="U249" s="265"/>
      <c r="V249" s="265"/>
      <c r="W249" s="265"/>
      <c r="X249" s="265"/>
      <c r="Y249" s="334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334"/>
      <c r="AK249" s="273"/>
      <c r="AL249" s="228"/>
      <c r="AM249" s="167"/>
      <c r="AN249" s="167"/>
      <c r="AO249" s="167"/>
      <c r="AP249" s="167"/>
      <c r="AQ249" s="167"/>
      <c r="AR249" s="167"/>
      <c r="AS249" s="167"/>
      <c r="AT249" s="167"/>
      <c r="AU249" s="167"/>
      <c r="AV249" s="167"/>
      <c r="AW249" s="167"/>
      <c r="AX249" s="167"/>
      <c r="AY249" s="167"/>
      <c r="AZ249" s="167"/>
      <c r="BA249" s="167"/>
      <c r="BB249" s="167"/>
      <c r="BC249" s="167"/>
      <c r="BD249" s="167"/>
    </row>
    <row r="250" spans="1:230" ht="24" thickBot="1" x14ac:dyDescent="0.4">
      <c r="A250" s="252" t="s">
        <v>197</v>
      </c>
      <c r="B250" s="258"/>
      <c r="C250" s="258"/>
      <c r="D250" s="258"/>
      <c r="E250" s="258"/>
      <c r="F250" s="258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  <c r="AD250" s="254"/>
      <c r="AE250" s="254"/>
      <c r="AF250" s="254"/>
      <c r="AG250" s="254"/>
      <c r="AH250" s="254"/>
      <c r="AI250" s="254"/>
      <c r="AJ250" s="260"/>
      <c r="AK250" s="261"/>
      <c r="AL250" s="260"/>
      <c r="AM250" s="167"/>
      <c r="AN250" s="167"/>
      <c r="AO250" s="167"/>
      <c r="AP250" s="167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167"/>
      <c r="BA250" s="167"/>
      <c r="BB250" s="167"/>
      <c r="BC250" s="167"/>
      <c r="BD250" s="167"/>
    </row>
    <row r="251" spans="1:230" ht="15.75" thickBot="1" x14ac:dyDescent="0.3">
      <c r="A251" s="222" t="s">
        <v>2</v>
      </c>
      <c r="B251" s="53"/>
      <c r="C251" s="53"/>
      <c r="D251" s="53"/>
      <c r="E251" s="53"/>
      <c r="F251" s="53"/>
      <c r="G251" s="53"/>
      <c r="H251" s="53"/>
      <c r="I251" s="34"/>
      <c r="J251" s="53"/>
      <c r="K251" s="53"/>
      <c r="L251" s="53"/>
      <c r="M251" s="53"/>
      <c r="N251" s="53"/>
      <c r="O251" s="53"/>
      <c r="P251" s="53"/>
      <c r="Q251" s="34"/>
      <c r="R251" s="53"/>
      <c r="S251" s="53"/>
      <c r="T251" s="53"/>
      <c r="U251" s="53"/>
      <c r="V251" s="53"/>
      <c r="W251" s="53"/>
      <c r="X251" s="53"/>
      <c r="Y251" s="34"/>
      <c r="Z251" s="53"/>
      <c r="AA251" s="53"/>
      <c r="AB251" s="53"/>
      <c r="AC251" s="53"/>
      <c r="AD251" s="53"/>
      <c r="AE251" s="53"/>
      <c r="AF251" s="53"/>
      <c r="AG251" s="53"/>
      <c r="AH251" s="53"/>
      <c r="AI251" s="54"/>
      <c r="AJ251" s="49"/>
      <c r="AK251" s="346"/>
      <c r="AL251" s="105"/>
      <c r="AM251" s="167"/>
      <c r="AN251" s="167"/>
      <c r="AO251" s="167"/>
      <c r="AP251" s="167"/>
      <c r="AQ251" s="167"/>
      <c r="AR251" s="167"/>
      <c r="AS251" s="167"/>
      <c r="AT251" s="167"/>
      <c r="AU251" s="167"/>
      <c r="AV251" s="167"/>
      <c r="AW251" s="167"/>
      <c r="AX251" s="167"/>
      <c r="AY251" s="167"/>
      <c r="AZ251" s="167"/>
      <c r="BA251" s="167"/>
      <c r="BB251" s="167"/>
      <c r="BC251" s="167"/>
      <c r="BD251" s="167"/>
    </row>
    <row r="252" spans="1:230" ht="18.75" x14ac:dyDescent="0.3">
      <c r="A252" s="64" t="s">
        <v>57</v>
      </c>
      <c r="B252" s="1"/>
      <c r="C252" s="1"/>
      <c r="D252" s="1"/>
      <c r="E252" s="1"/>
      <c r="F252" s="1"/>
      <c r="G252" s="1"/>
      <c r="H252" s="1"/>
      <c r="I252" s="36"/>
      <c r="J252" s="1"/>
      <c r="K252" s="1"/>
      <c r="L252" s="1"/>
      <c r="M252" s="1"/>
      <c r="N252" s="1"/>
      <c r="O252" s="1"/>
      <c r="P252" s="1"/>
      <c r="Q252" s="36"/>
      <c r="R252" s="1"/>
      <c r="S252" s="1"/>
      <c r="T252" s="57"/>
      <c r="U252" s="1"/>
      <c r="V252" s="1"/>
      <c r="W252" s="1"/>
      <c r="X252" s="1"/>
      <c r="Y252" s="36"/>
      <c r="Z252" s="1"/>
      <c r="AA252" s="1"/>
      <c r="AB252" s="1"/>
      <c r="AC252" s="1"/>
      <c r="AD252" s="1"/>
      <c r="AE252" s="1"/>
      <c r="AF252" s="1"/>
      <c r="AG252" s="1"/>
      <c r="AH252" s="1"/>
      <c r="AI252" s="55"/>
      <c r="AJ252" s="36"/>
      <c r="AK252" s="339"/>
      <c r="AL252" s="197"/>
      <c r="AM252" s="220"/>
      <c r="AN252" s="167"/>
      <c r="AO252" s="167"/>
      <c r="AP252" s="167"/>
      <c r="AQ252" s="167"/>
      <c r="AR252" s="167"/>
      <c r="AS252" s="167"/>
      <c r="AT252" s="167"/>
      <c r="AU252" s="167"/>
      <c r="AV252" s="167"/>
      <c r="AW252" s="167"/>
      <c r="AX252" s="167"/>
      <c r="AY252" s="167"/>
      <c r="AZ252" s="167"/>
      <c r="BA252" s="167"/>
      <c r="BB252" s="167"/>
      <c r="BC252" s="167"/>
      <c r="BD252" s="167"/>
    </row>
    <row r="253" spans="1:230" ht="18.75" x14ac:dyDescent="0.3">
      <c r="A253" s="11" t="s">
        <v>58</v>
      </c>
      <c r="B253" s="1"/>
      <c r="C253" s="1"/>
      <c r="D253" s="1"/>
      <c r="E253" s="1"/>
      <c r="F253" s="1"/>
      <c r="G253" s="1"/>
      <c r="H253" s="1"/>
      <c r="I253" s="37"/>
      <c r="J253" s="118"/>
      <c r="K253" s="1"/>
      <c r="L253" s="1"/>
      <c r="M253" s="1"/>
      <c r="N253" s="1"/>
      <c r="O253" s="1"/>
      <c r="P253" s="1"/>
      <c r="Q253" s="37"/>
      <c r="R253" s="1"/>
      <c r="S253" s="1"/>
      <c r="T253" s="57"/>
      <c r="U253" s="1"/>
      <c r="V253" s="1"/>
      <c r="W253" s="1"/>
      <c r="X253" s="1"/>
      <c r="Y253" s="37"/>
      <c r="Z253" s="1"/>
      <c r="AA253" s="1"/>
      <c r="AB253" s="118"/>
      <c r="AC253" s="1"/>
      <c r="AD253" s="118"/>
      <c r="AE253" s="1"/>
      <c r="AF253" s="1"/>
      <c r="AG253" s="336"/>
      <c r="AH253" s="2"/>
      <c r="AI253" s="52"/>
      <c r="AJ253" s="37"/>
      <c r="AK253" s="340"/>
      <c r="AL253" s="197"/>
      <c r="AM253" s="167"/>
      <c r="AN253" s="167"/>
      <c r="AO253" s="167"/>
      <c r="AP253" s="167"/>
      <c r="AQ253" s="167"/>
      <c r="AR253" s="167"/>
      <c r="AS253" s="167"/>
      <c r="AT253" s="167"/>
      <c r="AU253" s="167"/>
      <c r="AV253" s="167"/>
      <c r="AW253" s="167"/>
      <c r="AX253" s="167"/>
      <c r="AY253" s="167"/>
      <c r="AZ253" s="167"/>
      <c r="BA253" s="167"/>
      <c r="BB253" s="167"/>
      <c r="BC253" s="167"/>
      <c r="BD253" s="167"/>
    </row>
    <row r="254" spans="1:230" ht="18.75" x14ac:dyDescent="0.3">
      <c r="A254" s="62" t="s">
        <v>59</v>
      </c>
      <c r="B254" s="123"/>
      <c r="C254" s="123"/>
      <c r="D254" s="123"/>
      <c r="E254" s="123"/>
      <c r="F254" s="123"/>
      <c r="G254" s="123"/>
      <c r="H254" s="123"/>
      <c r="I254" s="43"/>
      <c r="J254" s="178"/>
      <c r="K254" s="123"/>
      <c r="L254" s="123"/>
      <c r="M254" s="123"/>
      <c r="N254" s="123"/>
      <c r="O254" s="123"/>
      <c r="P254" s="123"/>
      <c r="Q254" s="43"/>
      <c r="R254" s="123"/>
      <c r="S254" s="123"/>
      <c r="T254" s="178"/>
      <c r="U254" s="123"/>
      <c r="V254" s="123"/>
      <c r="W254" s="123"/>
      <c r="X254" s="123"/>
      <c r="Y254" s="43"/>
      <c r="Z254" s="123"/>
      <c r="AA254" s="123"/>
      <c r="AB254" s="123"/>
      <c r="AC254" s="123"/>
      <c r="AD254" s="119"/>
      <c r="AE254" s="123"/>
      <c r="AF254" s="123"/>
      <c r="AG254" s="366"/>
      <c r="AH254" s="42"/>
      <c r="AI254" s="243"/>
      <c r="AJ254" s="43"/>
      <c r="AK254" s="342"/>
      <c r="AL254" s="204"/>
      <c r="AM254" s="167"/>
      <c r="AN254" s="167"/>
      <c r="AO254" s="167"/>
      <c r="AP254" s="167"/>
      <c r="AQ254" s="167"/>
      <c r="AR254" s="167"/>
      <c r="AS254" s="167"/>
      <c r="AT254" s="167"/>
      <c r="AU254" s="167"/>
      <c r="AV254" s="167"/>
      <c r="AW254" s="167"/>
      <c r="AX254" s="167"/>
      <c r="AY254" s="167"/>
      <c r="AZ254" s="167"/>
      <c r="BA254" s="167"/>
      <c r="BB254" s="167"/>
      <c r="BC254" s="167"/>
      <c r="BD254" s="167"/>
    </row>
    <row r="255" spans="1:230" ht="19.5" thickBot="1" x14ac:dyDescent="0.35">
      <c r="A255" s="349"/>
      <c r="B255" s="274"/>
      <c r="C255" s="274"/>
      <c r="D255" s="274"/>
      <c r="E255" s="274"/>
      <c r="F255" s="274"/>
      <c r="G255" s="275"/>
      <c r="H255" s="275"/>
      <c r="I255" s="269"/>
      <c r="J255" s="270"/>
      <c r="K255" s="268"/>
      <c r="L255" s="275"/>
      <c r="M255" s="268"/>
      <c r="N255" s="275"/>
      <c r="O255" s="268"/>
      <c r="P255" s="275"/>
      <c r="Q255" s="269"/>
      <c r="R255" s="153"/>
      <c r="S255" s="275"/>
      <c r="T255" s="239"/>
      <c r="U255" s="268"/>
      <c r="V255" s="275"/>
      <c r="W255" s="275"/>
      <c r="X255" s="268"/>
      <c r="Y255" s="269"/>
      <c r="Z255" s="275"/>
      <c r="AA255" s="153"/>
      <c r="AB255" s="268"/>
      <c r="AC255" s="275"/>
      <c r="AD255" s="268"/>
      <c r="AE255" s="275"/>
      <c r="AF255" s="275"/>
      <c r="AG255" s="429"/>
      <c r="AH255" s="270"/>
      <c r="AI255" s="270"/>
      <c r="AJ255" s="269"/>
      <c r="AK255" s="271"/>
      <c r="AL255" s="204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</row>
    <row r="256" spans="1:230" ht="18.75" x14ac:dyDescent="0.3">
      <c r="A256" s="281" t="s">
        <v>2</v>
      </c>
      <c r="B256" s="307"/>
      <c r="C256" s="307"/>
      <c r="D256" s="307"/>
      <c r="E256" s="307"/>
      <c r="F256" s="307"/>
      <c r="G256" s="307"/>
      <c r="H256" s="307"/>
      <c r="I256" s="376"/>
      <c r="J256" s="307"/>
      <c r="K256" s="307"/>
      <c r="L256" s="307"/>
      <c r="M256" s="307"/>
      <c r="N256" s="307"/>
      <c r="O256" s="307"/>
      <c r="P256" s="307"/>
      <c r="Q256" s="376"/>
      <c r="R256" s="307"/>
      <c r="S256" s="307"/>
      <c r="T256" s="163"/>
      <c r="U256" s="307"/>
      <c r="V256" s="307"/>
      <c r="W256" s="307"/>
      <c r="X256" s="307"/>
      <c r="Y256" s="376"/>
      <c r="Z256" s="307"/>
      <c r="AA256" s="307"/>
      <c r="AB256" s="307"/>
      <c r="AC256" s="307"/>
      <c r="AD256" s="307"/>
      <c r="AE256" s="307"/>
      <c r="AF256" s="307"/>
      <c r="AG256" s="428"/>
      <c r="AH256" s="308"/>
      <c r="AI256" s="308"/>
      <c r="AJ256" s="310"/>
      <c r="AK256" s="308"/>
      <c r="AL256" s="284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</row>
    <row r="257" spans="1:56" ht="15.75" thickBot="1" x14ac:dyDescent="0.3">
      <c r="A257" s="264"/>
      <c r="B257" s="265"/>
      <c r="C257" s="265"/>
      <c r="D257" s="265"/>
      <c r="E257" s="265"/>
      <c r="F257" s="265"/>
      <c r="G257" s="265"/>
      <c r="H257" s="265"/>
      <c r="I257" s="361"/>
      <c r="J257" s="265"/>
      <c r="K257" s="265"/>
      <c r="L257" s="265"/>
      <c r="M257" s="265"/>
      <c r="N257" s="265"/>
      <c r="O257" s="265"/>
      <c r="P257" s="265"/>
      <c r="Q257" s="361"/>
      <c r="R257" s="265"/>
      <c r="S257" s="265"/>
      <c r="T257" s="265"/>
      <c r="U257" s="265"/>
      <c r="V257" s="265"/>
      <c r="W257" s="265"/>
      <c r="X257" s="265"/>
      <c r="Y257" s="361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361"/>
      <c r="AK257" s="362"/>
      <c r="AL257" s="363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</row>
    <row r="258" spans="1:56" ht="24" thickBot="1" x14ac:dyDescent="0.4">
      <c r="A258" s="252" t="s">
        <v>198</v>
      </c>
      <c r="B258" s="258"/>
      <c r="C258" s="258"/>
      <c r="D258" s="258"/>
      <c r="E258" s="258"/>
      <c r="F258" s="258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  <c r="AD258" s="254"/>
      <c r="AE258" s="254"/>
      <c r="AF258" s="254"/>
      <c r="AG258" s="254"/>
      <c r="AH258" s="254"/>
      <c r="AI258" s="254"/>
      <c r="AJ258" s="260"/>
      <c r="AK258" s="261"/>
      <c r="AL258" s="260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</row>
    <row r="259" spans="1:56" ht="18.75" x14ac:dyDescent="0.3">
      <c r="A259" s="11" t="s">
        <v>54</v>
      </c>
      <c r="B259" s="1"/>
      <c r="C259" s="1"/>
      <c r="D259" s="1"/>
      <c r="E259" s="1"/>
      <c r="F259" s="1"/>
      <c r="G259" s="1"/>
      <c r="H259" s="1"/>
      <c r="I259" s="37"/>
      <c r="J259" s="118"/>
      <c r="K259" s="118"/>
      <c r="L259" s="1"/>
      <c r="M259" s="118"/>
      <c r="N259" s="1"/>
      <c r="O259" s="118"/>
      <c r="P259" s="1"/>
      <c r="Q259" s="37"/>
      <c r="R259" s="118"/>
      <c r="S259" s="1"/>
      <c r="T259" s="118"/>
      <c r="U259" s="118"/>
      <c r="V259" s="118"/>
      <c r="W259" s="118"/>
      <c r="X259" s="118"/>
      <c r="Y259" s="37"/>
      <c r="Z259" s="118"/>
      <c r="AA259" s="1"/>
      <c r="AB259" s="1"/>
      <c r="AC259" s="1"/>
      <c r="AD259" s="1"/>
      <c r="AE259" s="118"/>
      <c r="AF259" s="118"/>
      <c r="AG259" s="2"/>
      <c r="AH259" s="2"/>
      <c r="AI259" s="52"/>
      <c r="AJ259" s="37"/>
      <c r="AK259" s="339"/>
      <c r="AL259" s="19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</row>
    <row r="260" spans="1:56" ht="18.75" x14ac:dyDescent="0.3">
      <c r="A260" s="11" t="s">
        <v>55</v>
      </c>
      <c r="B260" s="1"/>
      <c r="C260" s="1"/>
      <c r="D260" s="1"/>
      <c r="E260" s="1"/>
      <c r="F260" s="1"/>
      <c r="G260" s="1"/>
      <c r="H260" s="1"/>
      <c r="I260" s="37"/>
      <c r="J260" s="118"/>
      <c r="K260" s="118"/>
      <c r="L260" s="1"/>
      <c r="M260" s="118"/>
      <c r="N260" s="118"/>
      <c r="O260" s="1"/>
      <c r="P260" s="1"/>
      <c r="Q260" s="37"/>
      <c r="R260" s="118"/>
      <c r="S260" s="1"/>
      <c r="T260" s="118"/>
      <c r="U260" s="1"/>
      <c r="V260" s="118"/>
      <c r="W260" s="118"/>
      <c r="X260" s="118"/>
      <c r="Y260" s="37"/>
      <c r="Z260" s="118"/>
      <c r="AA260" s="1"/>
      <c r="AB260" s="1"/>
      <c r="AC260" s="1"/>
      <c r="AD260" s="1"/>
      <c r="AE260" s="118"/>
      <c r="AF260" s="118"/>
      <c r="AG260" s="2"/>
      <c r="AH260" s="2"/>
      <c r="AI260" s="52"/>
      <c r="AJ260" s="37"/>
      <c r="AK260" s="339"/>
      <c r="AL260" s="197"/>
      <c r="AM260" s="220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</row>
    <row r="261" spans="1:56" ht="26.25" x14ac:dyDescent="0.4">
      <c r="A261" s="62" t="s">
        <v>56</v>
      </c>
      <c r="B261" s="123"/>
      <c r="C261" s="123"/>
      <c r="D261" s="123"/>
      <c r="E261" s="123"/>
      <c r="F261" s="123"/>
      <c r="G261" s="123"/>
      <c r="H261" s="123"/>
      <c r="I261" s="43"/>
      <c r="J261" s="119"/>
      <c r="K261" s="119"/>
      <c r="L261" s="123"/>
      <c r="M261" s="119"/>
      <c r="N261" s="123"/>
      <c r="O261" s="119"/>
      <c r="P261" s="123"/>
      <c r="Q261" s="43"/>
      <c r="R261" s="123"/>
      <c r="S261" s="123"/>
      <c r="T261" s="119"/>
      <c r="U261" s="119"/>
      <c r="V261" s="119"/>
      <c r="W261" s="119"/>
      <c r="X261" s="119"/>
      <c r="Y261" s="43"/>
      <c r="Z261" s="119"/>
      <c r="AA261" s="123"/>
      <c r="AB261" s="123"/>
      <c r="AC261" s="123"/>
      <c r="AD261" s="123"/>
      <c r="AE261" s="119"/>
      <c r="AF261" s="119"/>
      <c r="AG261" s="42"/>
      <c r="AH261" s="42"/>
      <c r="AI261" s="243"/>
      <c r="AJ261" s="43"/>
      <c r="AK261" s="342"/>
      <c r="AL261" s="204"/>
      <c r="AM261" s="219"/>
      <c r="AO261" s="181"/>
    </row>
    <row r="262" spans="1:56" x14ac:dyDescent="0.25">
      <c r="A262" s="67"/>
      <c r="B262" s="124"/>
      <c r="C262" s="124"/>
      <c r="D262" s="124"/>
      <c r="E262" s="124"/>
      <c r="F262" s="124"/>
      <c r="G262" s="124"/>
      <c r="H262" s="124"/>
      <c r="I262" s="47"/>
      <c r="J262" s="124"/>
      <c r="K262" s="124"/>
      <c r="L262" s="124"/>
      <c r="M262" s="124"/>
      <c r="N262" s="124"/>
      <c r="O262" s="124"/>
      <c r="P262" s="124"/>
      <c r="Q262" s="47"/>
      <c r="R262" s="124"/>
      <c r="S262" s="124"/>
      <c r="T262" s="124"/>
      <c r="U262" s="124"/>
      <c r="V262" s="124"/>
      <c r="W262" s="124"/>
      <c r="X262" s="124"/>
      <c r="Y262" s="47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37"/>
      <c r="AK262" s="3"/>
      <c r="AL262" s="197"/>
      <c r="AM262" s="79"/>
      <c r="AO262" s="180"/>
      <c r="AP262" s="180"/>
    </row>
    <row r="263" spans="1:56" ht="18.75" x14ac:dyDescent="0.3">
      <c r="A263" s="402" t="s">
        <v>2</v>
      </c>
      <c r="B263" s="403"/>
      <c r="C263" s="403"/>
      <c r="D263" s="403"/>
      <c r="E263" s="403"/>
      <c r="F263" s="403"/>
      <c r="G263" s="403"/>
      <c r="H263" s="403"/>
      <c r="I263" s="404"/>
      <c r="J263" s="403"/>
      <c r="K263" s="405"/>
      <c r="L263" s="403"/>
      <c r="M263" s="403"/>
      <c r="N263" s="403"/>
      <c r="O263" s="405"/>
      <c r="P263" s="403"/>
      <c r="Q263" s="404"/>
      <c r="R263" s="403"/>
      <c r="S263" s="405"/>
      <c r="T263" s="405"/>
      <c r="U263" s="405"/>
      <c r="V263" s="405"/>
      <c r="W263" s="405"/>
      <c r="X263" s="405"/>
      <c r="Y263" s="404"/>
      <c r="Z263" s="405"/>
      <c r="AA263" s="403"/>
      <c r="AB263" s="403"/>
      <c r="AC263" s="403"/>
      <c r="AD263" s="403"/>
      <c r="AE263" s="405"/>
      <c r="AF263" s="403"/>
      <c r="AG263" s="430"/>
      <c r="AH263" s="406"/>
      <c r="AI263" s="406"/>
      <c r="AJ263" s="407"/>
      <c r="AK263" s="406"/>
      <c r="AL263" s="408"/>
      <c r="AM263" s="19"/>
      <c r="AO263" s="180"/>
      <c r="AP263" s="180"/>
    </row>
    <row r="264" spans="1:56" ht="15.75" thickBot="1" x14ac:dyDescent="0.3">
      <c r="A264" s="364"/>
      <c r="B264" s="265"/>
      <c r="C264" s="265"/>
      <c r="D264" s="265"/>
      <c r="E264" s="265"/>
      <c r="F264" s="265"/>
      <c r="G264" s="265"/>
      <c r="H264" s="265"/>
      <c r="I264" s="361"/>
      <c r="J264" s="265"/>
      <c r="K264" s="265"/>
      <c r="L264" s="265"/>
      <c r="M264" s="265"/>
      <c r="N264" s="265"/>
      <c r="O264" s="265"/>
      <c r="P264" s="265"/>
      <c r="Q264" s="361"/>
      <c r="R264" s="265"/>
      <c r="S264" s="265"/>
      <c r="T264" s="265"/>
      <c r="U264" s="265"/>
      <c r="V264" s="265"/>
      <c r="W264" s="265"/>
      <c r="X264" s="265"/>
      <c r="Y264" s="361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361"/>
      <c r="AK264" s="362"/>
      <c r="AL264" s="363"/>
      <c r="AM264" s="19"/>
      <c r="AO264" s="180"/>
      <c r="AP264" s="166"/>
    </row>
    <row r="265" spans="1:56" ht="24" thickBot="1" x14ac:dyDescent="0.4">
      <c r="A265" s="276" t="s">
        <v>199</v>
      </c>
      <c r="B265" s="258"/>
      <c r="C265" s="258"/>
      <c r="D265" s="258"/>
      <c r="E265" s="258"/>
      <c r="F265" s="258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260"/>
      <c r="AK265" s="261"/>
      <c r="AL265" s="260"/>
      <c r="AM265" s="19"/>
      <c r="AO265" s="181"/>
      <c r="AP265" s="167"/>
    </row>
    <row r="266" spans="1:56" ht="16.5" thickBot="1" x14ac:dyDescent="0.3">
      <c r="A266" s="320" t="s">
        <v>24</v>
      </c>
      <c r="B266" s="53"/>
      <c r="C266" s="53"/>
      <c r="D266" s="53"/>
      <c r="E266" s="53"/>
      <c r="F266" s="53"/>
      <c r="G266" s="53"/>
      <c r="H266" s="53"/>
      <c r="I266" s="34"/>
      <c r="J266" s="53"/>
      <c r="K266" s="53"/>
      <c r="L266" s="53"/>
      <c r="M266" s="53"/>
      <c r="N266" s="53"/>
      <c r="O266" s="53"/>
      <c r="P266" s="53"/>
      <c r="Q266" s="34"/>
      <c r="R266" s="53"/>
      <c r="S266" s="53"/>
      <c r="T266" s="53"/>
      <c r="U266" s="53"/>
      <c r="V266" s="53"/>
      <c r="W266" s="53"/>
      <c r="X266" s="53"/>
      <c r="Y266" s="34"/>
      <c r="Z266" s="53"/>
      <c r="AA266" s="53"/>
      <c r="AB266" s="53"/>
      <c r="AC266" s="53"/>
      <c r="AD266" s="53"/>
      <c r="AE266" s="53"/>
      <c r="AF266" s="53"/>
      <c r="AG266" s="53"/>
      <c r="AH266" s="53"/>
      <c r="AI266" s="54"/>
      <c r="AJ266" s="49"/>
      <c r="AK266" s="346"/>
      <c r="AL266" s="197"/>
      <c r="AM266" s="19"/>
      <c r="AO266" s="180"/>
      <c r="AP266" s="167"/>
    </row>
    <row r="267" spans="1:56" x14ac:dyDescent="0.25">
      <c r="A267" s="64" t="s">
        <v>92</v>
      </c>
      <c r="B267" s="1"/>
      <c r="C267" s="1"/>
      <c r="D267" s="1"/>
      <c r="E267" s="1"/>
      <c r="F267" s="1"/>
      <c r="G267" s="1"/>
      <c r="H267" s="1"/>
      <c r="I267" s="36"/>
      <c r="J267" s="1"/>
      <c r="K267" s="1"/>
      <c r="L267" s="1"/>
      <c r="M267" s="1"/>
      <c r="N267" s="1"/>
      <c r="O267" s="1"/>
      <c r="P267" s="1"/>
      <c r="Q267" s="36"/>
      <c r="R267" s="1"/>
      <c r="S267" s="1"/>
      <c r="T267" s="1"/>
      <c r="U267" s="1"/>
      <c r="V267" s="57"/>
      <c r="W267" s="1"/>
      <c r="X267" s="1"/>
      <c r="Y267" s="36"/>
      <c r="Z267" s="57"/>
      <c r="AA267" s="57"/>
      <c r="AB267" s="57"/>
      <c r="AC267" s="57"/>
      <c r="AD267" s="57"/>
      <c r="AE267" s="57"/>
      <c r="AF267" s="57"/>
      <c r="AG267" s="57"/>
      <c r="AH267" s="57"/>
      <c r="AI267" s="58"/>
      <c r="AJ267" s="36"/>
      <c r="AK267" s="38"/>
      <c r="AL267" s="197"/>
      <c r="AM267" s="19"/>
      <c r="AO267" s="180"/>
      <c r="AP267" s="167"/>
    </row>
    <row r="268" spans="1:56" ht="18.75" x14ac:dyDescent="0.3">
      <c r="A268" s="11" t="s">
        <v>94</v>
      </c>
      <c r="B268" s="2"/>
      <c r="C268" s="2"/>
      <c r="D268" s="2"/>
      <c r="E268" s="2"/>
      <c r="F268" s="2"/>
      <c r="G268" s="2"/>
      <c r="H268" s="2"/>
      <c r="I268" s="37"/>
      <c r="J268" s="2"/>
      <c r="K268" s="2"/>
      <c r="L268" s="2"/>
      <c r="M268" s="2"/>
      <c r="N268" s="2"/>
      <c r="O268" s="2"/>
      <c r="P268" s="2"/>
      <c r="Q268" s="37"/>
      <c r="R268" s="2"/>
      <c r="S268" s="1"/>
      <c r="T268" s="57"/>
      <c r="U268" s="2"/>
      <c r="V268" s="161"/>
      <c r="W268" s="2"/>
      <c r="X268" s="2"/>
      <c r="Y268" s="37"/>
      <c r="Z268" s="59"/>
      <c r="AA268" s="59"/>
      <c r="AB268" s="59"/>
      <c r="AC268" s="59"/>
      <c r="AD268" s="59"/>
      <c r="AE268" s="59"/>
      <c r="AF268" s="59"/>
      <c r="AG268" s="59"/>
      <c r="AH268" s="59"/>
      <c r="AI268" s="60"/>
      <c r="AJ268" s="37"/>
      <c r="AK268" s="340"/>
      <c r="AL268" s="197"/>
      <c r="AM268" s="19"/>
      <c r="AO268" s="180"/>
      <c r="AP268" s="167"/>
    </row>
    <row r="269" spans="1:56" ht="18.75" x14ac:dyDescent="0.3">
      <c r="A269" s="11" t="s">
        <v>95</v>
      </c>
      <c r="B269" s="2"/>
      <c r="C269" s="2"/>
      <c r="D269" s="2"/>
      <c r="E269" s="2"/>
      <c r="F269" s="2"/>
      <c r="G269" s="2"/>
      <c r="H269" s="2"/>
      <c r="I269" s="37"/>
      <c r="J269" s="2"/>
      <c r="K269" s="2"/>
      <c r="L269" s="2"/>
      <c r="M269" s="2"/>
      <c r="N269" s="2"/>
      <c r="O269" s="2"/>
      <c r="P269" s="2"/>
      <c r="Q269" s="37"/>
      <c r="R269" s="2"/>
      <c r="S269" s="2"/>
      <c r="T269" s="2"/>
      <c r="U269" s="2"/>
      <c r="V269" s="57"/>
      <c r="W269" s="2"/>
      <c r="X269" s="2"/>
      <c r="Y269" s="37"/>
      <c r="Z269" s="59"/>
      <c r="AA269" s="59"/>
      <c r="AB269" s="59"/>
      <c r="AC269" s="59"/>
      <c r="AD269" s="59"/>
      <c r="AE269" s="59"/>
      <c r="AF269" s="59"/>
      <c r="AG269" s="59"/>
      <c r="AH269" s="59"/>
      <c r="AI269" s="60"/>
      <c r="AJ269" s="37"/>
      <c r="AK269" s="340"/>
      <c r="AL269" s="197"/>
      <c r="AM269" s="19"/>
      <c r="AO269" s="180"/>
      <c r="AP269" s="167"/>
    </row>
    <row r="270" spans="1:56" ht="18.75" x14ac:dyDescent="0.3">
      <c r="A270" s="11" t="s">
        <v>96</v>
      </c>
      <c r="B270" s="2"/>
      <c r="C270" s="2"/>
      <c r="D270" s="2"/>
      <c r="E270" s="2"/>
      <c r="F270" s="2"/>
      <c r="G270" s="2"/>
      <c r="H270" s="2"/>
      <c r="I270" s="37"/>
      <c r="J270" s="2"/>
      <c r="K270" s="2"/>
      <c r="L270" s="2"/>
      <c r="M270" s="2"/>
      <c r="N270" s="2"/>
      <c r="O270" s="2"/>
      <c r="P270" s="2"/>
      <c r="Q270" s="37"/>
      <c r="R270" s="2"/>
      <c r="S270" s="2"/>
      <c r="T270" s="2"/>
      <c r="U270" s="2"/>
      <c r="V270" s="161"/>
      <c r="W270" s="2"/>
      <c r="X270" s="2"/>
      <c r="Y270" s="37"/>
      <c r="Z270" s="59"/>
      <c r="AA270" s="59"/>
      <c r="AB270" s="59"/>
      <c r="AC270" s="59"/>
      <c r="AD270" s="59"/>
      <c r="AE270" s="59"/>
      <c r="AF270" s="59"/>
      <c r="AG270" s="59"/>
      <c r="AH270" s="59"/>
      <c r="AI270" s="60"/>
      <c r="AJ270" s="37"/>
      <c r="AK270" s="340"/>
      <c r="AL270" s="197"/>
      <c r="AM270" s="19"/>
      <c r="AO270" s="180"/>
      <c r="AP270" s="167"/>
    </row>
    <row r="271" spans="1:56" x14ac:dyDescent="0.25">
      <c r="A271" s="11" t="s">
        <v>97</v>
      </c>
      <c r="B271" s="124"/>
      <c r="C271" s="124"/>
      <c r="D271" s="124"/>
      <c r="E271" s="124"/>
      <c r="F271" s="124"/>
      <c r="G271" s="124"/>
      <c r="H271" s="124"/>
      <c r="I271" s="37"/>
      <c r="J271" s="124"/>
      <c r="K271" s="124"/>
      <c r="L271" s="124"/>
      <c r="M271" s="124"/>
      <c r="N271" s="124"/>
      <c r="O271" s="124"/>
      <c r="P271" s="124"/>
      <c r="Q271" s="37"/>
      <c r="R271" s="124"/>
      <c r="S271" s="124"/>
      <c r="T271" s="124"/>
      <c r="U271" s="124"/>
      <c r="V271" s="135"/>
      <c r="W271" s="124"/>
      <c r="X271" s="124"/>
      <c r="Y271" s="37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5"/>
      <c r="AJ271" s="37"/>
      <c r="AK271" s="38"/>
      <c r="AL271" s="197"/>
      <c r="AM271" s="19"/>
      <c r="AO271" s="180"/>
      <c r="AP271" s="167"/>
    </row>
    <row r="272" spans="1:56" ht="15.75" thickBot="1" x14ac:dyDescent="0.3">
      <c r="A272" s="11" t="s">
        <v>93</v>
      </c>
      <c r="B272" s="175"/>
      <c r="C272" s="175"/>
      <c r="D272" s="175"/>
      <c r="E272" s="175"/>
      <c r="F272" s="175"/>
      <c r="G272" s="175"/>
      <c r="H272" s="175"/>
      <c r="I272" s="43"/>
      <c r="J272" s="245"/>
      <c r="K272" s="245"/>
      <c r="L272" s="245"/>
      <c r="M272" s="245"/>
      <c r="N272" s="245"/>
      <c r="O272" s="245"/>
      <c r="P272" s="245"/>
      <c r="Q272" s="43"/>
      <c r="R272" s="245"/>
      <c r="S272" s="245"/>
      <c r="T272" s="245"/>
      <c r="U272" s="245"/>
      <c r="V272" s="175"/>
      <c r="W272" s="245"/>
      <c r="X272" s="245"/>
      <c r="Y272" s="43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6"/>
      <c r="AJ272" s="43"/>
      <c r="AK272" s="44"/>
      <c r="AL272" s="204"/>
      <c r="AO272" s="166"/>
      <c r="AP272" s="167"/>
    </row>
    <row r="273" spans="1:38" ht="16.5" thickBot="1" x14ac:dyDescent="0.3">
      <c r="A273" s="11" t="s">
        <v>60</v>
      </c>
      <c r="B273" s="398"/>
      <c r="C273" s="398"/>
      <c r="D273" s="398"/>
      <c r="E273" s="398"/>
      <c r="F273" s="398"/>
      <c r="G273" s="398"/>
      <c r="H273" s="398"/>
      <c r="I273" s="375"/>
      <c r="J273" s="398"/>
      <c r="K273" s="398"/>
      <c r="L273" s="398"/>
      <c r="M273" s="398"/>
      <c r="N273" s="398"/>
      <c r="O273" s="398"/>
      <c r="P273" s="398"/>
      <c r="Q273" s="375"/>
      <c r="R273" s="398"/>
      <c r="S273" s="399"/>
      <c r="T273" s="399"/>
      <c r="U273" s="399"/>
      <c r="V273" s="398"/>
      <c r="W273" s="399"/>
      <c r="X273" s="399"/>
      <c r="Y273" s="278"/>
      <c r="Z273" s="399"/>
      <c r="AA273" s="399"/>
      <c r="AB273" s="399"/>
      <c r="AC273" s="399"/>
      <c r="AD273" s="399"/>
      <c r="AE273" s="399"/>
      <c r="AF273" s="399"/>
      <c r="AG273" s="399"/>
      <c r="AH273" s="399"/>
      <c r="AI273" s="400"/>
      <c r="AJ273" s="278"/>
      <c r="AK273" s="168"/>
      <c r="AL273" s="401"/>
    </row>
    <row r="274" spans="1:38" ht="19.5" thickBot="1" x14ac:dyDescent="0.35">
      <c r="A274" s="280" t="s">
        <v>2</v>
      </c>
      <c r="B274" s="277"/>
      <c r="C274" s="277"/>
      <c r="D274" s="277"/>
      <c r="E274" s="277"/>
      <c r="F274" s="277"/>
      <c r="G274" s="277"/>
      <c r="H274" s="277"/>
      <c r="I274" s="375"/>
      <c r="J274" s="277"/>
      <c r="K274" s="277"/>
      <c r="L274" s="277"/>
      <c r="M274" s="277"/>
      <c r="N274" s="277"/>
      <c r="O274" s="277"/>
      <c r="P274" s="277"/>
      <c r="Q274" s="375"/>
      <c r="R274" s="277"/>
      <c r="S274" s="277"/>
      <c r="T274" s="277"/>
      <c r="U274" s="277"/>
      <c r="V274" s="277"/>
      <c r="W274" s="277"/>
      <c r="X274" s="277"/>
      <c r="Y274" s="375"/>
      <c r="Z274" s="277"/>
      <c r="AA274" s="277"/>
      <c r="AB274" s="277"/>
      <c r="AC274" s="277"/>
      <c r="AD274" s="277"/>
      <c r="AE274" s="277"/>
      <c r="AF274" s="277"/>
      <c r="AG274" s="277"/>
      <c r="AH274" s="277"/>
      <c r="AI274" s="423"/>
      <c r="AJ274" s="278"/>
      <c r="AK274" s="279"/>
      <c r="AL274" s="283"/>
    </row>
    <row r="275" spans="1:38" ht="27" thickBot="1" x14ac:dyDescent="0.45">
      <c r="A275" s="311" t="s">
        <v>200</v>
      </c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312"/>
    </row>
    <row r="276" spans="1:38" ht="16.5" thickBot="1" x14ac:dyDescent="0.3">
      <c r="A276" s="319" t="s">
        <v>8</v>
      </c>
      <c r="B276" s="316"/>
      <c r="C276" s="316"/>
      <c r="D276" s="316"/>
      <c r="E276" s="316"/>
      <c r="F276" s="316"/>
      <c r="G276" s="316"/>
      <c r="H276" s="316"/>
      <c r="I276" s="306"/>
      <c r="J276" s="316"/>
      <c r="K276" s="316"/>
      <c r="L276" s="316"/>
      <c r="M276" s="316"/>
      <c r="N276" s="316"/>
      <c r="O276" s="316"/>
      <c r="P276" s="316"/>
      <c r="Q276" s="306"/>
      <c r="R276" s="316"/>
      <c r="S276" s="316"/>
      <c r="T276" s="316"/>
      <c r="U276" s="316"/>
      <c r="V276" s="316"/>
      <c r="W276" s="316"/>
      <c r="X276" s="316"/>
      <c r="Y276" s="306"/>
      <c r="Z276" s="316"/>
      <c r="AA276" s="316"/>
      <c r="AB276" s="316"/>
      <c r="AC276" s="316"/>
      <c r="AD276" s="316"/>
      <c r="AE276" s="316"/>
      <c r="AF276" s="316"/>
      <c r="AG276" s="316"/>
      <c r="AH276" s="316"/>
      <c r="AI276" s="316"/>
      <c r="AJ276" s="306"/>
      <c r="AK276" s="317"/>
      <c r="AL276" s="318"/>
    </row>
    <row r="277" spans="1:38" x14ac:dyDescent="0.25">
      <c r="A277" s="61" t="s">
        <v>25</v>
      </c>
      <c r="B277" s="303"/>
      <c r="C277" s="303"/>
      <c r="D277" s="303"/>
      <c r="E277" s="303"/>
      <c r="F277" s="303"/>
      <c r="G277" s="303"/>
      <c r="H277" s="313"/>
      <c r="I277" s="304"/>
      <c r="J277" s="303"/>
      <c r="K277" s="303"/>
      <c r="L277" s="303"/>
      <c r="M277" s="303"/>
      <c r="N277" s="303"/>
      <c r="O277" s="303"/>
      <c r="P277" s="303"/>
      <c r="Q277" s="305"/>
      <c r="R277" s="303"/>
      <c r="S277" s="303"/>
      <c r="T277" s="303"/>
      <c r="U277" s="303"/>
      <c r="V277" s="303"/>
      <c r="W277" s="303"/>
      <c r="X277" s="303"/>
      <c r="Y277" s="305"/>
      <c r="Z277" s="303"/>
      <c r="AA277" s="303"/>
      <c r="AB277" s="303"/>
      <c r="AC277" s="303"/>
      <c r="AD277" s="303"/>
      <c r="AE277" s="303"/>
      <c r="AF277" s="303"/>
      <c r="AG277" s="303"/>
      <c r="AH277" s="303"/>
      <c r="AI277" s="303"/>
      <c r="AJ277" s="305"/>
      <c r="AK277" s="314"/>
      <c r="AL277" s="315"/>
    </row>
    <row r="278" spans="1:38" ht="15.75" x14ac:dyDescent="0.25">
      <c r="A278" s="11" t="s">
        <v>36</v>
      </c>
      <c r="B278" s="1"/>
      <c r="C278" s="1"/>
      <c r="D278" s="1"/>
      <c r="E278" s="1"/>
      <c r="F278" s="1"/>
      <c r="G278" s="118"/>
      <c r="H278" s="173"/>
      <c r="I278" s="36"/>
      <c r="J278" s="173"/>
      <c r="K278" s="1"/>
      <c r="L278" s="1"/>
      <c r="M278" s="1"/>
      <c r="N278" s="1"/>
      <c r="O278" s="1"/>
      <c r="P278" s="1"/>
      <c r="Q278" s="37"/>
      <c r="R278" s="1"/>
      <c r="S278" s="1"/>
      <c r="T278" s="1"/>
      <c r="U278" s="1"/>
      <c r="V278" s="118"/>
      <c r="W278" s="1"/>
      <c r="X278" s="1"/>
      <c r="Y278" s="37"/>
      <c r="Z278" s="1"/>
      <c r="AA278" s="1"/>
      <c r="AB278" s="1"/>
      <c r="AC278" s="1"/>
      <c r="AD278" s="1"/>
      <c r="AE278" s="1"/>
      <c r="AF278" s="118"/>
      <c r="AG278" s="1"/>
      <c r="AH278" s="1"/>
      <c r="AI278" s="1"/>
      <c r="AJ278" s="37"/>
      <c r="AK278" s="236"/>
      <c r="AL278" s="223"/>
    </row>
    <row r="279" spans="1:38" ht="15.75" x14ac:dyDescent="0.25">
      <c r="A279" s="11" t="s">
        <v>46</v>
      </c>
      <c r="B279" s="1"/>
      <c r="C279" s="1"/>
      <c r="D279" s="1"/>
      <c r="E279" s="1"/>
      <c r="F279" s="118"/>
      <c r="G279" s="1"/>
      <c r="H279" s="211"/>
      <c r="I279" s="36"/>
      <c r="J279" s="1"/>
      <c r="K279" s="1"/>
      <c r="L279" s="1"/>
      <c r="M279" s="1"/>
      <c r="N279" s="1"/>
      <c r="O279" s="1"/>
      <c r="P279" s="118"/>
      <c r="Q279" s="37"/>
      <c r="R279" s="1"/>
      <c r="S279" s="1"/>
      <c r="T279" s="1"/>
      <c r="U279" s="1"/>
      <c r="V279" s="1"/>
      <c r="W279" s="1"/>
      <c r="X279" s="1"/>
      <c r="Y279" s="37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37"/>
      <c r="AK279" s="237"/>
      <c r="AL279" s="223"/>
    </row>
    <row r="280" spans="1:38" ht="18.75" x14ac:dyDescent="0.3">
      <c r="A280" s="11" t="s">
        <v>47</v>
      </c>
      <c r="B280" s="1"/>
      <c r="C280" s="1"/>
      <c r="D280" s="1"/>
      <c r="E280" s="1"/>
      <c r="F280" s="118"/>
      <c r="G280" s="1"/>
      <c r="H280" s="173"/>
      <c r="I280" s="36"/>
      <c r="J280" s="1"/>
      <c r="K280" s="1"/>
      <c r="L280" s="1"/>
      <c r="M280" s="1"/>
      <c r="N280" s="1"/>
      <c r="O280" s="1"/>
      <c r="P280" s="118"/>
      <c r="Q280" s="37"/>
      <c r="R280" s="1"/>
      <c r="S280" s="1"/>
      <c r="T280" s="1"/>
      <c r="U280" s="1"/>
      <c r="V280" s="1"/>
      <c r="W280" s="1"/>
      <c r="X280" s="1"/>
      <c r="Y280" s="37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37"/>
      <c r="AK280" s="238"/>
      <c r="AL280" s="223"/>
    </row>
    <row r="281" spans="1:38" ht="18.75" x14ac:dyDescent="0.3">
      <c r="A281" s="11" t="s">
        <v>48</v>
      </c>
      <c r="B281" s="1"/>
      <c r="C281" s="1"/>
      <c r="D281" s="1"/>
      <c r="E281" s="1"/>
      <c r="F281" s="1"/>
      <c r="G281" s="1"/>
      <c r="H281" s="173"/>
      <c r="I281" s="36"/>
      <c r="J281" s="1"/>
      <c r="K281" s="1"/>
      <c r="L281" s="1"/>
      <c r="M281" s="1"/>
      <c r="N281" s="1"/>
      <c r="O281" s="1"/>
      <c r="P281" s="118"/>
      <c r="Q281" s="37"/>
      <c r="R281" s="1"/>
      <c r="S281" s="1"/>
      <c r="T281" s="1"/>
      <c r="U281" s="1"/>
      <c r="V281" s="1"/>
      <c r="W281" s="1"/>
      <c r="X281" s="1"/>
      <c r="Y281" s="37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37"/>
      <c r="AK281" s="238"/>
      <c r="AL281" s="223"/>
    </row>
    <row r="282" spans="1:38" ht="18.75" x14ac:dyDescent="0.3">
      <c r="A282" s="11" t="s">
        <v>37</v>
      </c>
      <c r="B282" s="1"/>
      <c r="C282" s="1"/>
      <c r="D282" s="1"/>
      <c r="E282" s="1"/>
      <c r="F282" s="118"/>
      <c r="G282" s="1"/>
      <c r="H282" s="173"/>
      <c r="I282" s="36"/>
      <c r="J282" s="1"/>
      <c r="K282" s="1"/>
      <c r="L282" s="1"/>
      <c r="M282" s="1"/>
      <c r="N282" s="1"/>
      <c r="O282" s="1"/>
      <c r="P282" s="118"/>
      <c r="Q282" s="37"/>
      <c r="R282" s="1"/>
      <c r="S282" s="1"/>
      <c r="T282" s="1"/>
      <c r="U282" s="1"/>
      <c r="V282" s="1"/>
      <c r="W282" s="1"/>
      <c r="X282" s="1"/>
      <c r="Y282" s="37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37"/>
      <c r="AK282" s="238"/>
      <c r="AL282" s="223"/>
    </row>
    <row r="283" spans="1:38" ht="18.75" x14ac:dyDescent="0.3">
      <c r="A283" s="11" t="s">
        <v>26</v>
      </c>
      <c r="B283" s="1"/>
      <c r="C283" s="1"/>
      <c r="D283" s="1"/>
      <c r="E283" s="1"/>
      <c r="F283" s="1"/>
      <c r="G283" s="118"/>
      <c r="H283" s="173"/>
      <c r="I283" s="36"/>
      <c r="J283" s="1"/>
      <c r="K283" s="1"/>
      <c r="L283" s="1"/>
      <c r="M283" s="1"/>
      <c r="N283" s="1"/>
      <c r="O283" s="1"/>
      <c r="P283" s="1"/>
      <c r="Q283" s="37"/>
      <c r="R283" s="1"/>
      <c r="S283" s="1"/>
      <c r="T283" s="1"/>
      <c r="U283" s="1"/>
      <c r="V283" s="1"/>
      <c r="W283" s="1"/>
      <c r="X283" s="1"/>
      <c r="Y283" s="37"/>
      <c r="Z283" s="118"/>
      <c r="AA283" s="1"/>
      <c r="AB283" s="1"/>
      <c r="AC283" s="1"/>
      <c r="AD283" s="1"/>
      <c r="AE283" s="1"/>
      <c r="AF283" s="1"/>
      <c r="AG283" s="1"/>
      <c r="AH283" s="1"/>
      <c r="AI283" s="1"/>
      <c r="AJ283" s="37"/>
      <c r="AK283" s="341"/>
      <c r="AL283" s="223"/>
    </row>
    <row r="284" spans="1:38" ht="18.75" x14ac:dyDescent="0.3">
      <c r="A284" s="11" t="s">
        <v>27</v>
      </c>
      <c r="B284" s="1"/>
      <c r="C284" s="1"/>
      <c r="D284" s="1"/>
      <c r="E284" s="1"/>
      <c r="F284" s="1"/>
      <c r="G284" s="118"/>
      <c r="H284" s="211"/>
      <c r="I284" s="36"/>
      <c r="J284" s="1"/>
      <c r="K284" s="1"/>
      <c r="L284" s="1"/>
      <c r="M284" s="1"/>
      <c r="N284" s="1"/>
      <c r="O284" s="1"/>
      <c r="P284" s="1"/>
      <c r="Q284" s="37"/>
      <c r="R284" s="118"/>
      <c r="S284" s="1"/>
      <c r="T284" s="118"/>
      <c r="U284" s="1"/>
      <c r="V284" s="1"/>
      <c r="W284" s="1"/>
      <c r="X284" s="1"/>
      <c r="Y284" s="37"/>
      <c r="Z284" s="1"/>
      <c r="AA284" s="1"/>
      <c r="AB284" s="1"/>
      <c r="AC284" s="1"/>
      <c r="AD284" s="1"/>
      <c r="AE284" s="118"/>
      <c r="AF284" s="1"/>
      <c r="AG284" s="1"/>
      <c r="AH284" s="1"/>
      <c r="AI284" s="1"/>
      <c r="AJ284" s="37"/>
      <c r="AK284" s="341"/>
      <c r="AL284" s="223"/>
    </row>
    <row r="285" spans="1:38" ht="18.75" x14ac:dyDescent="0.3">
      <c r="A285" s="62" t="s">
        <v>89</v>
      </c>
      <c r="B285" s="123"/>
      <c r="C285" s="123"/>
      <c r="D285" s="123"/>
      <c r="E285" s="123"/>
      <c r="F285" s="123"/>
      <c r="G285" s="123"/>
      <c r="H285" s="213"/>
      <c r="I285" s="126"/>
      <c r="J285" s="123"/>
      <c r="K285" s="123"/>
      <c r="L285" s="123"/>
      <c r="M285" s="123"/>
      <c r="N285" s="123"/>
      <c r="O285" s="123"/>
      <c r="P285" s="123"/>
      <c r="Q285" s="43"/>
      <c r="R285" s="123"/>
      <c r="S285" s="123"/>
      <c r="T285" s="123"/>
      <c r="U285" s="123"/>
      <c r="V285" s="123"/>
      <c r="W285" s="123"/>
      <c r="X285" s="123"/>
      <c r="Y285" s="4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43"/>
      <c r="AK285" s="421"/>
      <c r="AL285" s="229"/>
    </row>
    <row r="286" spans="1:38" ht="19.5" thickBot="1" x14ac:dyDescent="0.35">
      <c r="A286" s="62" t="s">
        <v>28</v>
      </c>
      <c r="B286" s="123"/>
      <c r="C286" s="123"/>
      <c r="D286" s="123"/>
      <c r="E286" s="123"/>
      <c r="F286" s="123"/>
      <c r="G286" s="123"/>
      <c r="H286" s="213"/>
      <c r="I286" s="126"/>
      <c r="J286" s="123"/>
      <c r="K286" s="123"/>
      <c r="L286" s="123"/>
      <c r="M286" s="123"/>
      <c r="N286" s="123"/>
      <c r="O286" s="123"/>
      <c r="P286" s="123"/>
      <c r="Q286" s="43"/>
      <c r="R286" s="123"/>
      <c r="S286" s="123"/>
      <c r="T286" s="123"/>
      <c r="U286" s="123"/>
      <c r="V286" s="123"/>
      <c r="W286" s="123"/>
      <c r="X286" s="123"/>
      <c r="Y286" s="4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43"/>
      <c r="AK286" s="239"/>
      <c r="AL286" s="229"/>
    </row>
    <row r="287" spans="1:38" ht="18.75" x14ac:dyDescent="0.3">
      <c r="A287" s="230" t="s">
        <v>2</v>
      </c>
      <c r="B287" s="232"/>
      <c r="C287" s="232"/>
      <c r="D287" s="232"/>
      <c r="E287" s="232"/>
      <c r="F287" s="232"/>
      <c r="G287" s="232"/>
      <c r="H287" s="248"/>
      <c r="I287" s="249"/>
      <c r="J287" s="231"/>
      <c r="K287" s="231"/>
      <c r="L287" s="231"/>
      <c r="M287" s="231"/>
      <c r="N287" s="231"/>
      <c r="O287" s="231"/>
      <c r="P287" s="231"/>
      <c r="Q287" s="249"/>
      <c r="R287" s="233"/>
      <c r="S287" s="233"/>
      <c r="T287" s="233"/>
      <c r="U287" s="233"/>
      <c r="V287" s="233"/>
      <c r="W287" s="233"/>
      <c r="X287" s="233"/>
      <c r="Y287" s="249"/>
      <c r="Z287" s="233"/>
      <c r="AA287" s="233"/>
      <c r="AB287" s="233"/>
      <c r="AC287" s="233"/>
      <c r="AD287" s="233"/>
      <c r="AE287" s="233"/>
      <c r="AF287" s="233"/>
      <c r="AG287" s="233"/>
      <c r="AH287" s="233"/>
      <c r="AI287" s="233"/>
      <c r="AJ287" s="249"/>
      <c r="AK287" s="234"/>
      <c r="AL287" s="235"/>
    </row>
    <row r="288" spans="1:38" ht="15.75" thickBot="1" x14ac:dyDescent="0.3">
      <c r="A288" s="224"/>
      <c r="B288" s="335"/>
      <c r="C288" s="225"/>
      <c r="D288" s="225"/>
      <c r="E288" s="225"/>
      <c r="F288" s="225"/>
      <c r="G288" s="225"/>
      <c r="H288" s="225"/>
      <c r="I288" s="56"/>
      <c r="J288" s="225"/>
      <c r="K288" s="225"/>
      <c r="L288" s="225"/>
      <c r="M288" s="225"/>
      <c r="N288" s="225"/>
      <c r="O288" s="225"/>
      <c r="P288" s="225"/>
      <c r="Q288" s="56"/>
      <c r="R288" s="225"/>
      <c r="S288" s="225"/>
      <c r="T288" s="225"/>
      <c r="U288" s="225"/>
      <c r="V288" s="225"/>
      <c r="W288" s="225"/>
      <c r="X288" s="225"/>
      <c r="Y288" s="56"/>
      <c r="Z288" s="226"/>
      <c r="AA288" s="225"/>
      <c r="AB288" s="227"/>
      <c r="AC288" s="225"/>
      <c r="AD288" s="225"/>
      <c r="AE288" s="225"/>
      <c r="AF288" s="225"/>
      <c r="AG288" s="225"/>
      <c r="AH288" s="225"/>
      <c r="AI288" s="225"/>
      <c r="AJ288" s="56"/>
      <c r="AK288" s="225"/>
      <c r="AL288" s="228"/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8"/>
  <sheetViews>
    <sheetView topLeftCell="A259" workbookViewId="0">
      <selection activeCell="A276" sqref="A276"/>
    </sheetView>
  </sheetViews>
  <sheetFormatPr defaultRowHeight="15" x14ac:dyDescent="0.25"/>
  <cols>
    <col min="1" max="1" width="14" customWidth="1"/>
    <col min="2" max="3" width="0.85546875" customWidth="1"/>
    <col min="4" max="4" width="1.140625" customWidth="1"/>
    <col min="5" max="5" width="1" customWidth="1"/>
    <col min="6" max="7" width="1.140625" customWidth="1"/>
    <col min="8" max="8" width="0.85546875" customWidth="1"/>
    <col min="9" max="9" width="10.85546875" customWidth="1"/>
    <col min="10" max="10" width="1.140625" customWidth="1"/>
    <col min="11" max="11" width="1.28515625" customWidth="1"/>
    <col min="12" max="13" width="1.42578125" customWidth="1"/>
    <col min="14" max="14" width="1.28515625" customWidth="1"/>
    <col min="15" max="15" width="1.42578125" customWidth="1"/>
    <col min="16" max="16" width="1.28515625" customWidth="1"/>
    <col min="17" max="17" width="10.42578125" customWidth="1"/>
    <col min="18" max="18" width="1.28515625" customWidth="1"/>
    <col min="19" max="19" width="1.42578125" customWidth="1"/>
    <col min="20" max="20" width="1.5703125" customWidth="1"/>
    <col min="21" max="22" width="1.28515625" customWidth="1"/>
    <col min="23" max="23" width="1.42578125" customWidth="1"/>
    <col min="24" max="24" width="1.140625" customWidth="1"/>
    <col min="25" max="25" width="10.42578125" customWidth="1"/>
    <col min="26" max="35" width="9.28515625" customWidth="1"/>
    <col min="36" max="36" width="10.42578125" customWidth="1"/>
    <col min="37" max="37" width="13.140625" customWidth="1"/>
  </cols>
  <sheetData>
    <row r="1" spans="1:38" ht="24" thickBot="1" x14ac:dyDescent="0.4">
      <c r="A1" s="256" t="s">
        <v>201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</row>
    <row r="2" spans="1:38" ht="15.75" x14ac:dyDescent="0.25">
      <c r="A2" s="321" t="s">
        <v>3</v>
      </c>
      <c r="B2" s="322">
        <v>1</v>
      </c>
      <c r="C2" s="322">
        <v>2</v>
      </c>
      <c r="D2" s="322">
        <v>3</v>
      </c>
      <c r="E2" s="322">
        <v>4</v>
      </c>
      <c r="F2" s="322">
        <v>5</v>
      </c>
      <c r="G2" s="322">
        <v>6</v>
      </c>
      <c r="H2" s="322">
        <v>7</v>
      </c>
      <c r="I2" s="323" t="s">
        <v>6</v>
      </c>
      <c r="J2" s="322">
        <v>8</v>
      </c>
      <c r="K2" s="322">
        <v>9</v>
      </c>
      <c r="L2" s="322">
        <v>10</v>
      </c>
      <c r="M2" s="322">
        <v>11</v>
      </c>
      <c r="N2" s="322">
        <v>12</v>
      </c>
      <c r="O2" s="322">
        <v>13</v>
      </c>
      <c r="P2" s="322">
        <v>14</v>
      </c>
      <c r="Q2" s="323" t="s">
        <v>6</v>
      </c>
      <c r="R2" s="322">
        <v>15</v>
      </c>
      <c r="S2" s="322">
        <v>16</v>
      </c>
      <c r="T2" s="322">
        <v>17</v>
      </c>
      <c r="U2" s="322">
        <v>18</v>
      </c>
      <c r="V2" s="322">
        <v>19</v>
      </c>
      <c r="W2" s="322">
        <v>20</v>
      </c>
      <c r="X2" s="322">
        <v>21</v>
      </c>
      <c r="Y2" s="323" t="s">
        <v>6</v>
      </c>
      <c r="Z2" s="322">
        <v>22</v>
      </c>
      <c r="AA2" s="322">
        <v>23</v>
      </c>
      <c r="AB2" s="322">
        <v>24</v>
      </c>
      <c r="AC2" s="322">
        <v>25</v>
      </c>
      <c r="AD2" s="322">
        <v>26</v>
      </c>
      <c r="AE2" s="322">
        <v>27</v>
      </c>
      <c r="AF2" s="322">
        <v>28</v>
      </c>
      <c r="AG2" s="322">
        <v>29</v>
      </c>
      <c r="AH2" s="322">
        <v>30</v>
      </c>
      <c r="AI2" s="322">
        <v>31</v>
      </c>
      <c r="AJ2" s="324" t="s">
        <v>6</v>
      </c>
      <c r="AK2" s="325" t="s">
        <v>0</v>
      </c>
      <c r="AL2" s="395" t="s">
        <v>42</v>
      </c>
    </row>
    <row r="3" spans="1:38" x14ac:dyDescent="0.25">
      <c r="A3" s="11">
        <v>1</v>
      </c>
      <c r="B3" s="106"/>
      <c r="C3" s="106"/>
      <c r="D3" s="106"/>
      <c r="E3" s="106"/>
      <c r="F3" s="106"/>
      <c r="G3" s="106"/>
      <c r="H3" s="106"/>
      <c r="I3" s="157"/>
      <c r="J3" s="106"/>
      <c r="K3" s="106"/>
      <c r="L3" s="106"/>
      <c r="M3" s="106"/>
      <c r="N3" s="106"/>
      <c r="O3" s="106"/>
      <c r="P3" s="106"/>
      <c r="Q3" s="35"/>
      <c r="R3" s="106"/>
      <c r="S3" s="106"/>
      <c r="T3" s="106"/>
      <c r="U3" s="106"/>
      <c r="V3" s="106"/>
      <c r="W3" s="106"/>
      <c r="X3" s="106"/>
      <c r="Y3" s="3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36"/>
      <c r="AK3" s="14"/>
      <c r="AL3" s="203"/>
    </row>
    <row r="4" spans="1:38" x14ac:dyDescent="0.25">
      <c r="A4" s="11">
        <v>2</v>
      </c>
      <c r="B4" s="106"/>
      <c r="C4" s="106"/>
      <c r="D4" s="106"/>
      <c r="E4" s="106"/>
      <c r="F4" s="106"/>
      <c r="G4" s="106"/>
      <c r="H4" s="106"/>
      <c r="I4" s="37"/>
      <c r="J4" s="106"/>
      <c r="K4" s="106"/>
      <c r="L4" s="106"/>
      <c r="M4" s="106"/>
      <c r="N4" s="106"/>
      <c r="O4" s="106"/>
      <c r="P4" s="106"/>
      <c r="Q4" s="37"/>
      <c r="R4" s="106"/>
      <c r="S4" s="106"/>
      <c r="T4" s="106"/>
      <c r="U4" s="106"/>
      <c r="V4" s="106"/>
      <c r="W4" s="106"/>
      <c r="X4" s="106"/>
      <c r="Y4" s="37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37"/>
      <c r="AK4" s="38"/>
      <c r="AL4" s="154"/>
    </row>
    <row r="5" spans="1:38" x14ac:dyDescent="0.25">
      <c r="A5" s="11">
        <v>3</v>
      </c>
      <c r="B5" s="106"/>
      <c r="C5" s="106"/>
      <c r="D5" s="106"/>
      <c r="E5" s="106"/>
      <c r="F5" s="106"/>
      <c r="G5" s="106"/>
      <c r="H5" s="106"/>
      <c r="I5" s="37"/>
      <c r="J5" s="106"/>
      <c r="K5" s="106"/>
      <c r="L5" s="106"/>
      <c r="M5" s="106"/>
      <c r="N5" s="106"/>
      <c r="O5" s="106"/>
      <c r="P5" s="106"/>
      <c r="Q5" s="37"/>
      <c r="R5" s="106"/>
      <c r="S5" s="106"/>
      <c r="T5" s="106"/>
      <c r="U5" s="106"/>
      <c r="V5" s="106"/>
      <c r="W5" s="106"/>
      <c r="X5" s="106"/>
      <c r="Y5" s="37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37"/>
      <c r="AK5" s="38"/>
      <c r="AL5" s="176"/>
    </row>
    <row r="6" spans="1:38" x14ac:dyDescent="0.25">
      <c r="A6" s="11">
        <v>4</v>
      </c>
      <c r="B6" s="106"/>
      <c r="C6" s="106"/>
      <c r="D6" s="106"/>
      <c r="E6" s="106"/>
      <c r="F6" s="106"/>
      <c r="G6" s="106"/>
      <c r="H6" s="106"/>
      <c r="I6" s="37"/>
      <c r="J6" s="106"/>
      <c r="K6" s="106"/>
      <c r="L6" s="106"/>
      <c r="M6" s="106"/>
      <c r="N6" s="106"/>
      <c r="O6" s="106"/>
      <c r="P6" s="106"/>
      <c r="Q6" s="37"/>
      <c r="R6" s="106"/>
      <c r="S6" s="106"/>
      <c r="T6" s="106"/>
      <c r="U6" s="106"/>
      <c r="V6" s="106"/>
      <c r="W6" s="106"/>
      <c r="X6" s="106"/>
      <c r="Y6" s="37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37"/>
      <c r="AK6" s="38"/>
      <c r="AL6" s="176"/>
    </row>
    <row r="7" spans="1:38" x14ac:dyDescent="0.25">
      <c r="A7" s="11">
        <v>5</v>
      </c>
      <c r="B7" s="106"/>
      <c r="C7" s="106"/>
      <c r="D7" s="106"/>
      <c r="E7" s="106"/>
      <c r="F7" s="106"/>
      <c r="G7" s="106"/>
      <c r="H7" s="106"/>
      <c r="I7" s="37"/>
      <c r="J7" s="106"/>
      <c r="K7" s="106"/>
      <c r="L7" s="106"/>
      <c r="M7" s="106"/>
      <c r="N7" s="106"/>
      <c r="O7" s="106"/>
      <c r="P7" s="106"/>
      <c r="Q7" s="37"/>
      <c r="R7" s="106"/>
      <c r="S7" s="106"/>
      <c r="T7" s="106"/>
      <c r="U7" s="106"/>
      <c r="V7" s="106"/>
      <c r="W7" s="106"/>
      <c r="X7" s="106"/>
      <c r="Y7" s="37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37"/>
      <c r="AK7" s="38"/>
      <c r="AL7" s="176"/>
    </row>
    <row r="8" spans="1:38" x14ac:dyDescent="0.25">
      <c r="A8" s="11">
        <v>6</v>
      </c>
      <c r="B8" s="106"/>
      <c r="C8" s="106"/>
      <c r="D8" s="106"/>
      <c r="E8" s="106"/>
      <c r="F8" s="106"/>
      <c r="G8" s="106"/>
      <c r="H8" s="106"/>
      <c r="I8" s="37"/>
      <c r="J8" s="106"/>
      <c r="K8" s="106"/>
      <c r="L8" s="106"/>
      <c r="M8" s="106"/>
      <c r="N8" s="106"/>
      <c r="O8" s="106"/>
      <c r="P8" s="106"/>
      <c r="Q8" s="37"/>
      <c r="R8" s="106"/>
      <c r="S8" s="106"/>
      <c r="T8" s="106"/>
      <c r="U8" s="106"/>
      <c r="V8" s="106"/>
      <c r="W8" s="106"/>
      <c r="X8" s="106"/>
      <c r="Y8" s="37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37"/>
      <c r="AK8" s="38"/>
      <c r="AL8" s="176"/>
    </row>
    <row r="9" spans="1:38" x14ac:dyDescent="0.25">
      <c r="A9" s="11">
        <v>7</v>
      </c>
      <c r="B9" s="108"/>
      <c r="C9" s="108"/>
      <c r="D9" s="108"/>
      <c r="E9" s="108"/>
      <c r="F9" s="108"/>
      <c r="G9" s="108"/>
      <c r="H9" s="108"/>
      <c r="I9" s="111"/>
      <c r="J9" s="108"/>
      <c r="K9" s="108"/>
      <c r="L9" s="108"/>
      <c r="M9" s="108"/>
      <c r="N9" s="108"/>
      <c r="O9" s="108"/>
      <c r="P9" s="108"/>
      <c r="Q9" s="111"/>
      <c r="R9" s="108"/>
      <c r="S9" s="108"/>
      <c r="T9" s="108"/>
      <c r="U9" s="108"/>
      <c r="V9" s="108"/>
      <c r="W9" s="108"/>
      <c r="X9" s="108"/>
      <c r="Y9" s="111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11"/>
      <c r="AK9" s="38"/>
      <c r="AL9" s="197"/>
    </row>
    <row r="10" spans="1:38" x14ac:dyDescent="0.25">
      <c r="A10" s="11">
        <v>8</v>
      </c>
      <c r="B10" s="106"/>
      <c r="C10" s="106"/>
      <c r="D10" s="106"/>
      <c r="E10" s="106"/>
      <c r="F10" s="106"/>
      <c r="G10" s="106"/>
      <c r="H10" s="106"/>
      <c r="I10" s="37"/>
      <c r="J10" s="106"/>
      <c r="K10" s="106"/>
      <c r="L10" s="106"/>
      <c r="M10" s="106"/>
      <c r="N10" s="106"/>
      <c r="O10" s="106"/>
      <c r="P10" s="106"/>
      <c r="Q10" s="37"/>
      <c r="R10" s="106"/>
      <c r="S10" s="106"/>
      <c r="T10" s="106"/>
      <c r="U10" s="106"/>
      <c r="V10" s="106"/>
      <c r="W10" s="106"/>
      <c r="X10" s="106"/>
      <c r="Y10" s="37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37"/>
      <c r="AK10" s="38"/>
      <c r="AL10" s="176"/>
    </row>
    <row r="11" spans="1:38" x14ac:dyDescent="0.25">
      <c r="A11" s="11">
        <v>9</v>
      </c>
      <c r="B11" s="106"/>
      <c r="C11" s="106"/>
      <c r="D11" s="106"/>
      <c r="E11" s="106"/>
      <c r="F11" s="106"/>
      <c r="G11" s="106"/>
      <c r="H11" s="106"/>
      <c r="I11" s="37"/>
      <c r="J11" s="106"/>
      <c r="K11" s="106"/>
      <c r="L11" s="106"/>
      <c r="M11" s="106"/>
      <c r="N11" s="106"/>
      <c r="O11" s="106"/>
      <c r="P11" s="106"/>
      <c r="Q11" s="37"/>
      <c r="R11" s="106"/>
      <c r="S11" s="106"/>
      <c r="T11" s="106"/>
      <c r="U11" s="106"/>
      <c r="V11" s="106"/>
      <c r="W11" s="106"/>
      <c r="X11" s="106"/>
      <c r="Y11" s="37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37"/>
      <c r="AK11" s="38"/>
      <c r="AL11" s="176"/>
    </row>
    <row r="12" spans="1:38" x14ac:dyDescent="0.25">
      <c r="A12" s="11">
        <v>10</v>
      </c>
      <c r="B12" s="106"/>
      <c r="C12" s="106"/>
      <c r="D12" s="106"/>
      <c r="E12" s="106"/>
      <c r="F12" s="106"/>
      <c r="G12" s="106"/>
      <c r="H12" s="106"/>
      <c r="I12" s="37"/>
      <c r="J12" s="106"/>
      <c r="K12" s="106"/>
      <c r="L12" s="106"/>
      <c r="M12" s="106"/>
      <c r="N12" s="106"/>
      <c r="O12" s="106"/>
      <c r="P12" s="106"/>
      <c r="Q12" s="37"/>
      <c r="R12" s="106"/>
      <c r="S12" s="106"/>
      <c r="T12" s="106"/>
      <c r="U12" s="106"/>
      <c r="V12" s="106"/>
      <c r="W12" s="106"/>
      <c r="X12" s="106"/>
      <c r="Y12" s="37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37"/>
      <c r="AK12" s="38"/>
      <c r="AL12" s="176"/>
    </row>
    <row r="13" spans="1:38" x14ac:dyDescent="0.25">
      <c r="A13" s="11">
        <v>11</v>
      </c>
      <c r="B13" s="106"/>
      <c r="C13" s="106"/>
      <c r="D13" s="106"/>
      <c r="E13" s="106"/>
      <c r="F13" s="106"/>
      <c r="G13" s="106"/>
      <c r="H13" s="106"/>
      <c r="I13" s="37"/>
      <c r="J13" s="106"/>
      <c r="K13" s="106"/>
      <c r="L13" s="106"/>
      <c r="M13" s="106"/>
      <c r="N13" s="106"/>
      <c r="O13" s="106"/>
      <c r="P13" s="106"/>
      <c r="Q13" s="37"/>
      <c r="R13" s="106"/>
      <c r="S13" s="106"/>
      <c r="T13" s="106"/>
      <c r="U13" s="106"/>
      <c r="V13" s="106"/>
      <c r="W13" s="106"/>
      <c r="X13" s="106"/>
      <c r="Y13" s="37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37"/>
      <c r="AK13" s="38"/>
      <c r="AL13" s="197"/>
    </row>
    <row r="14" spans="1:38" x14ac:dyDescent="0.25">
      <c r="A14" s="11">
        <v>12</v>
      </c>
      <c r="B14" s="106"/>
      <c r="C14" s="106"/>
      <c r="D14" s="106"/>
      <c r="E14" s="106"/>
      <c r="F14" s="106"/>
      <c r="G14" s="106"/>
      <c r="H14" s="106"/>
      <c r="I14" s="37"/>
      <c r="J14" s="106"/>
      <c r="K14" s="106"/>
      <c r="L14" s="106"/>
      <c r="M14" s="106"/>
      <c r="N14" s="106"/>
      <c r="O14" s="106"/>
      <c r="P14" s="106"/>
      <c r="Q14" s="37"/>
      <c r="R14" s="106"/>
      <c r="S14" s="106"/>
      <c r="T14" s="106"/>
      <c r="U14" s="106"/>
      <c r="V14" s="106"/>
      <c r="W14" s="106"/>
      <c r="X14" s="106"/>
      <c r="Y14" s="37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37"/>
      <c r="AK14" s="38"/>
      <c r="AL14" s="197"/>
    </row>
    <row r="15" spans="1:38" x14ac:dyDescent="0.25">
      <c r="A15" s="11">
        <v>13</v>
      </c>
      <c r="B15" s="106"/>
      <c r="C15" s="106"/>
      <c r="D15" s="106"/>
      <c r="E15" s="106"/>
      <c r="F15" s="106"/>
      <c r="G15" s="106"/>
      <c r="H15" s="106"/>
      <c r="I15" s="37"/>
      <c r="J15" s="106"/>
      <c r="K15" s="106"/>
      <c r="L15" s="106"/>
      <c r="M15" s="106"/>
      <c r="N15" s="106"/>
      <c r="O15" s="106"/>
      <c r="P15" s="106"/>
      <c r="Q15" s="37"/>
      <c r="R15" s="106"/>
      <c r="S15" s="106"/>
      <c r="T15" s="106"/>
      <c r="U15" s="106"/>
      <c r="V15" s="106"/>
      <c r="W15" s="106"/>
      <c r="X15" s="106"/>
      <c r="Y15" s="37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37"/>
      <c r="AK15" s="38"/>
      <c r="AL15" s="197"/>
    </row>
    <row r="16" spans="1:38" x14ac:dyDescent="0.25">
      <c r="A16" s="11">
        <v>14</v>
      </c>
      <c r="B16" s="106"/>
      <c r="C16" s="106"/>
      <c r="D16" s="106"/>
      <c r="E16" s="106"/>
      <c r="F16" s="106"/>
      <c r="G16" s="106"/>
      <c r="H16" s="106"/>
      <c r="I16" s="37"/>
      <c r="J16" s="106"/>
      <c r="K16" s="106"/>
      <c r="L16" s="106"/>
      <c r="M16" s="106"/>
      <c r="N16" s="106"/>
      <c r="O16" s="106"/>
      <c r="P16" s="106"/>
      <c r="Q16" s="37"/>
      <c r="R16" s="106"/>
      <c r="S16" s="106"/>
      <c r="T16" s="106"/>
      <c r="U16" s="106"/>
      <c r="V16" s="106"/>
      <c r="W16" s="106"/>
      <c r="X16" s="106"/>
      <c r="Y16" s="37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37"/>
      <c r="AK16" s="38"/>
      <c r="AL16" s="197"/>
    </row>
    <row r="17" spans="1:38" x14ac:dyDescent="0.25">
      <c r="A17" s="11">
        <v>15</v>
      </c>
      <c r="B17" s="106"/>
      <c r="C17" s="106"/>
      <c r="D17" s="106"/>
      <c r="E17" s="106"/>
      <c r="F17" s="106"/>
      <c r="G17" s="106"/>
      <c r="H17" s="106"/>
      <c r="I17" s="37"/>
      <c r="J17" s="106"/>
      <c r="K17" s="106"/>
      <c r="L17" s="106"/>
      <c r="M17" s="106"/>
      <c r="N17" s="106"/>
      <c r="O17" s="106"/>
      <c r="P17" s="106"/>
      <c r="Q17" s="37"/>
      <c r="R17" s="106"/>
      <c r="S17" s="106"/>
      <c r="T17" s="106"/>
      <c r="U17" s="106"/>
      <c r="V17" s="106"/>
      <c r="W17" s="106"/>
      <c r="X17" s="106"/>
      <c r="Y17" s="37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37"/>
      <c r="AK17" s="38"/>
      <c r="AL17" s="197"/>
    </row>
    <row r="18" spans="1:38" x14ac:dyDescent="0.25">
      <c r="A18" s="11">
        <v>16</v>
      </c>
      <c r="B18" s="109"/>
      <c r="C18" s="109"/>
      <c r="D18" s="109"/>
      <c r="E18" s="109"/>
      <c r="F18" s="109"/>
      <c r="G18" s="109"/>
      <c r="H18" s="109"/>
      <c r="I18" s="39"/>
      <c r="J18" s="109"/>
      <c r="K18" s="109"/>
      <c r="L18" s="109"/>
      <c r="M18" s="109"/>
      <c r="N18" s="109"/>
      <c r="O18" s="109"/>
      <c r="P18" s="109"/>
      <c r="Q18" s="39"/>
      <c r="R18" s="109"/>
      <c r="S18" s="109"/>
      <c r="T18" s="109"/>
      <c r="U18" s="109"/>
      <c r="V18" s="109"/>
      <c r="W18" s="109"/>
      <c r="X18" s="109"/>
      <c r="Y18" s="3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39"/>
      <c r="AK18" s="41"/>
      <c r="AL18" s="202"/>
    </row>
    <row r="19" spans="1:38" x14ac:dyDescent="0.25">
      <c r="A19" s="11">
        <v>17</v>
      </c>
      <c r="B19" s="106"/>
      <c r="C19" s="106"/>
      <c r="D19" s="106"/>
      <c r="E19" s="106"/>
      <c r="F19" s="106"/>
      <c r="G19" s="106"/>
      <c r="H19" s="106"/>
      <c r="I19" s="37"/>
      <c r="J19" s="106"/>
      <c r="K19" s="106"/>
      <c r="L19" s="106"/>
      <c r="M19" s="106"/>
      <c r="N19" s="106"/>
      <c r="O19" s="106"/>
      <c r="P19" s="106"/>
      <c r="Q19" s="37"/>
      <c r="R19" s="106"/>
      <c r="S19" s="106"/>
      <c r="T19" s="106"/>
      <c r="U19" s="106"/>
      <c r="V19" s="106"/>
      <c r="W19" s="106"/>
      <c r="X19" s="106"/>
      <c r="Y19" s="37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37"/>
      <c r="AK19" s="38"/>
      <c r="AL19" s="197"/>
    </row>
    <row r="20" spans="1:38" x14ac:dyDescent="0.25">
      <c r="A20" s="11">
        <v>18</v>
      </c>
      <c r="B20" s="106"/>
      <c r="C20" s="106"/>
      <c r="D20" s="106"/>
      <c r="E20" s="106"/>
      <c r="F20" s="106"/>
      <c r="G20" s="106"/>
      <c r="H20" s="106"/>
      <c r="I20" s="37"/>
      <c r="J20" s="106"/>
      <c r="K20" s="106"/>
      <c r="L20" s="106"/>
      <c r="M20" s="106"/>
      <c r="N20" s="106"/>
      <c r="O20" s="106"/>
      <c r="P20" s="106"/>
      <c r="Q20" s="37"/>
      <c r="R20" s="106"/>
      <c r="S20" s="106"/>
      <c r="T20" s="106"/>
      <c r="U20" s="106"/>
      <c r="V20" s="106"/>
      <c r="W20" s="106"/>
      <c r="X20" s="106"/>
      <c r="Y20" s="37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37"/>
      <c r="AK20" s="38"/>
      <c r="AL20" s="197"/>
    </row>
    <row r="21" spans="1:38" x14ac:dyDescent="0.25">
      <c r="A21" s="11">
        <v>19</v>
      </c>
      <c r="B21" s="106"/>
      <c r="C21" s="106"/>
      <c r="D21" s="106"/>
      <c r="E21" s="106"/>
      <c r="F21" s="106"/>
      <c r="G21" s="106"/>
      <c r="H21" s="106"/>
      <c r="I21" s="37"/>
      <c r="J21" s="106"/>
      <c r="K21" s="106"/>
      <c r="L21" s="106"/>
      <c r="M21" s="106"/>
      <c r="N21" s="106"/>
      <c r="O21" s="106"/>
      <c r="P21" s="106"/>
      <c r="Q21" s="37"/>
      <c r="R21" s="106"/>
      <c r="S21" s="106"/>
      <c r="T21" s="106"/>
      <c r="U21" s="106"/>
      <c r="V21" s="106"/>
      <c r="W21" s="106"/>
      <c r="X21" s="106"/>
      <c r="Y21" s="37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37"/>
      <c r="AK21" s="38"/>
      <c r="AL21" s="197"/>
    </row>
    <row r="22" spans="1:38" x14ac:dyDescent="0.25">
      <c r="A22" s="11">
        <v>20</v>
      </c>
      <c r="B22" s="106"/>
      <c r="C22" s="106"/>
      <c r="D22" s="106"/>
      <c r="E22" s="106"/>
      <c r="F22" s="106"/>
      <c r="G22" s="106"/>
      <c r="H22" s="106"/>
      <c r="I22" s="37"/>
      <c r="J22" s="106"/>
      <c r="K22" s="106"/>
      <c r="L22" s="106"/>
      <c r="M22" s="106"/>
      <c r="N22" s="106"/>
      <c r="O22" s="106"/>
      <c r="P22" s="106"/>
      <c r="Q22" s="37"/>
      <c r="R22" s="106"/>
      <c r="S22" s="106"/>
      <c r="T22" s="106"/>
      <c r="U22" s="106"/>
      <c r="V22" s="106"/>
      <c r="W22" s="106"/>
      <c r="X22" s="106"/>
      <c r="Y22" s="37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37"/>
      <c r="AK22" s="38"/>
      <c r="AL22" s="197"/>
    </row>
    <row r="23" spans="1:38" x14ac:dyDescent="0.25">
      <c r="A23" s="11">
        <v>21</v>
      </c>
      <c r="B23" s="174"/>
      <c r="C23" s="174"/>
      <c r="D23" s="174"/>
      <c r="E23" s="174"/>
      <c r="F23" s="174"/>
      <c r="G23" s="174"/>
      <c r="H23" s="174"/>
      <c r="I23" s="111"/>
      <c r="J23" s="174"/>
      <c r="K23" s="174"/>
      <c r="L23" s="174"/>
      <c r="M23" s="174"/>
      <c r="N23" s="174"/>
      <c r="O23" s="174"/>
      <c r="P23" s="174"/>
      <c r="Q23" s="111"/>
      <c r="R23" s="174"/>
      <c r="S23" s="174"/>
      <c r="T23" s="174"/>
      <c r="U23" s="174"/>
      <c r="V23" s="174"/>
      <c r="W23" s="174"/>
      <c r="X23" s="174"/>
      <c r="Y23" s="111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11"/>
      <c r="AK23" s="38"/>
      <c r="AL23" s="197"/>
    </row>
    <row r="24" spans="1:38" x14ac:dyDescent="0.25">
      <c r="A24" s="11">
        <v>22</v>
      </c>
      <c r="B24" s="106"/>
      <c r="C24" s="106"/>
      <c r="D24" s="106"/>
      <c r="E24" s="106"/>
      <c r="F24" s="106"/>
      <c r="G24" s="106"/>
      <c r="H24" s="106"/>
      <c r="I24" s="37"/>
      <c r="J24" s="106"/>
      <c r="K24" s="106"/>
      <c r="L24" s="106"/>
      <c r="M24" s="106"/>
      <c r="N24" s="106"/>
      <c r="O24" s="106"/>
      <c r="P24" s="106"/>
      <c r="Q24" s="37"/>
      <c r="R24" s="106"/>
      <c r="S24" s="106"/>
      <c r="T24" s="106"/>
      <c r="U24" s="106"/>
      <c r="V24" s="106"/>
      <c r="W24" s="106"/>
      <c r="X24" s="106"/>
      <c r="Y24" s="37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37"/>
      <c r="AK24" s="38"/>
      <c r="AL24" s="197"/>
    </row>
    <row r="25" spans="1:38" x14ac:dyDescent="0.25">
      <c r="A25" s="11">
        <v>23</v>
      </c>
      <c r="B25" s="174"/>
      <c r="C25" s="174"/>
      <c r="D25" s="174"/>
      <c r="E25" s="174"/>
      <c r="F25" s="174"/>
      <c r="G25" s="174"/>
      <c r="H25" s="174"/>
      <c r="I25" s="111"/>
      <c r="J25" s="174"/>
      <c r="K25" s="174"/>
      <c r="L25" s="174"/>
      <c r="M25" s="174"/>
      <c r="N25" s="174"/>
      <c r="O25" s="174"/>
      <c r="P25" s="174"/>
      <c r="Q25" s="111"/>
      <c r="R25" s="174"/>
      <c r="S25" s="174"/>
      <c r="T25" s="174"/>
      <c r="U25" s="174"/>
      <c r="V25" s="174"/>
      <c r="W25" s="174"/>
      <c r="X25" s="174"/>
      <c r="Y25" s="111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11"/>
      <c r="AK25" s="38"/>
      <c r="AL25" s="197"/>
    </row>
    <row r="26" spans="1:38" x14ac:dyDescent="0.25">
      <c r="A26" s="11">
        <v>24</v>
      </c>
      <c r="B26" s="174"/>
      <c r="C26" s="174"/>
      <c r="D26" s="174"/>
      <c r="E26" s="174"/>
      <c r="F26" s="174"/>
      <c r="G26" s="174"/>
      <c r="H26" s="174"/>
      <c r="I26" s="111"/>
      <c r="J26" s="174"/>
      <c r="K26" s="174"/>
      <c r="L26" s="174"/>
      <c r="M26" s="174"/>
      <c r="N26" s="174"/>
      <c r="O26" s="174"/>
      <c r="P26" s="174"/>
      <c r="Q26" s="111"/>
      <c r="R26" s="174"/>
      <c r="S26" s="174"/>
      <c r="T26" s="174"/>
      <c r="U26" s="174"/>
      <c r="V26" s="174"/>
      <c r="W26" s="174"/>
      <c r="X26" s="174"/>
      <c r="Y26" s="111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11"/>
      <c r="AK26" s="38"/>
      <c r="AL26" s="197"/>
    </row>
    <row r="27" spans="1:38" x14ac:dyDescent="0.25">
      <c r="A27" s="11">
        <v>25</v>
      </c>
      <c r="B27" s="174"/>
      <c r="C27" s="174"/>
      <c r="D27" s="174"/>
      <c r="E27" s="174"/>
      <c r="F27" s="174"/>
      <c r="G27" s="174"/>
      <c r="H27" s="174"/>
      <c r="I27" s="111"/>
      <c r="J27" s="174"/>
      <c r="K27" s="174"/>
      <c r="L27" s="174"/>
      <c r="M27" s="174"/>
      <c r="N27" s="174"/>
      <c r="O27" s="174"/>
      <c r="P27" s="174"/>
      <c r="Q27" s="111"/>
      <c r="R27" s="174"/>
      <c r="S27" s="174"/>
      <c r="T27" s="174"/>
      <c r="U27" s="174"/>
      <c r="V27" s="174"/>
      <c r="W27" s="174"/>
      <c r="X27" s="174"/>
      <c r="Y27" s="111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11"/>
      <c r="AK27" s="38"/>
      <c r="AL27" s="197"/>
    </row>
    <row r="28" spans="1:38" x14ac:dyDescent="0.25">
      <c r="A28" s="11">
        <v>26</v>
      </c>
      <c r="B28" s="149"/>
      <c r="C28" s="149"/>
      <c r="D28" s="149"/>
      <c r="E28" s="149"/>
      <c r="F28" s="149"/>
      <c r="G28" s="149"/>
      <c r="H28" s="149"/>
      <c r="I28" s="111"/>
      <c r="J28" s="149"/>
      <c r="K28" s="149"/>
      <c r="L28" s="149"/>
      <c r="M28" s="149"/>
      <c r="N28" s="149"/>
      <c r="O28" s="149"/>
      <c r="P28" s="149"/>
      <c r="Q28" s="111"/>
      <c r="R28" s="149"/>
      <c r="S28" s="149"/>
      <c r="T28" s="149"/>
      <c r="U28" s="149"/>
      <c r="V28" s="149"/>
      <c r="W28" s="149"/>
      <c r="X28" s="149"/>
      <c r="Y28" s="111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11"/>
      <c r="AK28" s="38"/>
      <c r="AL28" s="197"/>
    </row>
    <row r="29" spans="1:38" x14ac:dyDescent="0.25">
      <c r="A29" s="11">
        <v>27</v>
      </c>
      <c r="B29" s="106"/>
      <c r="C29" s="106"/>
      <c r="D29" s="106"/>
      <c r="E29" s="106"/>
      <c r="F29" s="106"/>
      <c r="G29" s="106"/>
      <c r="H29" s="106"/>
      <c r="I29" s="37"/>
      <c r="J29" s="106"/>
      <c r="K29" s="106"/>
      <c r="L29" s="106"/>
      <c r="M29" s="106"/>
      <c r="N29" s="106"/>
      <c r="O29" s="106"/>
      <c r="P29" s="106"/>
      <c r="Q29" s="37"/>
      <c r="R29" s="106"/>
      <c r="S29" s="106"/>
      <c r="T29" s="106"/>
      <c r="U29" s="106"/>
      <c r="V29" s="106"/>
      <c r="W29" s="106"/>
      <c r="X29" s="106"/>
      <c r="Y29" s="37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37"/>
      <c r="AK29" s="38"/>
      <c r="AL29" s="197"/>
    </row>
    <row r="30" spans="1:38" x14ac:dyDescent="0.25">
      <c r="A30" s="11">
        <v>28</v>
      </c>
      <c r="B30" s="106"/>
      <c r="C30" s="106"/>
      <c r="D30" s="106"/>
      <c r="E30" s="106"/>
      <c r="F30" s="106"/>
      <c r="G30" s="106"/>
      <c r="H30" s="106"/>
      <c r="I30" s="37"/>
      <c r="J30" s="106"/>
      <c r="K30" s="106"/>
      <c r="L30" s="106"/>
      <c r="M30" s="106"/>
      <c r="N30" s="106"/>
      <c r="O30" s="106"/>
      <c r="P30" s="106"/>
      <c r="Q30" s="37"/>
      <c r="R30" s="106"/>
      <c r="S30" s="106"/>
      <c r="T30" s="106"/>
      <c r="U30" s="106"/>
      <c r="V30" s="106"/>
      <c r="W30" s="106"/>
      <c r="X30" s="106"/>
      <c r="Y30" s="37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37"/>
      <c r="AK30" s="38"/>
      <c r="AL30" s="197"/>
    </row>
    <row r="31" spans="1:38" x14ac:dyDescent="0.25">
      <c r="A31" s="11">
        <v>29</v>
      </c>
      <c r="B31" s="108"/>
      <c r="C31" s="108"/>
      <c r="D31" s="108"/>
      <c r="E31" s="108"/>
      <c r="F31" s="108"/>
      <c r="G31" s="108"/>
      <c r="H31" s="108"/>
      <c r="I31" s="111"/>
      <c r="J31" s="108"/>
      <c r="K31" s="108"/>
      <c r="L31" s="108"/>
      <c r="M31" s="108"/>
      <c r="N31" s="108"/>
      <c r="O31" s="108"/>
      <c r="P31" s="108"/>
      <c r="Q31" s="111"/>
      <c r="R31" s="108"/>
      <c r="S31" s="108"/>
      <c r="T31" s="108"/>
      <c r="U31" s="108"/>
      <c r="V31" s="108"/>
      <c r="W31" s="108"/>
      <c r="X31" s="108"/>
      <c r="Y31" s="111"/>
      <c r="Z31" s="108"/>
      <c r="AA31" s="108"/>
      <c r="AB31" s="108"/>
      <c r="AC31" s="108"/>
      <c r="AD31" s="108"/>
      <c r="AE31" s="108"/>
      <c r="AF31" s="108"/>
      <c r="AG31" s="107"/>
      <c r="AH31" s="107"/>
      <c r="AI31" s="107"/>
      <c r="AJ31" s="111"/>
      <c r="AK31" s="38"/>
      <c r="AL31" s="197"/>
    </row>
    <row r="32" spans="1:38" x14ac:dyDescent="0.25">
      <c r="A32" s="11">
        <v>30</v>
      </c>
      <c r="B32" s="106"/>
      <c r="C32" s="106"/>
      <c r="D32" s="106"/>
      <c r="E32" s="106"/>
      <c r="F32" s="106"/>
      <c r="G32" s="106"/>
      <c r="H32" s="106"/>
      <c r="I32" s="37"/>
      <c r="J32" s="106"/>
      <c r="K32" s="106"/>
      <c r="L32" s="106"/>
      <c r="M32" s="106"/>
      <c r="N32" s="106"/>
      <c r="O32" s="106"/>
      <c r="P32" s="106"/>
      <c r="Q32" s="37"/>
      <c r="R32" s="106"/>
      <c r="S32" s="106"/>
      <c r="T32" s="106"/>
      <c r="U32" s="106"/>
      <c r="V32" s="106"/>
      <c r="W32" s="106"/>
      <c r="X32" s="106"/>
      <c r="Y32" s="37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37"/>
      <c r="AK32" s="38"/>
      <c r="AL32" s="197"/>
    </row>
    <row r="33" spans="1:38" x14ac:dyDescent="0.25">
      <c r="A33" s="11">
        <v>31</v>
      </c>
      <c r="B33" s="106"/>
      <c r="C33" s="106"/>
      <c r="D33" s="106"/>
      <c r="E33" s="106"/>
      <c r="F33" s="106"/>
      <c r="G33" s="106"/>
      <c r="H33" s="106"/>
      <c r="I33" s="37"/>
      <c r="J33" s="106"/>
      <c r="K33" s="106"/>
      <c r="L33" s="106"/>
      <c r="M33" s="106"/>
      <c r="N33" s="106"/>
      <c r="O33" s="106"/>
      <c r="P33" s="106"/>
      <c r="Q33" s="37"/>
      <c r="R33" s="106"/>
      <c r="S33" s="106"/>
      <c r="T33" s="106"/>
      <c r="U33" s="106"/>
      <c r="V33" s="106"/>
      <c r="W33" s="106"/>
      <c r="X33" s="106"/>
      <c r="Y33" s="37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37"/>
      <c r="AK33" s="38"/>
      <c r="AL33" s="197"/>
    </row>
    <row r="34" spans="1:38" x14ac:dyDescent="0.25">
      <c r="A34" s="11">
        <v>32</v>
      </c>
      <c r="B34" s="106"/>
      <c r="C34" s="106"/>
      <c r="D34" s="106"/>
      <c r="E34" s="106"/>
      <c r="F34" s="106"/>
      <c r="G34" s="106"/>
      <c r="H34" s="106"/>
      <c r="I34" s="37"/>
      <c r="J34" s="106"/>
      <c r="K34" s="106"/>
      <c r="L34" s="106"/>
      <c r="M34" s="106"/>
      <c r="N34" s="106"/>
      <c r="O34" s="106"/>
      <c r="P34" s="106"/>
      <c r="Q34" s="37"/>
      <c r="R34" s="106"/>
      <c r="S34" s="106"/>
      <c r="T34" s="106"/>
      <c r="U34" s="106"/>
      <c r="V34" s="106"/>
      <c r="W34" s="106"/>
      <c r="X34" s="106"/>
      <c r="Y34" s="37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37"/>
      <c r="AK34" s="38"/>
      <c r="AL34" s="197"/>
    </row>
    <row r="35" spans="1:38" x14ac:dyDescent="0.25">
      <c r="A35" s="11">
        <v>33</v>
      </c>
      <c r="B35" s="106"/>
      <c r="C35" s="106"/>
      <c r="D35" s="106"/>
      <c r="E35" s="106"/>
      <c r="F35" s="106"/>
      <c r="G35" s="106"/>
      <c r="H35" s="106"/>
      <c r="I35" s="37"/>
      <c r="J35" s="106"/>
      <c r="K35" s="106"/>
      <c r="L35" s="106"/>
      <c r="M35" s="106"/>
      <c r="N35" s="106"/>
      <c r="O35" s="106"/>
      <c r="P35" s="106"/>
      <c r="Q35" s="37"/>
      <c r="R35" s="106"/>
      <c r="S35" s="106"/>
      <c r="T35" s="106"/>
      <c r="U35" s="106"/>
      <c r="V35" s="106"/>
      <c r="W35" s="106"/>
      <c r="X35" s="106"/>
      <c r="Y35" s="37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37"/>
      <c r="AK35" s="38"/>
      <c r="AL35" s="197"/>
    </row>
    <row r="36" spans="1:38" x14ac:dyDescent="0.25">
      <c r="A36" s="11">
        <v>34</v>
      </c>
      <c r="B36" s="106"/>
      <c r="C36" s="106"/>
      <c r="D36" s="106"/>
      <c r="E36" s="106"/>
      <c r="F36" s="106"/>
      <c r="G36" s="106"/>
      <c r="H36" s="106"/>
      <c r="I36" s="37"/>
      <c r="J36" s="106"/>
      <c r="K36" s="106"/>
      <c r="L36" s="106"/>
      <c r="M36" s="106"/>
      <c r="N36" s="106"/>
      <c r="O36" s="106"/>
      <c r="P36" s="106"/>
      <c r="Q36" s="37"/>
      <c r="R36" s="106"/>
      <c r="S36" s="106"/>
      <c r="T36" s="106"/>
      <c r="U36" s="106"/>
      <c r="V36" s="106"/>
      <c r="W36" s="106"/>
      <c r="X36" s="106"/>
      <c r="Y36" s="37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37"/>
      <c r="AK36" s="38"/>
      <c r="AL36" s="197"/>
    </row>
    <row r="37" spans="1:38" x14ac:dyDescent="0.25">
      <c r="A37" s="11">
        <v>35</v>
      </c>
      <c r="B37" s="106"/>
      <c r="C37" s="106"/>
      <c r="D37" s="106"/>
      <c r="E37" s="106"/>
      <c r="F37" s="106"/>
      <c r="G37" s="106"/>
      <c r="H37" s="106"/>
      <c r="I37" s="37"/>
      <c r="J37" s="106"/>
      <c r="K37" s="106"/>
      <c r="L37" s="106"/>
      <c r="M37" s="106"/>
      <c r="N37" s="106"/>
      <c r="O37" s="106"/>
      <c r="P37" s="106"/>
      <c r="Q37" s="37"/>
      <c r="R37" s="106"/>
      <c r="S37" s="106"/>
      <c r="T37" s="106"/>
      <c r="U37" s="106"/>
      <c r="V37" s="106"/>
      <c r="W37" s="106"/>
      <c r="X37" s="106"/>
      <c r="Y37" s="37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37"/>
      <c r="AK37" s="38"/>
      <c r="AL37" s="197"/>
    </row>
    <row r="38" spans="1:38" x14ac:dyDescent="0.25">
      <c r="A38" s="11">
        <v>36</v>
      </c>
      <c r="B38" s="108"/>
      <c r="C38" s="108"/>
      <c r="D38" s="108"/>
      <c r="E38" s="108"/>
      <c r="F38" s="108"/>
      <c r="G38" s="108"/>
      <c r="H38" s="108"/>
      <c r="I38" s="111"/>
      <c r="J38" s="108"/>
      <c r="K38" s="108"/>
      <c r="L38" s="108"/>
      <c r="M38" s="108"/>
      <c r="N38" s="108"/>
      <c r="O38" s="108"/>
      <c r="P38" s="108"/>
      <c r="Q38" s="111"/>
      <c r="R38" s="108"/>
      <c r="S38" s="108"/>
      <c r="T38" s="108"/>
      <c r="U38" s="108"/>
      <c r="V38" s="108"/>
      <c r="W38" s="108"/>
      <c r="X38" s="108"/>
      <c r="Y38" s="111"/>
      <c r="Z38" s="108"/>
      <c r="AA38" s="108"/>
      <c r="AB38" s="108"/>
      <c r="AC38" s="108"/>
      <c r="AD38" s="108"/>
      <c r="AE38" s="108"/>
      <c r="AF38" s="108"/>
      <c r="AG38" s="107"/>
      <c r="AH38" s="107"/>
      <c r="AI38" s="107"/>
      <c r="AJ38" s="111"/>
      <c r="AK38" s="38"/>
      <c r="AL38" s="197"/>
    </row>
    <row r="39" spans="1:38" x14ac:dyDescent="0.25">
      <c r="A39" s="11">
        <v>37</v>
      </c>
      <c r="B39" s="106"/>
      <c r="C39" s="106"/>
      <c r="D39" s="106"/>
      <c r="E39" s="106"/>
      <c r="F39" s="106"/>
      <c r="G39" s="106"/>
      <c r="H39" s="106"/>
      <c r="I39" s="37"/>
      <c r="J39" s="106"/>
      <c r="K39" s="106"/>
      <c r="L39" s="106"/>
      <c r="M39" s="106"/>
      <c r="N39" s="106"/>
      <c r="O39" s="106"/>
      <c r="P39" s="106"/>
      <c r="Q39" s="37"/>
      <c r="R39" s="106"/>
      <c r="S39" s="106"/>
      <c r="T39" s="106"/>
      <c r="U39" s="106"/>
      <c r="V39" s="106"/>
      <c r="W39" s="106"/>
      <c r="X39" s="106"/>
      <c r="Y39" s="37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37"/>
      <c r="AK39" s="38"/>
      <c r="AL39" s="197"/>
    </row>
    <row r="40" spans="1:38" x14ac:dyDescent="0.25">
      <c r="A40" s="11">
        <v>38</v>
      </c>
      <c r="B40" s="106"/>
      <c r="C40" s="106"/>
      <c r="D40" s="106"/>
      <c r="E40" s="106"/>
      <c r="F40" s="106"/>
      <c r="G40" s="106"/>
      <c r="H40" s="106"/>
      <c r="I40" s="37"/>
      <c r="J40" s="106"/>
      <c r="K40" s="106"/>
      <c r="L40" s="106"/>
      <c r="M40" s="106"/>
      <c r="N40" s="106"/>
      <c r="O40" s="106"/>
      <c r="P40" s="106"/>
      <c r="Q40" s="37"/>
      <c r="R40" s="106"/>
      <c r="S40" s="106"/>
      <c r="T40" s="106"/>
      <c r="U40" s="106"/>
      <c r="V40" s="106"/>
      <c r="W40" s="106"/>
      <c r="X40" s="106"/>
      <c r="Y40" s="37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37"/>
      <c r="AK40" s="38"/>
      <c r="AL40" s="197"/>
    </row>
    <row r="41" spans="1:38" x14ac:dyDescent="0.25">
      <c r="A41" s="11">
        <v>39</v>
      </c>
      <c r="B41" s="106"/>
      <c r="C41" s="106"/>
      <c r="D41" s="106"/>
      <c r="E41" s="106"/>
      <c r="F41" s="106"/>
      <c r="G41" s="106"/>
      <c r="H41" s="106"/>
      <c r="I41" s="37"/>
      <c r="J41" s="108"/>
      <c r="K41" s="116"/>
      <c r="L41" s="106"/>
      <c r="M41" s="106"/>
      <c r="N41" s="106"/>
      <c r="O41" s="106"/>
      <c r="P41" s="106"/>
      <c r="Q41" s="37"/>
      <c r="R41" s="106"/>
      <c r="S41" s="106"/>
      <c r="T41" s="106"/>
      <c r="U41" s="106"/>
      <c r="V41" s="106"/>
      <c r="W41" s="106"/>
      <c r="X41" s="106"/>
      <c r="Y41" s="37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37"/>
      <c r="AK41" s="38"/>
      <c r="AL41" s="197"/>
    </row>
    <row r="42" spans="1:38" x14ac:dyDescent="0.25">
      <c r="A42" s="11">
        <v>40</v>
      </c>
      <c r="B42" s="106"/>
      <c r="C42" s="106"/>
      <c r="D42" s="106"/>
      <c r="E42" s="106"/>
      <c r="F42" s="106"/>
      <c r="G42" s="106"/>
      <c r="H42" s="106"/>
      <c r="I42" s="37"/>
      <c r="J42" s="106"/>
      <c r="K42" s="106"/>
      <c r="L42" s="106"/>
      <c r="M42" s="106"/>
      <c r="N42" s="106"/>
      <c r="O42" s="106"/>
      <c r="P42" s="106"/>
      <c r="Q42" s="37"/>
      <c r="R42" s="106"/>
      <c r="S42" s="106"/>
      <c r="T42" s="106"/>
      <c r="U42" s="106"/>
      <c r="V42" s="106"/>
      <c r="W42" s="106"/>
      <c r="X42" s="106"/>
      <c r="Y42" s="37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37"/>
      <c r="AK42" s="38"/>
      <c r="AL42" s="197"/>
    </row>
    <row r="43" spans="1:38" x14ac:dyDescent="0.25">
      <c r="A43" s="11">
        <v>41</v>
      </c>
      <c r="B43" s="106"/>
      <c r="C43" s="106"/>
      <c r="D43" s="106"/>
      <c r="E43" s="106"/>
      <c r="F43" s="106"/>
      <c r="G43" s="106"/>
      <c r="H43" s="106"/>
      <c r="I43" s="37"/>
      <c r="J43" s="106"/>
      <c r="K43" s="106"/>
      <c r="L43" s="106"/>
      <c r="M43" s="106"/>
      <c r="N43" s="106"/>
      <c r="O43" s="106"/>
      <c r="P43" s="106"/>
      <c r="Q43" s="37"/>
      <c r="R43" s="106"/>
      <c r="S43" s="106"/>
      <c r="T43" s="106"/>
      <c r="U43" s="106"/>
      <c r="V43" s="106"/>
      <c r="W43" s="106"/>
      <c r="X43" s="106"/>
      <c r="Y43" s="37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37"/>
      <c r="AK43" s="38"/>
      <c r="AL43" s="197"/>
    </row>
    <row r="44" spans="1:38" x14ac:dyDescent="0.25">
      <c r="A44" s="11">
        <v>42</v>
      </c>
      <c r="B44" s="108"/>
      <c r="C44" s="108"/>
      <c r="D44" s="108"/>
      <c r="E44" s="108"/>
      <c r="F44" s="108"/>
      <c r="G44" s="108"/>
      <c r="H44" s="108"/>
      <c r="I44" s="111"/>
      <c r="J44" s="108"/>
      <c r="K44" s="108"/>
      <c r="L44" s="108"/>
      <c r="M44" s="108"/>
      <c r="N44" s="108"/>
      <c r="O44" s="108"/>
      <c r="P44" s="108"/>
      <c r="Q44" s="111"/>
      <c r="R44" s="108"/>
      <c r="S44" s="108"/>
      <c r="T44" s="108"/>
      <c r="U44" s="108"/>
      <c r="V44" s="108"/>
      <c r="W44" s="108"/>
      <c r="X44" s="108"/>
      <c r="Y44" s="111"/>
      <c r="Z44" s="108"/>
      <c r="AA44" s="108"/>
      <c r="AB44" s="108"/>
      <c r="AC44" s="108"/>
      <c r="AD44" s="108"/>
      <c r="AE44" s="108"/>
      <c r="AF44" s="108"/>
      <c r="AG44" s="107"/>
      <c r="AH44" s="107"/>
      <c r="AI44" s="107"/>
      <c r="AJ44" s="111"/>
      <c r="AK44" s="38"/>
      <c r="AL44" s="197"/>
    </row>
    <row r="45" spans="1:38" x14ac:dyDescent="0.25">
      <c r="A45" s="11">
        <v>43</v>
      </c>
      <c r="B45" s="106"/>
      <c r="C45" s="106"/>
      <c r="D45" s="106"/>
      <c r="E45" s="106"/>
      <c r="F45" s="106"/>
      <c r="G45" s="106"/>
      <c r="H45" s="106"/>
      <c r="I45" s="37"/>
      <c r="J45" s="106"/>
      <c r="K45" s="106"/>
      <c r="L45" s="106"/>
      <c r="M45" s="106"/>
      <c r="N45" s="106"/>
      <c r="O45" s="106"/>
      <c r="P45" s="106"/>
      <c r="Q45" s="37"/>
      <c r="R45" s="106"/>
      <c r="S45" s="106"/>
      <c r="T45" s="106"/>
      <c r="U45" s="106"/>
      <c r="V45" s="106"/>
      <c r="W45" s="106"/>
      <c r="X45" s="106"/>
      <c r="Y45" s="37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37"/>
      <c r="AK45" s="38"/>
      <c r="AL45" s="197"/>
    </row>
    <row r="46" spans="1:38" x14ac:dyDescent="0.25">
      <c r="A46" s="11">
        <v>44</v>
      </c>
      <c r="B46" s="106"/>
      <c r="C46" s="106"/>
      <c r="D46" s="106"/>
      <c r="E46" s="106"/>
      <c r="F46" s="106"/>
      <c r="G46" s="106"/>
      <c r="H46" s="106"/>
      <c r="I46" s="37"/>
      <c r="J46" s="106"/>
      <c r="K46" s="106"/>
      <c r="L46" s="106"/>
      <c r="M46" s="106"/>
      <c r="N46" s="106"/>
      <c r="O46" s="106"/>
      <c r="P46" s="106"/>
      <c r="Q46" s="37"/>
      <c r="R46" s="106"/>
      <c r="S46" s="106"/>
      <c r="T46" s="106"/>
      <c r="U46" s="106"/>
      <c r="V46" s="106"/>
      <c r="W46" s="106"/>
      <c r="X46" s="106"/>
      <c r="Y46" s="37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37"/>
      <c r="AK46" s="38"/>
      <c r="AL46" s="197"/>
    </row>
    <row r="47" spans="1:38" x14ac:dyDescent="0.25">
      <c r="A47" s="11">
        <v>45</v>
      </c>
      <c r="B47" s="106"/>
      <c r="C47" s="106"/>
      <c r="D47" s="106"/>
      <c r="E47" s="106"/>
      <c r="F47" s="106"/>
      <c r="G47" s="106"/>
      <c r="H47" s="106"/>
      <c r="I47" s="37"/>
      <c r="J47" s="106"/>
      <c r="K47" s="106"/>
      <c r="L47" s="106"/>
      <c r="M47" s="106"/>
      <c r="N47" s="106"/>
      <c r="O47" s="106"/>
      <c r="P47" s="106"/>
      <c r="Q47" s="37"/>
      <c r="R47" s="106"/>
      <c r="S47" s="106"/>
      <c r="T47" s="106"/>
      <c r="U47" s="106"/>
      <c r="V47" s="106"/>
      <c r="W47" s="106"/>
      <c r="X47" s="106"/>
      <c r="Y47" s="37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37"/>
      <c r="AK47" s="38"/>
      <c r="AL47" s="197"/>
    </row>
    <row r="48" spans="1:38" x14ac:dyDescent="0.25">
      <c r="A48" s="11">
        <v>46</v>
      </c>
      <c r="B48" s="106"/>
      <c r="C48" s="106"/>
      <c r="D48" s="106"/>
      <c r="E48" s="106"/>
      <c r="F48" s="106"/>
      <c r="G48" s="106"/>
      <c r="H48" s="106"/>
      <c r="I48" s="37"/>
      <c r="J48" s="106"/>
      <c r="K48" s="106"/>
      <c r="L48" s="106"/>
      <c r="M48" s="106"/>
      <c r="N48" s="106"/>
      <c r="O48" s="106"/>
      <c r="P48" s="106"/>
      <c r="Q48" s="37"/>
      <c r="R48" s="106"/>
      <c r="S48" s="106"/>
      <c r="T48" s="106"/>
      <c r="U48" s="106"/>
      <c r="V48" s="106"/>
      <c r="W48" s="106"/>
      <c r="X48" s="106"/>
      <c r="Y48" s="37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37"/>
      <c r="AK48" s="38"/>
      <c r="AL48" s="197"/>
    </row>
    <row r="49" spans="1:38" x14ac:dyDescent="0.25">
      <c r="A49" s="11">
        <v>47</v>
      </c>
      <c r="B49" s="106"/>
      <c r="C49" s="106"/>
      <c r="D49" s="106"/>
      <c r="E49" s="106"/>
      <c r="F49" s="106"/>
      <c r="G49" s="106"/>
      <c r="H49" s="106"/>
      <c r="I49" s="37"/>
      <c r="J49" s="106"/>
      <c r="K49" s="106"/>
      <c r="L49" s="106"/>
      <c r="M49" s="106"/>
      <c r="N49" s="106"/>
      <c r="O49" s="106"/>
      <c r="P49" s="106"/>
      <c r="Q49" s="37"/>
      <c r="R49" s="106"/>
      <c r="S49" s="106"/>
      <c r="T49" s="106"/>
      <c r="U49" s="106"/>
      <c r="V49" s="106"/>
      <c r="W49" s="106"/>
      <c r="X49" s="106"/>
      <c r="Y49" s="37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37"/>
      <c r="AK49" s="38"/>
      <c r="AL49" s="197"/>
    </row>
    <row r="50" spans="1:38" x14ac:dyDescent="0.25">
      <c r="A50" s="11">
        <v>48</v>
      </c>
      <c r="B50" s="106"/>
      <c r="C50" s="106"/>
      <c r="D50" s="106"/>
      <c r="E50" s="106"/>
      <c r="F50" s="106"/>
      <c r="G50" s="106"/>
      <c r="H50" s="106"/>
      <c r="I50" s="37"/>
      <c r="J50" s="106"/>
      <c r="K50" s="106"/>
      <c r="L50" s="106"/>
      <c r="M50" s="106"/>
      <c r="N50" s="106"/>
      <c r="O50" s="106"/>
      <c r="P50" s="106"/>
      <c r="Q50" s="37"/>
      <c r="R50" s="106"/>
      <c r="S50" s="106"/>
      <c r="T50" s="106"/>
      <c r="U50" s="106"/>
      <c r="V50" s="106"/>
      <c r="W50" s="106"/>
      <c r="X50" s="106"/>
      <c r="Y50" s="37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37"/>
      <c r="AK50" s="38"/>
      <c r="AL50" s="197"/>
    </row>
    <row r="51" spans="1:38" x14ac:dyDescent="0.25">
      <c r="A51" s="11">
        <v>49</v>
      </c>
      <c r="B51" s="106"/>
      <c r="C51" s="106"/>
      <c r="D51" s="106"/>
      <c r="E51" s="106"/>
      <c r="F51" s="106"/>
      <c r="G51" s="106"/>
      <c r="H51" s="106"/>
      <c r="I51" s="37"/>
      <c r="J51" s="106"/>
      <c r="K51" s="106"/>
      <c r="L51" s="106"/>
      <c r="M51" s="106"/>
      <c r="N51" s="106"/>
      <c r="O51" s="106"/>
      <c r="P51" s="106"/>
      <c r="Q51" s="37"/>
      <c r="R51" s="106"/>
      <c r="S51" s="106"/>
      <c r="T51" s="106"/>
      <c r="U51" s="106"/>
      <c r="V51" s="106"/>
      <c r="W51" s="106"/>
      <c r="X51" s="106"/>
      <c r="Y51" s="37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37"/>
      <c r="AK51" s="38"/>
      <c r="AL51" s="197"/>
    </row>
    <row r="52" spans="1:38" x14ac:dyDescent="0.25">
      <c r="A52" s="11">
        <v>50</v>
      </c>
      <c r="B52" s="106"/>
      <c r="C52" s="106"/>
      <c r="D52" s="106"/>
      <c r="E52" s="106"/>
      <c r="F52" s="106"/>
      <c r="G52" s="106"/>
      <c r="H52" s="106"/>
      <c r="I52" s="37"/>
      <c r="J52" s="106"/>
      <c r="K52" s="106"/>
      <c r="L52" s="106"/>
      <c r="M52" s="106"/>
      <c r="N52" s="106"/>
      <c r="O52" s="106"/>
      <c r="P52" s="106"/>
      <c r="Q52" s="37"/>
      <c r="R52" s="106"/>
      <c r="S52" s="106"/>
      <c r="T52" s="106"/>
      <c r="U52" s="106"/>
      <c r="V52" s="106"/>
      <c r="W52" s="106"/>
      <c r="X52" s="106"/>
      <c r="Y52" s="37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37"/>
      <c r="AK52" s="38"/>
      <c r="AL52" s="197"/>
    </row>
    <row r="53" spans="1:38" x14ac:dyDescent="0.25">
      <c r="A53" s="11">
        <v>51</v>
      </c>
      <c r="B53" s="106"/>
      <c r="C53" s="106"/>
      <c r="D53" s="106"/>
      <c r="E53" s="106"/>
      <c r="F53" s="106"/>
      <c r="G53" s="106"/>
      <c r="H53" s="106"/>
      <c r="I53" s="37"/>
      <c r="J53" s="106"/>
      <c r="K53" s="106"/>
      <c r="L53" s="106"/>
      <c r="M53" s="106"/>
      <c r="N53" s="106"/>
      <c r="O53" s="106"/>
      <c r="P53" s="106"/>
      <c r="Q53" s="37"/>
      <c r="R53" s="106"/>
      <c r="S53" s="106"/>
      <c r="T53" s="106"/>
      <c r="U53" s="106"/>
      <c r="V53" s="106"/>
      <c r="W53" s="106"/>
      <c r="X53" s="106"/>
      <c r="Y53" s="37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37"/>
      <c r="AK53" s="38"/>
      <c r="AL53" s="197"/>
    </row>
    <row r="54" spans="1:38" x14ac:dyDescent="0.25">
      <c r="A54" s="11">
        <v>52</v>
      </c>
      <c r="B54" s="106"/>
      <c r="C54" s="106"/>
      <c r="D54" s="106"/>
      <c r="E54" s="106"/>
      <c r="F54" s="108"/>
      <c r="G54" s="108"/>
      <c r="H54" s="108"/>
      <c r="I54" s="37"/>
      <c r="J54" s="108"/>
      <c r="K54" s="106"/>
      <c r="L54" s="106"/>
      <c r="M54" s="106"/>
      <c r="N54" s="106"/>
      <c r="O54" s="106"/>
      <c r="P54" s="106"/>
      <c r="Q54" s="37"/>
      <c r="R54" s="106"/>
      <c r="S54" s="106"/>
      <c r="T54" s="106"/>
      <c r="U54" s="106"/>
      <c r="V54" s="106"/>
      <c r="W54" s="106"/>
      <c r="X54" s="106"/>
      <c r="Y54" s="37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37"/>
      <c r="AK54" s="38"/>
      <c r="AL54" s="197"/>
    </row>
    <row r="55" spans="1:38" x14ac:dyDescent="0.25">
      <c r="A55" s="11">
        <v>53</v>
      </c>
      <c r="B55" s="106"/>
      <c r="C55" s="106"/>
      <c r="D55" s="106"/>
      <c r="E55" s="106"/>
      <c r="F55" s="106"/>
      <c r="G55" s="106"/>
      <c r="H55" s="106"/>
      <c r="I55" s="37"/>
      <c r="J55" s="106"/>
      <c r="K55" s="106"/>
      <c r="L55" s="106"/>
      <c r="M55" s="106"/>
      <c r="N55" s="106"/>
      <c r="O55" s="106"/>
      <c r="P55" s="106"/>
      <c r="Q55" s="37"/>
      <c r="R55" s="106"/>
      <c r="S55" s="106"/>
      <c r="T55" s="106"/>
      <c r="U55" s="106"/>
      <c r="V55" s="106"/>
      <c r="W55" s="106"/>
      <c r="X55" s="106"/>
      <c r="Y55" s="37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37"/>
      <c r="AK55" s="38"/>
      <c r="AL55" s="197"/>
    </row>
    <row r="56" spans="1:38" x14ac:dyDescent="0.25">
      <c r="A56" s="11">
        <v>54</v>
      </c>
      <c r="B56" s="106"/>
      <c r="C56" s="106"/>
      <c r="D56" s="106"/>
      <c r="E56" s="106"/>
      <c r="F56" s="106"/>
      <c r="G56" s="106"/>
      <c r="H56" s="106"/>
      <c r="I56" s="37"/>
      <c r="J56" s="106"/>
      <c r="K56" s="106"/>
      <c r="L56" s="106"/>
      <c r="M56" s="106"/>
      <c r="N56" s="106"/>
      <c r="O56" s="106"/>
      <c r="P56" s="106"/>
      <c r="Q56" s="37"/>
      <c r="R56" s="106"/>
      <c r="S56" s="106"/>
      <c r="T56" s="106"/>
      <c r="U56" s="106"/>
      <c r="V56" s="106"/>
      <c r="W56" s="106"/>
      <c r="X56" s="106"/>
      <c r="Y56" s="37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37"/>
      <c r="AK56" s="38"/>
      <c r="AL56" s="197"/>
    </row>
    <row r="57" spans="1:38" x14ac:dyDescent="0.25">
      <c r="A57" s="11">
        <v>55</v>
      </c>
      <c r="B57" s="106"/>
      <c r="C57" s="106"/>
      <c r="D57" s="106"/>
      <c r="E57" s="106"/>
      <c r="F57" s="106"/>
      <c r="G57" s="106"/>
      <c r="H57" s="106"/>
      <c r="I57" s="37"/>
      <c r="J57" s="106"/>
      <c r="K57" s="106"/>
      <c r="L57" s="106"/>
      <c r="M57" s="106"/>
      <c r="N57" s="106"/>
      <c r="O57" s="106"/>
      <c r="P57" s="106"/>
      <c r="Q57" s="37"/>
      <c r="R57" s="106"/>
      <c r="S57" s="106"/>
      <c r="T57" s="106"/>
      <c r="U57" s="106"/>
      <c r="V57" s="106"/>
      <c r="W57" s="106"/>
      <c r="X57" s="106"/>
      <c r="Y57" s="37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37"/>
      <c r="AK57" s="38"/>
      <c r="AL57" s="197"/>
    </row>
    <row r="58" spans="1:38" x14ac:dyDescent="0.25">
      <c r="A58" s="11">
        <v>56</v>
      </c>
      <c r="B58" s="106"/>
      <c r="C58" s="106"/>
      <c r="D58" s="106"/>
      <c r="E58" s="106"/>
      <c r="F58" s="106"/>
      <c r="G58" s="106"/>
      <c r="H58" s="106"/>
      <c r="I58" s="37"/>
      <c r="J58" s="106"/>
      <c r="K58" s="106"/>
      <c r="L58" s="106"/>
      <c r="M58" s="106"/>
      <c r="N58" s="106"/>
      <c r="O58" s="106"/>
      <c r="P58" s="106"/>
      <c r="Q58" s="37"/>
      <c r="R58" s="106"/>
      <c r="S58" s="106"/>
      <c r="T58" s="106"/>
      <c r="U58" s="106"/>
      <c r="V58" s="106"/>
      <c r="W58" s="106"/>
      <c r="X58" s="106"/>
      <c r="Y58" s="37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37"/>
      <c r="AK58" s="38"/>
      <c r="AL58" s="197"/>
    </row>
    <row r="59" spans="1:38" x14ac:dyDescent="0.25">
      <c r="A59" s="11">
        <v>57</v>
      </c>
      <c r="B59" s="106"/>
      <c r="C59" s="106"/>
      <c r="D59" s="106"/>
      <c r="E59" s="106"/>
      <c r="F59" s="106"/>
      <c r="G59" s="106"/>
      <c r="H59" s="106"/>
      <c r="I59" s="37"/>
      <c r="J59" s="106"/>
      <c r="K59" s="106"/>
      <c r="L59" s="106"/>
      <c r="M59" s="106"/>
      <c r="N59" s="106"/>
      <c r="O59" s="106"/>
      <c r="P59" s="106"/>
      <c r="Q59" s="37"/>
      <c r="R59" s="106"/>
      <c r="S59" s="106"/>
      <c r="T59" s="106"/>
      <c r="U59" s="106"/>
      <c r="V59" s="106"/>
      <c r="W59" s="106"/>
      <c r="X59" s="106"/>
      <c r="Y59" s="37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37"/>
      <c r="AK59" s="38"/>
      <c r="AL59" s="197"/>
    </row>
    <row r="60" spans="1:38" x14ac:dyDescent="0.25">
      <c r="A60" s="11">
        <v>58</v>
      </c>
      <c r="B60" s="106"/>
      <c r="C60" s="106"/>
      <c r="D60" s="106"/>
      <c r="E60" s="106"/>
      <c r="F60" s="106"/>
      <c r="G60" s="106"/>
      <c r="H60" s="106"/>
      <c r="I60" s="37"/>
      <c r="J60" s="106"/>
      <c r="K60" s="106"/>
      <c r="L60" s="106"/>
      <c r="M60" s="106"/>
      <c r="N60" s="106"/>
      <c r="O60" s="106"/>
      <c r="P60" s="106"/>
      <c r="Q60" s="37"/>
      <c r="R60" s="106"/>
      <c r="S60" s="106"/>
      <c r="T60" s="106"/>
      <c r="U60" s="106"/>
      <c r="V60" s="106"/>
      <c r="W60" s="106"/>
      <c r="X60" s="106"/>
      <c r="Y60" s="37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37"/>
      <c r="AK60" s="38"/>
      <c r="AL60" s="197"/>
    </row>
    <row r="61" spans="1:38" ht="18.75" x14ac:dyDescent="0.3">
      <c r="A61" s="11">
        <v>59</v>
      </c>
      <c r="B61" s="106"/>
      <c r="C61" s="106"/>
      <c r="D61" s="106"/>
      <c r="E61" s="106"/>
      <c r="F61" s="106"/>
      <c r="G61" s="106"/>
      <c r="H61" s="106"/>
      <c r="I61" s="37"/>
      <c r="J61" s="106"/>
      <c r="K61" s="106"/>
      <c r="L61" s="106"/>
      <c r="M61" s="106"/>
      <c r="N61" s="106"/>
      <c r="O61" s="106"/>
      <c r="P61" s="106"/>
      <c r="Q61" s="37"/>
      <c r="R61" s="106"/>
      <c r="S61" s="106"/>
      <c r="T61" s="106"/>
      <c r="U61" s="106"/>
      <c r="V61" s="106"/>
      <c r="W61" s="106"/>
      <c r="X61" s="106"/>
      <c r="Y61" s="37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37"/>
      <c r="AK61" s="340"/>
      <c r="AL61" s="197"/>
    </row>
    <row r="62" spans="1:38" ht="18.75" x14ac:dyDescent="0.3">
      <c r="A62" s="11">
        <v>60</v>
      </c>
      <c r="B62" s="106"/>
      <c r="C62" s="106"/>
      <c r="D62" s="106"/>
      <c r="E62" s="106"/>
      <c r="F62" s="106"/>
      <c r="G62" s="106"/>
      <c r="H62" s="106"/>
      <c r="I62" s="37"/>
      <c r="J62" s="106"/>
      <c r="K62" s="106"/>
      <c r="L62" s="106"/>
      <c r="M62" s="106"/>
      <c r="N62" s="106"/>
      <c r="O62" s="106"/>
      <c r="P62" s="106"/>
      <c r="Q62" s="37"/>
      <c r="R62" s="106"/>
      <c r="S62" s="106"/>
      <c r="T62" s="106"/>
      <c r="U62" s="106"/>
      <c r="V62" s="106"/>
      <c r="W62" s="106"/>
      <c r="X62" s="106"/>
      <c r="Y62" s="37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37"/>
      <c r="AK62" s="340"/>
      <c r="AL62" s="197"/>
    </row>
    <row r="63" spans="1:38" ht="18.75" x14ac:dyDescent="0.3">
      <c r="A63" s="11">
        <v>61</v>
      </c>
      <c r="B63" s="106"/>
      <c r="C63" s="106"/>
      <c r="D63" s="106"/>
      <c r="E63" s="106"/>
      <c r="F63" s="106"/>
      <c r="G63" s="106"/>
      <c r="H63" s="106"/>
      <c r="I63" s="37"/>
      <c r="J63" s="106"/>
      <c r="K63" s="106"/>
      <c r="L63" s="106"/>
      <c r="M63" s="106"/>
      <c r="N63" s="106"/>
      <c r="O63" s="106"/>
      <c r="P63" s="106"/>
      <c r="Q63" s="37"/>
      <c r="R63" s="106"/>
      <c r="S63" s="106"/>
      <c r="T63" s="106"/>
      <c r="U63" s="106"/>
      <c r="V63" s="106"/>
      <c r="W63" s="106"/>
      <c r="X63" s="106"/>
      <c r="Y63" s="37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37"/>
      <c r="AK63" s="340"/>
      <c r="AL63" s="197"/>
    </row>
    <row r="64" spans="1:38" x14ac:dyDescent="0.25">
      <c r="A64" s="11">
        <v>62</v>
      </c>
      <c r="B64" s="106"/>
      <c r="C64" s="106"/>
      <c r="D64" s="106"/>
      <c r="E64" s="106"/>
      <c r="F64" s="106"/>
      <c r="G64" s="106"/>
      <c r="H64" s="106"/>
      <c r="I64" s="37"/>
      <c r="J64" s="106"/>
      <c r="K64" s="106"/>
      <c r="L64" s="106"/>
      <c r="M64" s="106"/>
      <c r="N64" s="106"/>
      <c r="O64" s="106"/>
      <c r="P64" s="106"/>
      <c r="Q64" s="37"/>
      <c r="R64" s="106"/>
      <c r="S64" s="106"/>
      <c r="T64" s="106"/>
      <c r="U64" s="106"/>
      <c r="V64" s="106"/>
      <c r="W64" s="106"/>
      <c r="X64" s="106"/>
      <c r="Y64" s="37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37"/>
      <c r="AK64" s="38"/>
      <c r="AL64" s="197"/>
    </row>
    <row r="65" spans="1:38" ht="15.75" thickBot="1" x14ac:dyDescent="0.3">
      <c r="A65" s="62">
        <v>63</v>
      </c>
      <c r="B65" s="107"/>
      <c r="C65" s="107"/>
      <c r="D65" s="107"/>
      <c r="E65" s="107"/>
      <c r="F65" s="107"/>
      <c r="G65" s="107"/>
      <c r="H65" s="107"/>
      <c r="I65" s="110"/>
      <c r="J65" s="107"/>
      <c r="K65" s="107"/>
      <c r="L65" s="107"/>
      <c r="M65" s="107"/>
      <c r="N65" s="107"/>
      <c r="O65" s="107"/>
      <c r="P65" s="107"/>
      <c r="Q65" s="110"/>
      <c r="R65" s="107"/>
      <c r="S65" s="107"/>
      <c r="T65" s="107"/>
      <c r="U65" s="107"/>
      <c r="V65" s="107"/>
      <c r="W65" s="107"/>
      <c r="X65" s="107"/>
      <c r="Y65" s="114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14"/>
      <c r="AK65" s="44"/>
      <c r="AL65" s="204"/>
    </row>
    <row r="66" spans="1:38" ht="18.75" x14ac:dyDescent="0.3">
      <c r="A66" s="281" t="s">
        <v>2</v>
      </c>
      <c r="B66" s="163"/>
      <c r="C66" s="163"/>
      <c r="D66" s="163"/>
      <c r="E66" s="163"/>
      <c r="F66" s="163"/>
      <c r="G66" s="163"/>
      <c r="H66" s="163"/>
      <c r="I66" s="158"/>
      <c r="J66" s="163"/>
      <c r="K66" s="163"/>
      <c r="L66" s="163"/>
      <c r="M66" s="163"/>
      <c r="N66" s="163"/>
      <c r="O66" s="163"/>
      <c r="P66" s="163"/>
      <c r="Q66" s="221"/>
      <c r="R66" s="163"/>
      <c r="S66" s="163"/>
      <c r="T66" s="163"/>
      <c r="U66" s="163"/>
      <c r="V66" s="163"/>
      <c r="W66" s="163"/>
      <c r="X66" s="163"/>
      <c r="Y66" s="221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51"/>
      <c r="AK66" s="266"/>
      <c r="AL66" s="285"/>
    </row>
    <row r="67" spans="1:38" ht="15.75" thickBot="1" x14ac:dyDescent="0.3">
      <c r="A67" s="264"/>
      <c r="B67" s="265"/>
      <c r="C67" s="265"/>
      <c r="D67" s="265"/>
      <c r="E67" s="265"/>
      <c r="F67" s="265"/>
      <c r="G67" s="265"/>
      <c r="H67" s="265"/>
      <c r="I67" s="56"/>
      <c r="J67" s="265"/>
      <c r="K67" s="265"/>
      <c r="L67" s="265"/>
      <c r="M67" s="265"/>
      <c r="N67" s="265"/>
      <c r="O67" s="265"/>
      <c r="P67" s="265"/>
      <c r="Q67" s="56"/>
      <c r="R67" s="265"/>
      <c r="S67" s="265"/>
      <c r="T67" s="265"/>
      <c r="U67" s="265"/>
      <c r="V67" s="265"/>
      <c r="W67" s="265"/>
      <c r="X67" s="265"/>
      <c r="Y67" s="56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56"/>
      <c r="AK67" s="225"/>
      <c r="AL67" s="228"/>
    </row>
    <row r="68" spans="1:38" ht="24" thickBot="1" x14ac:dyDescent="0.4">
      <c r="A68" s="252" t="s">
        <v>202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60"/>
    </row>
    <row r="69" spans="1:38" ht="16.5" thickBot="1" x14ac:dyDescent="0.3">
      <c r="A69" s="321" t="s">
        <v>7</v>
      </c>
      <c r="B69" s="322"/>
      <c r="C69" s="322"/>
      <c r="D69" s="322"/>
      <c r="E69" s="322"/>
      <c r="F69" s="322"/>
      <c r="G69" s="322"/>
      <c r="H69" s="322"/>
      <c r="I69" s="323"/>
      <c r="J69" s="322"/>
      <c r="K69" s="322"/>
      <c r="L69" s="322"/>
      <c r="M69" s="322"/>
      <c r="N69" s="322"/>
      <c r="O69" s="322"/>
      <c r="P69" s="322"/>
      <c r="Q69" s="323"/>
      <c r="R69" s="322"/>
      <c r="S69" s="322"/>
      <c r="T69" s="322"/>
      <c r="U69" s="322"/>
      <c r="V69" s="322"/>
      <c r="W69" s="322"/>
      <c r="X69" s="322"/>
      <c r="Y69" s="323"/>
      <c r="Z69" s="322"/>
      <c r="AA69" s="322"/>
      <c r="AB69" s="322"/>
      <c r="AC69" s="322"/>
      <c r="AD69" s="322"/>
      <c r="AE69" s="322"/>
      <c r="AF69" s="322"/>
      <c r="AG69" s="322"/>
      <c r="AH69" s="322"/>
      <c r="AI69" s="322"/>
      <c r="AJ69" s="324"/>
      <c r="AK69" s="325"/>
      <c r="AL69" s="169"/>
    </row>
    <row r="70" spans="1:38" x14ac:dyDescent="0.25">
      <c r="A70" s="394">
        <v>23</v>
      </c>
      <c r="B70" s="386"/>
      <c r="C70" s="386"/>
      <c r="D70" s="386"/>
      <c r="E70" s="386"/>
      <c r="F70" s="386"/>
      <c r="G70" s="386"/>
      <c r="H70" s="386"/>
      <c r="I70" s="160"/>
      <c r="J70" s="386"/>
      <c r="K70" s="386"/>
      <c r="L70" s="386"/>
      <c r="M70" s="386"/>
      <c r="N70" s="386"/>
      <c r="O70" s="386"/>
      <c r="P70" s="387"/>
      <c r="Q70" s="160"/>
      <c r="R70" s="387"/>
      <c r="S70" s="386"/>
      <c r="T70" s="386"/>
      <c r="U70" s="386"/>
      <c r="V70" s="386"/>
      <c r="W70" s="386"/>
      <c r="X70" s="386"/>
      <c r="Y70" s="160"/>
      <c r="Z70" s="387"/>
      <c r="AA70" s="387"/>
      <c r="AB70" s="387"/>
      <c r="AC70" s="387"/>
      <c r="AD70" s="387"/>
      <c r="AE70" s="387"/>
      <c r="AF70" s="387"/>
      <c r="AG70" s="387"/>
      <c r="AH70" s="387"/>
      <c r="AI70" s="387"/>
      <c r="AJ70" s="160"/>
      <c r="AK70" s="14"/>
      <c r="AL70" s="172"/>
    </row>
    <row r="71" spans="1:38" x14ac:dyDescent="0.25">
      <c r="A71" s="381">
        <v>83</v>
      </c>
      <c r="B71" s="135"/>
      <c r="C71" s="121"/>
      <c r="D71" s="121"/>
      <c r="E71" s="1"/>
      <c r="F71" s="121"/>
      <c r="G71" s="121"/>
      <c r="H71" s="121"/>
      <c r="I71" s="37"/>
      <c r="J71" s="121"/>
      <c r="K71" s="121"/>
      <c r="L71" s="121"/>
      <c r="M71" s="121"/>
      <c r="N71" s="121"/>
      <c r="O71" s="120"/>
      <c r="P71" s="172"/>
      <c r="Q71" s="37"/>
      <c r="R71" s="135"/>
      <c r="S71" s="118"/>
      <c r="T71" s="118"/>
      <c r="U71" s="1"/>
      <c r="V71" s="118"/>
      <c r="W71" s="57"/>
      <c r="X71" s="57"/>
      <c r="Y71" s="37"/>
      <c r="Z71" s="1"/>
      <c r="AA71" s="118"/>
      <c r="AB71" s="1"/>
      <c r="AC71" s="1"/>
      <c r="AD71" s="1"/>
      <c r="AE71" s="118"/>
      <c r="AF71" s="118"/>
      <c r="AG71" s="118"/>
      <c r="AH71" s="118"/>
      <c r="AI71" s="118"/>
      <c r="AJ71" s="37"/>
      <c r="AK71" s="38"/>
      <c r="AL71" s="176"/>
    </row>
    <row r="72" spans="1:38" x14ac:dyDescent="0.25">
      <c r="A72" s="381">
        <v>90</v>
      </c>
      <c r="B72" s="135"/>
      <c r="C72" s="388"/>
      <c r="D72" s="388"/>
      <c r="E72" s="389"/>
      <c r="F72" s="389"/>
      <c r="G72" s="389"/>
      <c r="H72" s="389"/>
      <c r="I72" s="37"/>
      <c r="J72" s="390"/>
      <c r="K72" s="389"/>
      <c r="L72" s="390"/>
      <c r="M72" s="390"/>
      <c r="N72" s="390"/>
      <c r="O72" s="390"/>
      <c r="P72" s="391"/>
      <c r="Q72" s="111"/>
      <c r="R72" s="391"/>
      <c r="S72" s="390"/>
      <c r="T72" s="390"/>
      <c r="U72" s="390"/>
      <c r="V72" s="389"/>
      <c r="W72" s="387"/>
      <c r="X72" s="387"/>
      <c r="Y72" s="111"/>
      <c r="Z72" s="387"/>
      <c r="AA72" s="387"/>
      <c r="AB72" s="387"/>
      <c r="AC72" s="387"/>
      <c r="AD72" s="387"/>
      <c r="AE72" s="387"/>
      <c r="AF72" s="387"/>
      <c r="AG72" s="387"/>
      <c r="AH72" s="387"/>
      <c r="AI72" s="387"/>
      <c r="AJ72" s="111"/>
      <c r="AK72" s="38"/>
      <c r="AL72" s="176"/>
    </row>
    <row r="73" spans="1:38" x14ac:dyDescent="0.25">
      <c r="A73" s="381">
        <v>93</v>
      </c>
      <c r="B73" s="389"/>
      <c r="C73" s="118"/>
      <c r="D73" s="118"/>
      <c r="E73" s="118"/>
      <c r="F73" s="118"/>
      <c r="G73" s="389"/>
      <c r="H73" s="118"/>
      <c r="I73" s="37"/>
      <c r="J73" s="121"/>
      <c r="K73" s="121"/>
      <c r="L73" s="121"/>
      <c r="M73" s="131"/>
      <c r="N73" s="118"/>
      <c r="O73" s="120"/>
      <c r="P73" s="391"/>
      <c r="Q73" s="37"/>
      <c r="R73" s="205"/>
      <c r="S73" s="118"/>
      <c r="T73" s="118"/>
      <c r="U73" s="1"/>
      <c r="V73" s="1"/>
      <c r="W73" s="57"/>
      <c r="X73" s="57"/>
      <c r="Y73" s="37"/>
      <c r="Z73" s="118"/>
      <c r="AA73" s="387"/>
      <c r="AB73" s="1"/>
      <c r="AC73" s="387"/>
      <c r="AD73" s="1"/>
      <c r="AE73" s="118"/>
      <c r="AF73" s="387"/>
      <c r="AG73" s="118"/>
      <c r="AH73" s="118"/>
      <c r="AI73" s="118"/>
      <c r="AJ73" s="37"/>
      <c r="AK73" s="38"/>
      <c r="AL73" s="202"/>
    </row>
    <row r="74" spans="1:38" x14ac:dyDescent="0.25">
      <c r="A74" s="381">
        <v>95</v>
      </c>
      <c r="B74" s="389"/>
      <c r="C74" s="121"/>
      <c r="D74" s="121"/>
      <c r="E74" s="121"/>
      <c r="F74" s="121"/>
      <c r="G74" s="121"/>
      <c r="H74" s="121"/>
      <c r="I74" s="37"/>
      <c r="J74" s="121"/>
      <c r="K74" s="371"/>
      <c r="L74" s="390"/>
      <c r="M74" s="121"/>
      <c r="N74" s="121"/>
      <c r="O74" s="121"/>
      <c r="P74" s="172"/>
      <c r="Q74" s="37"/>
      <c r="R74" s="131"/>
      <c r="S74" s="118"/>
      <c r="T74" s="118"/>
      <c r="U74" s="1"/>
      <c r="V74" s="118"/>
      <c r="W74" s="57"/>
      <c r="X74" s="57"/>
      <c r="Y74" s="37"/>
      <c r="Z74" s="118"/>
      <c r="AA74" s="118"/>
      <c r="AB74" s="1"/>
      <c r="AC74" s="1"/>
      <c r="AD74" s="1"/>
      <c r="AE74" s="118"/>
      <c r="AF74" s="118"/>
      <c r="AG74" s="118"/>
      <c r="AH74" s="118"/>
      <c r="AI74" s="118"/>
      <c r="AJ74" s="37"/>
      <c r="AK74" s="38"/>
      <c r="AL74" s="176"/>
    </row>
    <row r="75" spans="1:38" x14ac:dyDescent="0.25">
      <c r="A75" s="381">
        <v>98</v>
      </c>
      <c r="B75" s="389"/>
      <c r="C75" s="389"/>
      <c r="D75" s="389"/>
      <c r="E75" s="389"/>
      <c r="F75" s="389"/>
      <c r="G75" s="389"/>
      <c r="H75" s="389"/>
      <c r="I75" s="111"/>
      <c r="J75" s="390"/>
      <c r="K75" s="389"/>
      <c r="L75" s="390"/>
      <c r="M75" s="390"/>
      <c r="N75" s="390"/>
      <c r="O75" s="390"/>
      <c r="P75" s="391"/>
      <c r="Q75" s="111"/>
      <c r="R75" s="391"/>
      <c r="S75" s="390"/>
      <c r="T75" s="390"/>
      <c r="U75" s="390"/>
      <c r="V75" s="389"/>
      <c r="W75" s="387"/>
      <c r="X75" s="387"/>
      <c r="Y75" s="111"/>
      <c r="Z75" s="387"/>
      <c r="AA75" s="387"/>
      <c r="AB75" s="387"/>
      <c r="AC75" s="387"/>
      <c r="AD75" s="387"/>
      <c r="AE75" s="387"/>
      <c r="AF75" s="387"/>
      <c r="AG75" s="387"/>
      <c r="AH75" s="387"/>
      <c r="AI75" s="387"/>
      <c r="AJ75" s="111"/>
      <c r="AK75" s="38"/>
      <c r="AL75" s="176"/>
    </row>
    <row r="76" spans="1:38" x14ac:dyDescent="0.25">
      <c r="A76" s="381">
        <v>104</v>
      </c>
      <c r="B76" s="131"/>
      <c r="C76" s="121"/>
      <c r="D76" s="121"/>
      <c r="E76" s="121"/>
      <c r="F76" s="121"/>
      <c r="G76" s="121"/>
      <c r="H76" s="121"/>
      <c r="I76" s="37"/>
      <c r="J76" s="121"/>
      <c r="K76" s="121"/>
      <c r="L76" s="371"/>
      <c r="M76" s="121"/>
      <c r="N76" s="372"/>
      <c r="O76" s="121"/>
      <c r="P76" s="172"/>
      <c r="Q76" s="37"/>
      <c r="R76" s="135"/>
      <c r="S76" s="118"/>
      <c r="T76" s="118"/>
      <c r="U76" s="1"/>
      <c r="V76" s="118"/>
      <c r="W76" s="57"/>
      <c r="X76" s="57"/>
      <c r="Y76" s="37"/>
      <c r="Z76" s="1"/>
      <c r="AA76" s="118"/>
      <c r="AB76" s="1"/>
      <c r="AC76" s="1"/>
      <c r="AD76" s="1"/>
      <c r="AE76" s="387"/>
      <c r="AF76" s="193"/>
      <c r="AG76" s="118"/>
      <c r="AH76" s="118"/>
      <c r="AI76" s="118"/>
      <c r="AJ76" s="37"/>
      <c r="AK76" s="38"/>
      <c r="AL76" s="176"/>
    </row>
    <row r="77" spans="1:38" x14ac:dyDescent="0.25">
      <c r="A77" s="393">
        <v>118</v>
      </c>
      <c r="B77" s="389"/>
      <c r="C77" s="389"/>
      <c r="D77" s="389"/>
      <c r="E77" s="389"/>
      <c r="F77" s="389"/>
      <c r="G77" s="389"/>
      <c r="H77" s="389"/>
      <c r="I77" s="111"/>
      <c r="J77" s="390"/>
      <c r="K77" s="389"/>
      <c r="L77" s="390"/>
      <c r="M77" s="390"/>
      <c r="N77" s="390"/>
      <c r="O77" s="390"/>
      <c r="P77" s="391"/>
      <c r="Q77" s="111"/>
      <c r="R77" s="391"/>
      <c r="S77" s="390"/>
      <c r="T77" s="176"/>
      <c r="U77" s="390"/>
      <c r="V77" s="390"/>
      <c r="W77" s="390"/>
      <c r="X77" s="390"/>
      <c r="Y77" s="37"/>
      <c r="Z77" s="387"/>
      <c r="AA77" s="387"/>
      <c r="AB77" s="387"/>
      <c r="AC77" s="387"/>
      <c r="AD77" s="387"/>
      <c r="AE77" s="387"/>
      <c r="AF77" s="387"/>
      <c r="AG77" s="118"/>
      <c r="AH77" s="118"/>
      <c r="AI77" s="118"/>
      <c r="AJ77" s="37"/>
      <c r="AK77" s="38"/>
      <c r="AL77" s="154"/>
    </row>
    <row r="78" spans="1:38" x14ac:dyDescent="0.25">
      <c r="A78" s="382">
        <v>128</v>
      </c>
      <c r="B78" s="118"/>
      <c r="C78" s="1"/>
      <c r="D78" s="121"/>
      <c r="E78" s="121"/>
      <c r="F78" s="121"/>
      <c r="G78" s="121"/>
      <c r="H78" s="118"/>
      <c r="I78" s="37"/>
      <c r="J78" s="118"/>
      <c r="K78" s="121"/>
      <c r="L78" s="121"/>
      <c r="M78" s="121"/>
      <c r="N78" s="121"/>
      <c r="O78" s="120"/>
      <c r="P78" s="172"/>
      <c r="Q78" s="37"/>
      <c r="R78" s="131"/>
      <c r="S78" s="118"/>
      <c r="T78" s="118"/>
      <c r="U78" s="1"/>
      <c r="V78" s="118"/>
      <c r="W78" s="57"/>
      <c r="X78" s="57"/>
      <c r="Y78" s="37"/>
      <c r="Z78" s="1"/>
      <c r="AA78" s="118"/>
      <c r="AB78" s="1"/>
      <c r="AC78" s="1"/>
      <c r="AD78" s="1"/>
      <c r="AE78" s="118"/>
      <c r="AF78" s="118"/>
      <c r="AG78" s="118"/>
      <c r="AH78" s="118"/>
      <c r="AI78" s="118"/>
      <c r="AJ78" s="37"/>
      <c r="AK78" s="38"/>
      <c r="AL78" s="176"/>
    </row>
    <row r="79" spans="1:38" x14ac:dyDescent="0.25">
      <c r="A79" s="382">
        <v>131</v>
      </c>
      <c r="B79" s="155"/>
      <c r="C79" s="135"/>
      <c r="D79" s="121"/>
      <c r="E79" s="121"/>
      <c r="F79" s="389"/>
      <c r="G79" s="121"/>
      <c r="H79" s="118"/>
      <c r="I79" s="37"/>
      <c r="J79" s="121"/>
      <c r="K79" s="118"/>
      <c r="L79" s="121"/>
      <c r="M79" s="121"/>
      <c r="N79" s="121"/>
      <c r="O79" s="121"/>
      <c r="P79" s="172"/>
      <c r="Q79" s="37"/>
      <c r="R79" s="131"/>
      <c r="S79" s="118"/>
      <c r="T79" s="390"/>
      <c r="U79" s="1"/>
      <c r="V79" s="118"/>
      <c r="W79" s="57"/>
      <c r="X79" s="57"/>
      <c r="Y79" s="37"/>
      <c r="Z79" s="118"/>
      <c r="AA79" s="118"/>
      <c r="AB79" s="1"/>
      <c r="AC79" s="1"/>
      <c r="AD79" s="387"/>
      <c r="AE79" s="193"/>
      <c r="AF79" s="118"/>
      <c r="AG79" s="118"/>
      <c r="AH79" s="118"/>
      <c r="AI79" s="118"/>
      <c r="AJ79" s="37"/>
      <c r="AK79" s="38"/>
      <c r="AL79" s="176"/>
    </row>
    <row r="80" spans="1:38" x14ac:dyDescent="0.25">
      <c r="A80" s="382">
        <v>132</v>
      </c>
      <c r="B80" s="12"/>
      <c r="C80" s="121"/>
      <c r="D80" s="121"/>
      <c r="E80" s="118"/>
      <c r="F80" s="121"/>
      <c r="G80" s="121"/>
      <c r="H80" s="121"/>
      <c r="I80" s="37"/>
      <c r="J80" s="390"/>
      <c r="K80" s="121"/>
      <c r="L80" s="121"/>
      <c r="M80" s="121"/>
      <c r="N80" s="121"/>
      <c r="O80" s="121"/>
      <c r="P80" s="172"/>
      <c r="Q80" s="37"/>
      <c r="R80" s="131"/>
      <c r="S80" s="118"/>
      <c r="T80" s="118"/>
      <c r="U80" s="1"/>
      <c r="V80" s="1"/>
      <c r="W80" s="57"/>
      <c r="X80" s="57"/>
      <c r="Y80" s="37"/>
      <c r="Z80" s="118"/>
      <c r="AA80" s="1"/>
      <c r="AB80" s="1"/>
      <c r="AC80" s="1"/>
      <c r="AD80" s="387"/>
      <c r="AE80" s="135"/>
      <c r="AF80" s="118"/>
      <c r="AG80" s="118"/>
      <c r="AH80" s="118"/>
      <c r="AI80" s="118"/>
      <c r="AJ80" s="37"/>
      <c r="AK80" s="38"/>
      <c r="AL80" s="176"/>
    </row>
    <row r="81" spans="1:38" x14ac:dyDescent="0.25">
      <c r="A81" s="382">
        <v>133</v>
      </c>
      <c r="B81" s="131"/>
      <c r="C81" s="131"/>
      <c r="D81" s="121"/>
      <c r="E81" s="121"/>
      <c r="F81" s="118"/>
      <c r="G81" s="118"/>
      <c r="H81" s="1"/>
      <c r="I81" s="37"/>
      <c r="J81" s="121"/>
      <c r="K81" s="118"/>
      <c r="L81" s="1"/>
      <c r="M81" s="121"/>
      <c r="N81" s="120"/>
      <c r="O81" s="120"/>
      <c r="P81" s="205"/>
      <c r="Q81" s="37"/>
      <c r="R81" s="131"/>
      <c r="S81" s="118"/>
      <c r="T81" s="118"/>
      <c r="U81" s="1"/>
      <c r="V81" s="118"/>
      <c r="W81" s="57"/>
      <c r="X81" s="57"/>
      <c r="Y81" s="37"/>
      <c r="Z81" s="118"/>
      <c r="AA81" s="118"/>
      <c r="AB81" s="1"/>
      <c r="AC81" s="1"/>
      <c r="AD81" s="1"/>
      <c r="AE81" s="387"/>
      <c r="AF81" s="193"/>
      <c r="AG81" s="118"/>
      <c r="AH81" s="118"/>
      <c r="AI81" s="118"/>
      <c r="AJ81" s="37"/>
      <c r="AK81" s="38"/>
      <c r="AL81" s="154"/>
    </row>
    <row r="82" spans="1:38" x14ac:dyDescent="0.25">
      <c r="A82" s="382">
        <v>134</v>
      </c>
      <c r="B82" s="155"/>
      <c r="C82" s="131"/>
      <c r="D82" s="12"/>
      <c r="E82" s="121"/>
      <c r="F82" s="118"/>
      <c r="G82" s="344"/>
      <c r="H82" s="118"/>
      <c r="I82" s="37"/>
      <c r="J82" s="118"/>
      <c r="K82" s="118"/>
      <c r="L82" s="121"/>
      <c r="M82" s="121"/>
      <c r="N82" s="118"/>
      <c r="O82" s="118"/>
      <c r="P82" s="172"/>
      <c r="Q82" s="37"/>
      <c r="R82" s="131"/>
      <c r="S82" s="118"/>
      <c r="T82" s="118"/>
      <c r="U82" s="1"/>
      <c r="V82" s="118"/>
      <c r="W82" s="57"/>
      <c r="X82" s="57"/>
      <c r="Y82" s="37"/>
      <c r="Z82" s="118"/>
      <c r="AA82" s="118"/>
      <c r="AB82" s="1"/>
      <c r="AC82" s="1"/>
      <c r="AD82" s="1"/>
      <c r="AE82" s="118"/>
      <c r="AF82" s="118"/>
      <c r="AG82" s="118"/>
      <c r="AH82" s="118"/>
      <c r="AI82" s="118"/>
      <c r="AJ82" s="37"/>
      <c r="AK82" s="38"/>
      <c r="AL82" s="176"/>
    </row>
    <row r="83" spans="1:38" x14ac:dyDescent="0.25">
      <c r="A83" s="382">
        <v>135</v>
      </c>
      <c r="B83" s="389"/>
      <c r="C83" s="155"/>
      <c r="D83" s="121"/>
      <c r="E83" s="1"/>
      <c r="F83" s="118"/>
      <c r="G83" s="121"/>
      <c r="H83" s="121"/>
      <c r="I83" s="37"/>
      <c r="J83" s="121"/>
      <c r="K83" s="121"/>
      <c r="L83" s="121"/>
      <c r="M83" s="121"/>
      <c r="N83" s="121"/>
      <c r="O83" s="121"/>
      <c r="P83" s="205"/>
      <c r="Q83" s="37"/>
      <c r="R83" s="131"/>
      <c r="S83" s="118"/>
      <c r="T83" s="118"/>
      <c r="U83" s="1"/>
      <c r="V83" s="118"/>
      <c r="W83" s="57"/>
      <c r="X83" s="57"/>
      <c r="Y83" s="37"/>
      <c r="Z83" s="118"/>
      <c r="AA83" s="118"/>
      <c r="AB83" s="1"/>
      <c r="AC83" s="1"/>
      <c r="AD83" s="1"/>
      <c r="AE83" s="173"/>
      <c r="AF83" s="118"/>
      <c r="AG83" s="118"/>
      <c r="AH83" s="118"/>
      <c r="AI83" s="118"/>
      <c r="AJ83" s="37"/>
      <c r="AK83" s="38"/>
      <c r="AL83" s="176"/>
    </row>
    <row r="84" spans="1:38" x14ac:dyDescent="0.25">
      <c r="A84" s="382">
        <v>136</v>
      </c>
      <c r="B84" s="131"/>
      <c r="C84" s="135"/>
      <c r="D84" s="131"/>
      <c r="E84" s="1"/>
      <c r="F84" s="389"/>
      <c r="G84" s="121"/>
      <c r="H84" s="121"/>
      <c r="I84" s="37"/>
      <c r="J84" s="121"/>
      <c r="K84" s="121"/>
      <c r="L84" s="390"/>
      <c r="M84" s="118"/>
      <c r="N84" s="118"/>
      <c r="O84" s="118"/>
      <c r="P84" s="172"/>
      <c r="Q84" s="37"/>
      <c r="R84" s="131"/>
      <c r="S84" s="118"/>
      <c r="T84" s="1"/>
      <c r="U84" s="1"/>
      <c r="V84" s="118"/>
      <c r="W84" s="57"/>
      <c r="X84" s="57"/>
      <c r="Y84" s="37"/>
      <c r="Z84" s="1"/>
      <c r="AA84" s="387"/>
      <c r="AB84" s="1"/>
      <c r="AC84" s="1"/>
      <c r="AD84" s="1"/>
      <c r="AE84" s="118"/>
      <c r="AF84" s="173"/>
      <c r="AG84" s="118"/>
      <c r="AH84" s="118"/>
      <c r="AI84" s="118"/>
      <c r="AJ84" s="37"/>
      <c r="AK84" s="38"/>
      <c r="AL84" s="176"/>
    </row>
    <row r="85" spans="1:38" x14ac:dyDescent="0.25">
      <c r="A85" s="382">
        <v>137</v>
      </c>
      <c r="B85" s="131"/>
      <c r="C85" s="392"/>
      <c r="D85" s="392"/>
      <c r="E85" s="121"/>
      <c r="F85" s="121"/>
      <c r="G85" s="121"/>
      <c r="H85" s="121"/>
      <c r="I85" s="37"/>
      <c r="J85" s="121"/>
      <c r="K85" s="118"/>
      <c r="L85" s="121"/>
      <c r="M85" s="121"/>
      <c r="N85" s="121"/>
      <c r="O85" s="118"/>
      <c r="P85" s="172"/>
      <c r="Q85" s="37"/>
      <c r="R85" s="155"/>
      <c r="S85" s="1"/>
      <c r="T85" s="1"/>
      <c r="U85" s="1"/>
      <c r="V85" s="118"/>
      <c r="W85" s="57"/>
      <c r="X85" s="390"/>
      <c r="Y85" s="37"/>
      <c r="Z85" s="118"/>
      <c r="AA85" s="1"/>
      <c r="AB85" s="1"/>
      <c r="AC85" s="1"/>
      <c r="AD85" s="1"/>
      <c r="AE85" s="118"/>
      <c r="AF85" s="1"/>
      <c r="AG85" s="118"/>
      <c r="AH85" s="118"/>
      <c r="AI85" s="118"/>
      <c r="AJ85" s="37"/>
      <c r="AK85" s="38"/>
      <c r="AL85" s="176"/>
    </row>
    <row r="86" spans="1:38" x14ac:dyDescent="0.25">
      <c r="A86" s="382">
        <v>138</v>
      </c>
      <c r="B86" s="131"/>
      <c r="C86" s="135"/>
      <c r="D86" s="121"/>
      <c r="E86" s="118"/>
      <c r="F86" s="118"/>
      <c r="G86" s="121"/>
      <c r="H86" s="1"/>
      <c r="I86" s="37"/>
      <c r="J86" s="121"/>
      <c r="K86" s="121"/>
      <c r="L86" s="121"/>
      <c r="M86" s="121"/>
      <c r="N86" s="121"/>
      <c r="O86" s="390"/>
      <c r="P86" s="391"/>
      <c r="Q86" s="37"/>
      <c r="R86" s="391"/>
      <c r="S86" s="390"/>
      <c r="T86" s="390"/>
      <c r="U86" s="390"/>
      <c r="V86" s="390"/>
      <c r="W86" s="390"/>
      <c r="X86" s="390"/>
      <c r="Y86" s="111"/>
      <c r="Z86" s="205"/>
      <c r="AA86" s="135"/>
      <c r="AB86" s="135"/>
      <c r="AC86" s="135"/>
      <c r="AD86" s="135"/>
      <c r="AE86" s="387"/>
      <c r="AF86" s="135"/>
      <c r="AG86" s="135"/>
      <c r="AH86" s="135"/>
      <c r="AI86" s="135"/>
      <c r="AJ86" s="37"/>
      <c r="AK86" s="38"/>
      <c r="AL86" s="176"/>
    </row>
    <row r="87" spans="1:38" x14ac:dyDescent="0.25">
      <c r="A87" s="382">
        <v>139</v>
      </c>
      <c r="B87" s="131"/>
      <c r="C87" s="135"/>
      <c r="D87" s="155"/>
      <c r="E87" s="118"/>
      <c r="F87" s="118"/>
      <c r="G87" s="121"/>
      <c r="H87" s="118"/>
      <c r="I87" s="37"/>
      <c r="J87" s="118"/>
      <c r="K87" s="118"/>
      <c r="L87" s="121"/>
      <c r="M87" s="121"/>
      <c r="N87" s="121"/>
      <c r="O87" s="118"/>
      <c r="P87" s="172"/>
      <c r="Q87" s="37"/>
      <c r="R87" s="131"/>
      <c r="S87" s="118"/>
      <c r="T87" s="118"/>
      <c r="U87" s="1"/>
      <c r="V87" s="118"/>
      <c r="W87" s="57"/>
      <c r="X87" s="57"/>
      <c r="Y87" s="37"/>
      <c r="Z87" s="118"/>
      <c r="AA87" s="118"/>
      <c r="AB87" s="1"/>
      <c r="AC87" s="1"/>
      <c r="AD87" s="1"/>
      <c r="AE87" s="118"/>
      <c r="AF87" s="1"/>
      <c r="AG87" s="118"/>
      <c r="AH87" s="118"/>
      <c r="AI87" s="118"/>
      <c r="AJ87" s="37"/>
      <c r="AK87" s="38"/>
      <c r="AL87" s="176"/>
    </row>
    <row r="88" spans="1:38" x14ac:dyDescent="0.25">
      <c r="A88" s="382">
        <v>140</v>
      </c>
      <c r="B88" s="155"/>
      <c r="C88" s="131"/>
      <c r="D88" s="121"/>
      <c r="E88" s="118"/>
      <c r="F88" s="121"/>
      <c r="G88" s="121"/>
      <c r="H88" s="118"/>
      <c r="I88" s="37"/>
      <c r="J88" s="118"/>
      <c r="K88" s="118"/>
      <c r="L88" s="118"/>
      <c r="M88" s="118"/>
      <c r="N88" s="118"/>
      <c r="O88" s="118"/>
      <c r="P88" s="172"/>
      <c r="Q88" s="37"/>
      <c r="R88" s="131"/>
      <c r="S88" s="118"/>
      <c r="T88" s="118"/>
      <c r="U88" s="1"/>
      <c r="V88" s="1"/>
      <c r="W88" s="57"/>
      <c r="X88" s="57"/>
      <c r="Y88" s="37"/>
      <c r="Z88" s="118"/>
      <c r="AA88" s="118"/>
      <c r="AB88" s="1"/>
      <c r="AC88" s="1"/>
      <c r="AD88" s="1"/>
      <c r="AE88" s="118"/>
      <c r="AF88" s="1"/>
      <c r="AG88" s="118"/>
      <c r="AH88" s="118"/>
      <c r="AI88" s="118"/>
      <c r="AJ88" s="37"/>
      <c r="AK88" s="38"/>
      <c r="AL88" s="172"/>
    </row>
    <row r="89" spans="1:38" x14ac:dyDescent="0.25">
      <c r="A89" s="382">
        <v>141</v>
      </c>
      <c r="B89" s="155"/>
      <c r="C89" s="392"/>
      <c r="D89" s="155"/>
      <c r="E89" s="121"/>
      <c r="F89" s="121"/>
      <c r="G89" s="121"/>
      <c r="H89" s="121"/>
      <c r="I89" s="37"/>
      <c r="J89" s="121"/>
      <c r="K89" s="121"/>
      <c r="L89" s="121"/>
      <c r="M89" s="121"/>
      <c r="N89" s="121"/>
      <c r="O89" s="121"/>
      <c r="P89" s="172"/>
      <c r="Q89" s="37"/>
      <c r="R89" s="131"/>
      <c r="S89" s="118"/>
      <c r="T89" s="118"/>
      <c r="U89" s="1"/>
      <c r="V89" s="1"/>
      <c r="W89" s="57"/>
      <c r="X89" s="57"/>
      <c r="Y89" s="37"/>
      <c r="Z89" s="1"/>
      <c r="AA89" s="118"/>
      <c r="AB89" s="1"/>
      <c r="AC89" s="1"/>
      <c r="AD89" s="1"/>
      <c r="AE89" s="118"/>
      <c r="AF89" s="118"/>
      <c r="AG89" s="118"/>
      <c r="AH89" s="118"/>
      <c r="AI89" s="118"/>
      <c r="AJ89" s="37"/>
      <c r="AK89" s="38"/>
      <c r="AL89" s="176"/>
    </row>
    <row r="90" spans="1:38" x14ac:dyDescent="0.25">
      <c r="A90" s="382">
        <v>142</v>
      </c>
      <c r="B90" s="131"/>
      <c r="C90" s="131"/>
      <c r="D90" s="121"/>
      <c r="E90" s="118"/>
      <c r="F90" s="118"/>
      <c r="G90" s="121"/>
      <c r="H90" s="1"/>
      <c r="I90" s="37"/>
      <c r="J90" s="121"/>
      <c r="K90" s="118"/>
      <c r="L90" s="118"/>
      <c r="M90" s="121"/>
      <c r="N90" s="118"/>
      <c r="O90" s="118"/>
      <c r="P90" s="172"/>
      <c r="Q90" s="37"/>
      <c r="R90" s="131"/>
      <c r="S90" s="118"/>
      <c r="T90" s="118"/>
      <c r="U90" s="1"/>
      <c r="V90" s="118"/>
      <c r="W90" s="57"/>
      <c r="X90" s="57"/>
      <c r="Y90" s="37"/>
      <c r="Z90" s="118"/>
      <c r="AA90" s="118"/>
      <c r="AB90" s="1"/>
      <c r="AC90" s="1"/>
      <c r="AD90" s="1"/>
      <c r="AE90" s="118"/>
      <c r="AF90" s="118"/>
      <c r="AG90" s="118"/>
      <c r="AH90" s="118"/>
      <c r="AI90" s="118"/>
      <c r="AJ90" s="37"/>
      <c r="AK90" s="38"/>
      <c r="AL90" s="154"/>
    </row>
    <row r="91" spans="1:38" x14ac:dyDescent="0.25">
      <c r="A91" s="382">
        <v>143</v>
      </c>
      <c r="B91" s="155"/>
      <c r="C91" s="155"/>
      <c r="D91" s="121"/>
      <c r="E91" s="121"/>
      <c r="F91" s="121"/>
      <c r="G91" s="121"/>
      <c r="H91" s="118"/>
      <c r="I91" s="37"/>
      <c r="J91" s="121"/>
      <c r="K91" s="121"/>
      <c r="L91" s="121"/>
      <c r="M91" s="121"/>
      <c r="N91" s="121"/>
      <c r="O91" s="121"/>
      <c r="P91" s="205"/>
      <c r="Q91" s="37"/>
      <c r="R91" s="131"/>
      <c r="S91" s="118"/>
      <c r="T91" s="118"/>
      <c r="U91" s="1"/>
      <c r="V91" s="1"/>
      <c r="W91" s="57"/>
      <c r="X91" s="57"/>
      <c r="Y91" s="37"/>
      <c r="Z91" s="118"/>
      <c r="AA91" s="118"/>
      <c r="AB91" s="1"/>
      <c r="AC91" s="1"/>
      <c r="AD91" s="1"/>
      <c r="AE91" s="118"/>
      <c r="AF91" s="118"/>
      <c r="AG91" s="118"/>
      <c r="AH91" s="118"/>
      <c r="AI91" s="118"/>
      <c r="AJ91" s="37"/>
      <c r="AK91" s="38"/>
      <c r="AL91" s="154"/>
    </row>
    <row r="92" spans="1:38" x14ac:dyDescent="0.25">
      <c r="A92" s="382">
        <v>144</v>
      </c>
      <c r="B92" s="12"/>
      <c r="C92" s="389"/>
      <c r="D92" s="121"/>
      <c r="E92" s="121"/>
      <c r="F92" s="118"/>
      <c r="G92" s="121"/>
      <c r="H92" s="121"/>
      <c r="I92" s="37"/>
      <c r="J92" s="121"/>
      <c r="K92" s="118"/>
      <c r="L92" s="121"/>
      <c r="M92" s="121"/>
      <c r="N92" s="121"/>
      <c r="O92" s="120"/>
      <c r="P92" s="172"/>
      <c r="Q92" s="37"/>
      <c r="R92" s="131"/>
      <c r="S92" s="118"/>
      <c r="T92" s="118"/>
      <c r="U92" s="1"/>
      <c r="V92" s="118"/>
      <c r="W92" s="57"/>
      <c r="X92" s="57"/>
      <c r="Y92" s="37"/>
      <c r="Z92" s="1"/>
      <c r="AA92" s="118"/>
      <c r="AB92" s="1"/>
      <c r="AC92" s="1"/>
      <c r="AD92" s="1"/>
      <c r="AE92" s="118"/>
      <c r="AF92" s="118"/>
      <c r="AG92" s="118"/>
      <c r="AH92" s="118"/>
      <c r="AI92" s="118"/>
      <c r="AJ92" s="37"/>
      <c r="AK92" s="38"/>
      <c r="AL92" s="176"/>
    </row>
    <row r="93" spans="1:38" x14ac:dyDescent="0.25">
      <c r="A93" s="382">
        <v>145</v>
      </c>
      <c r="B93" s="389"/>
      <c r="C93" s="155"/>
      <c r="D93" s="121"/>
      <c r="E93" s="121"/>
      <c r="F93" s="118"/>
      <c r="G93" s="121"/>
      <c r="H93" s="121"/>
      <c r="I93" s="37"/>
      <c r="J93" s="121"/>
      <c r="K93" s="121"/>
      <c r="L93" s="121"/>
      <c r="M93" s="121"/>
      <c r="N93" s="121"/>
      <c r="O93" s="121"/>
      <c r="P93" s="172"/>
      <c r="Q93" s="37"/>
      <c r="R93" s="131"/>
      <c r="S93" s="118"/>
      <c r="T93" s="118"/>
      <c r="U93" s="1"/>
      <c r="V93" s="161"/>
      <c r="W93" s="57"/>
      <c r="X93" s="57"/>
      <c r="Y93" s="37"/>
      <c r="Z93" s="118"/>
      <c r="AA93" s="1"/>
      <c r="AB93" s="1"/>
      <c r="AC93" s="1"/>
      <c r="AD93" s="1"/>
      <c r="AE93" s="118"/>
      <c r="AF93" s="118"/>
      <c r="AG93" s="118"/>
      <c r="AH93" s="118"/>
      <c r="AI93" s="118"/>
      <c r="AJ93" s="37"/>
      <c r="AK93" s="38"/>
      <c r="AL93" s="197"/>
    </row>
    <row r="94" spans="1:38" x14ac:dyDescent="0.25">
      <c r="A94" s="382">
        <v>147</v>
      </c>
      <c r="B94" s="121"/>
      <c r="C94" s="121"/>
      <c r="D94" s="121"/>
      <c r="E94" s="389"/>
      <c r="F94" s="121"/>
      <c r="G94" s="121"/>
      <c r="H94" s="121"/>
      <c r="I94" s="37"/>
      <c r="J94" s="121"/>
      <c r="K94" s="121"/>
      <c r="L94" s="121"/>
      <c r="M94" s="121"/>
      <c r="N94" s="121"/>
      <c r="O94" s="390"/>
      <c r="P94" s="391"/>
      <c r="Q94" s="37"/>
      <c r="R94" s="172"/>
      <c r="S94" s="118"/>
      <c r="T94" s="118"/>
      <c r="U94" s="1"/>
      <c r="V94" s="118"/>
      <c r="W94" s="57"/>
      <c r="X94" s="57"/>
      <c r="Y94" s="37"/>
      <c r="Z94" s="118"/>
      <c r="AA94" s="118"/>
      <c r="AB94" s="1"/>
      <c r="AC94" s="1"/>
      <c r="AD94" s="1"/>
      <c r="AE94" s="1"/>
      <c r="AF94" s="118"/>
      <c r="AG94" s="118"/>
      <c r="AH94" s="118"/>
      <c r="AI94" s="118"/>
      <c r="AJ94" s="37"/>
      <c r="AK94" s="38"/>
      <c r="AL94" s="197"/>
    </row>
    <row r="95" spans="1:38" x14ac:dyDescent="0.25">
      <c r="A95" s="382">
        <v>148</v>
      </c>
      <c r="B95" s="135"/>
      <c r="C95" s="131"/>
      <c r="D95" s="131"/>
      <c r="E95" s="121"/>
      <c r="F95" s="121"/>
      <c r="G95" s="121"/>
      <c r="H95" s="121"/>
      <c r="I95" s="37"/>
      <c r="J95" s="121"/>
      <c r="K95" s="121"/>
      <c r="L95" s="121"/>
      <c r="M95" s="390"/>
      <c r="N95" s="121"/>
      <c r="O95" s="121"/>
      <c r="P95" s="172"/>
      <c r="Q95" s="37"/>
      <c r="R95" s="131"/>
      <c r="S95" s="118"/>
      <c r="T95" s="118"/>
      <c r="U95" s="1"/>
      <c r="V95" s="118"/>
      <c r="W95" s="57"/>
      <c r="X95" s="57"/>
      <c r="Y95" s="37"/>
      <c r="Z95" s="118"/>
      <c r="AA95" s="118"/>
      <c r="AB95" s="1"/>
      <c r="AC95" s="1"/>
      <c r="AD95" s="1"/>
      <c r="AE95" s="118"/>
      <c r="AF95" s="118"/>
      <c r="AG95" s="118"/>
      <c r="AH95" s="118"/>
      <c r="AI95" s="118"/>
      <c r="AJ95" s="37"/>
      <c r="AK95" s="38"/>
      <c r="AL95" s="197"/>
    </row>
    <row r="96" spans="1:38" x14ac:dyDescent="0.25">
      <c r="A96" s="382">
        <v>149</v>
      </c>
      <c r="B96" s="155"/>
      <c r="C96" s="121"/>
      <c r="D96" s="121"/>
      <c r="E96" s="121"/>
      <c r="F96" s="1"/>
      <c r="G96" s="121"/>
      <c r="H96" s="121"/>
      <c r="I96" s="37"/>
      <c r="J96" s="121"/>
      <c r="K96" s="121"/>
      <c r="L96" s="121"/>
      <c r="M96" s="121"/>
      <c r="N96" s="121"/>
      <c r="O96" s="121"/>
      <c r="P96" s="172"/>
      <c r="Q96" s="37"/>
      <c r="R96" s="131"/>
      <c r="S96" s="1"/>
      <c r="T96" s="118"/>
      <c r="U96" s="1"/>
      <c r="V96" s="118"/>
      <c r="W96" s="57"/>
      <c r="X96" s="57"/>
      <c r="Y96" s="37"/>
      <c r="Z96" s="118"/>
      <c r="AA96" s="118"/>
      <c r="AB96" s="1"/>
      <c r="AC96" s="1"/>
      <c r="AD96" s="1"/>
      <c r="AE96" s="118"/>
      <c r="AF96" s="118"/>
      <c r="AG96" s="118"/>
      <c r="AH96" s="118"/>
      <c r="AI96" s="118"/>
      <c r="AJ96" s="37"/>
      <c r="AK96" s="38"/>
      <c r="AL96" s="197"/>
    </row>
    <row r="97" spans="1:38" x14ac:dyDescent="0.25">
      <c r="A97" s="382">
        <v>150</v>
      </c>
      <c r="B97" s="131"/>
      <c r="C97" s="135"/>
      <c r="D97" s="121"/>
      <c r="E97" s="121"/>
      <c r="F97" s="121"/>
      <c r="G97" s="121"/>
      <c r="H97" s="121"/>
      <c r="I97" s="37"/>
      <c r="J97" s="121"/>
      <c r="K97" s="121"/>
      <c r="L97" s="121"/>
      <c r="M97" s="118"/>
      <c r="N97" s="121"/>
      <c r="O97" s="121"/>
      <c r="P97" s="172"/>
      <c r="Q97" s="37"/>
      <c r="R97" s="131"/>
      <c r="S97" s="118"/>
      <c r="T97" s="118"/>
      <c r="U97" s="1"/>
      <c r="V97" s="118"/>
      <c r="W97" s="57"/>
      <c r="X97" s="57"/>
      <c r="Y97" s="37"/>
      <c r="Z97" s="118"/>
      <c r="AA97" s="118"/>
      <c r="AB97" s="1"/>
      <c r="AC97" s="1"/>
      <c r="AD97" s="387"/>
      <c r="AE97" s="193"/>
      <c r="AF97" s="118"/>
      <c r="AG97" s="118"/>
      <c r="AH97" s="118"/>
      <c r="AI97" s="118"/>
      <c r="AJ97" s="37"/>
      <c r="AK97" s="38"/>
      <c r="AL97" s="197"/>
    </row>
    <row r="98" spans="1:38" x14ac:dyDescent="0.25">
      <c r="A98" s="382">
        <v>151</v>
      </c>
      <c r="B98" s="135"/>
      <c r="C98" s="155"/>
      <c r="D98" s="121"/>
      <c r="E98" s="121"/>
      <c r="F98" s="121"/>
      <c r="G98" s="121"/>
      <c r="H98" s="121"/>
      <c r="I98" s="37"/>
      <c r="J98" s="121"/>
      <c r="K98" s="386"/>
      <c r="L98" s="121"/>
      <c r="M98" s="121"/>
      <c r="N98" s="121"/>
      <c r="O98" s="121"/>
      <c r="P98" s="172"/>
      <c r="Q98" s="37"/>
      <c r="R98" s="391"/>
      <c r="S98" s="155"/>
      <c r="T98" s="1"/>
      <c r="U98" s="1"/>
      <c r="V98" s="118"/>
      <c r="W98" s="57"/>
      <c r="X98" s="57"/>
      <c r="Y98" s="37"/>
      <c r="Z98" s="1"/>
      <c r="AA98" s="118"/>
      <c r="AB98" s="1"/>
      <c r="AC98" s="1"/>
      <c r="AD98" s="1"/>
      <c r="AE98" s="1"/>
      <c r="AF98" s="118"/>
      <c r="AG98" s="118"/>
      <c r="AH98" s="118"/>
      <c r="AI98" s="118"/>
      <c r="AJ98" s="37"/>
      <c r="AK98" s="38"/>
      <c r="AL98" s="197"/>
    </row>
    <row r="99" spans="1:38" x14ac:dyDescent="0.25">
      <c r="A99" s="382">
        <v>152</v>
      </c>
      <c r="B99" s="389"/>
      <c r="C99" s="389"/>
      <c r="D99" s="389"/>
      <c r="E99" s="389"/>
      <c r="F99" s="389"/>
      <c r="G99" s="389"/>
      <c r="H99" s="389"/>
      <c r="I99" s="111"/>
      <c r="J99" s="390"/>
      <c r="K99" s="386"/>
      <c r="L99" s="390"/>
      <c r="M99" s="390"/>
      <c r="N99" s="390"/>
      <c r="O99" s="390"/>
      <c r="P99" s="391"/>
      <c r="Q99" s="111"/>
      <c r="R99" s="391"/>
      <c r="S99" s="390"/>
      <c r="T99" s="390"/>
      <c r="U99" s="390"/>
      <c r="V99" s="389"/>
      <c r="W99" s="387"/>
      <c r="X99" s="387"/>
      <c r="Y99" s="111"/>
      <c r="Z99" s="387"/>
      <c r="AA99" s="387"/>
      <c r="AB99" s="387"/>
      <c r="AC99" s="387"/>
      <c r="AD99" s="387"/>
      <c r="AE99" s="387"/>
      <c r="AF99" s="387"/>
      <c r="AG99" s="387"/>
      <c r="AH99" s="387"/>
      <c r="AI99" s="387"/>
      <c r="AJ99" s="111"/>
      <c r="AK99" s="38"/>
      <c r="AL99" s="197"/>
    </row>
    <row r="100" spans="1:38" x14ac:dyDescent="0.25">
      <c r="A100" s="382">
        <v>153</v>
      </c>
      <c r="B100" s="12"/>
      <c r="C100" s="135"/>
      <c r="D100" s="131"/>
      <c r="E100" s="1"/>
      <c r="F100" s="118"/>
      <c r="G100" s="121"/>
      <c r="H100" s="1"/>
      <c r="I100" s="37"/>
      <c r="J100" s="1"/>
      <c r="K100" s="1"/>
      <c r="L100" s="121"/>
      <c r="M100" s="118"/>
      <c r="N100" s="118"/>
      <c r="O100" s="121"/>
      <c r="P100" s="172"/>
      <c r="Q100" s="37"/>
      <c r="R100" s="131"/>
      <c r="S100" s="118"/>
      <c r="T100" s="118"/>
      <c r="U100" s="1"/>
      <c r="V100" s="118"/>
      <c r="W100" s="57"/>
      <c r="X100" s="57"/>
      <c r="Y100" s="37"/>
      <c r="Z100" s="118"/>
      <c r="AA100" s="118"/>
      <c r="AB100" s="1"/>
      <c r="AC100" s="1"/>
      <c r="AD100" s="1"/>
      <c r="AE100" s="118"/>
      <c r="AF100" s="118"/>
      <c r="AG100" s="118"/>
      <c r="AH100" s="118"/>
      <c r="AI100" s="118"/>
      <c r="AJ100" s="37"/>
      <c r="AK100" s="38"/>
      <c r="AL100" s="197"/>
    </row>
    <row r="101" spans="1:38" x14ac:dyDescent="0.25">
      <c r="A101" s="382">
        <v>154</v>
      </c>
      <c r="B101" s="131"/>
      <c r="C101" s="389"/>
      <c r="D101" s="121"/>
      <c r="E101" s="121"/>
      <c r="F101" s="121"/>
      <c r="G101" s="121"/>
      <c r="H101" s="121"/>
      <c r="I101" s="37"/>
      <c r="J101" s="121"/>
      <c r="K101" s="121"/>
      <c r="L101" s="121"/>
      <c r="M101" s="121"/>
      <c r="N101" s="121"/>
      <c r="O101" s="121"/>
      <c r="P101" s="172"/>
      <c r="Q101" s="37"/>
      <c r="R101" s="131"/>
      <c r="S101" s="118"/>
      <c r="T101" s="118"/>
      <c r="U101" s="1"/>
      <c r="V101" s="118"/>
      <c r="W101" s="57"/>
      <c r="X101" s="57"/>
      <c r="Y101" s="37"/>
      <c r="Z101" s="118"/>
      <c r="AA101" s="118"/>
      <c r="AB101" s="1"/>
      <c r="AC101" s="1"/>
      <c r="AD101" s="1"/>
      <c r="AE101" s="118"/>
      <c r="AF101" s="118"/>
      <c r="AG101" s="118"/>
      <c r="AH101" s="118"/>
      <c r="AI101" s="118"/>
      <c r="AJ101" s="37"/>
      <c r="AK101" s="38"/>
      <c r="AL101" s="197"/>
    </row>
    <row r="102" spans="1:38" x14ac:dyDescent="0.25">
      <c r="A102" s="382">
        <v>155</v>
      </c>
      <c r="B102" s="131"/>
      <c r="C102" s="131"/>
      <c r="D102" s="121"/>
      <c r="E102" s="389"/>
      <c r="F102" s="121"/>
      <c r="G102" s="121"/>
      <c r="H102" s="121"/>
      <c r="I102" s="37"/>
      <c r="J102" s="121"/>
      <c r="K102" s="121"/>
      <c r="L102" s="121"/>
      <c r="M102" s="121"/>
      <c r="N102" s="121"/>
      <c r="O102" s="121"/>
      <c r="P102" s="172"/>
      <c r="Q102" s="37"/>
      <c r="R102" s="12"/>
      <c r="S102" s="118"/>
      <c r="T102" s="118"/>
      <c r="U102" s="1"/>
      <c r="V102" s="118"/>
      <c r="W102" s="57"/>
      <c r="X102" s="57"/>
      <c r="Y102" s="37"/>
      <c r="Z102" s="118"/>
      <c r="AA102" s="118"/>
      <c r="AB102" s="1"/>
      <c r="AC102" s="1"/>
      <c r="AD102" s="1"/>
      <c r="AE102" s="118"/>
      <c r="AF102" s="1"/>
      <c r="AG102" s="118"/>
      <c r="AH102" s="118"/>
      <c r="AI102" s="118"/>
      <c r="AJ102" s="37"/>
      <c r="AK102" s="38"/>
      <c r="AL102" s="197"/>
    </row>
    <row r="103" spans="1:38" x14ac:dyDescent="0.25">
      <c r="A103" s="382">
        <v>156</v>
      </c>
      <c r="B103" s="131"/>
      <c r="C103" s="121"/>
      <c r="D103" s="388"/>
      <c r="E103" s="118"/>
      <c r="F103" s="118"/>
      <c r="G103" s="121"/>
      <c r="H103" s="121"/>
      <c r="I103" s="37"/>
      <c r="J103" s="121"/>
      <c r="K103" s="121"/>
      <c r="L103" s="121"/>
      <c r="M103" s="121"/>
      <c r="N103" s="121"/>
      <c r="O103" s="121"/>
      <c r="P103" s="172"/>
      <c r="Q103" s="37"/>
      <c r="R103" s="155"/>
      <c r="S103" s="118"/>
      <c r="T103" s="1"/>
      <c r="U103" s="1"/>
      <c r="V103" s="118"/>
      <c r="W103" s="57"/>
      <c r="X103" s="57"/>
      <c r="Y103" s="37"/>
      <c r="Z103" s="118"/>
      <c r="AA103" s="118"/>
      <c r="AB103" s="1"/>
      <c r="AC103" s="1"/>
      <c r="AD103" s="1"/>
      <c r="AE103" s="118"/>
      <c r="AF103" s="118"/>
      <c r="AG103" s="118"/>
      <c r="AH103" s="118"/>
      <c r="AI103" s="118"/>
      <c r="AJ103" s="37"/>
      <c r="AK103" s="38"/>
      <c r="AL103" s="197"/>
    </row>
    <row r="104" spans="1:38" x14ac:dyDescent="0.25">
      <c r="A104" s="382">
        <v>157</v>
      </c>
      <c r="B104" s="131"/>
      <c r="C104" s="155"/>
      <c r="D104" s="131"/>
      <c r="E104" s="121"/>
      <c r="F104" s="118"/>
      <c r="G104" s="121"/>
      <c r="H104" s="1"/>
      <c r="I104" s="37"/>
      <c r="J104" s="118"/>
      <c r="K104" s="121"/>
      <c r="L104" s="118"/>
      <c r="M104" s="121"/>
      <c r="N104" s="118"/>
      <c r="O104" s="1"/>
      <c r="P104" s="172"/>
      <c r="Q104" s="37"/>
      <c r="R104" s="155"/>
      <c r="S104" s="118"/>
      <c r="T104" s="118"/>
      <c r="U104" s="390"/>
      <c r="V104" s="118"/>
      <c r="W104" s="57"/>
      <c r="X104" s="57"/>
      <c r="Y104" s="37"/>
      <c r="Z104" s="118"/>
      <c r="AA104" s="118"/>
      <c r="AB104" s="1"/>
      <c r="AC104" s="1"/>
      <c r="AD104" s="1"/>
      <c r="AE104" s="118"/>
      <c r="AF104" s="1"/>
      <c r="AG104" s="118"/>
      <c r="AH104" s="118"/>
      <c r="AI104" s="118"/>
      <c r="AJ104" s="37"/>
      <c r="AK104" s="38"/>
      <c r="AL104" s="197"/>
    </row>
    <row r="105" spans="1:38" x14ac:dyDescent="0.25">
      <c r="A105" s="382">
        <v>158</v>
      </c>
      <c r="B105" s="389"/>
      <c r="C105" s="392"/>
      <c r="D105" s="155"/>
      <c r="E105" s="1"/>
      <c r="F105" s="118"/>
      <c r="G105" s="121"/>
      <c r="H105" s="121"/>
      <c r="I105" s="37"/>
      <c r="J105" s="121"/>
      <c r="K105" s="121"/>
      <c r="L105" s="121"/>
      <c r="M105" s="121"/>
      <c r="N105" s="121"/>
      <c r="O105" s="120"/>
      <c r="P105" s="172"/>
      <c r="Q105" s="37"/>
      <c r="R105" s="131"/>
      <c r="S105" s="1"/>
      <c r="T105" s="118"/>
      <c r="U105" s="1"/>
      <c r="V105" s="118"/>
      <c r="W105" s="57"/>
      <c r="X105" s="57"/>
      <c r="Y105" s="37"/>
      <c r="Z105" s="118"/>
      <c r="AA105" s="387"/>
      <c r="AB105" s="1"/>
      <c r="AC105" s="1"/>
      <c r="AD105" s="1"/>
      <c r="AE105" s="118"/>
      <c r="AF105" s="118"/>
      <c r="AG105" s="118"/>
      <c r="AH105" s="118"/>
      <c r="AI105" s="118"/>
      <c r="AJ105" s="37"/>
      <c r="AK105" s="38"/>
      <c r="AL105" s="197"/>
    </row>
    <row r="106" spans="1:38" x14ac:dyDescent="0.25">
      <c r="A106" s="382">
        <v>159</v>
      </c>
      <c r="B106" s="131"/>
      <c r="C106" s="179"/>
      <c r="D106" s="121"/>
      <c r="E106" s="121"/>
      <c r="F106" s="118"/>
      <c r="G106" s="1"/>
      <c r="H106" s="121"/>
      <c r="I106" s="37"/>
      <c r="J106" s="121"/>
      <c r="K106" s="121"/>
      <c r="L106" s="121"/>
      <c r="M106" s="120"/>
      <c r="N106" s="121"/>
      <c r="O106" s="1"/>
      <c r="P106" s="172"/>
      <c r="Q106" s="37"/>
      <c r="R106" s="155"/>
      <c r="S106" s="1"/>
      <c r="T106" s="118"/>
      <c r="U106" s="1"/>
      <c r="V106" s="118"/>
      <c r="W106" s="57"/>
      <c r="X106" s="57"/>
      <c r="Y106" s="37"/>
      <c r="Z106" s="1"/>
      <c r="AA106" s="118"/>
      <c r="AB106" s="1"/>
      <c r="AC106" s="1"/>
      <c r="AD106" s="1"/>
      <c r="AE106" s="118"/>
      <c r="AF106" s="118"/>
      <c r="AG106" s="118"/>
      <c r="AH106" s="118"/>
      <c r="AI106" s="118"/>
      <c r="AJ106" s="37"/>
      <c r="AK106" s="38"/>
      <c r="AL106" s="197"/>
    </row>
    <row r="107" spans="1:38" x14ac:dyDescent="0.25">
      <c r="A107" s="382">
        <v>161</v>
      </c>
      <c r="B107" s="389"/>
      <c r="C107" s="389"/>
      <c r="D107" s="392"/>
      <c r="E107" s="389"/>
      <c r="F107" s="389"/>
      <c r="G107" s="389"/>
      <c r="H107" s="389"/>
      <c r="I107" s="111"/>
      <c r="J107" s="390"/>
      <c r="K107" s="121"/>
      <c r="L107" s="121"/>
      <c r="M107" s="121"/>
      <c r="N107" s="121"/>
      <c r="O107" s="121"/>
      <c r="P107" s="172"/>
      <c r="Q107" s="37"/>
      <c r="R107" s="131"/>
      <c r="S107" s="118"/>
      <c r="T107" s="118"/>
      <c r="U107" s="1"/>
      <c r="V107" s="118"/>
      <c r="W107" s="57"/>
      <c r="X107" s="57"/>
      <c r="Y107" s="37"/>
      <c r="Z107" s="118"/>
      <c r="AA107" s="118"/>
      <c r="AB107" s="1"/>
      <c r="AC107" s="1"/>
      <c r="AD107" s="1"/>
      <c r="AE107" s="118"/>
      <c r="AF107" s="118"/>
      <c r="AG107" s="118"/>
      <c r="AH107" s="118"/>
      <c r="AI107" s="118"/>
      <c r="AJ107" s="37"/>
      <c r="AK107" s="38"/>
      <c r="AL107" s="197"/>
    </row>
    <row r="108" spans="1:38" x14ac:dyDescent="0.25">
      <c r="A108" s="382">
        <v>162</v>
      </c>
      <c r="B108" s="131"/>
      <c r="C108" s="121"/>
      <c r="D108" s="121"/>
      <c r="E108" s="1"/>
      <c r="F108" s="118"/>
      <c r="G108" s="1"/>
      <c r="H108" s="121"/>
      <c r="I108" s="37"/>
      <c r="J108" s="121"/>
      <c r="K108" s="1"/>
      <c r="L108" s="121"/>
      <c r="M108" s="121"/>
      <c r="N108" s="121"/>
      <c r="O108" s="1"/>
      <c r="P108" s="172"/>
      <c r="Q108" s="37"/>
      <c r="R108" s="131"/>
      <c r="S108" s="118"/>
      <c r="T108" s="118"/>
      <c r="U108" s="1"/>
      <c r="V108" s="118"/>
      <c r="W108" s="57"/>
      <c r="X108" s="57"/>
      <c r="Y108" s="37"/>
      <c r="Z108" s="118"/>
      <c r="AA108" s="118"/>
      <c r="AB108" s="1"/>
      <c r="AC108" s="1"/>
      <c r="AD108" s="1"/>
      <c r="AE108" s="118"/>
      <c r="AF108" s="118"/>
      <c r="AG108" s="118"/>
      <c r="AH108" s="118"/>
      <c r="AI108" s="118"/>
      <c r="AJ108" s="37"/>
      <c r="AK108" s="38"/>
      <c r="AL108" s="197"/>
    </row>
    <row r="109" spans="1:38" x14ac:dyDescent="0.25">
      <c r="A109" s="382">
        <v>163</v>
      </c>
      <c r="B109" s="155"/>
      <c r="C109" s="155"/>
      <c r="D109" s="121"/>
      <c r="E109" s="121"/>
      <c r="F109" s="121"/>
      <c r="G109" s="121"/>
      <c r="H109" s="121"/>
      <c r="I109" s="37"/>
      <c r="J109" s="121"/>
      <c r="K109" s="121"/>
      <c r="L109" s="390"/>
      <c r="M109" s="390"/>
      <c r="N109" s="390"/>
      <c r="O109" s="390"/>
      <c r="P109" s="390"/>
      <c r="Q109" s="37"/>
      <c r="R109" s="205"/>
      <c r="S109" s="118"/>
      <c r="T109" s="118"/>
      <c r="U109" s="1"/>
      <c r="V109" s="118"/>
      <c r="W109" s="57"/>
      <c r="X109" s="57"/>
      <c r="Y109" s="37"/>
      <c r="Z109" s="118"/>
      <c r="AA109" s="118"/>
      <c r="AB109" s="1"/>
      <c r="AC109" s="1"/>
      <c r="AD109" s="1"/>
      <c r="AE109" s="118"/>
      <c r="AF109" s="118"/>
      <c r="AG109" s="118"/>
      <c r="AH109" s="118"/>
      <c r="AI109" s="118"/>
      <c r="AJ109" s="37"/>
      <c r="AK109" s="38"/>
      <c r="AL109" s="197"/>
    </row>
    <row r="110" spans="1:38" x14ac:dyDescent="0.25">
      <c r="A110" s="382">
        <v>164</v>
      </c>
      <c r="B110" s="131"/>
      <c r="C110" s="121"/>
      <c r="D110" s="390"/>
      <c r="E110" s="118"/>
      <c r="F110" s="121"/>
      <c r="G110" s="121"/>
      <c r="H110" s="1"/>
      <c r="I110" s="37"/>
      <c r="J110" s="121"/>
      <c r="K110" s="121"/>
      <c r="L110" s="121"/>
      <c r="M110" s="121"/>
      <c r="N110" s="121"/>
      <c r="O110" s="121"/>
      <c r="P110" s="172"/>
      <c r="Q110" s="37"/>
      <c r="R110" s="131"/>
      <c r="S110" s="118"/>
      <c r="T110" s="118"/>
      <c r="U110" s="1"/>
      <c r="V110" s="118"/>
      <c r="W110" s="57"/>
      <c r="X110" s="57"/>
      <c r="Y110" s="37"/>
      <c r="Z110" s="118"/>
      <c r="AA110" s="118"/>
      <c r="AB110" s="1"/>
      <c r="AC110" s="1"/>
      <c r="AD110" s="1"/>
      <c r="AE110" s="118"/>
      <c r="AF110" s="118"/>
      <c r="AG110" s="118"/>
      <c r="AH110" s="118"/>
      <c r="AI110" s="118"/>
      <c r="AJ110" s="37"/>
      <c r="AK110" s="38"/>
      <c r="AL110" s="197"/>
    </row>
    <row r="111" spans="1:38" x14ac:dyDescent="0.25">
      <c r="A111" s="382">
        <v>165</v>
      </c>
      <c r="B111" s="155"/>
      <c r="C111" s="390"/>
      <c r="D111" s="121"/>
      <c r="E111" s="118"/>
      <c r="F111" s="121"/>
      <c r="G111" s="121"/>
      <c r="H111" s="121"/>
      <c r="I111" s="37"/>
      <c r="J111" s="390"/>
      <c r="K111" s="121"/>
      <c r="L111" s="121"/>
      <c r="M111" s="121"/>
      <c r="N111" s="121"/>
      <c r="O111" s="120"/>
      <c r="P111" s="172"/>
      <c r="Q111" s="37"/>
      <c r="R111" s="131"/>
      <c r="S111" s="118"/>
      <c r="T111" s="118"/>
      <c r="U111" s="1"/>
      <c r="V111" s="118"/>
      <c r="W111" s="57"/>
      <c r="X111" s="57"/>
      <c r="Y111" s="37"/>
      <c r="Z111" s="118"/>
      <c r="AA111" s="118"/>
      <c r="AB111" s="1"/>
      <c r="AC111" s="1"/>
      <c r="AD111" s="1"/>
      <c r="AE111" s="118"/>
      <c r="AF111" s="118"/>
      <c r="AG111" s="118"/>
      <c r="AH111" s="118"/>
      <c r="AI111" s="118"/>
      <c r="AJ111" s="37"/>
      <c r="AK111" s="38"/>
      <c r="AL111" s="197"/>
    </row>
    <row r="112" spans="1:38" x14ac:dyDescent="0.25">
      <c r="A112" s="382">
        <v>166</v>
      </c>
      <c r="B112" s="135"/>
      <c r="C112" s="135"/>
      <c r="D112" s="121"/>
      <c r="E112" s="121"/>
      <c r="F112" s="121"/>
      <c r="G112" s="1"/>
      <c r="H112" s="1"/>
      <c r="I112" s="37"/>
      <c r="J112" s="121"/>
      <c r="K112" s="1"/>
      <c r="L112" s="336"/>
      <c r="M112" s="121"/>
      <c r="N112" s="118"/>
      <c r="O112" s="120"/>
      <c r="P112" s="172"/>
      <c r="Q112" s="37"/>
      <c r="R112" s="131"/>
      <c r="S112" s="118"/>
      <c r="T112" s="118"/>
      <c r="U112" s="1"/>
      <c r="V112" s="118"/>
      <c r="W112" s="57"/>
      <c r="X112" s="57"/>
      <c r="Y112" s="37"/>
      <c r="Z112" s="118"/>
      <c r="AA112" s="118"/>
      <c r="AB112" s="1"/>
      <c r="AC112" s="1"/>
      <c r="AD112" s="1"/>
      <c r="AE112" s="118"/>
      <c r="AF112" s="1"/>
      <c r="AG112" s="118"/>
      <c r="AH112" s="118"/>
      <c r="AI112" s="118"/>
      <c r="AJ112" s="37"/>
      <c r="AK112" s="38"/>
      <c r="AL112" s="197"/>
    </row>
    <row r="113" spans="1:38" x14ac:dyDescent="0.25">
      <c r="A113" s="382">
        <v>167</v>
      </c>
      <c r="B113" s="155"/>
      <c r="C113" s="155"/>
      <c r="D113" s="121"/>
      <c r="E113" s="121"/>
      <c r="F113" s="390"/>
      <c r="G113" s="121"/>
      <c r="H113" s="121"/>
      <c r="I113" s="37"/>
      <c r="J113" s="121"/>
      <c r="K113" s="121"/>
      <c r="L113" s="121"/>
      <c r="M113" s="118"/>
      <c r="N113" s="120"/>
      <c r="O113" s="121"/>
      <c r="P113" s="172"/>
      <c r="Q113" s="37"/>
      <c r="R113" s="131"/>
      <c r="S113" s="118"/>
      <c r="T113" s="118"/>
      <c r="U113" s="1"/>
      <c r="V113" s="118"/>
      <c r="W113" s="57"/>
      <c r="X113" s="57"/>
      <c r="Y113" s="37"/>
      <c r="Z113" s="118"/>
      <c r="AA113" s="118"/>
      <c r="AB113" s="1"/>
      <c r="AC113" s="1"/>
      <c r="AD113" s="1"/>
      <c r="AE113" s="118"/>
      <c r="AF113" s="118"/>
      <c r="AG113" s="118"/>
      <c r="AH113" s="118"/>
      <c r="AI113" s="118"/>
      <c r="AJ113" s="37"/>
      <c r="AK113" s="38"/>
      <c r="AL113" s="197"/>
    </row>
    <row r="114" spans="1:38" x14ac:dyDescent="0.25">
      <c r="A114" s="382">
        <v>168</v>
      </c>
      <c r="B114" s="131"/>
      <c r="C114" s="390"/>
      <c r="D114" s="121"/>
      <c r="E114" s="121"/>
      <c r="F114" s="121"/>
      <c r="G114" s="121"/>
      <c r="H114" s="1"/>
      <c r="I114" s="37"/>
      <c r="J114" s="121"/>
      <c r="K114" s="121"/>
      <c r="L114" s="155"/>
      <c r="M114" s="118"/>
      <c r="N114" s="118"/>
      <c r="O114" s="120"/>
      <c r="P114" s="172"/>
      <c r="Q114" s="37"/>
      <c r="R114" s="131"/>
      <c r="S114" s="118"/>
      <c r="T114" s="118"/>
      <c r="U114" s="1"/>
      <c r="V114" s="118"/>
      <c r="W114" s="57"/>
      <c r="X114" s="57"/>
      <c r="Y114" s="37"/>
      <c r="Z114" s="118"/>
      <c r="AA114" s="1"/>
      <c r="AB114" s="1"/>
      <c r="AC114" s="1"/>
      <c r="AD114" s="1"/>
      <c r="AE114" s="118"/>
      <c r="AF114" s="118"/>
      <c r="AG114" s="118"/>
      <c r="AH114" s="118"/>
      <c r="AI114" s="118"/>
      <c r="AJ114" s="37"/>
      <c r="AK114" s="38"/>
      <c r="AL114" s="197"/>
    </row>
    <row r="115" spans="1:38" x14ac:dyDescent="0.25">
      <c r="A115" s="382">
        <v>169</v>
      </c>
      <c r="B115" s="12"/>
      <c r="C115" s="155"/>
      <c r="D115" s="121"/>
      <c r="E115" s="118"/>
      <c r="F115" s="121"/>
      <c r="G115" s="1"/>
      <c r="H115" s="1"/>
      <c r="I115" s="37"/>
      <c r="J115" s="121"/>
      <c r="K115" s="118"/>
      <c r="L115" s="118"/>
      <c r="M115" s="121"/>
      <c r="N115" s="1"/>
      <c r="O115" s="118"/>
      <c r="P115" s="172"/>
      <c r="Q115" s="37"/>
      <c r="R115" s="131"/>
      <c r="S115" s="118"/>
      <c r="T115" s="118"/>
      <c r="U115" s="1"/>
      <c r="V115" s="118"/>
      <c r="W115" s="57"/>
      <c r="X115" s="57"/>
      <c r="Y115" s="37"/>
      <c r="Z115" s="1"/>
      <c r="AA115" s="118"/>
      <c r="AB115" s="1"/>
      <c r="AC115" s="1"/>
      <c r="AD115" s="1"/>
      <c r="AE115" s="118"/>
      <c r="AF115" s="1"/>
      <c r="AG115" s="118"/>
      <c r="AH115" s="118"/>
      <c r="AI115" s="118"/>
      <c r="AJ115" s="37"/>
      <c r="AK115" s="38"/>
      <c r="AL115" s="197"/>
    </row>
    <row r="116" spans="1:38" x14ac:dyDescent="0.25">
      <c r="A116" s="382">
        <v>170</v>
      </c>
      <c r="B116" s="155"/>
      <c r="C116" s="121"/>
      <c r="D116" s="121"/>
      <c r="E116" s="121"/>
      <c r="F116" s="121"/>
      <c r="G116" s="121"/>
      <c r="H116" s="121"/>
      <c r="I116" s="37"/>
      <c r="J116" s="121"/>
      <c r="K116" s="121"/>
      <c r="L116" s="390"/>
      <c r="M116" s="121"/>
      <c r="N116" s="121"/>
      <c r="O116" s="121"/>
      <c r="P116" s="172"/>
      <c r="Q116" s="37"/>
      <c r="R116" s="131"/>
      <c r="S116" s="118"/>
      <c r="T116" s="118"/>
      <c r="U116" s="1"/>
      <c r="V116" s="1"/>
      <c r="W116" s="57"/>
      <c r="X116" s="57"/>
      <c r="Y116" s="37"/>
      <c r="Z116" s="118"/>
      <c r="AA116" s="118"/>
      <c r="AB116" s="1"/>
      <c r="AC116" s="1"/>
      <c r="AD116" s="1"/>
      <c r="AE116" s="118"/>
      <c r="AF116" s="387"/>
      <c r="AG116" s="118"/>
      <c r="AH116" s="118"/>
      <c r="AI116" s="118"/>
      <c r="AJ116" s="37"/>
      <c r="AK116" s="38"/>
      <c r="AL116" s="197"/>
    </row>
    <row r="117" spans="1:38" x14ac:dyDescent="0.25">
      <c r="A117" s="382">
        <v>171</v>
      </c>
      <c r="B117" s="390"/>
      <c r="C117" s="121"/>
      <c r="D117" s="155"/>
      <c r="E117" s="1"/>
      <c r="F117" s="118"/>
      <c r="G117" s="121"/>
      <c r="H117" s="121"/>
      <c r="I117" s="37"/>
      <c r="J117" s="121"/>
      <c r="K117" s="121"/>
      <c r="L117" s="121"/>
      <c r="M117" s="121"/>
      <c r="N117" s="121"/>
      <c r="O117" s="121"/>
      <c r="P117" s="172"/>
      <c r="Q117" s="37"/>
      <c r="R117" s="12"/>
      <c r="S117" s="118"/>
      <c r="T117" s="118"/>
      <c r="U117" s="1"/>
      <c r="V117" s="131"/>
      <c r="W117" s="57"/>
      <c r="X117" s="57"/>
      <c r="Y117" s="37"/>
      <c r="Z117" s="118"/>
      <c r="AA117" s="118"/>
      <c r="AB117" s="1"/>
      <c r="AC117" s="1"/>
      <c r="AD117" s="1"/>
      <c r="AE117" s="118"/>
      <c r="AF117" s="118"/>
      <c r="AG117" s="118"/>
      <c r="AH117" s="118"/>
      <c r="AI117" s="118"/>
      <c r="AJ117" s="37"/>
      <c r="AK117" s="38"/>
      <c r="AL117" s="197"/>
    </row>
    <row r="118" spans="1:38" x14ac:dyDescent="0.25">
      <c r="A118" s="382">
        <v>172</v>
      </c>
      <c r="B118" s="390"/>
      <c r="C118" s="390"/>
      <c r="D118" s="390"/>
      <c r="E118" s="390"/>
      <c r="F118" s="390"/>
      <c r="G118" s="390"/>
      <c r="H118" s="390"/>
      <c r="I118" s="111"/>
      <c r="J118" s="121"/>
      <c r="K118" s="118"/>
      <c r="L118" s="390"/>
      <c r="M118" s="390"/>
      <c r="N118" s="390"/>
      <c r="O118" s="118"/>
      <c r="P118" s="390"/>
      <c r="Q118" s="37"/>
      <c r="R118" s="390"/>
      <c r="S118" s="390"/>
      <c r="T118" s="390"/>
      <c r="U118" s="390"/>
      <c r="V118" s="389"/>
      <c r="W118" s="205"/>
      <c r="X118" s="387"/>
      <c r="Y118" s="37"/>
      <c r="Z118" s="118"/>
      <c r="AA118" s="387"/>
      <c r="AB118" s="387"/>
      <c r="AC118" s="387"/>
      <c r="AD118" s="387"/>
      <c r="AE118" s="387"/>
      <c r="AF118" s="387"/>
      <c r="AG118" s="118"/>
      <c r="AH118" s="118"/>
      <c r="AI118" s="118"/>
      <c r="AJ118" s="37"/>
      <c r="AK118" s="38"/>
      <c r="AL118" s="197"/>
    </row>
    <row r="119" spans="1:38" x14ac:dyDescent="0.25">
      <c r="A119" s="382">
        <v>173</v>
      </c>
      <c r="B119" s="390"/>
      <c r="C119" s="390"/>
      <c r="D119" s="390"/>
      <c r="E119" s="390"/>
      <c r="F119" s="390"/>
      <c r="G119" s="390"/>
      <c r="H119" s="390"/>
      <c r="I119" s="111"/>
      <c r="J119" s="390"/>
      <c r="K119" s="390"/>
      <c r="L119" s="390"/>
      <c r="M119" s="390"/>
      <c r="N119" s="390"/>
      <c r="O119" s="390"/>
      <c r="P119" s="390"/>
      <c r="Q119" s="111"/>
      <c r="R119" s="390"/>
      <c r="S119" s="390"/>
      <c r="T119" s="390"/>
      <c r="U119" s="203"/>
      <c r="V119" s="390"/>
      <c r="W119" s="390"/>
      <c r="X119" s="390"/>
      <c r="Y119" s="37"/>
      <c r="Z119" s="387"/>
      <c r="AA119" s="387"/>
      <c r="AB119" s="387"/>
      <c r="AC119" s="387"/>
      <c r="AD119" s="387"/>
      <c r="AE119" s="387"/>
      <c r="AF119" s="387"/>
      <c r="AG119" s="387"/>
      <c r="AH119" s="387"/>
      <c r="AI119" s="387"/>
      <c r="AJ119" s="111"/>
      <c r="AK119" s="38"/>
      <c r="AL119" s="197"/>
    </row>
    <row r="120" spans="1:38" x14ac:dyDescent="0.25">
      <c r="A120" s="385">
        <v>174</v>
      </c>
      <c r="B120" s="131"/>
      <c r="C120" s="131"/>
      <c r="D120" s="155"/>
      <c r="E120" s="1"/>
      <c r="F120" s="121"/>
      <c r="G120" s="118"/>
      <c r="H120" s="118"/>
      <c r="I120" s="37"/>
      <c r="J120" s="118"/>
      <c r="K120" s="118"/>
      <c r="L120" s="121"/>
      <c r="M120" s="118"/>
      <c r="N120" s="118"/>
      <c r="O120" s="118"/>
      <c r="P120" s="172"/>
      <c r="Q120" s="37"/>
      <c r="R120" s="12"/>
      <c r="S120" s="118"/>
      <c r="T120" s="118"/>
      <c r="U120" s="1"/>
      <c r="V120" s="118"/>
      <c r="W120" s="57"/>
      <c r="X120" s="57"/>
      <c r="Y120" s="37"/>
      <c r="Z120" s="118"/>
      <c r="AA120" s="118"/>
      <c r="AB120" s="1"/>
      <c r="AC120" s="1"/>
      <c r="AD120" s="1"/>
      <c r="AE120" s="118"/>
      <c r="AF120" s="118"/>
      <c r="AG120" s="118"/>
      <c r="AH120" s="118"/>
      <c r="AI120" s="118"/>
      <c r="AJ120" s="37"/>
      <c r="AK120" s="38"/>
      <c r="AL120" s="176"/>
    </row>
    <row r="121" spans="1:38" x14ac:dyDescent="0.25">
      <c r="A121" s="385">
        <v>175</v>
      </c>
      <c r="B121" s="155"/>
      <c r="C121" s="131"/>
      <c r="D121" s="12"/>
      <c r="E121" s="121"/>
      <c r="F121" s="120"/>
      <c r="G121" s="121"/>
      <c r="H121" s="121"/>
      <c r="I121" s="37"/>
      <c r="J121" s="121"/>
      <c r="K121" s="121"/>
      <c r="L121" s="121"/>
      <c r="M121" s="121"/>
      <c r="N121" s="121"/>
      <c r="O121" s="120"/>
      <c r="P121" s="205"/>
      <c r="Q121" s="37"/>
      <c r="R121" s="131"/>
      <c r="S121" s="118"/>
      <c r="T121" s="118"/>
      <c r="U121" s="1"/>
      <c r="V121" s="118"/>
      <c r="W121" s="57"/>
      <c r="X121" s="57"/>
      <c r="Y121" s="37"/>
      <c r="Z121" s="118"/>
      <c r="AA121" s="118"/>
      <c r="AB121" s="1"/>
      <c r="AC121" s="1"/>
      <c r="AD121" s="1"/>
      <c r="AE121" s="118"/>
      <c r="AF121" s="118"/>
      <c r="AG121" s="118"/>
      <c r="AH121" s="118"/>
      <c r="AI121" s="118"/>
      <c r="AJ121" s="37"/>
      <c r="AK121" s="38"/>
      <c r="AL121" s="197"/>
    </row>
    <row r="122" spans="1:38" x14ac:dyDescent="0.25">
      <c r="A122" s="385">
        <v>176</v>
      </c>
      <c r="B122" s="390"/>
      <c r="C122" s="390"/>
      <c r="D122" s="390"/>
      <c r="E122" s="390"/>
      <c r="F122" s="390"/>
      <c r="G122" s="390"/>
      <c r="H122" s="390"/>
      <c r="I122" s="111"/>
      <c r="J122" s="390"/>
      <c r="K122" s="390"/>
      <c r="L122" s="390"/>
      <c r="M122" s="390"/>
      <c r="N122" s="390"/>
      <c r="O122" s="390"/>
      <c r="P122" s="390"/>
      <c r="Q122" s="111"/>
      <c r="R122" s="390"/>
      <c r="S122" s="390"/>
      <c r="T122" s="390"/>
      <c r="U122" s="390"/>
      <c r="V122" s="389"/>
      <c r="W122" s="387"/>
      <c r="X122" s="387"/>
      <c r="Y122" s="111"/>
      <c r="Z122" s="387"/>
      <c r="AA122" s="387"/>
      <c r="AB122" s="387"/>
      <c r="AC122" s="387"/>
      <c r="AD122" s="387"/>
      <c r="AE122" s="387"/>
      <c r="AF122" s="387"/>
      <c r="AG122" s="387"/>
      <c r="AH122" s="387"/>
      <c r="AI122" s="387"/>
      <c r="AJ122" s="114"/>
      <c r="AK122" s="44"/>
      <c r="AL122" s="197"/>
    </row>
    <row r="123" spans="1:38" x14ac:dyDescent="0.25">
      <c r="A123" s="385">
        <v>177</v>
      </c>
      <c r="B123" s="390"/>
      <c r="C123" s="155"/>
      <c r="D123" s="131"/>
      <c r="E123" s="118"/>
      <c r="F123" s="118"/>
      <c r="G123" s="118"/>
      <c r="H123" s="118"/>
      <c r="I123" s="37"/>
      <c r="J123" s="120"/>
      <c r="K123" s="118"/>
      <c r="L123" s="1"/>
      <c r="M123" s="118"/>
      <c r="N123" s="118"/>
      <c r="O123" s="118"/>
      <c r="P123" s="172"/>
      <c r="Q123" s="37"/>
      <c r="R123" s="131"/>
      <c r="S123" s="118"/>
      <c r="T123" s="118"/>
      <c r="U123" s="1"/>
      <c r="V123" s="118"/>
      <c r="W123" s="57"/>
      <c r="X123" s="57"/>
      <c r="Y123" s="37"/>
      <c r="Z123" s="387"/>
      <c r="AA123" s="118"/>
      <c r="AB123" s="1"/>
      <c r="AC123" s="1"/>
      <c r="AD123" s="1"/>
      <c r="AE123" s="387"/>
      <c r="AF123" s="118"/>
      <c r="AG123" s="118"/>
      <c r="AH123" s="118"/>
      <c r="AI123" s="118"/>
      <c r="AJ123" s="47"/>
      <c r="AK123" s="48"/>
      <c r="AL123" s="197"/>
    </row>
    <row r="124" spans="1:38" x14ac:dyDescent="0.25">
      <c r="A124" s="385">
        <v>178</v>
      </c>
      <c r="B124" s="390"/>
      <c r="C124" s="155"/>
      <c r="D124" s="121"/>
      <c r="E124" s="121"/>
      <c r="F124" s="121"/>
      <c r="G124" s="121"/>
      <c r="H124" s="121"/>
      <c r="I124" s="37"/>
      <c r="J124" s="121"/>
      <c r="K124" s="118"/>
      <c r="L124" s="161"/>
      <c r="M124" s="121"/>
      <c r="N124" s="121"/>
      <c r="O124" s="120"/>
      <c r="P124" s="205"/>
      <c r="Q124" s="37"/>
      <c r="R124" s="131"/>
      <c r="S124" s="118"/>
      <c r="T124" s="118"/>
      <c r="U124" s="1"/>
      <c r="V124" s="1"/>
      <c r="W124" s="57"/>
      <c r="X124" s="57"/>
      <c r="Y124" s="37"/>
      <c r="Z124" s="118"/>
      <c r="AA124" s="1"/>
      <c r="AB124" s="1"/>
      <c r="AC124" s="1"/>
      <c r="AD124" s="1"/>
      <c r="AE124" s="118"/>
      <c r="AF124" s="118"/>
      <c r="AG124" s="118"/>
      <c r="AH124" s="118"/>
      <c r="AI124" s="118"/>
      <c r="AJ124" s="49"/>
      <c r="AK124" s="48"/>
      <c r="AL124" s="197"/>
    </row>
    <row r="125" spans="1:38" x14ac:dyDescent="0.25">
      <c r="A125" s="385">
        <v>179</v>
      </c>
      <c r="B125" s="390"/>
      <c r="C125" s="155"/>
      <c r="D125" s="390"/>
      <c r="E125" s="1"/>
      <c r="F125" s="390"/>
      <c r="G125" s="390"/>
      <c r="H125" s="118"/>
      <c r="I125" s="37"/>
      <c r="J125" s="118"/>
      <c r="K125" s="118"/>
      <c r="L125" s="118"/>
      <c r="M125" s="121"/>
      <c r="N125" s="1"/>
      <c r="O125" s="118"/>
      <c r="P125" s="172"/>
      <c r="Q125" s="37"/>
      <c r="R125" s="131"/>
      <c r="S125" s="118"/>
      <c r="T125" s="118"/>
      <c r="U125" s="1"/>
      <c r="V125" s="118"/>
      <c r="W125" s="57"/>
      <c r="X125" s="57"/>
      <c r="Y125" s="37"/>
      <c r="Z125" s="118"/>
      <c r="AA125" s="118"/>
      <c r="AB125" s="1"/>
      <c r="AC125" s="1"/>
      <c r="AD125" s="1"/>
      <c r="AE125" s="118"/>
      <c r="AF125" s="118"/>
      <c r="AG125" s="118"/>
      <c r="AH125" s="118"/>
      <c r="AI125" s="118"/>
      <c r="AJ125" s="36"/>
      <c r="AK125" s="14"/>
      <c r="AL125" s="197"/>
    </row>
    <row r="126" spans="1:38" x14ac:dyDescent="0.25">
      <c r="A126" s="385">
        <v>180</v>
      </c>
      <c r="B126" s="390"/>
      <c r="C126" s="390"/>
      <c r="D126" s="390"/>
      <c r="E126" s="390"/>
      <c r="F126" s="390"/>
      <c r="G126" s="118"/>
      <c r="H126" s="390"/>
      <c r="I126" s="37"/>
      <c r="J126" s="118"/>
      <c r="K126" s="390"/>
      <c r="L126" s="390"/>
      <c r="M126" s="390"/>
      <c r="N126" s="390"/>
      <c r="O126" s="390"/>
      <c r="P126" s="390"/>
      <c r="Q126" s="37"/>
      <c r="R126" s="176"/>
      <c r="S126" s="390"/>
      <c r="T126" s="390"/>
      <c r="U126" s="390"/>
      <c r="V126" s="390"/>
      <c r="W126" s="57"/>
      <c r="X126" s="390"/>
      <c r="Y126" s="37"/>
      <c r="Z126" s="387"/>
      <c r="AA126" s="387"/>
      <c r="AB126" s="1"/>
      <c r="AC126" s="387"/>
      <c r="AD126" s="387"/>
      <c r="AE126" s="387"/>
      <c r="AF126" s="387"/>
      <c r="AG126" s="118"/>
      <c r="AH126" s="118"/>
      <c r="AI126" s="118"/>
      <c r="AJ126" s="37"/>
      <c r="AK126" s="38"/>
      <c r="AL126" s="197"/>
    </row>
    <row r="127" spans="1:38" x14ac:dyDescent="0.25">
      <c r="A127" s="385">
        <v>181</v>
      </c>
      <c r="B127" s="131"/>
      <c r="C127" s="155"/>
      <c r="D127" s="131"/>
      <c r="E127" s="121"/>
      <c r="F127" s="118"/>
      <c r="G127" s="118"/>
      <c r="H127" s="121"/>
      <c r="I127" s="37"/>
      <c r="J127" s="118"/>
      <c r="K127" s="118"/>
      <c r="L127" s="118"/>
      <c r="M127" s="390"/>
      <c r="N127" s="121"/>
      <c r="O127" s="120"/>
      <c r="P127" s="205"/>
      <c r="Q127" s="37"/>
      <c r="R127" s="131"/>
      <c r="S127" s="118"/>
      <c r="T127" s="118"/>
      <c r="U127" s="1"/>
      <c r="V127" s="118"/>
      <c r="W127" s="57"/>
      <c r="X127" s="57"/>
      <c r="Y127" s="37"/>
      <c r="Z127" s="118"/>
      <c r="AA127" s="118"/>
      <c r="AB127" s="1"/>
      <c r="AC127" s="1"/>
      <c r="AD127" s="1"/>
      <c r="AE127" s="118"/>
      <c r="AF127" s="118"/>
      <c r="AG127" s="118"/>
      <c r="AH127" s="118"/>
      <c r="AI127" s="118"/>
      <c r="AJ127" s="37"/>
      <c r="AK127" s="38"/>
      <c r="AL127" s="197"/>
    </row>
    <row r="128" spans="1:38" x14ac:dyDescent="0.25">
      <c r="A128" s="385">
        <v>182</v>
      </c>
      <c r="B128" s="390"/>
      <c r="C128" s="121"/>
      <c r="D128" s="121"/>
      <c r="E128" s="121"/>
      <c r="F128" s="121"/>
      <c r="G128" s="121"/>
      <c r="H128" s="121"/>
      <c r="I128" s="37"/>
      <c r="J128" s="121"/>
      <c r="K128" s="121"/>
      <c r="L128" s="121"/>
      <c r="M128" s="121"/>
      <c r="N128" s="121"/>
      <c r="O128" s="120"/>
      <c r="P128" s="172"/>
      <c r="Q128" s="37"/>
      <c r="R128" s="131"/>
      <c r="S128" s="118"/>
      <c r="T128" s="118"/>
      <c r="U128" s="1"/>
      <c r="V128" s="118"/>
      <c r="W128" s="57"/>
      <c r="X128" s="57"/>
      <c r="Y128" s="37"/>
      <c r="Z128" s="118"/>
      <c r="AA128" s="118"/>
      <c r="AB128" s="1"/>
      <c r="AC128" s="1"/>
      <c r="AD128" s="1"/>
      <c r="AE128" s="1"/>
      <c r="AF128" s="118"/>
      <c r="AG128" s="118"/>
      <c r="AH128" s="118"/>
      <c r="AI128" s="118"/>
      <c r="AJ128" s="37"/>
      <c r="AK128" s="38"/>
      <c r="AL128" s="197"/>
    </row>
    <row r="129" spans="1:38" x14ac:dyDescent="0.25">
      <c r="A129" s="385">
        <v>183</v>
      </c>
      <c r="B129" s="390"/>
      <c r="C129" s="131"/>
      <c r="D129" s="131"/>
      <c r="E129" s="118"/>
      <c r="F129" s="118"/>
      <c r="G129" s="390"/>
      <c r="H129" s="390"/>
      <c r="I129" s="37"/>
      <c r="J129" s="118"/>
      <c r="K129" s="118"/>
      <c r="L129" s="118"/>
      <c r="M129" s="118"/>
      <c r="N129" s="121"/>
      <c r="O129" s="390"/>
      <c r="P129" s="172"/>
      <c r="Q129" s="37"/>
      <c r="R129" s="390"/>
      <c r="S129" s="390"/>
      <c r="T129" s="390"/>
      <c r="U129" s="1"/>
      <c r="V129" s="118"/>
      <c r="W129" s="57"/>
      <c r="X129" s="57"/>
      <c r="Y129" s="37"/>
      <c r="Z129" s="118"/>
      <c r="AA129" s="118"/>
      <c r="AB129" s="1"/>
      <c r="AC129" s="1"/>
      <c r="AD129" s="1"/>
      <c r="AE129" s="118"/>
      <c r="AF129" s="118"/>
      <c r="AG129" s="118"/>
      <c r="AH129" s="118"/>
      <c r="AI129" s="118"/>
      <c r="AJ129" s="37"/>
      <c r="AK129" s="38"/>
      <c r="AL129" s="197"/>
    </row>
    <row r="130" spans="1:38" x14ac:dyDescent="0.25">
      <c r="A130" s="385">
        <v>184</v>
      </c>
      <c r="B130" s="155"/>
      <c r="C130" s="135"/>
      <c r="D130" s="121"/>
      <c r="E130" s="121"/>
      <c r="F130" s="118"/>
      <c r="G130" s="121"/>
      <c r="H130" s="390"/>
      <c r="I130" s="37"/>
      <c r="J130" s="390"/>
      <c r="K130" s="371"/>
      <c r="L130" s="121"/>
      <c r="M130" s="121"/>
      <c r="N130" s="121"/>
      <c r="O130" s="121"/>
      <c r="P130" s="172"/>
      <c r="Q130" s="37"/>
      <c r="R130" s="131"/>
      <c r="S130" s="118"/>
      <c r="T130" s="118"/>
      <c r="U130" s="1"/>
      <c r="V130" s="118"/>
      <c r="W130" s="57"/>
      <c r="X130" s="57"/>
      <c r="Y130" s="37"/>
      <c r="Z130" s="118"/>
      <c r="AA130" s="118"/>
      <c r="AB130" s="1"/>
      <c r="AC130" s="1"/>
      <c r="AD130" s="1"/>
      <c r="AE130" s="118"/>
      <c r="AF130" s="118"/>
      <c r="AG130" s="118"/>
      <c r="AH130" s="118"/>
      <c r="AI130" s="118"/>
      <c r="AJ130" s="37"/>
      <c r="AK130" s="38"/>
      <c r="AL130" s="197"/>
    </row>
    <row r="131" spans="1:38" x14ac:dyDescent="0.25">
      <c r="A131" s="385">
        <v>185</v>
      </c>
      <c r="B131" s="390"/>
      <c r="C131" s="155"/>
      <c r="D131" s="135"/>
      <c r="E131" s="1"/>
      <c r="F131" s="390"/>
      <c r="G131" s="118"/>
      <c r="H131" s="390"/>
      <c r="I131" s="37"/>
      <c r="J131" s="390"/>
      <c r="K131" s="118"/>
      <c r="L131" s="118"/>
      <c r="M131" s="118"/>
      <c r="N131" s="131"/>
      <c r="O131" s="1"/>
      <c r="P131" s="172"/>
      <c r="Q131" s="37"/>
      <c r="R131" s="131"/>
      <c r="S131" s="1"/>
      <c r="T131" s="118"/>
      <c r="U131" s="1"/>
      <c r="V131" s="118"/>
      <c r="W131" s="57"/>
      <c r="X131" s="57"/>
      <c r="Y131" s="37"/>
      <c r="Z131" s="1"/>
      <c r="AA131" s="387"/>
      <c r="AB131" s="1"/>
      <c r="AC131" s="1"/>
      <c r="AD131" s="1"/>
      <c r="AE131" s="118"/>
      <c r="AF131" s="118"/>
      <c r="AG131" s="118"/>
      <c r="AH131" s="118"/>
      <c r="AI131" s="118"/>
      <c r="AJ131" s="37"/>
      <c r="AK131" s="38"/>
      <c r="AL131" s="197"/>
    </row>
    <row r="132" spans="1:38" x14ac:dyDescent="0.25">
      <c r="A132" s="385">
        <v>186</v>
      </c>
      <c r="B132" s="131"/>
      <c r="C132" s="131"/>
      <c r="D132" s="155"/>
      <c r="E132" s="118"/>
      <c r="F132" s="390"/>
      <c r="G132" s="121"/>
      <c r="H132" s="121"/>
      <c r="I132" s="37"/>
      <c r="J132" s="121"/>
      <c r="K132" s="121"/>
      <c r="L132" s="121"/>
      <c r="M132" s="121"/>
      <c r="N132" s="121"/>
      <c r="O132" s="120"/>
      <c r="P132" s="172"/>
      <c r="Q132" s="37"/>
      <c r="R132" s="12"/>
      <c r="S132" s="118"/>
      <c r="T132" s="118"/>
      <c r="U132" s="1"/>
      <c r="V132" s="118"/>
      <c r="W132" s="57"/>
      <c r="X132" s="57"/>
      <c r="Y132" s="37"/>
      <c r="Z132" s="118"/>
      <c r="AA132" s="118"/>
      <c r="AB132" s="1"/>
      <c r="AC132" s="1"/>
      <c r="AD132" s="1"/>
      <c r="AE132" s="1"/>
      <c r="AF132" s="118"/>
      <c r="AG132" s="118"/>
      <c r="AH132" s="118"/>
      <c r="AI132" s="118"/>
      <c r="AJ132" s="37"/>
      <c r="AK132" s="38"/>
      <c r="AL132" s="197"/>
    </row>
    <row r="133" spans="1:38" x14ac:dyDescent="0.25">
      <c r="A133" s="385">
        <v>187</v>
      </c>
      <c r="B133" s="390"/>
      <c r="C133" s="390"/>
      <c r="D133" s="390"/>
      <c r="E133" s="390"/>
      <c r="F133" s="390"/>
      <c r="G133" s="390"/>
      <c r="H133" s="390"/>
      <c r="I133" s="111"/>
      <c r="J133" s="390"/>
      <c r="K133" s="390"/>
      <c r="L133" s="390"/>
      <c r="M133" s="390"/>
      <c r="N133" s="390"/>
      <c r="O133" s="390"/>
      <c r="P133" s="390"/>
      <c r="Q133" s="111"/>
      <c r="R133" s="390"/>
      <c r="S133" s="390"/>
      <c r="T133" s="390"/>
      <c r="U133" s="390"/>
      <c r="V133" s="389"/>
      <c r="W133" s="387"/>
      <c r="X133" s="387"/>
      <c r="Y133" s="111"/>
      <c r="Z133" s="387"/>
      <c r="AA133" s="387"/>
      <c r="AB133" s="387"/>
      <c r="AC133" s="387"/>
      <c r="AD133" s="387"/>
      <c r="AE133" s="387"/>
      <c r="AF133" s="387"/>
      <c r="AG133" s="387"/>
      <c r="AH133" s="387"/>
      <c r="AI133" s="387"/>
      <c r="AJ133" s="111"/>
      <c r="AK133" s="38"/>
      <c r="AL133" s="197"/>
    </row>
    <row r="134" spans="1:38" x14ac:dyDescent="0.25">
      <c r="A134" s="385">
        <v>188</v>
      </c>
      <c r="B134" s="131"/>
      <c r="C134" s="12"/>
      <c r="D134" s="131"/>
      <c r="E134" s="118"/>
      <c r="F134" s="390"/>
      <c r="G134" s="121"/>
      <c r="H134" s="121"/>
      <c r="I134" s="37"/>
      <c r="J134" s="121"/>
      <c r="K134" s="121"/>
      <c r="L134" s="121"/>
      <c r="M134" s="121"/>
      <c r="N134" s="130"/>
      <c r="O134" s="118"/>
      <c r="P134" s="172"/>
      <c r="Q134" s="37"/>
      <c r="R134" s="131"/>
      <c r="S134" s="118"/>
      <c r="T134" s="118"/>
      <c r="U134" s="1"/>
      <c r="V134" s="118"/>
      <c r="W134" s="57"/>
      <c r="X134" s="57"/>
      <c r="Y134" s="37"/>
      <c r="Z134" s="118"/>
      <c r="AA134" s="118"/>
      <c r="AB134" s="1"/>
      <c r="AC134" s="1"/>
      <c r="AD134" s="1"/>
      <c r="AE134" s="118"/>
      <c r="AF134" s="118"/>
      <c r="AG134" s="118"/>
      <c r="AH134" s="118"/>
      <c r="AI134" s="118"/>
      <c r="AJ134" s="37"/>
      <c r="AK134" s="38"/>
      <c r="AL134" s="197"/>
    </row>
    <row r="135" spans="1:38" x14ac:dyDescent="0.25">
      <c r="A135" s="385">
        <v>189</v>
      </c>
      <c r="B135" s="155"/>
      <c r="C135" s="390"/>
      <c r="D135" s="131"/>
      <c r="E135" s="118"/>
      <c r="F135" s="121"/>
      <c r="G135" s="118"/>
      <c r="H135" s="121"/>
      <c r="I135" s="37"/>
      <c r="J135" s="118"/>
      <c r="K135" s="1"/>
      <c r="L135" s="1"/>
      <c r="M135" s="118"/>
      <c r="N135" s="118"/>
      <c r="O135" s="118"/>
      <c r="P135" s="172"/>
      <c r="Q135" s="37"/>
      <c r="R135" s="155"/>
      <c r="S135" s="118"/>
      <c r="T135" s="1"/>
      <c r="U135" s="1"/>
      <c r="V135" s="118"/>
      <c r="W135" s="57"/>
      <c r="X135" s="57"/>
      <c r="Y135" s="37"/>
      <c r="Z135" s="118"/>
      <c r="AA135" s="118"/>
      <c r="AB135" s="1"/>
      <c r="AC135" s="1"/>
      <c r="AD135" s="1"/>
      <c r="AE135" s="118"/>
      <c r="AF135" s="1"/>
      <c r="AG135" s="118"/>
      <c r="AH135" s="118"/>
      <c r="AI135" s="118"/>
      <c r="AJ135" s="37"/>
      <c r="AK135" s="38"/>
      <c r="AL135" s="197"/>
    </row>
    <row r="136" spans="1:38" x14ac:dyDescent="0.25">
      <c r="A136" s="385">
        <v>190</v>
      </c>
      <c r="B136" s="390"/>
      <c r="C136" s="155"/>
      <c r="D136" s="135"/>
      <c r="E136" s="118"/>
      <c r="F136" s="1"/>
      <c r="G136" s="121"/>
      <c r="H136" s="1"/>
      <c r="I136" s="37"/>
      <c r="J136" s="121"/>
      <c r="K136" s="121"/>
      <c r="L136" s="390"/>
      <c r="M136" s="390"/>
      <c r="N136" s="121"/>
      <c r="O136" s="121"/>
      <c r="P136" s="172"/>
      <c r="Q136" s="37"/>
      <c r="R136" s="12"/>
      <c r="S136" s="118"/>
      <c r="T136" s="118"/>
      <c r="U136" s="1"/>
      <c r="V136" s="1"/>
      <c r="W136" s="57"/>
      <c r="X136" s="57"/>
      <c r="Y136" s="37"/>
      <c r="Z136" s="118"/>
      <c r="AA136" s="118"/>
      <c r="AB136" s="1"/>
      <c r="AC136" s="1"/>
      <c r="AD136" s="1"/>
      <c r="AE136" s="118"/>
      <c r="AF136" s="118"/>
      <c r="AG136" s="118"/>
      <c r="AH136" s="118"/>
      <c r="AI136" s="118"/>
      <c r="AJ136" s="37"/>
      <c r="AK136" s="38"/>
      <c r="AL136" s="197"/>
    </row>
    <row r="137" spans="1:38" x14ac:dyDescent="0.25">
      <c r="A137" s="385">
        <v>191</v>
      </c>
      <c r="B137" s="131"/>
      <c r="C137" s="121"/>
      <c r="D137" s="155"/>
      <c r="E137" s="121"/>
      <c r="F137" s="121"/>
      <c r="G137" s="121"/>
      <c r="H137" s="121"/>
      <c r="I137" s="37"/>
      <c r="J137" s="121"/>
      <c r="K137" s="121"/>
      <c r="L137" s="121"/>
      <c r="M137" s="121"/>
      <c r="N137" s="121"/>
      <c r="O137" s="118"/>
      <c r="P137" s="172"/>
      <c r="Q137" s="37"/>
      <c r="R137" s="155"/>
      <c r="S137" s="118"/>
      <c r="T137" s="118"/>
      <c r="U137" s="1"/>
      <c r="V137" s="131"/>
      <c r="W137" s="57"/>
      <c r="X137" s="57"/>
      <c r="Y137" s="37"/>
      <c r="Z137" s="118"/>
      <c r="AA137" s="118"/>
      <c r="AB137" s="1"/>
      <c r="AC137" s="1"/>
      <c r="AD137" s="1"/>
      <c r="AE137" s="118"/>
      <c r="AF137" s="1"/>
      <c r="AG137" s="118"/>
      <c r="AH137" s="118"/>
      <c r="AI137" s="118"/>
      <c r="AJ137" s="37"/>
      <c r="AK137" s="38"/>
      <c r="AL137" s="197"/>
    </row>
    <row r="138" spans="1:38" x14ac:dyDescent="0.25">
      <c r="A138" s="385">
        <v>192</v>
      </c>
      <c r="B138" s="131"/>
      <c r="C138" s="155"/>
      <c r="D138" s="121"/>
      <c r="E138" s="121"/>
      <c r="F138" s="121"/>
      <c r="G138" s="121"/>
      <c r="H138" s="121"/>
      <c r="I138" s="37"/>
      <c r="J138" s="390"/>
      <c r="K138" s="390"/>
      <c r="L138" s="390"/>
      <c r="M138" s="390"/>
      <c r="N138" s="390"/>
      <c r="O138" s="390"/>
      <c r="P138" s="390"/>
      <c r="Q138" s="111"/>
      <c r="R138" s="172"/>
      <c r="S138" s="118"/>
      <c r="T138" s="390"/>
      <c r="U138" s="1"/>
      <c r="V138" s="390"/>
      <c r="W138" s="57"/>
      <c r="X138" s="390"/>
      <c r="Y138" s="37"/>
      <c r="Z138" s="387"/>
      <c r="AA138" s="118"/>
      <c r="AB138" s="1"/>
      <c r="AC138" s="1"/>
      <c r="AD138" s="1"/>
      <c r="AE138" s="118"/>
      <c r="AF138" s="118"/>
      <c r="AG138" s="118"/>
      <c r="AH138" s="118"/>
      <c r="AI138" s="118"/>
      <c r="AJ138" s="37"/>
      <c r="AK138" s="38"/>
      <c r="AL138" s="197"/>
    </row>
    <row r="139" spans="1:38" x14ac:dyDescent="0.25">
      <c r="A139" s="385">
        <v>193</v>
      </c>
      <c r="B139" s="131"/>
      <c r="C139" s="135"/>
      <c r="D139" s="131"/>
      <c r="E139" s="121"/>
      <c r="F139" s="118"/>
      <c r="G139" s="118"/>
      <c r="H139" s="118"/>
      <c r="I139" s="37"/>
      <c r="J139" s="121"/>
      <c r="K139" s="121"/>
      <c r="L139" s="118"/>
      <c r="M139" s="118"/>
      <c r="N139" s="118"/>
      <c r="O139" s="118"/>
      <c r="P139" s="172"/>
      <c r="Q139" s="37"/>
      <c r="R139" s="131"/>
      <c r="S139" s="1"/>
      <c r="T139" s="118"/>
      <c r="U139" s="1"/>
      <c r="V139" s="118"/>
      <c r="W139" s="57"/>
      <c r="X139" s="57"/>
      <c r="Y139" s="37"/>
      <c r="Z139" s="118"/>
      <c r="AA139" s="118"/>
      <c r="AB139" s="1"/>
      <c r="AC139" s="1"/>
      <c r="AD139" s="1"/>
      <c r="AE139" s="118"/>
      <c r="AF139" s="118"/>
      <c r="AG139" s="118"/>
      <c r="AH139" s="118"/>
      <c r="AI139" s="118"/>
      <c r="AJ139" s="37"/>
      <c r="AK139" s="38"/>
      <c r="AL139" s="197"/>
    </row>
    <row r="140" spans="1:38" x14ac:dyDescent="0.25">
      <c r="A140" s="385">
        <v>194</v>
      </c>
      <c r="B140" s="135"/>
      <c r="C140" s="155"/>
      <c r="D140" s="121"/>
      <c r="E140" s="118"/>
      <c r="F140" s="121"/>
      <c r="G140" s="118"/>
      <c r="H140" s="118"/>
      <c r="I140" s="37"/>
      <c r="J140" s="118"/>
      <c r="K140" s="1"/>
      <c r="L140" s="118"/>
      <c r="M140" s="118"/>
      <c r="N140" s="12"/>
      <c r="O140" s="120"/>
      <c r="P140" s="172"/>
      <c r="Q140" s="37"/>
      <c r="R140" s="131"/>
      <c r="S140" s="390"/>
      <c r="T140" s="118"/>
      <c r="U140" s="1"/>
      <c r="V140" s="118"/>
      <c r="W140" s="57"/>
      <c r="X140" s="57"/>
      <c r="Y140" s="37"/>
      <c r="Z140" s="118"/>
      <c r="AA140" s="1"/>
      <c r="AB140" s="387"/>
      <c r="AC140" s="1"/>
      <c r="AD140" s="1"/>
      <c r="AE140" s="118"/>
      <c r="AF140" s="118"/>
      <c r="AG140" s="118"/>
      <c r="AH140" s="118"/>
      <c r="AI140" s="118"/>
      <c r="AJ140" s="40"/>
      <c r="AK140" s="41"/>
      <c r="AL140" s="197"/>
    </row>
    <row r="141" spans="1:38" x14ac:dyDescent="0.25">
      <c r="A141" s="385">
        <v>195</v>
      </c>
      <c r="B141" s="131"/>
      <c r="C141" s="135"/>
      <c r="D141" s="121"/>
      <c r="E141" s="118"/>
      <c r="F141" s="121"/>
      <c r="G141" s="121"/>
      <c r="H141" s="121"/>
      <c r="I141" s="37"/>
      <c r="J141" s="121"/>
      <c r="K141" s="121"/>
      <c r="L141" s="371"/>
      <c r="M141" s="121"/>
      <c r="N141" s="121"/>
      <c r="O141" s="161"/>
      <c r="P141" s="172"/>
      <c r="Q141" s="37"/>
      <c r="R141" s="12"/>
      <c r="S141" s="118"/>
      <c r="T141" s="118"/>
      <c r="U141" s="1"/>
      <c r="V141" s="390"/>
      <c r="W141" s="57"/>
      <c r="X141" s="57"/>
      <c r="Y141" s="37"/>
      <c r="Z141" s="118"/>
      <c r="AA141" s="1"/>
      <c r="AB141" s="1"/>
      <c r="AC141" s="1"/>
      <c r="AD141" s="1"/>
      <c r="AE141" s="118"/>
      <c r="AF141" s="118"/>
      <c r="AG141" s="118"/>
      <c r="AH141" s="118"/>
      <c r="AI141" s="118"/>
      <c r="AJ141" s="37"/>
      <c r="AK141" s="38"/>
      <c r="AL141" s="197"/>
    </row>
    <row r="142" spans="1:38" x14ac:dyDescent="0.25">
      <c r="A142" s="385">
        <v>196</v>
      </c>
      <c r="B142" s="12"/>
      <c r="C142" s="155"/>
      <c r="D142" s="121"/>
      <c r="E142" s="121"/>
      <c r="F142" s="121"/>
      <c r="G142" s="121"/>
      <c r="H142" s="121"/>
      <c r="I142" s="37"/>
      <c r="J142" s="121"/>
      <c r="K142" s="120"/>
      <c r="L142" s="121"/>
      <c r="M142" s="121"/>
      <c r="N142" s="121"/>
      <c r="O142" s="390"/>
      <c r="P142" s="390"/>
      <c r="Q142" s="37"/>
      <c r="R142" s="390"/>
      <c r="S142" s="176"/>
      <c r="T142" s="1"/>
      <c r="U142" s="1"/>
      <c r="V142" s="118"/>
      <c r="W142" s="57"/>
      <c r="X142" s="57"/>
      <c r="Y142" s="37"/>
      <c r="Z142" s="118"/>
      <c r="AA142" s="118"/>
      <c r="AB142" s="1"/>
      <c r="AC142" s="1"/>
      <c r="AD142" s="1"/>
      <c r="AE142" s="118"/>
      <c r="AF142" s="118"/>
      <c r="AG142" s="118"/>
      <c r="AH142" s="118"/>
      <c r="AI142" s="118"/>
      <c r="AJ142" s="37"/>
      <c r="AK142" s="38"/>
      <c r="AL142" s="197"/>
    </row>
    <row r="143" spans="1:38" x14ac:dyDescent="0.25">
      <c r="A143" s="385">
        <v>197</v>
      </c>
      <c r="B143" s="131"/>
      <c r="C143" s="155"/>
      <c r="D143" s="155"/>
      <c r="E143" s="118"/>
      <c r="F143" s="121"/>
      <c r="G143" s="118"/>
      <c r="H143" s="121"/>
      <c r="I143" s="37"/>
      <c r="J143" s="12"/>
      <c r="K143" s="118"/>
      <c r="L143" s="121"/>
      <c r="M143" s="118"/>
      <c r="N143" s="118"/>
      <c r="O143" s="121"/>
      <c r="P143" s="172"/>
      <c r="Q143" s="37"/>
      <c r="R143" s="131"/>
      <c r="S143" s="118"/>
      <c r="T143" s="118"/>
      <c r="U143" s="1"/>
      <c r="V143" s="118"/>
      <c r="W143" s="57"/>
      <c r="X143" s="57"/>
      <c r="Y143" s="37"/>
      <c r="Z143" s="118"/>
      <c r="AA143" s="1"/>
      <c r="AB143" s="1"/>
      <c r="AC143" s="1"/>
      <c r="AD143" s="1"/>
      <c r="AE143" s="118"/>
      <c r="AF143" s="1"/>
      <c r="AG143" s="118"/>
      <c r="AH143" s="118"/>
      <c r="AI143" s="118"/>
      <c r="AJ143" s="37"/>
      <c r="AK143" s="38"/>
      <c r="AL143" s="197"/>
    </row>
    <row r="144" spans="1:38" x14ac:dyDescent="0.25">
      <c r="A144" s="385">
        <v>198</v>
      </c>
      <c r="B144" s="131"/>
      <c r="C144" s="121"/>
      <c r="D144" s="121"/>
      <c r="E144" s="121"/>
      <c r="F144" s="121"/>
      <c r="G144" s="121"/>
      <c r="H144" s="121"/>
      <c r="I144" s="37"/>
      <c r="J144" s="121"/>
      <c r="K144" s="371"/>
      <c r="L144" s="121"/>
      <c r="M144" s="121"/>
      <c r="N144" s="121"/>
      <c r="O144" s="121"/>
      <c r="P144" s="172"/>
      <c r="Q144" s="37"/>
      <c r="R144" s="131"/>
      <c r="S144" s="118"/>
      <c r="T144" s="118"/>
      <c r="U144" s="1"/>
      <c r="V144" s="118"/>
      <c r="W144" s="57"/>
      <c r="X144" s="57"/>
      <c r="Y144" s="37"/>
      <c r="Z144" s="118"/>
      <c r="AA144" s="118"/>
      <c r="AB144" s="1"/>
      <c r="AC144" s="1"/>
      <c r="AD144" s="1"/>
      <c r="AE144" s="118"/>
      <c r="AF144" s="118"/>
      <c r="AG144" s="118"/>
      <c r="AH144" s="118"/>
      <c r="AI144" s="118"/>
      <c r="AJ144" s="37"/>
      <c r="AK144" s="38"/>
      <c r="AL144" s="197"/>
    </row>
    <row r="145" spans="1:38" x14ac:dyDescent="0.25">
      <c r="A145" s="385">
        <v>199</v>
      </c>
      <c r="B145" s="131"/>
      <c r="C145" s="131"/>
      <c r="D145" s="12"/>
      <c r="E145" s="1"/>
      <c r="F145" s="118"/>
      <c r="G145" s="1"/>
      <c r="H145" s="118"/>
      <c r="I145" s="37"/>
      <c r="J145" s="118"/>
      <c r="K145" s="118"/>
      <c r="L145" s="135"/>
      <c r="M145" s="121"/>
      <c r="N145" s="121"/>
      <c r="O145" s="118"/>
      <c r="P145" s="172"/>
      <c r="Q145" s="37"/>
      <c r="R145" s="131"/>
      <c r="S145" s="118"/>
      <c r="T145" s="390"/>
      <c r="U145" s="1"/>
      <c r="V145" s="118"/>
      <c r="W145" s="57"/>
      <c r="X145" s="57"/>
      <c r="Y145" s="37"/>
      <c r="Z145" s="118"/>
      <c r="AA145" s="118"/>
      <c r="AB145" s="1"/>
      <c r="AC145" s="387"/>
      <c r="AD145" s="387"/>
      <c r="AE145" s="387"/>
      <c r="AF145" s="193"/>
      <c r="AG145" s="118"/>
      <c r="AH145" s="118"/>
      <c r="AI145" s="118"/>
      <c r="AJ145" s="37"/>
      <c r="AK145" s="38"/>
      <c r="AL145" s="197"/>
    </row>
    <row r="146" spans="1:38" x14ac:dyDescent="0.25">
      <c r="A146" s="385">
        <v>200</v>
      </c>
      <c r="B146" s="390"/>
      <c r="C146" s="390"/>
      <c r="D146" s="390"/>
      <c r="E146" s="390"/>
      <c r="F146" s="390"/>
      <c r="G146" s="390"/>
      <c r="H146" s="390"/>
      <c r="I146" s="111"/>
      <c r="J146" s="390"/>
      <c r="K146" s="390"/>
      <c r="L146" s="390"/>
      <c r="M146" s="390"/>
      <c r="N146" s="390"/>
      <c r="O146" s="390"/>
      <c r="P146" s="390"/>
      <c r="Q146" s="111"/>
      <c r="R146" s="390"/>
      <c r="S146" s="390"/>
      <c r="T146" s="390"/>
      <c r="U146" s="390"/>
      <c r="V146" s="389"/>
      <c r="W146" s="387"/>
      <c r="X146" s="387"/>
      <c r="Y146" s="111"/>
      <c r="Z146" s="387"/>
      <c r="AA146" s="387"/>
      <c r="AB146" s="387"/>
      <c r="AC146" s="387"/>
      <c r="AD146" s="387"/>
      <c r="AE146" s="387"/>
      <c r="AF146" s="387"/>
      <c r="AG146" s="387"/>
      <c r="AH146" s="387"/>
      <c r="AI146" s="387"/>
      <c r="AJ146" s="111"/>
      <c r="AK146" s="38"/>
      <c r="AL146" s="197"/>
    </row>
    <row r="147" spans="1:38" x14ac:dyDescent="0.25">
      <c r="A147" s="385">
        <v>201</v>
      </c>
      <c r="B147" s="12"/>
      <c r="C147" s="121"/>
      <c r="D147" s="121"/>
      <c r="E147" s="1"/>
      <c r="F147" s="118"/>
      <c r="G147" s="121"/>
      <c r="H147" s="118"/>
      <c r="I147" s="37"/>
      <c r="J147" s="118"/>
      <c r="K147" s="121"/>
      <c r="L147" s="121"/>
      <c r="M147" s="121"/>
      <c r="N147" s="118"/>
      <c r="O147" s="118"/>
      <c r="P147" s="172"/>
      <c r="Q147" s="37"/>
      <c r="R147" s="131"/>
      <c r="S147" s="118"/>
      <c r="T147" s="118"/>
      <c r="U147" s="1"/>
      <c r="V147" s="118"/>
      <c r="W147" s="57"/>
      <c r="X147" s="57"/>
      <c r="Y147" s="37"/>
      <c r="Z147" s="118"/>
      <c r="AA147" s="118"/>
      <c r="AB147" s="1"/>
      <c r="AC147" s="1"/>
      <c r="AD147" s="1"/>
      <c r="AE147" s="118"/>
      <c r="AF147" s="118"/>
      <c r="AG147" s="118"/>
      <c r="AH147" s="118"/>
      <c r="AI147" s="118"/>
      <c r="AJ147" s="37"/>
      <c r="AK147" s="38"/>
      <c r="AL147" s="197"/>
    </row>
    <row r="148" spans="1:38" x14ac:dyDescent="0.25">
      <c r="A148" s="385">
        <v>202</v>
      </c>
      <c r="B148" s="121"/>
      <c r="C148" s="121"/>
      <c r="D148" s="155"/>
      <c r="E148" s="1"/>
      <c r="F148" s="121"/>
      <c r="G148" s="121"/>
      <c r="H148" s="390"/>
      <c r="I148" s="37"/>
      <c r="J148" s="118"/>
      <c r="K148" s="118"/>
      <c r="L148" s="118"/>
      <c r="M148" s="121"/>
      <c r="N148" s="57"/>
      <c r="O148" s="118"/>
      <c r="P148" s="172"/>
      <c r="Q148" s="37"/>
      <c r="R148" s="131"/>
      <c r="S148" s="118"/>
      <c r="T148" s="118"/>
      <c r="U148" s="1"/>
      <c r="V148" s="118"/>
      <c r="W148" s="57"/>
      <c r="X148" s="57"/>
      <c r="Y148" s="37"/>
      <c r="Z148" s="387"/>
      <c r="AA148" s="387"/>
      <c r="AB148" s="1"/>
      <c r="AC148" s="387"/>
      <c r="AD148" s="1"/>
      <c r="AE148" s="211"/>
      <c r="AF148" s="387"/>
      <c r="AG148" s="118"/>
      <c r="AH148" s="118"/>
      <c r="AI148" s="118"/>
      <c r="AJ148" s="37"/>
      <c r="AK148" s="38"/>
      <c r="AL148" s="197"/>
    </row>
    <row r="149" spans="1:38" x14ac:dyDescent="0.25">
      <c r="A149" s="385">
        <v>203</v>
      </c>
      <c r="B149" s="390"/>
      <c r="C149" s="155"/>
      <c r="D149" s="121"/>
      <c r="E149" s="121"/>
      <c r="F149" s="121"/>
      <c r="G149" s="121"/>
      <c r="H149" s="121"/>
      <c r="I149" s="37"/>
      <c r="J149" s="121"/>
      <c r="K149" s="121"/>
      <c r="L149" s="121"/>
      <c r="M149" s="121"/>
      <c r="N149" s="121"/>
      <c r="O149" s="121"/>
      <c r="P149" s="205"/>
      <c r="Q149" s="37"/>
      <c r="R149" s="131"/>
      <c r="S149" s="1"/>
      <c r="T149" s="118"/>
      <c r="U149" s="1"/>
      <c r="V149" s="118"/>
      <c r="W149" s="57"/>
      <c r="X149" s="57"/>
      <c r="Y149" s="37"/>
      <c r="Z149" s="118"/>
      <c r="AA149" s="1"/>
      <c r="AB149" s="1"/>
      <c r="AC149" s="1"/>
      <c r="AD149" s="1"/>
      <c r="AE149" s="118"/>
      <c r="AF149" s="118"/>
      <c r="AG149" s="118"/>
      <c r="AH149" s="118"/>
      <c r="AI149" s="118"/>
      <c r="AJ149" s="37"/>
      <c r="AK149" s="38"/>
      <c r="AL149" s="197"/>
    </row>
    <row r="150" spans="1:38" x14ac:dyDescent="0.25">
      <c r="A150" s="383">
        <v>204</v>
      </c>
      <c r="B150" s="155"/>
      <c r="C150" s="155"/>
      <c r="D150" s="121"/>
      <c r="E150" s="121"/>
      <c r="F150" s="1"/>
      <c r="G150" s="121"/>
      <c r="H150" s="1"/>
      <c r="I150" s="37"/>
      <c r="J150" s="121"/>
      <c r="K150" s="118"/>
      <c r="L150" s="118"/>
      <c r="M150" s="118"/>
      <c r="N150" s="118"/>
      <c r="O150" s="120"/>
      <c r="P150" s="172"/>
      <c r="Q150" s="37"/>
      <c r="R150" s="131"/>
      <c r="S150" s="118"/>
      <c r="T150" s="118"/>
      <c r="U150" s="1"/>
      <c r="V150" s="118"/>
      <c r="W150" s="57"/>
      <c r="X150" s="57"/>
      <c r="Y150" s="37"/>
      <c r="Z150" s="118"/>
      <c r="AA150" s="118"/>
      <c r="AB150" s="1"/>
      <c r="AC150" s="1"/>
      <c r="AD150" s="1"/>
      <c r="AE150" s="118"/>
      <c r="AF150" s="118"/>
      <c r="AG150" s="118"/>
      <c r="AH150" s="118"/>
      <c r="AI150" s="118"/>
      <c r="AJ150" s="37"/>
      <c r="AK150" s="38"/>
      <c r="AL150" s="176"/>
    </row>
    <row r="151" spans="1:38" x14ac:dyDescent="0.25">
      <c r="A151" s="383">
        <v>205</v>
      </c>
      <c r="B151" s="155"/>
      <c r="C151" s="121"/>
      <c r="D151" s="121"/>
      <c r="E151" s="121"/>
      <c r="F151" s="121"/>
      <c r="G151" s="121"/>
      <c r="H151" s="121"/>
      <c r="I151" s="37"/>
      <c r="J151" s="121"/>
      <c r="K151" s="121"/>
      <c r="L151" s="121"/>
      <c r="M151" s="121"/>
      <c r="N151" s="121"/>
      <c r="O151" s="121"/>
      <c r="P151" s="172"/>
      <c r="Q151" s="37"/>
      <c r="R151" s="131"/>
      <c r="S151" s="118"/>
      <c r="T151" s="118"/>
      <c r="U151" s="1"/>
      <c r="V151" s="118"/>
      <c r="W151" s="57"/>
      <c r="X151" s="57"/>
      <c r="Y151" s="37"/>
      <c r="Z151" s="118"/>
      <c r="AA151" s="118"/>
      <c r="AB151" s="1"/>
      <c r="AC151" s="1"/>
      <c r="AD151" s="1"/>
      <c r="AE151" s="118"/>
      <c r="AF151" s="118"/>
      <c r="AG151" s="118"/>
      <c r="AH151" s="118"/>
      <c r="AI151" s="118"/>
      <c r="AJ151" s="37"/>
      <c r="AK151" s="38"/>
      <c r="AL151" s="197"/>
    </row>
    <row r="152" spans="1:38" x14ac:dyDescent="0.25">
      <c r="A152" s="383">
        <v>206</v>
      </c>
      <c r="B152" s="131"/>
      <c r="C152" s="121"/>
      <c r="D152" s="121"/>
      <c r="E152" s="118"/>
      <c r="F152" s="121"/>
      <c r="G152" s="121"/>
      <c r="H152" s="118"/>
      <c r="I152" s="37"/>
      <c r="J152" s="121"/>
      <c r="K152" s="121"/>
      <c r="L152" s="121"/>
      <c r="M152" s="121"/>
      <c r="N152" s="121"/>
      <c r="O152" s="121"/>
      <c r="P152" s="172"/>
      <c r="Q152" s="37"/>
      <c r="R152" s="12"/>
      <c r="S152" s="118"/>
      <c r="T152" s="1"/>
      <c r="U152" s="1"/>
      <c r="V152" s="118"/>
      <c r="W152" s="57"/>
      <c r="X152" s="57"/>
      <c r="Y152" s="37"/>
      <c r="Z152" s="1"/>
      <c r="AA152" s="118"/>
      <c r="AB152" s="1"/>
      <c r="AC152" s="1"/>
      <c r="AD152" s="1"/>
      <c r="AE152" s="118"/>
      <c r="AF152" s="1"/>
      <c r="AG152" s="118"/>
      <c r="AH152" s="118"/>
      <c r="AI152" s="118"/>
      <c r="AJ152" s="37"/>
      <c r="AK152" s="38"/>
      <c r="AL152" s="197"/>
    </row>
    <row r="153" spans="1:38" x14ac:dyDescent="0.25">
      <c r="A153" s="383">
        <v>207</v>
      </c>
      <c r="B153" s="155"/>
      <c r="C153" s="390"/>
      <c r="D153" s="155"/>
      <c r="E153" s="121"/>
      <c r="F153" s="121"/>
      <c r="G153" s="121"/>
      <c r="H153" s="118"/>
      <c r="I153" s="37"/>
      <c r="J153" s="121"/>
      <c r="K153" s="121"/>
      <c r="L153" s="121"/>
      <c r="M153" s="121"/>
      <c r="N153" s="121"/>
      <c r="O153" s="120"/>
      <c r="P153" s="172"/>
      <c r="Q153" s="37"/>
      <c r="R153" s="131"/>
      <c r="S153" s="118"/>
      <c r="T153" s="118"/>
      <c r="U153" s="1"/>
      <c r="V153" s="118"/>
      <c r="W153" s="57"/>
      <c r="X153" s="57"/>
      <c r="Y153" s="37"/>
      <c r="Z153" s="118"/>
      <c r="AA153" s="118"/>
      <c r="AB153" s="1"/>
      <c r="AC153" s="1"/>
      <c r="AD153" s="1"/>
      <c r="AE153" s="118"/>
      <c r="AF153" s="118"/>
      <c r="AG153" s="118"/>
      <c r="AH153" s="118"/>
      <c r="AI153" s="118"/>
      <c r="AJ153" s="37"/>
      <c r="AK153" s="38"/>
      <c r="AL153" s="197"/>
    </row>
    <row r="154" spans="1:38" x14ac:dyDescent="0.25">
      <c r="A154" s="383">
        <v>208</v>
      </c>
      <c r="B154" s="131"/>
      <c r="C154" s="135"/>
      <c r="D154" s="155"/>
      <c r="E154" s="121"/>
      <c r="F154" s="118"/>
      <c r="G154" s="118"/>
      <c r="H154" s="118"/>
      <c r="I154" s="37"/>
      <c r="J154" s="118"/>
      <c r="K154" s="118"/>
      <c r="L154" s="118"/>
      <c r="M154" s="121"/>
      <c r="N154" s="118"/>
      <c r="O154" s="118"/>
      <c r="P154" s="172"/>
      <c r="Q154" s="37"/>
      <c r="R154" s="131"/>
      <c r="S154" s="118"/>
      <c r="T154" s="118"/>
      <c r="U154" s="1"/>
      <c r="V154" s="1"/>
      <c r="W154" s="57"/>
      <c r="X154" s="57"/>
      <c r="Y154" s="37"/>
      <c r="Z154" s="118"/>
      <c r="AA154" s="118"/>
      <c r="AB154" s="1"/>
      <c r="AC154" s="1"/>
      <c r="AD154" s="1"/>
      <c r="AE154" s="118"/>
      <c r="AF154" s="118"/>
      <c r="AG154" s="118"/>
      <c r="AH154" s="118"/>
      <c r="AI154" s="118"/>
      <c r="AJ154" s="37"/>
      <c r="AK154" s="38"/>
      <c r="AL154" s="197"/>
    </row>
    <row r="155" spans="1:38" x14ac:dyDescent="0.25">
      <c r="A155" s="383">
        <v>209</v>
      </c>
      <c r="B155" s="155"/>
      <c r="C155" s="155"/>
      <c r="D155" s="121"/>
      <c r="E155" s="121"/>
      <c r="F155" s="121"/>
      <c r="G155" s="121"/>
      <c r="H155" s="121"/>
      <c r="I155" s="37"/>
      <c r="J155" s="121"/>
      <c r="K155" s="121"/>
      <c r="L155" s="121"/>
      <c r="M155" s="121"/>
      <c r="N155" s="121"/>
      <c r="O155" s="121"/>
      <c r="P155" s="205"/>
      <c r="Q155" s="37"/>
      <c r="R155" s="131"/>
      <c r="S155" s="118"/>
      <c r="T155" s="118"/>
      <c r="U155" s="1"/>
      <c r="V155" s="118"/>
      <c r="W155" s="57"/>
      <c r="X155" s="57"/>
      <c r="Y155" s="37"/>
      <c r="Z155" s="118"/>
      <c r="AA155" s="118"/>
      <c r="AB155" s="1"/>
      <c r="AC155" s="1"/>
      <c r="AD155" s="387"/>
      <c r="AE155" s="185"/>
      <c r="AF155" s="118"/>
      <c r="AG155" s="118"/>
      <c r="AH155" s="118"/>
      <c r="AI155" s="118"/>
      <c r="AJ155" s="37"/>
      <c r="AK155" s="38"/>
      <c r="AL155" s="197"/>
    </row>
    <row r="156" spans="1:38" x14ac:dyDescent="0.25">
      <c r="A156" s="383">
        <v>210</v>
      </c>
      <c r="B156" s="131"/>
      <c r="C156" s="135"/>
      <c r="D156" s="121"/>
      <c r="E156" s="121"/>
      <c r="F156" s="1"/>
      <c r="G156" s="121"/>
      <c r="H156" s="121"/>
      <c r="I156" s="37"/>
      <c r="J156" s="121"/>
      <c r="K156" s="121"/>
      <c r="L156" s="390"/>
      <c r="M156" s="121"/>
      <c r="N156" s="121"/>
      <c r="O156" s="120"/>
      <c r="P156" s="205"/>
      <c r="Q156" s="37"/>
      <c r="R156" s="131"/>
      <c r="S156" s="118"/>
      <c r="T156" s="118"/>
      <c r="U156" s="1"/>
      <c r="V156" s="118"/>
      <c r="W156" s="57"/>
      <c r="X156" s="57"/>
      <c r="Y156" s="37"/>
      <c r="Z156" s="118"/>
      <c r="AA156" s="118"/>
      <c r="AB156" s="1"/>
      <c r="AC156" s="1"/>
      <c r="AD156" s="1"/>
      <c r="AE156" s="1"/>
      <c r="AF156" s="118"/>
      <c r="AG156" s="118"/>
      <c r="AH156" s="118"/>
      <c r="AI156" s="118"/>
      <c r="AJ156" s="37"/>
      <c r="AK156" s="38"/>
      <c r="AL156" s="197"/>
    </row>
    <row r="157" spans="1:38" x14ac:dyDescent="0.25">
      <c r="A157" s="383">
        <v>211</v>
      </c>
      <c r="B157" s="155"/>
      <c r="C157" s="155"/>
      <c r="D157" s="121"/>
      <c r="E157" s="121"/>
      <c r="F157" s="118"/>
      <c r="G157" s="121"/>
      <c r="H157" s="118"/>
      <c r="I157" s="37"/>
      <c r="J157" s="121"/>
      <c r="K157" s="121"/>
      <c r="L157" s="121"/>
      <c r="M157" s="121"/>
      <c r="N157" s="121"/>
      <c r="O157" s="121"/>
      <c r="P157" s="172"/>
      <c r="Q157" s="37"/>
      <c r="R157" s="131"/>
      <c r="S157" s="118"/>
      <c r="T157" s="118"/>
      <c r="U157" s="1"/>
      <c r="V157" s="118"/>
      <c r="W157" s="57"/>
      <c r="X157" s="57"/>
      <c r="Y157" s="37"/>
      <c r="Z157" s="118"/>
      <c r="AA157" s="1"/>
      <c r="AB157" s="1"/>
      <c r="AC157" s="1"/>
      <c r="AD157" s="1"/>
      <c r="AE157" s="118"/>
      <c r="AF157" s="1"/>
      <c r="AG157" s="118"/>
      <c r="AH157" s="118"/>
      <c r="AI157" s="118"/>
      <c r="AJ157" s="37"/>
      <c r="AK157" s="38"/>
      <c r="AL157" s="197"/>
    </row>
    <row r="158" spans="1:38" x14ac:dyDescent="0.25">
      <c r="A158" s="383">
        <v>212</v>
      </c>
      <c r="B158" s="121"/>
      <c r="C158" s="155"/>
      <c r="D158" s="390"/>
      <c r="E158" s="118"/>
      <c r="F158" s="118"/>
      <c r="G158" s="118"/>
      <c r="H158" s="121"/>
      <c r="I158" s="37"/>
      <c r="J158" s="121"/>
      <c r="K158" s="121"/>
      <c r="L158" s="121"/>
      <c r="M158" s="121"/>
      <c r="N158" s="121"/>
      <c r="O158" s="120"/>
      <c r="P158" s="172"/>
      <c r="Q158" s="37"/>
      <c r="R158" s="131"/>
      <c r="S158" s="118"/>
      <c r="T158" s="118"/>
      <c r="U158" s="1"/>
      <c r="V158" s="118"/>
      <c r="W158" s="57"/>
      <c r="X158" s="57"/>
      <c r="Y158" s="37"/>
      <c r="Z158" s="118"/>
      <c r="AA158" s="118"/>
      <c r="AB158" s="1"/>
      <c r="AC158" s="1"/>
      <c r="AD158" s="1"/>
      <c r="AE158" s="118"/>
      <c r="AF158" s="118"/>
      <c r="AG158" s="118"/>
      <c r="AH158" s="118"/>
      <c r="AI158" s="118"/>
      <c r="AJ158" s="37"/>
      <c r="AK158" s="38"/>
      <c r="AL158" s="197"/>
    </row>
    <row r="159" spans="1:38" ht="18.75" x14ac:dyDescent="0.3">
      <c r="A159" s="383">
        <v>213</v>
      </c>
      <c r="B159" s="135"/>
      <c r="C159" s="121"/>
      <c r="D159" s="121"/>
      <c r="E159" s="121"/>
      <c r="F159" s="118"/>
      <c r="G159" s="121"/>
      <c r="H159" s="121"/>
      <c r="I159" s="37"/>
      <c r="J159" s="121"/>
      <c r="K159" s="121"/>
      <c r="L159" s="121"/>
      <c r="M159" s="121"/>
      <c r="N159" s="121"/>
      <c r="O159" s="120"/>
      <c r="P159" s="172"/>
      <c r="Q159" s="37"/>
      <c r="R159" s="131"/>
      <c r="S159" s="118"/>
      <c r="T159" s="118"/>
      <c r="U159" s="1"/>
      <c r="V159" s="118"/>
      <c r="W159" s="57"/>
      <c r="X159" s="57"/>
      <c r="Y159" s="37"/>
      <c r="Z159" s="1"/>
      <c r="AA159" s="118"/>
      <c r="AB159" s="1"/>
      <c r="AC159" s="1"/>
      <c r="AD159" s="1"/>
      <c r="AE159" s="118"/>
      <c r="AF159" s="118"/>
      <c r="AG159" s="118"/>
      <c r="AH159" s="118"/>
      <c r="AI159" s="118"/>
      <c r="AJ159" s="37"/>
      <c r="AK159" s="339"/>
      <c r="AL159" s="197"/>
    </row>
    <row r="160" spans="1:38" ht="18.75" x14ac:dyDescent="0.3">
      <c r="A160" s="383">
        <v>214</v>
      </c>
      <c r="B160" s="131"/>
      <c r="C160" s="121"/>
      <c r="D160" s="121"/>
      <c r="E160" s="121"/>
      <c r="F160" s="121"/>
      <c r="G160" s="121"/>
      <c r="H160" s="121"/>
      <c r="I160" s="37"/>
      <c r="J160" s="121"/>
      <c r="K160" s="1"/>
      <c r="L160" s="121"/>
      <c r="M160" s="121"/>
      <c r="N160" s="121"/>
      <c r="O160" s="390"/>
      <c r="P160" s="172"/>
      <c r="Q160" s="37"/>
      <c r="R160" s="131"/>
      <c r="S160" s="118"/>
      <c r="T160" s="118"/>
      <c r="U160" s="1"/>
      <c r="V160" s="118"/>
      <c r="W160" s="57"/>
      <c r="X160" s="57"/>
      <c r="Y160" s="37"/>
      <c r="Z160" s="118"/>
      <c r="AA160" s="118"/>
      <c r="AB160" s="1"/>
      <c r="AC160" s="1"/>
      <c r="AD160" s="1"/>
      <c r="AE160" s="118"/>
      <c r="AF160" s="118"/>
      <c r="AG160" s="118"/>
      <c r="AH160" s="118"/>
      <c r="AI160" s="118"/>
      <c r="AJ160" s="37"/>
      <c r="AK160" s="339"/>
      <c r="AL160" s="197"/>
    </row>
    <row r="161" spans="1:38" ht="18.75" x14ac:dyDescent="0.3">
      <c r="A161" s="383">
        <v>215</v>
      </c>
      <c r="B161" s="131"/>
      <c r="C161" s="135"/>
      <c r="D161" s="121"/>
      <c r="E161" s="121"/>
      <c r="F161" s="118"/>
      <c r="G161" s="121"/>
      <c r="H161" s="121"/>
      <c r="I161" s="37"/>
      <c r="J161" s="121"/>
      <c r="K161" s="121"/>
      <c r="L161" s="121"/>
      <c r="M161" s="121"/>
      <c r="N161" s="121"/>
      <c r="O161" s="121"/>
      <c r="P161" s="172"/>
      <c r="Q161" s="37"/>
      <c r="R161" s="131"/>
      <c r="S161" s="118"/>
      <c r="T161" s="118"/>
      <c r="U161" s="1"/>
      <c r="V161" s="118"/>
      <c r="W161" s="57"/>
      <c r="X161" s="57"/>
      <c r="Y161" s="37"/>
      <c r="Z161" s="118"/>
      <c r="AA161" s="1"/>
      <c r="AB161" s="1"/>
      <c r="AC161" s="1"/>
      <c r="AD161" s="1"/>
      <c r="AE161" s="118"/>
      <c r="AF161" s="118"/>
      <c r="AG161" s="118"/>
      <c r="AH161" s="118"/>
      <c r="AI161" s="118"/>
      <c r="AJ161" s="37"/>
      <c r="AK161" s="339"/>
      <c r="AL161" s="197"/>
    </row>
    <row r="162" spans="1:38" ht="15.75" thickBot="1" x14ac:dyDescent="0.3">
      <c r="A162" s="384">
        <v>216</v>
      </c>
      <c r="B162" s="152"/>
      <c r="C162" s="171"/>
      <c r="D162" s="128"/>
      <c r="E162" s="128"/>
      <c r="F162" s="128"/>
      <c r="G162" s="390"/>
      <c r="H162" s="128"/>
      <c r="I162" s="43"/>
      <c r="J162" s="128"/>
      <c r="K162" s="390"/>
      <c r="L162" s="390"/>
      <c r="M162" s="390"/>
      <c r="N162" s="128"/>
      <c r="O162" s="122"/>
      <c r="P162" s="206"/>
      <c r="Q162" s="43"/>
      <c r="R162" s="152"/>
      <c r="S162" s="119"/>
      <c r="T162" s="119"/>
      <c r="U162" s="123"/>
      <c r="V162" s="119"/>
      <c r="W162" s="178"/>
      <c r="X162" s="178"/>
      <c r="Y162" s="43"/>
      <c r="Z162" s="387"/>
      <c r="AA162" s="119"/>
      <c r="AB162" s="123"/>
      <c r="AC162" s="123"/>
      <c r="AD162" s="123"/>
      <c r="AE162" s="119"/>
      <c r="AF162" s="119"/>
      <c r="AG162" s="119"/>
      <c r="AH162" s="119"/>
      <c r="AI162" s="119"/>
      <c r="AJ162" s="43"/>
      <c r="AK162" s="44"/>
      <c r="AL162" s="204"/>
    </row>
    <row r="163" spans="1:38" ht="18.75" x14ac:dyDescent="0.3">
      <c r="A163" s="281" t="s">
        <v>2</v>
      </c>
      <c r="B163" s="163"/>
      <c r="C163" s="163"/>
      <c r="D163" s="163"/>
      <c r="E163" s="163"/>
      <c r="F163" s="163"/>
      <c r="G163" s="163"/>
      <c r="H163" s="163"/>
      <c r="I163" s="158"/>
      <c r="J163" s="163"/>
      <c r="K163" s="163"/>
      <c r="L163" s="163"/>
      <c r="M163" s="163"/>
      <c r="N163" s="163"/>
      <c r="O163" s="163"/>
      <c r="P163" s="163"/>
      <c r="Q163" s="221"/>
      <c r="R163" s="163"/>
      <c r="S163" s="163"/>
      <c r="T163" s="163"/>
      <c r="U163" s="163"/>
      <c r="V163" s="163"/>
      <c r="W163" s="163"/>
      <c r="X163" s="163"/>
      <c r="Y163" s="221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262"/>
      <c r="AK163" s="263"/>
      <c r="AL163" s="235"/>
    </row>
    <row r="164" spans="1:38" ht="15.75" thickBot="1" x14ac:dyDescent="0.3">
      <c r="A164" s="264"/>
      <c r="B164" s="265"/>
      <c r="C164" s="265"/>
      <c r="D164" s="265"/>
      <c r="E164" s="265"/>
      <c r="F164" s="265"/>
      <c r="G164" s="265"/>
      <c r="H164" s="265"/>
      <c r="I164" s="56"/>
      <c r="J164" s="265"/>
      <c r="K164" s="265"/>
      <c r="L164" s="265"/>
      <c r="M164" s="265"/>
      <c r="N164" s="265"/>
      <c r="O164" s="265"/>
      <c r="P164" s="265"/>
      <c r="Q164" s="56"/>
      <c r="R164" s="265"/>
      <c r="S164" s="265"/>
      <c r="T164" s="265"/>
      <c r="U164" s="265"/>
      <c r="V164" s="265"/>
      <c r="W164" s="265"/>
      <c r="X164" s="265"/>
      <c r="Y164" s="56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56"/>
      <c r="AK164" s="225"/>
      <c r="AL164" s="228"/>
    </row>
    <row r="165" spans="1:38" ht="24" thickBot="1" x14ac:dyDescent="0.4">
      <c r="A165" s="252" t="s">
        <v>203</v>
      </c>
      <c r="B165" s="258"/>
      <c r="C165" s="258"/>
      <c r="D165" s="258"/>
      <c r="E165" s="258"/>
      <c r="F165" s="258"/>
      <c r="G165" s="254"/>
      <c r="H165" s="254"/>
      <c r="I165" s="259"/>
      <c r="J165" s="259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60"/>
      <c r="AK165" s="261"/>
      <c r="AL165" s="255"/>
    </row>
    <row r="166" spans="1:38" ht="15.75" x14ac:dyDescent="0.25">
      <c r="A166" s="320" t="s">
        <v>8</v>
      </c>
      <c r="B166" s="326"/>
      <c r="C166" s="326"/>
      <c r="D166" s="326"/>
      <c r="E166" s="326"/>
      <c r="F166" s="326"/>
      <c r="G166" s="326"/>
      <c r="H166" s="326"/>
      <c r="I166" s="323"/>
      <c r="J166" s="326"/>
      <c r="K166" s="326"/>
      <c r="L166" s="326"/>
      <c r="M166" s="326"/>
      <c r="N166" s="326"/>
      <c r="O166" s="326"/>
      <c r="P166" s="326"/>
      <c r="Q166" s="323"/>
      <c r="R166" s="326"/>
      <c r="S166" s="326"/>
      <c r="T166" s="326"/>
      <c r="U166" s="326"/>
      <c r="V166" s="326"/>
      <c r="W166" s="326"/>
      <c r="X166" s="326"/>
      <c r="Y166" s="323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4"/>
      <c r="AK166" s="325"/>
      <c r="AL166" s="327"/>
    </row>
    <row r="167" spans="1:38" x14ac:dyDescent="0.25">
      <c r="A167" s="67" t="s">
        <v>9</v>
      </c>
      <c r="B167" s="1"/>
      <c r="C167" s="1"/>
      <c r="D167" s="1"/>
      <c r="E167" s="1"/>
      <c r="F167" s="1"/>
      <c r="G167" s="1"/>
      <c r="H167" s="1"/>
      <c r="I167" s="36"/>
      <c r="J167" s="1"/>
      <c r="K167" s="1"/>
      <c r="L167" s="173"/>
      <c r="M167" s="1"/>
      <c r="N167" s="1"/>
      <c r="O167" s="1"/>
      <c r="P167" s="1"/>
      <c r="Q167" s="36"/>
      <c r="R167" s="1"/>
      <c r="S167" s="1"/>
      <c r="T167" s="1"/>
      <c r="U167" s="1"/>
      <c r="V167" s="173"/>
      <c r="W167" s="173"/>
      <c r="X167" s="173"/>
      <c r="Y167" s="36"/>
      <c r="Z167" s="1"/>
      <c r="AA167" s="1"/>
      <c r="AB167" s="173"/>
      <c r="AC167" s="173"/>
      <c r="AD167" s="173"/>
      <c r="AE167" s="1"/>
      <c r="AF167" s="1"/>
      <c r="AG167" s="1"/>
      <c r="AH167" s="1"/>
      <c r="AI167" s="1"/>
      <c r="AJ167" s="37"/>
      <c r="AK167" s="38"/>
      <c r="AL167" s="197"/>
    </row>
    <row r="168" spans="1:38" x14ac:dyDescent="0.25">
      <c r="A168" s="67" t="s">
        <v>10</v>
      </c>
      <c r="B168" s="118"/>
      <c r="C168" s="118"/>
      <c r="D168" s="118"/>
      <c r="E168" s="118"/>
      <c r="F168" s="118"/>
      <c r="G168" s="118"/>
      <c r="H168" s="118"/>
      <c r="I168" s="37"/>
      <c r="J168" s="2"/>
      <c r="K168" s="2"/>
      <c r="L168" s="211"/>
      <c r="M168" s="2"/>
      <c r="N168" s="2"/>
      <c r="O168" s="2"/>
      <c r="P168" s="336"/>
      <c r="Q168" s="37"/>
      <c r="R168" s="118"/>
      <c r="S168" s="118"/>
      <c r="T168" s="118"/>
      <c r="U168" s="2"/>
      <c r="V168" s="211"/>
      <c r="W168" s="211"/>
      <c r="X168" s="211"/>
      <c r="Y168" s="37"/>
      <c r="Z168" s="118"/>
      <c r="AA168" s="118"/>
      <c r="AB168" s="211"/>
      <c r="AC168" s="211"/>
      <c r="AD168" s="211"/>
      <c r="AE168" s="2"/>
      <c r="AF168" s="2"/>
      <c r="AG168" s="2"/>
      <c r="AH168" s="2"/>
      <c r="AI168" s="2"/>
      <c r="AJ168" s="37"/>
      <c r="AK168" s="38"/>
      <c r="AL168" s="197"/>
    </row>
    <row r="169" spans="1:38" ht="18.75" x14ac:dyDescent="0.3">
      <c r="A169" s="67" t="s">
        <v>45</v>
      </c>
      <c r="B169" s="118"/>
      <c r="C169" s="118"/>
      <c r="D169" s="118"/>
      <c r="E169" s="118"/>
      <c r="F169" s="118"/>
      <c r="G169" s="118"/>
      <c r="H169" s="118"/>
      <c r="I169" s="37"/>
      <c r="J169" s="2"/>
      <c r="K169" s="2"/>
      <c r="L169" s="211"/>
      <c r="M169" s="2"/>
      <c r="N169" s="2"/>
      <c r="O169" s="2"/>
      <c r="P169" s="336"/>
      <c r="Q169" s="37"/>
      <c r="R169" s="118"/>
      <c r="S169" s="118"/>
      <c r="T169" s="118"/>
      <c r="U169" s="2"/>
      <c r="V169" s="211"/>
      <c r="W169" s="211"/>
      <c r="X169" s="211"/>
      <c r="Y169" s="37"/>
      <c r="Z169" s="118"/>
      <c r="AA169" s="118"/>
      <c r="AB169" s="211"/>
      <c r="AC169" s="211"/>
      <c r="AD169" s="211"/>
      <c r="AE169" s="2"/>
      <c r="AF169" s="2"/>
      <c r="AG169" s="2"/>
      <c r="AH169" s="2"/>
      <c r="AI169" s="2"/>
      <c r="AJ169" s="37"/>
      <c r="AK169" s="339"/>
      <c r="AL169" s="197"/>
    </row>
    <row r="170" spans="1:38" ht="18.75" x14ac:dyDescent="0.3">
      <c r="A170" s="67" t="s">
        <v>11</v>
      </c>
      <c r="B170" s="118"/>
      <c r="C170" s="118"/>
      <c r="D170" s="118"/>
      <c r="E170" s="118"/>
      <c r="F170" s="118"/>
      <c r="G170" s="118"/>
      <c r="H170" s="118"/>
      <c r="I170" s="37"/>
      <c r="J170" s="2"/>
      <c r="K170" s="118"/>
      <c r="L170" s="211"/>
      <c r="M170" s="118"/>
      <c r="N170" s="118"/>
      <c r="O170" s="2"/>
      <c r="P170" s="1"/>
      <c r="Q170" s="37"/>
      <c r="R170" s="118"/>
      <c r="S170" s="118"/>
      <c r="T170" s="118"/>
      <c r="U170" s="2"/>
      <c r="V170" s="211"/>
      <c r="W170" s="211"/>
      <c r="X170" s="211"/>
      <c r="Y170" s="37"/>
      <c r="Z170" s="118"/>
      <c r="AA170" s="118"/>
      <c r="AB170" s="211"/>
      <c r="AC170" s="211"/>
      <c r="AD170" s="211"/>
      <c r="AE170" s="1"/>
      <c r="AF170" s="2"/>
      <c r="AG170" s="2"/>
      <c r="AH170" s="2"/>
      <c r="AI170" s="2"/>
      <c r="AJ170" s="37"/>
      <c r="AK170" s="339"/>
      <c r="AL170" s="197"/>
    </row>
    <row r="171" spans="1:38" ht="18.75" x14ac:dyDescent="0.3">
      <c r="A171" s="67" t="s">
        <v>12</v>
      </c>
      <c r="B171" s="118"/>
      <c r="C171" s="118"/>
      <c r="D171" s="118"/>
      <c r="E171" s="118"/>
      <c r="F171" s="118"/>
      <c r="G171" s="118"/>
      <c r="H171" s="118"/>
      <c r="I171" s="37"/>
      <c r="J171" s="118"/>
      <c r="K171" s="118"/>
      <c r="L171" s="211"/>
      <c r="M171" s="2"/>
      <c r="N171" s="2"/>
      <c r="O171" s="118"/>
      <c r="P171" s="1"/>
      <c r="Q171" s="37"/>
      <c r="R171" s="118"/>
      <c r="S171" s="118"/>
      <c r="T171" s="118"/>
      <c r="U171" s="1"/>
      <c r="V171" s="211"/>
      <c r="W171" s="211"/>
      <c r="X171" s="211"/>
      <c r="Y171" s="37"/>
      <c r="Z171" s="118"/>
      <c r="AA171" s="118"/>
      <c r="AB171" s="211"/>
      <c r="AC171" s="211"/>
      <c r="AD171" s="211"/>
      <c r="AE171" s="2"/>
      <c r="AF171" s="1"/>
      <c r="AG171" s="2"/>
      <c r="AH171" s="2"/>
      <c r="AI171" s="2"/>
      <c r="AJ171" s="37"/>
      <c r="AK171" s="339"/>
      <c r="AL171" s="197"/>
    </row>
    <row r="172" spans="1:38" ht="15.75" thickBot="1" x14ac:dyDescent="0.3">
      <c r="A172" s="63" t="s">
        <v>79</v>
      </c>
      <c r="B172" s="119"/>
      <c r="C172" s="123"/>
      <c r="D172" s="119"/>
      <c r="E172" s="119"/>
      <c r="F172" s="119"/>
      <c r="G172" s="119"/>
      <c r="H172" s="119"/>
      <c r="I172" s="43"/>
      <c r="J172" s="119"/>
      <c r="K172" s="119"/>
      <c r="L172" s="200"/>
      <c r="M172" s="119"/>
      <c r="N172" s="119"/>
      <c r="O172" s="42"/>
      <c r="P172" s="123"/>
      <c r="Q172" s="43"/>
      <c r="R172" s="119"/>
      <c r="S172" s="119"/>
      <c r="T172" s="119"/>
      <c r="U172" s="42"/>
      <c r="V172" s="200"/>
      <c r="W172" s="200"/>
      <c r="X172" s="200"/>
      <c r="Y172" s="43"/>
      <c r="Z172" s="119"/>
      <c r="AA172" s="119"/>
      <c r="AB172" s="200"/>
      <c r="AC172" s="200"/>
      <c r="AD172" s="200"/>
      <c r="AE172" s="119"/>
      <c r="AF172" s="42"/>
      <c r="AG172" s="42"/>
      <c r="AH172" s="42"/>
      <c r="AI172" s="42"/>
      <c r="AJ172" s="43"/>
      <c r="AK172" s="44"/>
      <c r="AL172" s="204"/>
    </row>
    <row r="173" spans="1:38" s="2" customFormat="1" ht="19.5" thickBot="1" x14ac:dyDescent="0.35">
      <c r="A173" s="281" t="s">
        <v>2</v>
      </c>
      <c r="B173" s="241"/>
      <c r="C173" s="241"/>
      <c r="D173" s="241"/>
      <c r="E173" s="241"/>
      <c r="F173" s="241"/>
      <c r="G173" s="241"/>
      <c r="H173" s="241"/>
      <c r="I173" s="221"/>
      <c r="J173" s="241"/>
      <c r="K173" s="241"/>
      <c r="L173" s="241"/>
      <c r="M173" s="241"/>
      <c r="N173" s="191"/>
      <c r="O173" s="191"/>
      <c r="P173" s="241"/>
      <c r="Q173" s="221"/>
      <c r="R173" s="241"/>
      <c r="S173" s="241"/>
      <c r="T173" s="241"/>
      <c r="U173" s="241"/>
      <c r="V173" s="241"/>
      <c r="W173" s="241"/>
      <c r="X173" s="241"/>
      <c r="Y173" s="221"/>
      <c r="Z173" s="241"/>
      <c r="AA173" s="191"/>
      <c r="AB173" s="241"/>
      <c r="AC173" s="241"/>
      <c r="AD173" s="241"/>
      <c r="AE173" s="241"/>
      <c r="AF173" s="241"/>
      <c r="AG173" s="191"/>
      <c r="AH173" s="191"/>
      <c r="AI173" s="191"/>
      <c r="AJ173" s="262"/>
      <c r="AK173" s="263"/>
      <c r="AL173" s="284"/>
    </row>
    <row r="174" spans="1:38" ht="15.75" thickBot="1" x14ac:dyDescent="0.3">
      <c r="A174" s="264"/>
      <c r="B174" s="348"/>
      <c r="C174" s="348"/>
      <c r="D174" s="348"/>
      <c r="E174" s="348"/>
      <c r="F174" s="348"/>
      <c r="G174" s="348"/>
      <c r="H174" s="348"/>
      <c r="I174" s="56"/>
      <c r="J174" s="348"/>
      <c r="K174" s="348"/>
      <c r="L174" s="348"/>
      <c r="M174" s="348"/>
      <c r="N174" s="348"/>
      <c r="O174" s="348"/>
      <c r="P174" s="348"/>
      <c r="Q174" s="56"/>
      <c r="R174" s="348"/>
      <c r="S174" s="348"/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228"/>
    </row>
    <row r="175" spans="1:38" ht="24" thickBot="1" x14ac:dyDescent="0.4">
      <c r="A175" s="252" t="s">
        <v>204</v>
      </c>
      <c r="B175" s="258"/>
      <c r="C175" s="258"/>
      <c r="D175" s="258"/>
      <c r="E175" s="258"/>
      <c r="F175" s="258"/>
      <c r="G175" s="254"/>
      <c r="H175" s="254"/>
      <c r="I175" s="259"/>
      <c r="J175" s="259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60"/>
      <c r="AK175" s="261"/>
      <c r="AL175" s="260"/>
    </row>
    <row r="176" spans="1:38" ht="15.75" x14ac:dyDescent="0.25">
      <c r="A176" s="320" t="s">
        <v>8</v>
      </c>
      <c r="B176" s="326"/>
      <c r="C176" s="326"/>
      <c r="D176" s="326"/>
      <c r="E176" s="326"/>
      <c r="F176" s="326"/>
      <c r="G176" s="326"/>
      <c r="H176" s="326"/>
      <c r="I176" s="323"/>
      <c r="J176" s="326"/>
      <c r="K176" s="326"/>
      <c r="L176" s="326"/>
      <c r="M176" s="326"/>
      <c r="N176" s="326"/>
      <c r="O176" s="326"/>
      <c r="P176" s="326"/>
      <c r="Q176" s="323"/>
      <c r="R176" s="326"/>
      <c r="S176" s="326"/>
      <c r="T176" s="326"/>
      <c r="U176" s="326"/>
      <c r="V176" s="326"/>
      <c r="W176" s="326"/>
      <c r="X176" s="326"/>
      <c r="Y176" s="323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4"/>
      <c r="AK176" s="325"/>
      <c r="AL176" s="327"/>
    </row>
    <row r="177" spans="1:38" ht="18.75" x14ac:dyDescent="0.3">
      <c r="A177" s="67" t="s">
        <v>29</v>
      </c>
      <c r="B177" s="118"/>
      <c r="C177" s="118"/>
      <c r="D177" s="118"/>
      <c r="E177" s="118"/>
      <c r="F177" s="118"/>
      <c r="G177" s="118"/>
      <c r="H177" s="118"/>
      <c r="I177" s="37"/>
      <c r="J177" s="118"/>
      <c r="K177" s="118"/>
      <c r="L177" s="161"/>
      <c r="M177" s="118"/>
      <c r="N177" s="118"/>
      <c r="O177" s="2"/>
      <c r="P177" s="2"/>
      <c r="Q177" s="37"/>
      <c r="R177" s="161"/>
      <c r="S177" s="118"/>
      <c r="T177" s="118"/>
      <c r="U177" s="118"/>
      <c r="V177" s="118"/>
      <c r="W177" s="57"/>
      <c r="X177" s="57"/>
      <c r="Y177" s="37"/>
      <c r="Z177" s="118"/>
      <c r="AA177" s="118"/>
      <c r="AB177" s="161"/>
      <c r="AC177" s="161"/>
      <c r="AD177" s="161"/>
      <c r="AE177" s="2"/>
      <c r="AF177" s="2"/>
      <c r="AG177" s="2"/>
      <c r="AH177" s="2"/>
      <c r="AI177" s="2"/>
      <c r="AJ177" s="37"/>
      <c r="AK177" s="339"/>
      <c r="AL177" s="197"/>
    </row>
    <row r="178" spans="1:38" ht="18.75" x14ac:dyDescent="0.3">
      <c r="A178" s="67" t="s">
        <v>13</v>
      </c>
      <c r="B178" s="118"/>
      <c r="C178" s="1"/>
      <c r="D178" s="118"/>
      <c r="E178" s="118"/>
      <c r="F178" s="118"/>
      <c r="G178" s="118"/>
      <c r="H178" s="118"/>
      <c r="I178" s="37"/>
      <c r="J178" s="2"/>
      <c r="K178" s="2"/>
      <c r="L178" s="161"/>
      <c r="M178" s="2"/>
      <c r="N178" s="2"/>
      <c r="O178" s="118"/>
      <c r="P178" s="118"/>
      <c r="Q178" s="37"/>
      <c r="R178" s="161"/>
      <c r="S178" s="2"/>
      <c r="T178" s="2"/>
      <c r="U178" s="2"/>
      <c r="V178" s="2"/>
      <c r="W178" s="57"/>
      <c r="X178" s="57"/>
      <c r="Y178" s="37"/>
      <c r="Z178" s="2"/>
      <c r="AA178" s="2"/>
      <c r="AB178" s="161"/>
      <c r="AC178" s="161"/>
      <c r="AD178" s="161"/>
      <c r="AE178" s="1"/>
      <c r="AF178" s="118"/>
      <c r="AG178" s="2"/>
      <c r="AH178" s="2"/>
      <c r="AI178" s="2"/>
      <c r="AJ178" s="37"/>
      <c r="AK178" s="339"/>
      <c r="AL178" s="197"/>
    </row>
    <row r="179" spans="1:38" ht="18.75" x14ac:dyDescent="0.3">
      <c r="A179" s="63" t="s">
        <v>14</v>
      </c>
      <c r="B179" s="119"/>
      <c r="C179" s="119"/>
      <c r="D179" s="119"/>
      <c r="E179" s="119"/>
      <c r="F179" s="119"/>
      <c r="G179" s="119"/>
      <c r="H179" s="119"/>
      <c r="I179" s="43"/>
      <c r="J179" s="42"/>
      <c r="K179" s="42"/>
      <c r="L179" s="177"/>
      <c r="M179" s="42"/>
      <c r="N179" s="42"/>
      <c r="O179" s="42"/>
      <c r="P179" s="42"/>
      <c r="Q179" s="43"/>
      <c r="R179" s="177"/>
      <c r="S179" s="42"/>
      <c r="T179" s="42"/>
      <c r="U179" s="42"/>
      <c r="V179" s="42"/>
      <c r="W179" s="178"/>
      <c r="X179" s="178"/>
      <c r="Y179" s="43"/>
      <c r="Z179" s="42"/>
      <c r="AA179" s="42"/>
      <c r="AB179" s="177"/>
      <c r="AC179" s="177"/>
      <c r="AD179" s="177"/>
      <c r="AE179" s="42"/>
      <c r="AF179" s="42"/>
      <c r="AG179" s="42"/>
      <c r="AH179" s="42"/>
      <c r="AI179" s="42"/>
      <c r="AJ179" s="43"/>
      <c r="AK179" s="342"/>
      <c r="AL179" s="204"/>
    </row>
    <row r="180" spans="1:38" ht="19.5" thickBot="1" x14ac:dyDescent="0.35">
      <c r="A180" s="349"/>
      <c r="B180" s="175"/>
      <c r="C180" s="175"/>
      <c r="D180" s="175"/>
      <c r="E180" s="175"/>
      <c r="F180" s="175"/>
      <c r="G180" s="175"/>
      <c r="H180" s="175"/>
      <c r="I180" s="127"/>
      <c r="J180" s="245"/>
      <c r="K180" s="245"/>
      <c r="L180" s="175"/>
      <c r="M180" s="245"/>
      <c r="N180" s="245"/>
      <c r="O180" s="245"/>
      <c r="P180" s="245"/>
      <c r="Q180" s="45"/>
      <c r="R180" s="175"/>
      <c r="S180" s="245"/>
      <c r="T180" s="245"/>
      <c r="U180" s="245"/>
      <c r="V180" s="245"/>
      <c r="W180" s="175"/>
      <c r="X180" s="175"/>
      <c r="Y180" s="45"/>
      <c r="Z180" s="245"/>
      <c r="AA180" s="245"/>
      <c r="AB180" s="438"/>
      <c r="AC180" s="438"/>
      <c r="AD180" s="438"/>
      <c r="AE180" s="245"/>
      <c r="AF180" s="245"/>
      <c r="AG180" s="245"/>
      <c r="AH180" s="245"/>
      <c r="AI180" s="245"/>
      <c r="AJ180" s="43"/>
      <c r="AK180" s="293"/>
      <c r="AL180" s="204"/>
    </row>
    <row r="181" spans="1:38" ht="18.75" x14ac:dyDescent="0.3">
      <c r="A181" s="281" t="s">
        <v>2</v>
      </c>
      <c r="B181" s="163"/>
      <c r="C181" s="163"/>
      <c r="D181" s="163"/>
      <c r="E181" s="163"/>
      <c r="F181" s="163"/>
      <c r="G181" s="163"/>
      <c r="H181" s="163"/>
      <c r="I181" s="221"/>
      <c r="J181" s="163"/>
      <c r="K181" s="163"/>
      <c r="L181" s="163"/>
      <c r="M181" s="163"/>
      <c r="N181" s="163"/>
      <c r="O181" s="163"/>
      <c r="P181" s="163"/>
      <c r="Q181" s="221"/>
      <c r="R181" s="163"/>
      <c r="S181" s="163"/>
      <c r="T181" s="163"/>
      <c r="U181" s="163"/>
      <c r="V181" s="163"/>
      <c r="W181" s="163"/>
      <c r="X181" s="163"/>
      <c r="Y181" s="221"/>
      <c r="Z181" s="163"/>
      <c r="AA181" s="163"/>
      <c r="AB181" s="163"/>
      <c r="AC181" s="163"/>
      <c r="AD181" s="163"/>
      <c r="AE181" s="163"/>
      <c r="AF181" s="163"/>
      <c r="AG181" s="50"/>
      <c r="AH181" s="50"/>
      <c r="AI181" s="50"/>
      <c r="AJ181" s="262"/>
      <c r="AK181" s="263"/>
      <c r="AL181" s="235"/>
    </row>
    <row r="182" spans="1:38" ht="15.75" thickBot="1" x14ac:dyDescent="0.3">
      <c r="A182" s="264"/>
      <c r="B182" s="265"/>
      <c r="C182" s="265"/>
      <c r="D182" s="265"/>
      <c r="E182" s="265"/>
      <c r="F182" s="265"/>
      <c r="G182" s="265"/>
      <c r="H182" s="265"/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</row>
    <row r="183" spans="1:38" ht="24" thickBot="1" x14ac:dyDescent="0.4">
      <c r="A183" s="252" t="s">
        <v>205</v>
      </c>
      <c r="B183" s="258"/>
      <c r="C183" s="258"/>
      <c r="D183" s="258"/>
      <c r="E183" s="258"/>
      <c r="F183" s="258"/>
      <c r="G183" s="254"/>
      <c r="H183" s="254"/>
      <c r="I183" s="259"/>
      <c r="J183" s="259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60"/>
      <c r="AK183" s="261"/>
      <c r="AL183" s="260"/>
    </row>
    <row r="184" spans="1:38" ht="15.75" x14ac:dyDescent="0.25">
      <c r="A184" s="320" t="s">
        <v>8</v>
      </c>
      <c r="B184" s="326"/>
      <c r="C184" s="326"/>
      <c r="D184" s="326"/>
      <c r="E184" s="326"/>
      <c r="F184" s="326"/>
      <c r="G184" s="326"/>
      <c r="H184" s="326"/>
      <c r="I184" s="323"/>
      <c r="J184" s="326"/>
      <c r="K184" s="326"/>
      <c r="L184" s="326"/>
      <c r="M184" s="326"/>
      <c r="N184" s="326"/>
      <c r="O184" s="326"/>
      <c r="P184" s="326"/>
      <c r="Q184" s="323"/>
      <c r="R184" s="326"/>
      <c r="S184" s="326"/>
      <c r="T184" s="326"/>
      <c r="U184" s="326"/>
      <c r="V184" s="326"/>
      <c r="W184" s="326"/>
      <c r="X184" s="326"/>
      <c r="Y184" s="323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4"/>
      <c r="AK184" s="325"/>
      <c r="AL184" s="327"/>
    </row>
    <row r="185" spans="1:38" x14ac:dyDescent="0.25">
      <c r="A185" s="67" t="s">
        <v>32</v>
      </c>
      <c r="B185" s="118"/>
      <c r="C185" s="118"/>
      <c r="D185" s="1"/>
      <c r="E185" s="1"/>
      <c r="F185" s="118"/>
      <c r="G185" s="118"/>
      <c r="H185" s="118"/>
      <c r="I185" s="37"/>
      <c r="J185" s="118"/>
      <c r="K185" s="2"/>
      <c r="L185" s="1"/>
      <c r="M185" s="1"/>
      <c r="N185" s="1"/>
      <c r="O185" s="2"/>
      <c r="P185" s="2"/>
      <c r="Q185" s="37"/>
      <c r="R185" s="161"/>
      <c r="S185" s="2"/>
      <c r="T185" s="2"/>
      <c r="U185" s="2"/>
      <c r="V185" s="1"/>
      <c r="W185" s="57"/>
      <c r="X185" s="57"/>
      <c r="Y185" s="37"/>
      <c r="Z185" s="2"/>
      <c r="AA185" s="1"/>
      <c r="AB185" s="161"/>
      <c r="AC185" s="161"/>
      <c r="AD185" s="161"/>
      <c r="AE185" s="57"/>
      <c r="AF185" s="161"/>
      <c r="AG185" s="2"/>
      <c r="AH185" s="2"/>
      <c r="AI185" s="2"/>
      <c r="AJ185" s="37"/>
      <c r="AK185" s="38"/>
      <c r="AL185" s="197"/>
    </row>
    <row r="186" spans="1:38" x14ac:dyDescent="0.25">
      <c r="A186" s="67" t="s">
        <v>15</v>
      </c>
      <c r="B186" s="118"/>
      <c r="C186" s="118"/>
      <c r="D186" s="118"/>
      <c r="E186" s="118"/>
      <c r="F186" s="118"/>
      <c r="G186" s="118"/>
      <c r="H186" s="118"/>
      <c r="I186" s="37"/>
      <c r="J186" s="118"/>
      <c r="K186" s="2"/>
      <c r="L186" s="2"/>
      <c r="M186" s="336"/>
      <c r="N186" s="2"/>
      <c r="O186" s="2"/>
      <c r="P186" s="2"/>
      <c r="Q186" s="37"/>
      <c r="R186" s="161"/>
      <c r="S186" s="2"/>
      <c r="T186" s="2"/>
      <c r="U186" s="2"/>
      <c r="V186" s="2"/>
      <c r="W186" s="57"/>
      <c r="X186" s="57"/>
      <c r="Y186" s="37"/>
      <c r="Z186" s="1"/>
      <c r="AA186" s="2"/>
      <c r="AB186" s="161"/>
      <c r="AC186" s="161"/>
      <c r="AD186" s="161"/>
      <c r="AE186" s="161"/>
      <c r="AF186" s="161"/>
      <c r="AG186" s="2"/>
      <c r="AH186" s="2"/>
      <c r="AI186" s="2"/>
      <c r="AJ186" s="37"/>
      <c r="AK186" s="38"/>
      <c r="AL186" s="197"/>
    </row>
    <row r="187" spans="1:38" x14ac:dyDescent="0.25">
      <c r="A187" s="67" t="s">
        <v>34</v>
      </c>
      <c r="B187" s="118"/>
      <c r="C187" s="118"/>
      <c r="D187" s="118"/>
      <c r="E187" s="118"/>
      <c r="F187" s="118"/>
      <c r="G187" s="118"/>
      <c r="H187" s="118"/>
      <c r="I187" s="37"/>
      <c r="J187" s="118"/>
      <c r="K187" s="2"/>
      <c r="L187" s="2"/>
      <c r="M187" s="336"/>
      <c r="N187" s="2"/>
      <c r="O187" s="2"/>
      <c r="P187" s="2"/>
      <c r="Q187" s="37"/>
      <c r="R187" s="161"/>
      <c r="S187" s="2"/>
      <c r="T187" s="2"/>
      <c r="U187" s="2"/>
      <c r="V187" s="2"/>
      <c r="W187" s="57"/>
      <c r="X187" s="57"/>
      <c r="Y187" s="37"/>
      <c r="Z187" s="2"/>
      <c r="AA187" s="2"/>
      <c r="AB187" s="161"/>
      <c r="AC187" s="161"/>
      <c r="AD187" s="161"/>
      <c r="AE187" s="161"/>
      <c r="AF187" s="161"/>
      <c r="AG187" s="2"/>
      <c r="AH187" s="2"/>
      <c r="AI187" s="2"/>
      <c r="AJ187" s="37"/>
      <c r="AK187" s="38"/>
      <c r="AL187" s="197"/>
    </row>
    <row r="188" spans="1:38" x14ac:dyDescent="0.25">
      <c r="A188" s="67" t="s">
        <v>31</v>
      </c>
      <c r="B188" s="1"/>
      <c r="C188" s="118"/>
      <c r="D188" s="118"/>
      <c r="E188" s="118"/>
      <c r="F188" s="118"/>
      <c r="G188" s="118"/>
      <c r="H188" s="118"/>
      <c r="I188" s="37"/>
      <c r="J188" s="118"/>
      <c r="K188" s="2"/>
      <c r="L188" s="2"/>
      <c r="M188" s="336"/>
      <c r="N188" s="2"/>
      <c r="O188" s="2"/>
      <c r="P188" s="2"/>
      <c r="Q188" s="37"/>
      <c r="R188" s="161"/>
      <c r="S188" s="2"/>
      <c r="T188" s="2"/>
      <c r="U188" s="2"/>
      <c r="V188" s="2"/>
      <c r="W188" s="57"/>
      <c r="X188" s="57"/>
      <c r="Y188" s="37"/>
      <c r="Z188" s="2"/>
      <c r="AA188" s="2"/>
      <c r="AB188" s="161"/>
      <c r="AC188" s="161"/>
      <c r="AD188" s="161"/>
      <c r="AE188" s="161"/>
      <c r="AF188" s="161"/>
      <c r="AG188" s="2"/>
      <c r="AH188" s="2"/>
      <c r="AI188" s="2"/>
      <c r="AJ188" s="37"/>
      <c r="AK188" s="38"/>
      <c r="AL188" s="197"/>
    </row>
    <row r="189" spans="1:38" x14ac:dyDescent="0.25">
      <c r="A189" s="67" t="s">
        <v>30</v>
      </c>
      <c r="B189" s="118"/>
      <c r="C189" s="118"/>
      <c r="D189" s="118"/>
      <c r="E189" s="118"/>
      <c r="F189" s="118"/>
      <c r="G189" s="118"/>
      <c r="H189" s="118"/>
      <c r="I189" s="37"/>
      <c r="J189" s="118"/>
      <c r="K189" s="2"/>
      <c r="L189" s="2"/>
      <c r="M189" s="336"/>
      <c r="N189" s="2"/>
      <c r="O189" s="2"/>
      <c r="P189" s="2"/>
      <c r="Q189" s="37"/>
      <c r="R189" s="161"/>
      <c r="S189" s="2"/>
      <c r="T189" s="2"/>
      <c r="U189" s="2"/>
      <c r="V189" s="2"/>
      <c r="W189" s="57"/>
      <c r="X189" s="57"/>
      <c r="Y189" s="37"/>
      <c r="Z189" s="2"/>
      <c r="AA189" s="2"/>
      <c r="AB189" s="161"/>
      <c r="AC189" s="161"/>
      <c r="AD189" s="161"/>
      <c r="AE189" s="161"/>
      <c r="AF189" s="161"/>
      <c r="AG189" s="2"/>
      <c r="AH189" s="2"/>
      <c r="AI189" s="2"/>
      <c r="AJ189" s="37"/>
      <c r="AK189" s="38"/>
      <c r="AL189" s="197"/>
    </row>
    <row r="190" spans="1:38" x14ac:dyDescent="0.25">
      <c r="A190" s="67" t="s">
        <v>17</v>
      </c>
      <c r="B190" s="118"/>
      <c r="C190" s="118"/>
      <c r="D190" s="118"/>
      <c r="E190" s="118"/>
      <c r="F190" s="118"/>
      <c r="G190" s="118"/>
      <c r="H190" s="118"/>
      <c r="I190" s="37"/>
      <c r="J190" s="118"/>
      <c r="K190" s="118"/>
      <c r="L190" s="118"/>
      <c r="M190" s="336"/>
      <c r="N190" s="118"/>
      <c r="O190" s="118"/>
      <c r="P190" s="118"/>
      <c r="Q190" s="37"/>
      <c r="R190" s="161"/>
      <c r="S190" s="118"/>
      <c r="T190" s="118"/>
      <c r="U190" s="118"/>
      <c r="V190" s="2"/>
      <c r="W190" s="57"/>
      <c r="X190" s="57"/>
      <c r="Y190" s="37"/>
      <c r="Z190" s="118"/>
      <c r="AA190" s="2"/>
      <c r="AB190" s="161"/>
      <c r="AC190" s="161"/>
      <c r="AD190" s="161"/>
      <c r="AE190" s="161"/>
      <c r="AF190" s="161"/>
      <c r="AG190" s="2"/>
      <c r="AH190" s="2"/>
      <c r="AI190" s="2"/>
      <c r="AJ190" s="37"/>
      <c r="AK190" s="38"/>
      <c r="AL190" s="197"/>
    </row>
    <row r="191" spans="1:38" ht="18.75" x14ac:dyDescent="0.3">
      <c r="A191" s="67" t="s">
        <v>16</v>
      </c>
      <c r="B191" s="118"/>
      <c r="C191" s="118"/>
      <c r="D191" s="118"/>
      <c r="E191" s="118"/>
      <c r="F191" s="118"/>
      <c r="G191" s="118"/>
      <c r="H191" s="118"/>
      <c r="I191" s="37"/>
      <c r="J191" s="118"/>
      <c r="K191" s="2"/>
      <c r="L191" s="118"/>
      <c r="M191" s="336"/>
      <c r="N191" s="2"/>
      <c r="O191" s="2"/>
      <c r="P191" s="2"/>
      <c r="Q191" s="37"/>
      <c r="R191" s="161"/>
      <c r="S191" s="2"/>
      <c r="T191" s="2"/>
      <c r="U191" s="118"/>
      <c r="V191" s="2"/>
      <c r="W191" s="57"/>
      <c r="X191" s="57"/>
      <c r="Y191" s="37"/>
      <c r="Z191" s="2"/>
      <c r="AA191" s="2"/>
      <c r="AB191" s="161"/>
      <c r="AC191" s="161"/>
      <c r="AD191" s="161"/>
      <c r="AE191" s="161"/>
      <c r="AF191" s="161"/>
      <c r="AG191" s="2"/>
      <c r="AH191" s="2"/>
      <c r="AI191" s="2"/>
      <c r="AJ191" s="37"/>
      <c r="AK191" s="339"/>
      <c r="AL191" s="197"/>
    </row>
    <row r="192" spans="1:38" ht="18.75" x14ac:dyDescent="0.3">
      <c r="A192" s="67" t="s">
        <v>33</v>
      </c>
      <c r="B192" s="119"/>
      <c r="C192" s="119"/>
      <c r="D192" s="119"/>
      <c r="E192" s="119"/>
      <c r="F192" s="119"/>
      <c r="G192" s="119"/>
      <c r="H192" s="119"/>
      <c r="I192" s="43"/>
      <c r="J192" s="119"/>
      <c r="K192" s="42"/>
      <c r="L192" s="42"/>
      <c r="M192" s="366"/>
      <c r="N192" s="42"/>
      <c r="O192" s="42"/>
      <c r="P192" s="42"/>
      <c r="Q192" s="43"/>
      <c r="R192" s="177"/>
      <c r="S192" s="42"/>
      <c r="T192" s="42"/>
      <c r="U192" s="42"/>
      <c r="V192" s="42"/>
      <c r="W192" s="178"/>
      <c r="X192" s="178"/>
      <c r="Y192" s="43"/>
      <c r="Z192" s="42"/>
      <c r="AA192" s="42"/>
      <c r="AB192" s="177"/>
      <c r="AC192" s="177"/>
      <c r="AD192" s="178"/>
      <c r="AE192" s="177"/>
      <c r="AF192" s="177"/>
      <c r="AG192" s="42"/>
      <c r="AH192" s="42"/>
      <c r="AI192" s="42"/>
      <c r="AJ192" s="43"/>
      <c r="AK192" s="342"/>
      <c r="AL192" s="204"/>
    </row>
    <row r="193" spans="1:38" ht="18.75" x14ac:dyDescent="0.3">
      <c r="A193" s="63" t="s">
        <v>18</v>
      </c>
      <c r="B193" s="135"/>
      <c r="C193" s="135"/>
      <c r="D193" s="135"/>
      <c r="E193" s="135"/>
      <c r="F193" s="135"/>
      <c r="G193" s="135"/>
      <c r="H193" s="135"/>
      <c r="I193" s="47"/>
      <c r="J193" s="135"/>
      <c r="K193" s="124"/>
      <c r="L193" s="124"/>
      <c r="M193" s="124"/>
      <c r="N193" s="124"/>
      <c r="O193" s="124"/>
      <c r="P193" s="124"/>
      <c r="Q193" s="47"/>
      <c r="R193" s="135"/>
      <c r="S193" s="124"/>
      <c r="T193" s="135"/>
      <c r="U193" s="124"/>
      <c r="V193" s="124"/>
      <c r="W193" s="135"/>
      <c r="X193" s="135"/>
      <c r="Y193" s="47"/>
      <c r="Z193" s="124"/>
      <c r="AA193" s="124"/>
      <c r="AB193" s="135"/>
      <c r="AC193" s="135"/>
      <c r="AD193" s="135"/>
      <c r="AE193" s="135"/>
      <c r="AF193" s="135"/>
      <c r="AG193" s="124"/>
      <c r="AH193" s="124"/>
      <c r="AI193" s="124"/>
      <c r="AJ193" s="37"/>
      <c r="AK193" s="378"/>
      <c r="AL193" s="197"/>
    </row>
    <row r="194" spans="1:38" x14ac:dyDescent="0.25">
      <c r="A194" s="63" t="s">
        <v>19</v>
      </c>
      <c r="B194" s="132"/>
      <c r="C194" s="132"/>
      <c r="D194" s="132"/>
      <c r="E194" s="132"/>
      <c r="F194" s="132"/>
      <c r="G194" s="132"/>
      <c r="H194" s="132"/>
      <c r="I194" s="43"/>
      <c r="J194" s="132"/>
      <c r="K194" s="132"/>
      <c r="L194" s="132"/>
      <c r="M194" s="151"/>
      <c r="N194" s="132"/>
      <c r="O194" s="132"/>
      <c r="P194" s="132"/>
      <c r="Q194" s="43"/>
      <c r="R194" s="164"/>
      <c r="S194" s="132"/>
      <c r="T194" s="132"/>
      <c r="U194" s="132"/>
      <c r="V194" s="132"/>
      <c r="W194" s="162"/>
      <c r="X194" s="162"/>
      <c r="Y194" s="43"/>
      <c r="Z194" s="132"/>
      <c r="AA194" s="132"/>
      <c r="AB194" s="164"/>
      <c r="AC194" s="164"/>
      <c r="AD194" s="164"/>
      <c r="AE194" s="164"/>
      <c r="AF194" s="164"/>
      <c r="AG194" s="132"/>
      <c r="AH194" s="132"/>
      <c r="AI194" s="132"/>
      <c r="AJ194" s="43"/>
      <c r="AK194" s="293"/>
      <c r="AL194" s="204"/>
    </row>
    <row r="195" spans="1:38" x14ac:dyDescent="0.25">
      <c r="A195" s="67" t="s">
        <v>102</v>
      </c>
      <c r="B195" s="112"/>
      <c r="C195" s="112"/>
      <c r="D195" s="112"/>
      <c r="E195" s="112"/>
      <c r="F195" s="112"/>
      <c r="G195" s="112"/>
      <c r="H195" s="112"/>
      <c r="I195" s="37"/>
      <c r="J195" s="112"/>
      <c r="K195" s="112"/>
      <c r="L195" s="112"/>
      <c r="M195" s="113"/>
      <c r="N195" s="112"/>
      <c r="O195" s="112"/>
      <c r="P195" s="112"/>
      <c r="Q195" s="37"/>
      <c r="R195" s="18"/>
      <c r="S195" s="112"/>
      <c r="T195" s="112"/>
      <c r="U195" s="112"/>
      <c r="V195" s="112"/>
      <c r="W195" s="115"/>
      <c r="X195" s="115"/>
      <c r="Y195" s="37"/>
      <c r="Z195" s="112"/>
      <c r="AA195" s="112"/>
      <c r="AB195" s="18"/>
      <c r="AC195" s="18"/>
      <c r="AD195" s="18"/>
      <c r="AE195" s="18"/>
      <c r="AF195" s="18"/>
      <c r="AG195" s="337"/>
      <c r="AH195" s="112"/>
      <c r="AI195" s="112"/>
      <c r="AJ195" s="37"/>
      <c r="AK195" s="3"/>
      <c r="AL195" s="197"/>
    </row>
    <row r="196" spans="1:38" s="2" customFormat="1" ht="18.75" x14ac:dyDescent="0.3">
      <c r="A196" s="402" t="s">
        <v>2</v>
      </c>
      <c r="B196" s="199"/>
      <c r="C196" s="199"/>
      <c r="D196" s="199"/>
      <c r="E196" s="199"/>
      <c r="F196" s="199"/>
      <c r="G196" s="199"/>
      <c r="H196" s="199"/>
      <c r="I196" s="440"/>
      <c r="J196" s="199"/>
      <c r="K196" s="199"/>
      <c r="L196" s="199"/>
      <c r="M196" s="199"/>
      <c r="N196" s="199"/>
      <c r="O196" s="199"/>
      <c r="P196" s="199"/>
      <c r="Q196" s="440"/>
      <c r="R196" s="199"/>
      <c r="S196" s="199"/>
      <c r="T196" s="199"/>
      <c r="U196" s="199"/>
      <c r="V196" s="199"/>
      <c r="W196" s="199"/>
      <c r="X196" s="199"/>
      <c r="Y196" s="440"/>
      <c r="Z196" s="199"/>
      <c r="AA196" s="199"/>
      <c r="AB196" s="199"/>
      <c r="AC196" s="199"/>
      <c r="AD196" s="199"/>
      <c r="AE196" s="199"/>
      <c r="AF196" s="199"/>
      <c r="AG196" s="199"/>
      <c r="AH196" s="199"/>
      <c r="AI196" s="199"/>
      <c r="AJ196" s="439"/>
      <c r="AK196" s="441"/>
      <c r="AL196" s="442"/>
    </row>
    <row r="197" spans="1:38" ht="15.75" thickBot="1" x14ac:dyDescent="0.3">
      <c r="A197" s="264"/>
      <c r="B197" s="265"/>
      <c r="C197" s="265"/>
      <c r="D197" s="265"/>
      <c r="E197" s="265"/>
      <c r="F197" s="265"/>
      <c r="G197" s="265"/>
      <c r="H197" s="265"/>
      <c r="I197" s="56"/>
      <c r="J197" s="265"/>
      <c r="K197" s="265"/>
      <c r="L197" s="265"/>
      <c r="M197" s="265"/>
      <c r="N197" s="265"/>
      <c r="O197" s="265"/>
      <c r="P197" s="265"/>
      <c r="Q197" s="56"/>
      <c r="R197" s="265"/>
      <c r="S197" s="265"/>
      <c r="T197" s="265"/>
      <c r="U197" s="265"/>
      <c r="V197" s="265"/>
      <c r="W197" s="265"/>
      <c r="X197" s="265"/>
      <c r="Y197" s="56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56"/>
      <c r="AK197" s="225"/>
      <c r="AL197" s="228"/>
    </row>
    <row r="198" spans="1:38" ht="24" thickBot="1" x14ac:dyDescent="0.4">
      <c r="A198" s="294" t="s">
        <v>206</v>
      </c>
      <c r="B198" s="295"/>
      <c r="C198" s="295"/>
      <c r="D198" s="295"/>
      <c r="E198" s="295"/>
      <c r="F198" s="295"/>
      <c r="G198" s="296"/>
      <c r="H198" s="297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8"/>
      <c r="AA198" s="298"/>
      <c r="AB198" s="298"/>
      <c r="AC198" s="298"/>
      <c r="AD198" s="298"/>
      <c r="AE198" s="298"/>
      <c r="AF198" s="298"/>
      <c r="AG198" s="298"/>
      <c r="AH198" s="298"/>
      <c r="AI198" s="298"/>
      <c r="AJ198" s="299"/>
      <c r="AK198" s="300"/>
      <c r="AL198" s="301"/>
    </row>
    <row r="199" spans="1:38" ht="16.5" thickBot="1" x14ac:dyDescent="0.3">
      <c r="A199" s="319" t="s">
        <v>80</v>
      </c>
      <c r="B199" s="328"/>
      <c r="C199" s="328"/>
      <c r="D199" s="328"/>
      <c r="E199" s="328"/>
      <c r="F199" s="328"/>
      <c r="G199" s="328"/>
      <c r="H199" s="328"/>
      <c r="I199" s="329"/>
      <c r="J199" s="328"/>
      <c r="K199" s="328"/>
      <c r="L199" s="328"/>
      <c r="M199" s="328"/>
      <c r="N199" s="328"/>
      <c r="O199" s="328"/>
      <c r="P199" s="328"/>
      <c r="Q199" s="329"/>
      <c r="R199" s="328"/>
      <c r="S199" s="328"/>
      <c r="T199" s="328"/>
      <c r="U199" s="328"/>
      <c r="V199" s="328"/>
      <c r="W199" s="328"/>
      <c r="X199" s="328"/>
      <c r="Y199" s="329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9"/>
      <c r="AK199" s="345"/>
      <c r="AL199" s="331"/>
    </row>
    <row r="200" spans="1:38" ht="18.75" x14ac:dyDescent="0.3">
      <c r="A200" s="347" t="s">
        <v>81</v>
      </c>
      <c r="B200" s="303"/>
      <c r="C200" s="303"/>
      <c r="D200" s="303"/>
      <c r="E200" s="303"/>
      <c r="F200" s="303"/>
      <c r="G200" s="303"/>
      <c r="H200" s="303"/>
      <c r="I200" s="304"/>
      <c r="J200" s="303"/>
      <c r="K200" s="303"/>
      <c r="L200" s="303"/>
      <c r="M200" s="303"/>
      <c r="N200" s="303"/>
      <c r="O200" s="303"/>
      <c r="P200" s="303"/>
      <c r="Q200" s="304"/>
      <c r="R200" s="303"/>
      <c r="S200" s="303"/>
      <c r="T200" s="303"/>
      <c r="U200" s="303"/>
      <c r="V200" s="303"/>
      <c r="W200" s="411"/>
      <c r="X200" s="411"/>
      <c r="Y200" s="304"/>
      <c r="Z200" s="303"/>
      <c r="AA200" s="303"/>
      <c r="AB200" s="303"/>
      <c r="AC200" s="303"/>
      <c r="AD200" s="303"/>
      <c r="AE200" s="303"/>
      <c r="AF200" s="303"/>
      <c r="AG200" s="303"/>
      <c r="AH200" s="303"/>
      <c r="AI200" s="303"/>
      <c r="AJ200" s="305"/>
      <c r="AK200" s="343"/>
      <c r="AL200" s="207"/>
    </row>
    <row r="201" spans="1:38" ht="18.75" x14ac:dyDescent="0.3">
      <c r="A201" s="63" t="s">
        <v>82</v>
      </c>
      <c r="B201" s="119"/>
      <c r="C201" s="119"/>
      <c r="D201" s="119"/>
      <c r="E201" s="119"/>
      <c r="F201" s="119"/>
      <c r="G201" s="119"/>
      <c r="H201" s="119"/>
      <c r="I201" s="43"/>
      <c r="J201" s="42"/>
      <c r="K201" s="42"/>
      <c r="L201" s="42"/>
      <c r="M201" s="42"/>
      <c r="N201" s="42"/>
      <c r="O201" s="42"/>
      <c r="P201" s="42"/>
      <c r="Q201" s="43"/>
      <c r="R201" s="42"/>
      <c r="S201" s="42"/>
      <c r="T201" s="42"/>
      <c r="U201" s="42"/>
      <c r="V201" s="42"/>
      <c r="W201" s="177"/>
      <c r="X201" s="177"/>
      <c r="Y201" s="43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3"/>
      <c r="AK201" s="379"/>
      <c r="AL201" s="204"/>
    </row>
    <row r="202" spans="1:38" ht="23.25" x14ac:dyDescent="0.35">
      <c r="A202" s="195"/>
      <c r="B202" s="135"/>
      <c r="C202" s="135"/>
      <c r="D202" s="135"/>
      <c r="E202" s="135"/>
      <c r="F202" s="135"/>
      <c r="G202" s="135"/>
      <c r="H202" s="135"/>
      <c r="I202" s="157"/>
      <c r="J202" s="124"/>
      <c r="K202" s="124"/>
      <c r="L202" s="124"/>
      <c r="M202" s="124"/>
      <c r="N202" s="124"/>
      <c r="O202" s="124"/>
      <c r="P202" s="124"/>
      <c r="Q202" s="47"/>
      <c r="R202" s="124"/>
      <c r="S202" s="124"/>
      <c r="T202" s="124"/>
      <c r="U202" s="124"/>
      <c r="V202" s="124"/>
      <c r="W202" s="135"/>
      <c r="X202" s="135"/>
      <c r="Y202" s="47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47"/>
      <c r="AK202" s="422"/>
      <c r="AL202" s="292"/>
    </row>
    <row r="203" spans="1:38" ht="16.5" thickBot="1" x14ac:dyDescent="0.3">
      <c r="A203" s="63"/>
      <c r="B203" s="132"/>
      <c r="C203" s="132"/>
      <c r="D203" s="132"/>
      <c r="E203" s="132"/>
      <c r="F203" s="132"/>
      <c r="G203" s="132"/>
      <c r="H203" s="132"/>
      <c r="I203" s="43"/>
      <c r="J203" s="132"/>
      <c r="K203" s="132"/>
      <c r="L203" s="132"/>
      <c r="M203" s="132"/>
      <c r="N203" s="132"/>
      <c r="O203" s="132"/>
      <c r="P203" s="132"/>
      <c r="Q203" s="43"/>
      <c r="R203" s="132"/>
      <c r="S203" s="132"/>
      <c r="T203" s="132"/>
      <c r="U203" s="132"/>
      <c r="V203" s="132"/>
      <c r="W203" s="164"/>
      <c r="X203" s="164"/>
      <c r="Y203" s="43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43"/>
      <c r="AK203" s="117"/>
      <c r="AL203" s="350"/>
    </row>
    <row r="204" spans="1:38" ht="23.25" x14ac:dyDescent="0.35">
      <c r="A204" s="281" t="s">
        <v>2</v>
      </c>
      <c r="B204" s="163"/>
      <c r="C204" s="163"/>
      <c r="D204" s="163"/>
      <c r="E204" s="163"/>
      <c r="F204" s="163"/>
      <c r="G204" s="163"/>
      <c r="H204" s="163"/>
      <c r="I204" s="221"/>
      <c r="J204" s="163"/>
      <c r="K204" s="163"/>
      <c r="L204" s="163"/>
      <c r="M204" s="163"/>
      <c r="N204" s="163"/>
      <c r="O204" s="163"/>
      <c r="P204" s="163"/>
      <c r="Q204" s="221"/>
      <c r="R204" s="163"/>
      <c r="S204" s="163"/>
      <c r="T204" s="163"/>
      <c r="U204" s="163"/>
      <c r="V204" s="163"/>
      <c r="W204" s="163"/>
      <c r="X204" s="163"/>
      <c r="Y204" s="221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51"/>
      <c r="AK204" s="351"/>
      <c r="AL204" s="352"/>
    </row>
    <row r="205" spans="1:38" ht="16.5" thickBot="1" x14ac:dyDescent="0.3">
      <c r="A205" s="264"/>
      <c r="B205" s="265"/>
      <c r="C205" s="265"/>
      <c r="D205" s="265"/>
      <c r="E205" s="265"/>
      <c r="F205" s="265"/>
      <c r="G205" s="265"/>
      <c r="H205" s="265"/>
      <c r="I205" s="56"/>
      <c r="J205" s="265"/>
      <c r="K205" s="265"/>
      <c r="L205" s="265"/>
      <c r="M205" s="265"/>
      <c r="N205" s="265"/>
      <c r="O205" s="265"/>
      <c r="P205" s="265"/>
      <c r="Q205" s="56"/>
      <c r="R205" s="265"/>
      <c r="S205" s="265"/>
      <c r="T205" s="265"/>
      <c r="U205" s="265"/>
      <c r="V205" s="265"/>
      <c r="W205" s="265"/>
      <c r="X205" s="265"/>
      <c r="Y205" s="56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56"/>
      <c r="AK205" s="353"/>
      <c r="AL205" s="354"/>
    </row>
    <row r="206" spans="1:38" ht="24" thickBot="1" x14ac:dyDescent="0.4">
      <c r="A206" s="294" t="s">
        <v>207</v>
      </c>
      <c r="B206" s="295"/>
      <c r="C206" s="295"/>
      <c r="D206" s="295"/>
      <c r="E206" s="295"/>
      <c r="F206" s="295"/>
      <c r="G206" s="296"/>
      <c r="H206" s="297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9"/>
      <c r="AK206" s="300"/>
      <c r="AL206" s="301"/>
    </row>
    <row r="207" spans="1:38" ht="16.5" thickBot="1" x14ac:dyDescent="0.3">
      <c r="A207" s="319" t="s">
        <v>20</v>
      </c>
      <c r="B207" s="328"/>
      <c r="C207" s="328"/>
      <c r="D207" s="328"/>
      <c r="E207" s="328"/>
      <c r="F207" s="328"/>
      <c r="G207" s="328"/>
      <c r="H207" s="328"/>
      <c r="I207" s="329"/>
      <c r="J207" s="328"/>
      <c r="K207" s="328"/>
      <c r="L207" s="328"/>
      <c r="M207" s="328"/>
      <c r="N207" s="328"/>
      <c r="O207" s="328"/>
      <c r="P207" s="328"/>
      <c r="Q207" s="329"/>
      <c r="R207" s="328"/>
      <c r="S207" s="328"/>
      <c r="T207" s="328"/>
      <c r="U207" s="328"/>
      <c r="V207" s="328"/>
      <c r="W207" s="328"/>
      <c r="X207" s="328"/>
      <c r="Y207" s="329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9"/>
      <c r="AK207" s="330"/>
      <c r="AL207" s="331"/>
    </row>
    <row r="208" spans="1:38" x14ac:dyDescent="0.25">
      <c r="A208" s="302" t="s">
        <v>63</v>
      </c>
      <c r="B208" s="303"/>
      <c r="C208" s="303"/>
      <c r="D208" s="303"/>
      <c r="E208" s="303"/>
      <c r="F208" s="303"/>
      <c r="G208" s="303"/>
      <c r="H208" s="303"/>
      <c r="I208" s="304"/>
      <c r="J208" s="303"/>
      <c r="K208" s="303"/>
      <c r="L208" s="303"/>
      <c r="M208" s="303"/>
      <c r="N208" s="303"/>
      <c r="O208" s="303"/>
      <c r="P208" s="303"/>
      <c r="Q208" s="304"/>
      <c r="R208" s="303"/>
      <c r="S208" s="303"/>
      <c r="T208" s="303"/>
      <c r="U208" s="303"/>
      <c r="V208" s="303"/>
      <c r="W208" s="412"/>
      <c r="X208" s="412"/>
      <c r="Y208" s="304"/>
      <c r="Z208" s="303"/>
      <c r="AA208" s="303"/>
      <c r="AB208" s="411"/>
      <c r="AC208" s="411"/>
      <c r="AD208" s="411"/>
      <c r="AE208" s="303"/>
      <c r="AF208" s="303"/>
      <c r="AG208" s="303"/>
      <c r="AH208" s="303"/>
      <c r="AI208" s="303"/>
      <c r="AJ208" s="305"/>
      <c r="AK208" s="184"/>
      <c r="AL208" s="207"/>
    </row>
    <row r="209" spans="1:38" x14ac:dyDescent="0.25">
      <c r="A209" s="65" t="s">
        <v>64</v>
      </c>
      <c r="B209" s="118"/>
      <c r="C209" s="118"/>
      <c r="D209" s="118"/>
      <c r="E209" s="118"/>
      <c r="F209" s="118"/>
      <c r="G209" s="118"/>
      <c r="H209" s="118"/>
      <c r="I209" s="37"/>
      <c r="J209" s="118"/>
      <c r="K209" s="2"/>
      <c r="L209" s="2"/>
      <c r="M209" s="118"/>
      <c r="N209" s="2"/>
      <c r="O209" s="2"/>
      <c r="P209" s="2"/>
      <c r="Q209" s="37"/>
      <c r="R209" s="2"/>
      <c r="S209" s="118"/>
      <c r="T209" s="2"/>
      <c r="U209" s="1"/>
      <c r="V209" s="2"/>
      <c r="W209" s="414"/>
      <c r="X209" s="414"/>
      <c r="Y209" s="37"/>
      <c r="Z209" s="2"/>
      <c r="AA209" s="2"/>
      <c r="AB209" s="57"/>
      <c r="AC209" s="57"/>
      <c r="AD209" s="57"/>
      <c r="AE209" s="118"/>
      <c r="AF209" s="2"/>
      <c r="AG209" s="2"/>
      <c r="AH209" s="2"/>
      <c r="AI209" s="2"/>
      <c r="AJ209" s="37"/>
      <c r="AK209" s="38"/>
      <c r="AL209" s="197"/>
    </row>
    <row r="210" spans="1:38" x14ac:dyDescent="0.25">
      <c r="A210" s="65" t="s">
        <v>77</v>
      </c>
      <c r="B210" s="118"/>
      <c r="C210" s="118"/>
      <c r="D210" s="118"/>
      <c r="E210" s="118"/>
      <c r="F210" s="118"/>
      <c r="G210" s="118"/>
      <c r="H210" s="118"/>
      <c r="I210" s="37"/>
      <c r="J210" s="118"/>
      <c r="K210" s="2"/>
      <c r="L210" s="2"/>
      <c r="M210" s="2"/>
      <c r="N210" s="2"/>
      <c r="O210" s="2"/>
      <c r="P210" s="2"/>
      <c r="Q210" s="37"/>
      <c r="R210" s="2"/>
      <c r="S210" s="2"/>
      <c r="T210" s="2"/>
      <c r="U210" s="2"/>
      <c r="V210" s="2"/>
      <c r="W210" s="414"/>
      <c r="X210" s="414"/>
      <c r="Y210" s="37"/>
      <c r="Z210" s="2"/>
      <c r="AA210" s="2"/>
      <c r="AB210" s="57"/>
      <c r="AC210" s="57"/>
      <c r="AD210" s="57"/>
      <c r="AE210" s="118"/>
      <c r="AF210" s="2"/>
      <c r="AG210" s="2"/>
      <c r="AH210" s="2"/>
      <c r="AI210" s="2"/>
      <c r="AJ210" s="37"/>
      <c r="AK210" s="38"/>
      <c r="AL210" s="197"/>
    </row>
    <row r="211" spans="1:38" x14ac:dyDescent="0.25">
      <c r="A211" s="65" t="s">
        <v>65</v>
      </c>
      <c r="B211" s="118"/>
      <c r="C211" s="118"/>
      <c r="D211" s="118"/>
      <c r="E211" s="118"/>
      <c r="F211" s="118"/>
      <c r="G211" s="118"/>
      <c r="H211" s="1"/>
      <c r="I211" s="37"/>
      <c r="J211" s="118"/>
      <c r="K211" s="2"/>
      <c r="L211" s="2"/>
      <c r="M211" s="2"/>
      <c r="N211" s="2"/>
      <c r="O211" s="2"/>
      <c r="P211" s="2"/>
      <c r="Q211" s="37"/>
      <c r="R211" s="1"/>
      <c r="S211" s="2"/>
      <c r="T211" s="2"/>
      <c r="U211" s="2"/>
      <c r="V211" s="2"/>
      <c r="W211" s="414"/>
      <c r="X211" s="414"/>
      <c r="Y211" s="37"/>
      <c r="Z211" s="2"/>
      <c r="AA211" s="2"/>
      <c r="AB211" s="57"/>
      <c r="AC211" s="57"/>
      <c r="AD211" s="57"/>
      <c r="AE211" s="118"/>
      <c r="AF211" s="2"/>
      <c r="AG211" s="2"/>
      <c r="AH211" s="2"/>
      <c r="AI211" s="2"/>
      <c r="AJ211" s="47"/>
      <c r="AK211" s="48"/>
      <c r="AL211" s="197"/>
    </row>
    <row r="212" spans="1:38" x14ac:dyDescent="0.25">
      <c r="A212" s="65" t="s">
        <v>66</v>
      </c>
      <c r="B212" s="118"/>
      <c r="C212" s="118"/>
      <c r="D212" s="118"/>
      <c r="E212" s="118"/>
      <c r="F212" s="118"/>
      <c r="G212" s="118"/>
      <c r="H212" s="118"/>
      <c r="I212" s="37"/>
      <c r="J212" s="118"/>
      <c r="K212" s="2"/>
      <c r="L212" s="161"/>
      <c r="M212" s="2"/>
      <c r="N212" s="2"/>
      <c r="O212" s="2"/>
      <c r="P212" s="2"/>
      <c r="Q212" s="37"/>
      <c r="R212" s="2"/>
      <c r="S212" s="2"/>
      <c r="T212" s="2"/>
      <c r="U212" s="2"/>
      <c r="V212" s="2"/>
      <c r="W212" s="414"/>
      <c r="X212" s="414"/>
      <c r="Y212" s="37"/>
      <c r="Z212" s="2"/>
      <c r="AA212" s="2"/>
      <c r="AB212" s="57"/>
      <c r="AC212" s="57"/>
      <c r="AD212" s="57"/>
      <c r="AE212" s="118"/>
      <c r="AF212" s="2"/>
      <c r="AG212" s="2"/>
      <c r="AH212" s="2"/>
      <c r="AI212" s="2"/>
      <c r="AJ212" s="37"/>
      <c r="AK212" s="38"/>
      <c r="AL212" s="197"/>
    </row>
    <row r="213" spans="1:38" x14ac:dyDescent="0.25">
      <c r="A213" s="65" t="s">
        <v>67</v>
      </c>
      <c r="B213" s="118"/>
      <c r="C213" s="118"/>
      <c r="D213" s="118"/>
      <c r="E213" s="118"/>
      <c r="F213" s="1"/>
      <c r="G213" s="118"/>
      <c r="H213" s="118"/>
      <c r="I213" s="37"/>
      <c r="J213" s="118"/>
      <c r="K213" s="1"/>
      <c r="L213" s="2"/>
      <c r="M213" s="2"/>
      <c r="N213" s="2"/>
      <c r="O213" s="1"/>
      <c r="P213" s="2"/>
      <c r="Q213" s="37"/>
      <c r="R213" s="2"/>
      <c r="S213" s="118"/>
      <c r="T213" s="2"/>
      <c r="U213" s="2"/>
      <c r="V213" s="2"/>
      <c r="W213" s="414"/>
      <c r="X213" s="414"/>
      <c r="Y213" s="37"/>
      <c r="Z213" s="2"/>
      <c r="AA213" s="2"/>
      <c r="AB213" s="57"/>
      <c r="AC213" s="57"/>
      <c r="AD213" s="57"/>
      <c r="AE213" s="118"/>
      <c r="AF213" s="2"/>
      <c r="AG213" s="336"/>
      <c r="AH213" s="2"/>
      <c r="AI213" s="2"/>
      <c r="AJ213" s="37"/>
      <c r="AK213" s="38"/>
      <c r="AL213" s="197"/>
    </row>
    <row r="214" spans="1:38" x14ac:dyDescent="0.25">
      <c r="A214" s="65" t="s">
        <v>68</v>
      </c>
      <c r="B214" s="118"/>
      <c r="C214" s="118"/>
      <c r="D214" s="118"/>
      <c r="E214" s="118"/>
      <c r="F214" s="118"/>
      <c r="G214" s="118"/>
      <c r="H214" s="118"/>
      <c r="I214" s="37"/>
      <c r="J214" s="118"/>
      <c r="K214" s="2"/>
      <c r="L214" s="2"/>
      <c r="M214" s="2"/>
      <c r="N214" s="2"/>
      <c r="O214" s="1"/>
      <c r="P214" s="2"/>
      <c r="Q214" s="37"/>
      <c r="R214" s="2"/>
      <c r="S214" s="2"/>
      <c r="T214" s="2"/>
      <c r="U214" s="2"/>
      <c r="V214" s="2"/>
      <c r="W214" s="414"/>
      <c r="X214" s="414"/>
      <c r="Y214" s="37"/>
      <c r="Z214" s="2"/>
      <c r="AA214" s="2"/>
      <c r="AB214" s="57"/>
      <c r="AC214" s="57"/>
      <c r="AD214" s="57"/>
      <c r="AE214" s="118"/>
      <c r="AF214" s="2"/>
      <c r="AG214" s="2"/>
      <c r="AH214" s="2"/>
      <c r="AI214" s="2"/>
      <c r="AJ214" s="37"/>
      <c r="AK214" s="38"/>
      <c r="AL214" s="197"/>
    </row>
    <row r="215" spans="1:38" x14ac:dyDescent="0.25">
      <c r="A215" s="65" t="s">
        <v>78</v>
      </c>
      <c r="B215" s="118"/>
      <c r="C215" s="118"/>
      <c r="D215" s="118"/>
      <c r="E215" s="118"/>
      <c r="F215" s="118"/>
      <c r="G215" s="118"/>
      <c r="H215" s="118"/>
      <c r="I215" s="37"/>
      <c r="J215" s="118"/>
      <c r="K215" s="2"/>
      <c r="L215" s="2"/>
      <c r="M215" s="2"/>
      <c r="N215" s="2"/>
      <c r="O215" s="2"/>
      <c r="P215" s="2"/>
      <c r="Q215" s="37"/>
      <c r="R215" s="2"/>
      <c r="S215" s="2"/>
      <c r="T215" s="2"/>
      <c r="U215" s="2"/>
      <c r="V215" s="2"/>
      <c r="W215" s="414"/>
      <c r="X215" s="414"/>
      <c r="Y215" s="37"/>
      <c r="Z215" s="2"/>
      <c r="AA215" s="2"/>
      <c r="AB215" s="57"/>
      <c r="AC215" s="57"/>
      <c r="AD215" s="57"/>
      <c r="AE215" s="118"/>
      <c r="AF215" s="2"/>
      <c r="AG215" s="2"/>
      <c r="AH215" s="2"/>
      <c r="AI215" s="2"/>
      <c r="AJ215" s="37"/>
      <c r="AK215" s="38"/>
      <c r="AL215" s="197"/>
    </row>
    <row r="216" spans="1:38" x14ac:dyDescent="0.25">
      <c r="A216" s="65" t="s">
        <v>69</v>
      </c>
      <c r="B216" s="118"/>
      <c r="C216" s="118"/>
      <c r="D216" s="118"/>
      <c r="E216" s="118"/>
      <c r="F216" s="118"/>
      <c r="G216" s="118"/>
      <c r="H216" s="118"/>
      <c r="I216" s="37"/>
      <c r="J216" s="118"/>
      <c r="K216" s="2"/>
      <c r="L216" s="2"/>
      <c r="M216" s="2"/>
      <c r="N216" s="373"/>
      <c r="O216" s="2"/>
      <c r="P216" s="2"/>
      <c r="Q216" s="37"/>
      <c r="R216" s="2"/>
      <c r="S216" s="2"/>
      <c r="T216" s="2"/>
      <c r="U216" s="118"/>
      <c r="V216" s="2"/>
      <c r="W216" s="414"/>
      <c r="X216" s="414"/>
      <c r="Y216" s="37"/>
      <c r="Z216" s="2"/>
      <c r="AA216" s="2"/>
      <c r="AB216" s="57"/>
      <c r="AC216" s="57"/>
      <c r="AD216" s="57"/>
      <c r="AE216" s="118"/>
      <c r="AF216" s="2"/>
      <c r="AG216" s="2"/>
      <c r="AH216" s="2"/>
      <c r="AI216" s="2"/>
      <c r="AJ216" s="37"/>
      <c r="AK216" s="38"/>
      <c r="AL216" s="197"/>
    </row>
    <row r="217" spans="1:38" x14ac:dyDescent="0.25">
      <c r="A217" s="65" t="s">
        <v>70</v>
      </c>
      <c r="B217" s="118"/>
      <c r="C217" s="118"/>
      <c r="D217" s="118"/>
      <c r="E217" s="118"/>
      <c r="F217" s="118"/>
      <c r="G217" s="118"/>
      <c r="H217" s="118"/>
      <c r="I217" s="37"/>
      <c r="J217" s="118"/>
      <c r="K217" s="2"/>
      <c r="L217" s="118"/>
      <c r="M217" s="2"/>
      <c r="N217" s="373"/>
      <c r="O217" s="2"/>
      <c r="P217" s="2"/>
      <c r="Q217" s="37"/>
      <c r="R217" s="118"/>
      <c r="S217" s="2"/>
      <c r="T217" s="2"/>
      <c r="U217" s="2"/>
      <c r="V217" s="2"/>
      <c r="W217" s="414"/>
      <c r="X217" s="414"/>
      <c r="Y217" s="37"/>
      <c r="Z217" s="2"/>
      <c r="AA217" s="118"/>
      <c r="AB217" s="57"/>
      <c r="AC217" s="57"/>
      <c r="AD217" s="57"/>
      <c r="AE217" s="118"/>
      <c r="AF217" s="118"/>
      <c r="AG217" s="2"/>
      <c r="AH217" s="2"/>
      <c r="AI217" s="2"/>
      <c r="AJ217" s="37"/>
      <c r="AK217" s="38"/>
      <c r="AL217" s="197"/>
    </row>
    <row r="218" spans="1:38" x14ac:dyDescent="0.25">
      <c r="A218" s="65" t="s">
        <v>71</v>
      </c>
      <c r="B218" s="118"/>
      <c r="C218" s="118"/>
      <c r="D218" s="118"/>
      <c r="E218" s="118"/>
      <c r="F218" s="1"/>
      <c r="G218" s="118"/>
      <c r="H218" s="118"/>
      <c r="I218" s="37"/>
      <c r="J218" s="118"/>
      <c r="K218" s="2"/>
      <c r="L218" s="2"/>
      <c r="M218" s="1"/>
      <c r="N218" s="373"/>
      <c r="O218" s="2"/>
      <c r="P218" s="2"/>
      <c r="Q218" s="37"/>
      <c r="R218" s="2"/>
      <c r="S218" s="2"/>
      <c r="T218" s="2"/>
      <c r="U218" s="2"/>
      <c r="V218" s="2"/>
      <c r="W218" s="414"/>
      <c r="X218" s="414"/>
      <c r="Y218" s="37"/>
      <c r="Z218" s="2"/>
      <c r="AA218" s="2"/>
      <c r="AB218" s="57"/>
      <c r="AC218" s="57"/>
      <c r="AD218" s="57"/>
      <c r="AE218" s="118"/>
      <c r="AF218" s="2"/>
      <c r="AG218" s="2"/>
      <c r="AH218" s="2"/>
      <c r="AI218" s="2"/>
      <c r="AJ218" s="37"/>
      <c r="AK218" s="38"/>
      <c r="AL218" s="197"/>
    </row>
    <row r="219" spans="1:38" x14ac:dyDescent="0.25">
      <c r="A219" s="65" t="s">
        <v>72</v>
      </c>
      <c r="B219" s="118"/>
      <c r="C219" s="118"/>
      <c r="D219" s="118"/>
      <c r="E219" s="118"/>
      <c r="F219" s="118"/>
      <c r="G219" s="118"/>
      <c r="H219" s="118"/>
      <c r="I219" s="37"/>
      <c r="J219" s="118"/>
      <c r="K219" s="2"/>
      <c r="L219" s="2"/>
      <c r="M219" s="2"/>
      <c r="N219" s="211"/>
      <c r="O219" s="2"/>
      <c r="P219" s="2"/>
      <c r="Q219" s="37"/>
      <c r="R219" s="2"/>
      <c r="S219" s="2"/>
      <c r="T219" s="2"/>
      <c r="U219" s="2"/>
      <c r="V219" s="1"/>
      <c r="W219" s="414"/>
      <c r="X219" s="414"/>
      <c r="Y219" s="37"/>
      <c r="Z219" s="2"/>
      <c r="AA219" s="2"/>
      <c r="AB219" s="57"/>
      <c r="AC219" s="57"/>
      <c r="AD219" s="57"/>
      <c r="AE219" s="118"/>
      <c r="AF219" s="2"/>
      <c r="AG219" s="2"/>
      <c r="AH219" s="2"/>
      <c r="AI219" s="2"/>
      <c r="AJ219" s="37"/>
      <c r="AK219" s="38"/>
      <c r="AL219" s="197"/>
    </row>
    <row r="220" spans="1:38" x14ac:dyDescent="0.25">
      <c r="A220" s="65" t="s">
        <v>73</v>
      </c>
      <c r="B220" s="118"/>
      <c r="C220" s="118"/>
      <c r="D220" s="118"/>
      <c r="E220" s="118"/>
      <c r="F220" s="1"/>
      <c r="G220" s="118"/>
      <c r="H220" s="118"/>
      <c r="I220" s="37"/>
      <c r="J220" s="118"/>
      <c r="K220" s="2"/>
      <c r="L220" s="2"/>
      <c r="M220" s="2"/>
      <c r="N220" s="373"/>
      <c r="O220" s="2"/>
      <c r="P220" s="2"/>
      <c r="Q220" s="37"/>
      <c r="R220" s="118"/>
      <c r="S220" s="2"/>
      <c r="T220" s="2"/>
      <c r="U220" s="2"/>
      <c r="V220" s="2"/>
      <c r="W220" s="414"/>
      <c r="X220" s="414"/>
      <c r="Y220" s="37"/>
      <c r="Z220" s="2"/>
      <c r="AA220" s="1"/>
      <c r="AB220" s="57"/>
      <c r="AC220" s="57"/>
      <c r="AD220" s="57"/>
      <c r="AE220" s="118"/>
      <c r="AF220" s="2"/>
      <c r="AG220" s="2"/>
      <c r="AH220" s="2"/>
      <c r="AI220" s="2"/>
      <c r="AJ220" s="37"/>
      <c r="AK220" s="38"/>
      <c r="AL220" s="197"/>
    </row>
    <row r="221" spans="1:38" x14ac:dyDescent="0.25">
      <c r="A221" s="65" t="s">
        <v>74</v>
      </c>
      <c r="B221" s="118"/>
      <c r="C221" s="118"/>
      <c r="D221" s="118"/>
      <c r="E221" s="118"/>
      <c r="F221" s="118"/>
      <c r="G221" s="1"/>
      <c r="H221" s="118"/>
      <c r="I221" s="37"/>
      <c r="J221" s="118"/>
      <c r="K221" s="2"/>
      <c r="L221" s="2"/>
      <c r="M221" s="1"/>
      <c r="N221" s="373"/>
      <c r="O221" s="2"/>
      <c r="P221" s="2"/>
      <c r="Q221" s="37"/>
      <c r="R221" s="118"/>
      <c r="S221" s="2"/>
      <c r="T221" s="118"/>
      <c r="U221" s="2"/>
      <c r="V221" s="2"/>
      <c r="W221" s="414"/>
      <c r="X221" s="414"/>
      <c r="Y221" s="37"/>
      <c r="Z221" s="2"/>
      <c r="AA221" s="1"/>
      <c r="AB221" s="57"/>
      <c r="AC221" s="57"/>
      <c r="AD221" s="57"/>
      <c r="AE221" s="118"/>
      <c r="AF221" s="1"/>
      <c r="AG221" s="2"/>
      <c r="AH221" s="2"/>
      <c r="AI221" s="2"/>
      <c r="AJ221" s="37"/>
      <c r="AK221" s="38"/>
      <c r="AL221" s="197"/>
    </row>
    <row r="222" spans="1:38" x14ac:dyDescent="0.25">
      <c r="A222" s="65" t="s">
        <v>76</v>
      </c>
      <c r="B222" s="118"/>
      <c r="C222" s="118"/>
      <c r="D222" s="118"/>
      <c r="E222" s="118"/>
      <c r="F222" s="118"/>
      <c r="G222" s="118"/>
      <c r="H222" s="118"/>
      <c r="I222" s="37"/>
      <c r="J222" s="118"/>
      <c r="K222" s="2"/>
      <c r="L222" s="2"/>
      <c r="M222" s="2"/>
      <c r="N222" s="1"/>
      <c r="O222" s="2"/>
      <c r="P222" s="2"/>
      <c r="Q222" s="37"/>
      <c r="R222" s="2"/>
      <c r="S222" s="2"/>
      <c r="T222" s="2"/>
      <c r="U222" s="2"/>
      <c r="V222" s="2"/>
      <c r="W222" s="414"/>
      <c r="X222" s="414"/>
      <c r="Y222" s="37"/>
      <c r="Z222" s="2"/>
      <c r="AA222" s="2"/>
      <c r="AB222" s="57"/>
      <c r="AC222" s="57"/>
      <c r="AD222" s="57"/>
      <c r="AE222" s="118"/>
      <c r="AF222" s="2"/>
      <c r="AG222" s="2"/>
      <c r="AH222" s="2"/>
      <c r="AI222" s="2"/>
      <c r="AJ222" s="37"/>
      <c r="AK222" s="38"/>
      <c r="AL222" s="197"/>
    </row>
    <row r="223" spans="1:38" x14ac:dyDescent="0.25">
      <c r="A223" s="65" t="s">
        <v>75</v>
      </c>
      <c r="B223" s="118"/>
      <c r="C223" s="1"/>
      <c r="D223" s="118"/>
      <c r="E223" s="118"/>
      <c r="F223" s="118"/>
      <c r="G223" s="118"/>
      <c r="H223" s="118"/>
      <c r="I223" s="37"/>
      <c r="J223" s="118"/>
      <c r="K223" s="2"/>
      <c r="L223" s="1"/>
      <c r="M223" s="2"/>
      <c r="N223" s="373"/>
      <c r="O223" s="2"/>
      <c r="P223" s="2"/>
      <c r="Q223" s="37"/>
      <c r="R223" s="2"/>
      <c r="S223" s="118"/>
      <c r="T223" s="2"/>
      <c r="U223" s="2"/>
      <c r="V223" s="2"/>
      <c r="W223" s="414"/>
      <c r="X223" s="414"/>
      <c r="Y223" s="37"/>
      <c r="Z223" s="2"/>
      <c r="AA223" s="2"/>
      <c r="AB223" s="57"/>
      <c r="AC223" s="57"/>
      <c r="AD223" s="57"/>
      <c r="AE223" s="118"/>
      <c r="AF223" s="2"/>
      <c r="AG223" s="2"/>
      <c r="AH223" s="2"/>
      <c r="AI223" s="2"/>
      <c r="AJ223" s="37"/>
      <c r="AK223" s="38"/>
      <c r="AL223" s="197"/>
    </row>
    <row r="224" spans="1:38" x14ac:dyDescent="0.25">
      <c r="A224" s="65" t="s">
        <v>49</v>
      </c>
      <c r="B224" s="118"/>
      <c r="C224" s="118"/>
      <c r="D224" s="118"/>
      <c r="E224" s="118"/>
      <c r="F224" s="118"/>
      <c r="G224" s="118"/>
      <c r="H224" s="118"/>
      <c r="I224" s="37"/>
      <c r="J224" s="118"/>
      <c r="K224" s="118"/>
      <c r="L224" s="2"/>
      <c r="M224" s="2"/>
      <c r="N224" s="373"/>
      <c r="O224" s="2"/>
      <c r="P224" s="2"/>
      <c r="Q224" s="37"/>
      <c r="R224" s="2"/>
      <c r="S224" s="2"/>
      <c r="T224" s="2"/>
      <c r="U224" s="2"/>
      <c r="V224" s="2"/>
      <c r="W224" s="414"/>
      <c r="X224" s="414"/>
      <c r="Y224" s="37"/>
      <c r="Z224" s="2"/>
      <c r="AA224" s="2"/>
      <c r="AB224" s="57"/>
      <c r="AC224" s="57"/>
      <c r="AD224" s="57"/>
      <c r="AE224" s="118"/>
      <c r="AF224" s="2"/>
      <c r="AG224" s="2"/>
      <c r="AH224" s="2"/>
      <c r="AI224" s="2"/>
      <c r="AJ224" s="37"/>
      <c r="AK224" s="38"/>
      <c r="AL224" s="197"/>
    </row>
    <row r="225" spans="1:38" x14ac:dyDescent="0.25">
      <c r="A225" s="65" t="s">
        <v>23</v>
      </c>
      <c r="B225" s="118"/>
      <c r="C225" s="118"/>
      <c r="D225" s="118"/>
      <c r="E225" s="118"/>
      <c r="F225" s="118"/>
      <c r="G225" s="118"/>
      <c r="H225" s="118"/>
      <c r="I225" s="37"/>
      <c r="J225" s="118"/>
      <c r="K225" s="118"/>
      <c r="L225" s="2"/>
      <c r="M225" s="2"/>
      <c r="N225" s="373"/>
      <c r="O225" s="2"/>
      <c r="P225" s="2"/>
      <c r="Q225" s="37"/>
      <c r="R225" s="2"/>
      <c r="S225" s="2"/>
      <c r="T225" s="2"/>
      <c r="U225" s="2"/>
      <c r="V225" s="2"/>
      <c r="W225" s="414"/>
      <c r="X225" s="414"/>
      <c r="Y225" s="37"/>
      <c r="Z225" s="2"/>
      <c r="AA225" s="2"/>
      <c r="AB225" s="57"/>
      <c r="AC225" s="57"/>
      <c r="AD225" s="57"/>
      <c r="AE225" s="118"/>
      <c r="AF225" s="2"/>
      <c r="AG225" s="2"/>
      <c r="AH225" s="2"/>
      <c r="AI225" s="2"/>
      <c r="AJ225" s="37"/>
      <c r="AK225" s="38"/>
      <c r="AL225" s="197"/>
    </row>
    <row r="226" spans="1:38" x14ac:dyDescent="0.25">
      <c r="A226" s="65" t="s">
        <v>50</v>
      </c>
      <c r="B226" s="118"/>
      <c r="C226" s="118"/>
      <c r="D226" s="118"/>
      <c r="E226" s="118"/>
      <c r="F226" s="1"/>
      <c r="G226" s="118"/>
      <c r="H226" s="118"/>
      <c r="I226" s="37"/>
      <c r="J226" s="118"/>
      <c r="K226" s="118"/>
      <c r="L226" s="2"/>
      <c r="M226" s="2"/>
      <c r="N226" s="373"/>
      <c r="O226" s="2"/>
      <c r="P226" s="2"/>
      <c r="Q226" s="37"/>
      <c r="R226" s="2"/>
      <c r="S226" s="2"/>
      <c r="T226" s="2"/>
      <c r="U226" s="2"/>
      <c r="V226" s="2"/>
      <c r="W226" s="414"/>
      <c r="X226" s="414"/>
      <c r="Y226" s="37"/>
      <c r="Z226" s="2"/>
      <c r="AA226" s="2"/>
      <c r="AB226" s="57"/>
      <c r="AC226" s="57"/>
      <c r="AD226" s="57"/>
      <c r="AE226" s="118"/>
      <c r="AF226" s="2"/>
      <c r="AG226" s="2"/>
      <c r="AH226" s="2"/>
      <c r="AI226" s="2"/>
      <c r="AJ226" s="37"/>
      <c r="AK226" s="38"/>
      <c r="AL226" s="197"/>
    </row>
    <row r="227" spans="1:38" x14ac:dyDescent="0.25">
      <c r="A227" s="65" t="s">
        <v>51</v>
      </c>
      <c r="B227" s="118"/>
      <c r="C227" s="118"/>
      <c r="D227" s="118"/>
      <c r="E227" s="118"/>
      <c r="F227" s="118"/>
      <c r="G227" s="118"/>
      <c r="H227" s="118"/>
      <c r="I227" s="37"/>
      <c r="J227" s="118"/>
      <c r="K227" s="2"/>
      <c r="L227" s="2"/>
      <c r="M227" s="2"/>
      <c r="N227" s="373"/>
      <c r="O227" s="2"/>
      <c r="P227" s="2"/>
      <c r="Q227" s="37"/>
      <c r="R227" s="2"/>
      <c r="S227" s="2"/>
      <c r="T227" s="2"/>
      <c r="U227" s="2"/>
      <c r="V227" s="118"/>
      <c r="W227" s="414"/>
      <c r="X227" s="414"/>
      <c r="Y227" s="37"/>
      <c r="Z227" s="2"/>
      <c r="AA227" s="2"/>
      <c r="AB227" s="57"/>
      <c r="AC227" s="57"/>
      <c r="AD227" s="57"/>
      <c r="AE227" s="118"/>
      <c r="AF227" s="2"/>
      <c r="AG227" s="2"/>
      <c r="AH227" s="2"/>
      <c r="AI227" s="2"/>
      <c r="AJ227" s="37"/>
      <c r="AK227" s="38"/>
      <c r="AL227" s="197"/>
    </row>
    <row r="228" spans="1:38" x14ac:dyDescent="0.25">
      <c r="A228" s="65" t="s">
        <v>52</v>
      </c>
      <c r="B228" s="118"/>
      <c r="C228" s="118"/>
      <c r="D228" s="118"/>
      <c r="E228" s="118"/>
      <c r="F228" s="118"/>
      <c r="G228" s="118"/>
      <c r="H228" s="118"/>
      <c r="I228" s="37"/>
      <c r="J228" s="118"/>
      <c r="K228" s="2"/>
      <c r="L228" s="2"/>
      <c r="M228" s="2"/>
      <c r="N228" s="373"/>
      <c r="O228" s="2"/>
      <c r="P228" s="2"/>
      <c r="Q228" s="37"/>
      <c r="R228" s="118"/>
      <c r="S228" s="2"/>
      <c r="T228" s="2"/>
      <c r="U228" s="2"/>
      <c r="V228" s="2"/>
      <c r="W228" s="414"/>
      <c r="X228" s="414"/>
      <c r="Y228" s="37"/>
      <c r="Z228" s="2"/>
      <c r="AA228" s="2"/>
      <c r="AB228" s="57"/>
      <c r="AC228" s="57"/>
      <c r="AD228" s="57"/>
      <c r="AE228" s="118"/>
      <c r="AF228" s="2"/>
      <c r="AG228" s="2"/>
      <c r="AH228" s="2"/>
      <c r="AI228" s="2"/>
      <c r="AJ228" s="37"/>
      <c r="AK228" s="38"/>
      <c r="AL228" s="197"/>
    </row>
    <row r="229" spans="1:38" x14ac:dyDescent="0.25">
      <c r="A229" s="65" t="s">
        <v>53</v>
      </c>
      <c r="B229" s="118"/>
      <c r="C229" s="118"/>
      <c r="D229" s="118"/>
      <c r="E229" s="118"/>
      <c r="F229" s="118"/>
      <c r="G229" s="118"/>
      <c r="H229" s="118"/>
      <c r="I229" s="37"/>
      <c r="J229" s="118"/>
      <c r="K229" s="2"/>
      <c r="L229" s="2"/>
      <c r="M229" s="2"/>
      <c r="N229" s="373"/>
      <c r="O229" s="2"/>
      <c r="P229" s="2"/>
      <c r="Q229" s="37"/>
      <c r="R229" s="118"/>
      <c r="S229" s="2"/>
      <c r="T229" s="2"/>
      <c r="U229" s="2"/>
      <c r="V229" s="2"/>
      <c r="W229" s="414"/>
      <c r="X229" s="414"/>
      <c r="Y229" s="37"/>
      <c r="Z229" s="2"/>
      <c r="AA229" s="2"/>
      <c r="AB229" s="57"/>
      <c r="AC229" s="57"/>
      <c r="AD229" s="57"/>
      <c r="AE229" s="118"/>
      <c r="AF229" s="2"/>
      <c r="AG229" s="2"/>
      <c r="AH229" s="2"/>
      <c r="AI229" s="2"/>
      <c r="AJ229" s="37"/>
      <c r="AK229" s="38"/>
      <c r="AL229" s="197"/>
    </row>
    <row r="230" spans="1:38" x14ac:dyDescent="0.25">
      <c r="A230" s="65" t="s">
        <v>98</v>
      </c>
      <c r="B230" s="118"/>
      <c r="C230" s="118"/>
      <c r="D230" s="118"/>
      <c r="E230" s="118"/>
      <c r="F230" s="118"/>
      <c r="G230" s="118"/>
      <c r="H230" s="118"/>
      <c r="I230" s="37"/>
      <c r="J230" s="118"/>
      <c r="K230" s="2"/>
      <c r="L230" s="2"/>
      <c r="M230" s="2"/>
      <c r="N230" s="373"/>
      <c r="O230" s="2"/>
      <c r="P230" s="2"/>
      <c r="Q230" s="37"/>
      <c r="R230" s="2"/>
      <c r="S230" s="2"/>
      <c r="T230" s="118"/>
      <c r="U230" s="2"/>
      <c r="V230" s="2"/>
      <c r="W230" s="414"/>
      <c r="X230" s="414"/>
      <c r="Y230" s="37"/>
      <c r="Z230" s="2"/>
      <c r="AA230" s="2"/>
      <c r="AB230" s="57"/>
      <c r="AC230" s="57"/>
      <c r="AD230" s="57"/>
      <c r="AE230" s="118"/>
      <c r="AF230" s="2"/>
      <c r="AG230" s="2"/>
      <c r="AH230" s="2"/>
      <c r="AI230" s="2"/>
      <c r="AJ230" s="37"/>
      <c r="AK230" s="38"/>
      <c r="AL230" s="197"/>
    </row>
    <row r="231" spans="1:38" ht="18.75" x14ac:dyDescent="0.3">
      <c r="A231" s="65" t="s">
        <v>83</v>
      </c>
      <c r="B231" s="152"/>
      <c r="C231" s="267"/>
      <c r="D231" s="267"/>
      <c r="E231" s="267"/>
      <c r="F231" s="267"/>
      <c r="G231" s="153"/>
      <c r="H231" s="268"/>
      <c r="I231" s="269"/>
      <c r="J231" s="268"/>
      <c r="K231" s="153"/>
      <c r="L231" s="152"/>
      <c r="M231" s="270"/>
      <c r="N231" s="171"/>
      <c r="O231" s="270"/>
      <c r="P231" s="152"/>
      <c r="Q231" s="269"/>
      <c r="R231" s="152"/>
      <c r="S231" s="152"/>
      <c r="T231" s="152"/>
      <c r="U231" s="152"/>
      <c r="V231" s="152"/>
      <c r="W231" s="415"/>
      <c r="X231" s="416"/>
      <c r="Y231" s="269"/>
      <c r="Z231" s="270"/>
      <c r="AA231" s="152"/>
      <c r="AB231" s="175"/>
      <c r="AC231" s="239"/>
      <c r="AD231" s="175"/>
      <c r="AE231" s="152"/>
      <c r="AF231" s="270"/>
      <c r="AG231" s="356"/>
      <c r="AH231" s="270"/>
      <c r="AI231" s="270"/>
      <c r="AJ231" s="269"/>
      <c r="AK231" s="271"/>
      <c r="AL231" s="204"/>
    </row>
    <row r="232" spans="1:38" x14ac:dyDescent="0.25">
      <c r="A232" s="65" t="s">
        <v>84</v>
      </c>
      <c r="B232" s="115"/>
      <c r="C232" s="242"/>
      <c r="D232" s="115"/>
      <c r="E232" s="18"/>
      <c r="F232" s="242"/>
      <c r="G232" s="18"/>
      <c r="H232" s="18"/>
      <c r="I232" s="49"/>
      <c r="J232" s="134"/>
      <c r="K232" s="134"/>
      <c r="L232" s="240"/>
      <c r="M232" s="134"/>
      <c r="N232" s="242"/>
      <c r="O232" s="134"/>
      <c r="P232" s="240"/>
      <c r="Q232" s="49"/>
      <c r="R232" s="134"/>
      <c r="S232" s="242"/>
      <c r="T232" s="134"/>
      <c r="U232" s="240"/>
      <c r="V232" s="134"/>
      <c r="W232" s="417"/>
      <c r="X232" s="417"/>
      <c r="Y232" s="49"/>
      <c r="Z232" s="134"/>
      <c r="AA232" s="134"/>
      <c r="AB232" s="432"/>
      <c r="AC232" s="159"/>
      <c r="AD232" s="432"/>
      <c r="AE232" s="134"/>
      <c r="AF232" s="240"/>
      <c r="AG232" s="247"/>
      <c r="AH232" s="134"/>
      <c r="AI232" s="134"/>
      <c r="AJ232" s="49"/>
      <c r="AK232" s="133"/>
      <c r="AL232" s="197"/>
    </row>
    <row r="233" spans="1:38" x14ac:dyDescent="0.25">
      <c r="A233" s="65" t="s">
        <v>85</v>
      </c>
      <c r="B233" s="115"/>
      <c r="C233" s="115"/>
      <c r="D233" s="115"/>
      <c r="E233" s="18"/>
      <c r="F233" s="18"/>
      <c r="G233" s="18"/>
      <c r="H233" s="18"/>
      <c r="I233" s="49"/>
      <c r="J233" s="134"/>
      <c r="K233" s="134"/>
      <c r="L233" s="240"/>
      <c r="M233" s="134"/>
      <c r="N233" s="156"/>
      <c r="O233" s="134"/>
      <c r="P233" s="134"/>
      <c r="Q233" s="49"/>
      <c r="R233" s="240"/>
      <c r="S233" s="134"/>
      <c r="T233" s="134"/>
      <c r="U233" s="134"/>
      <c r="V233" s="240"/>
      <c r="W233" s="417"/>
      <c r="X233" s="417"/>
      <c r="Y233" s="49"/>
      <c r="Z233" s="134"/>
      <c r="AA233" s="134"/>
      <c r="AB233" s="432"/>
      <c r="AC233" s="159"/>
      <c r="AD233" s="432"/>
      <c r="AE233" s="134"/>
      <c r="AF233" s="134"/>
      <c r="AG233" s="247"/>
      <c r="AH233" s="134"/>
      <c r="AI233" s="134"/>
      <c r="AJ233" s="49"/>
      <c r="AK233" s="133"/>
      <c r="AL233" s="197"/>
    </row>
    <row r="234" spans="1:38" ht="18.75" x14ac:dyDescent="0.3">
      <c r="A234" s="65" t="s">
        <v>62</v>
      </c>
      <c r="B234" s="112"/>
      <c r="C234" s="112"/>
      <c r="D234" s="337"/>
      <c r="E234" s="112"/>
      <c r="F234" s="112"/>
      <c r="G234" s="112"/>
      <c r="H234" s="112"/>
      <c r="I234" s="244"/>
      <c r="J234" s="112"/>
      <c r="K234" s="112"/>
      <c r="L234" s="112"/>
      <c r="M234" s="112"/>
      <c r="N234" s="18"/>
      <c r="O234" s="112"/>
      <c r="P234" s="112"/>
      <c r="Q234" s="244"/>
      <c r="R234" s="337"/>
      <c r="S234" s="112"/>
      <c r="T234" s="112"/>
      <c r="U234" s="112"/>
      <c r="V234" s="337"/>
      <c r="W234" s="417"/>
      <c r="X234" s="417"/>
      <c r="Y234" s="244"/>
      <c r="Z234" s="112"/>
      <c r="AA234" s="112"/>
      <c r="AB234" s="115"/>
      <c r="AC234" s="242"/>
      <c r="AD234" s="242"/>
      <c r="AE234" s="112"/>
      <c r="AF234" s="112"/>
      <c r="AG234" s="337"/>
      <c r="AH234" s="112"/>
      <c r="AI234" s="112"/>
      <c r="AJ234" s="244"/>
      <c r="AK234" s="170"/>
      <c r="AL234" s="197"/>
    </row>
    <row r="235" spans="1:38" ht="23.25" x14ac:dyDescent="0.35">
      <c r="A235" s="65" t="s">
        <v>61</v>
      </c>
      <c r="B235" s="286"/>
      <c r="C235" s="131"/>
      <c r="D235" s="286"/>
      <c r="E235" s="286"/>
      <c r="F235" s="286"/>
      <c r="G235" s="287"/>
      <c r="H235" s="12"/>
      <c r="I235" s="289"/>
      <c r="J235" s="365"/>
      <c r="K235" s="287"/>
      <c r="L235" s="12"/>
      <c r="M235" s="287"/>
      <c r="N235" s="155"/>
      <c r="O235" s="287"/>
      <c r="P235" s="287"/>
      <c r="Q235" s="289"/>
      <c r="R235" s="131"/>
      <c r="S235" s="287"/>
      <c r="T235" s="287"/>
      <c r="U235" s="131"/>
      <c r="V235" s="287"/>
      <c r="W235" s="417"/>
      <c r="X235" s="418"/>
      <c r="Y235" s="289"/>
      <c r="Z235" s="131"/>
      <c r="AA235" s="287"/>
      <c r="AB235" s="433"/>
      <c r="AC235" s="135"/>
      <c r="AD235" s="434"/>
      <c r="AE235" s="365"/>
      <c r="AF235" s="131"/>
      <c r="AG235" s="431"/>
      <c r="AH235" s="287"/>
      <c r="AI235" s="287"/>
      <c r="AJ235" s="289"/>
      <c r="AK235" s="255"/>
      <c r="AL235" s="292"/>
    </row>
    <row r="236" spans="1:38" x14ac:dyDescent="0.25">
      <c r="A236" s="66" t="s">
        <v>86</v>
      </c>
      <c r="B236" s="288"/>
      <c r="C236" s="288"/>
      <c r="D236" s="288"/>
      <c r="E236" s="288"/>
      <c r="F236" s="338"/>
      <c r="G236" s="288"/>
      <c r="H236" s="288"/>
      <c r="I236" s="290"/>
      <c r="J236" s="288"/>
      <c r="K236" s="288"/>
      <c r="L236" s="338"/>
      <c r="M236" s="288"/>
      <c r="N236" s="288"/>
      <c r="O236" s="288"/>
      <c r="P236" s="338"/>
      <c r="Q236" s="290"/>
      <c r="R236" s="288"/>
      <c r="S236" s="288"/>
      <c r="T236" s="288"/>
      <c r="U236" s="288"/>
      <c r="V236" s="288"/>
      <c r="W236" s="415"/>
      <c r="X236" s="415"/>
      <c r="Y236" s="290"/>
      <c r="Z236" s="288"/>
      <c r="AA236" s="288"/>
      <c r="AB236" s="435"/>
      <c r="AC236" s="435"/>
      <c r="AD236" s="436"/>
      <c r="AE236" s="288"/>
      <c r="AF236" s="338"/>
      <c r="AG236" s="427"/>
      <c r="AH236" s="288"/>
      <c r="AI236" s="288"/>
      <c r="AJ236" s="290"/>
      <c r="AK236" s="291"/>
      <c r="AL236" s="204"/>
    </row>
    <row r="237" spans="1:38" x14ac:dyDescent="0.25">
      <c r="A237" s="66" t="s">
        <v>100</v>
      </c>
      <c r="B237" s="162"/>
      <c r="C237" s="162"/>
      <c r="D237" s="162"/>
      <c r="E237" s="164"/>
      <c r="F237" s="164"/>
      <c r="G237" s="164"/>
      <c r="H237" s="164"/>
      <c r="I237" s="290"/>
      <c r="J237" s="338"/>
      <c r="K237" s="288"/>
      <c r="L237" s="288"/>
      <c r="M237" s="288"/>
      <c r="N237" s="288"/>
      <c r="O237" s="288"/>
      <c r="P237" s="288"/>
      <c r="Q237" s="290"/>
      <c r="R237" s="288"/>
      <c r="S237" s="288"/>
      <c r="T237" s="288"/>
      <c r="U237" s="288"/>
      <c r="V237" s="288"/>
      <c r="W237" s="415"/>
      <c r="X237" s="415"/>
      <c r="Y237" s="290"/>
      <c r="Z237" s="288"/>
      <c r="AA237" s="288"/>
      <c r="AB237" s="435"/>
      <c r="AC237" s="435"/>
      <c r="AD237" s="436"/>
      <c r="AE237" s="288"/>
      <c r="AF237" s="288"/>
      <c r="AG237" s="427"/>
      <c r="AH237" s="288"/>
      <c r="AI237" s="332"/>
      <c r="AJ237" s="290"/>
      <c r="AK237" s="46"/>
      <c r="AL237" s="204"/>
    </row>
    <row r="238" spans="1:38" x14ac:dyDescent="0.25">
      <c r="A238" s="66" t="s">
        <v>35</v>
      </c>
      <c r="B238" s="162"/>
      <c r="C238" s="162"/>
      <c r="D238" s="162"/>
      <c r="E238" s="164"/>
      <c r="F238" s="164"/>
      <c r="G238" s="164"/>
      <c r="H238" s="164"/>
      <c r="I238" s="290"/>
      <c r="J238" s="338"/>
      <c r="K238" s="288"/>
      <c r="L238" s="288"/>
      <c r="M238" s="288"/>
      <c r="N238" s="288"/>
      <c r="O238" s="288"/>
      <c r="P238" s="288"/>
      <c r="Q238" s="290"/>
      <c r="R238" s="288"/>
      <c r="S238" s="288"/>
      <c r="T238" s="288"/>
      <c r="U238" s="288"/>
      <c r="V238" s="288"/>
      <c r="W238" s="415"/>
      <c r="X238" s="415"/>
      <c r="Y238" s="290"/>
      <c r="Z238" s="288"/>
      <c r="AA238" s="288"/>
      <c r="AB238" s="435"/>
      <c r="AC238" s="435"/>
      <c r="AD238" s="436"/>
      <c r="AE238" s="288"/>
      <c r="AF238" s="288"/>
      <c r="AG238" s="443"/>
      <c r="AH238" s="288"/>
      <c r="AI238" s="332"/>
      <c r="AJ238" s="290"/>
      <c r="AK238" s="46"/>
      <c r="AL238" s="204"/>
    </row>
    <row r="239" spans="1:38" ht="18.75" x14ac:dyDescent="0.3">
      <c r="A239" s="368" t="s">
        <v>22</v>
      </c>
      <c r="B239" s="162"/>
      <c r="C239" s="162"/>
      <c r="D239" s="162"/>
      <c r="E239" s="164"/>
      <c r="F239" s="164"/>
      <c r="G239" s="164"/>
      <c r="H239" s="338"/>
      <c r="I239" s="290"/>
      <c r="J239" s="338"/>
      <c r="K239" s="367"/>
      <c r="L239" s="288"/>
      <c r="M239" s="288"/>
      <c r="N239" s="338"/>
      <c r="O239" s="288"/>
      <c r="P239" s="288"/>
      <c r="Q239" s="290"/>
      <c r="R239" s="288"/>
      <c r="S239" s="288"/>
      <c r="T239" s="288"/>
      <c r="U239" s="288"/>
      <c r="V239" s="288"/>
      <c r="W239" s="415"/>
      <c r="X239" s="415"/>
      <c r="Y239" s="290"/>
      <c r="Z239" s="288"/>
      <c r="AA239" s="288"/>
      <c r="AB239" s="436"/>
      <c r="AC239" s="435"/>
      <c r="AD239" s="436"/>
      <c r="AE239" s="288"/>
      <c r="AF239" s="288"/>
      <c r="AG239" s="288"/>
      <c r="AH239" s="288"/>
      <c r="AI239" s="332"/>
      <c r="AJ239" s="290"/>
      <c r="AK239" s="342"/>
      <c r="AL239" s="204"/>
    </row>
    <row r="240" spans="1:38" ht="18.75" x14ac:dyDescent="0.3">
      <c r="A240" s="368" t="s">
        <v>88</v>
      </c>
      <c r="B240" s="115"/>
      <c r="C240" s="115"/>
      <c r="D240" s="115"/>
      <c r="E240" s="18"/>
      <c r="F240" s="242"/>
      <c r="G240" s="18"/>
      <c r="H240" s="18"/>
      <c r="I240" s="49"/>
      <c r="J240" s="240"/>
      <c r="K240" s="134"/>
      <c r="L240" s="134"/>
      <c r="M240" s="134"/>
      <c r="N240" s="134"/>
      <c r="O240" s="134"/>
      <c r="P240" s="134"/>
      <c r="Q240" s="49"/>
      <c r="R240" s="134"/>
      <c r="S240" s="134"/>
      <c r="T240" s="134"/>
      <c r="U240" s="134"/>
      <c r="V240" s="134"/>
      <c r="W240" s="417"/>
      <c r="X240" s="417"/>
      <c r="Y240" s="49"/>
      <c r="Z240" s="134"/>
      <c r="AA240" s="134"/>
      <c r="AB240" s="159"/>
      <c r="AC240" s="159"/>
      <c r="AD240" s="432"/>
      <c r="AE240" s="134"/>
      <c r="AF240" s="134"/>
      <c r="AG240" s="134"/>
      <c r="AH240" s="134"/>
      <c r="AI240" s="134"/>
      <c r="AJ240" s="49"/>
      <c r="AK240" s="378"/>
      <c r="AL240" s="309"/>
    </row>
    <row r="241" spans="1:38" ht="18.75" x14ac:dyDescent="0.3">
      <c r="A241" s="368" t="s">
        <v>38</v>
      </c>
      <c r="B241" s="115"/>
      <c r="C241" s="115"/>
      <c r="D241" s="115"/>
      <c r="E241" s="18"/>
      <c r="F241" s="242"/>
      <c r="G241" s="18"/>
      <c r="H241" s="18"/>
      <c r="I241" s="49"/>
      <c r="J241" s="242"/>
      <c r="K241" s="134"/>
      <c r="L241" s="134"/>
      <c r="M241" s="134"/>
      <c r="N241" s="134"/>
      <c r="O241" s="134"/>
      <c r="P241" s="134"/>
      <c r="Q241" s="49"/>
      <c r="R241" s="134"/>
      <c r="S241" s="134"/>
      <c r="T241" s="134"/>
      <c r="U241" s="242"/>
      <c r="V241" s="134"/>
      <c r="W241" s="417"/>
      <c r="X241" s="417"/>
      <c r="Y241" s="49"/>
      <c r="Z241" s="242"/>
      <c r="AA241" s="134"/>
      <c r="AB241" s="159"/>
      <c r="AC241" s="159"/>
      <c r="AD241" s="159"/>
      <c r="AE241" s="242"/>
      <c r="AF241" s="134"/>
      <c r="AG241" s="134"/>
      <c r="AH241" s="134"/>
      <c r="AI241" s="134"/>
      <c r="AJ241" s="49"/>
      <c r="AK241" s="378"/>
      <c r="AL241" s="309"/>
    </row>
    <row r="242" spans="1:38" x14ac:dyDescent="0.25">
      <c r="A242" s="368" t="s">
        <v>90</v>
      </c>
      <c r="B242" s="150"/>
      <c r="C242" s="150"/>
      <c r="D242" s="282"/>
      <c r="E242" s="150"/>
      <c r="F242" s="282"/>
      <c r="G242" s="150"/>
      <c r="H242" s="150"/>
      <c r="I242" s="369"/>
      <c r="J242" s="282"/>
      <c r="K242" s="150"/>
      <c r="L242" s="149"/>
      <c r="M242" s="182"/>
      <c r="N242" s="182"/>
      <c r="O242" s="182"/>
      <c r="P242" s="182"/>
      <c r="Q242" s="370"/>
      <c r="R242" s="182"/>
      <c r="S242" s="182"/>
      <c r="T242" s="182"/>
      <c r="U242" s="182"/>
      <c r="V242" s="182"/>
      <c r="W242" s="419"/>
      <c r="X242" s="419"/>
      <c r="Y242" s="370"/>
      <c r="Z242" s="182"/>
      <c r="AA242" s="182"/>
      <c r="AB242" s="109"/>
      <c r="AC242" s="109"/>
      <c r="AD242" s="109"/>
      <c r="AE242" s="182"/>
      <c r="AF242" s="182"/>
      <c r="AG242" s="182"/>
      <c r="AH242" s="182"/>
      <c r="AI242" s="182"/>
      <c r="AJ242" s="370"/>
      <c r="AK242" s="333"/>
      <c r="AL242" s="309"/>
    </row>
    <row r="243" spans="1:38" x14ac:dyDescent="0.25">
      <c r="A243" s="368" t="s">
        <v>87</v>
      </c>
      <c r="B243" s="355"/>
      <c r="C243" s="355"/>
      <c r="D243" s="355"/>
      <c r="E243" s="355"/>
      <c r="F243" s="152"/>
      <c r="G243" s="356"/>
      <c r="H243" s="356"/>
      <c r="I243" s="357"/>
      <c r="J243" s="152"/>
      <c r="K243" s="356"/>
      <c r="L243" s="356"/>
      <c r="M243" s="356"/>
      <c r="N243" s="152"/>
      <c r="O243" s="356"/>
      <c r="P243" s="356"/>
      <c r="Q243" s="357"/>
      <c r="R243" s="356"/>
      <c r="S243" s="356"/>
      <c r="T243" s="356"/>
      <c r="U243" s="356"/>
      <c r="V243" s="356"/>
      <c r="W243" s="415"/>
      <c r="X243" s="415"/>
      <c r="Y243" s="357"/>
      <c r="Z243" s="356"/>
      <c r="AA243" s="356"/>
      <c r="AB243" s="175"/>
      <c r="AC243" s="175"/>
      <c r="AD243" s="175"/>
      <c r="AE243" s="152"/>
      <c r="AF243" s="356"/>
      <c r="AG243" s="356"/>
      <c r="AH243" s="356"/>
      <c r="AI243" s="356"/>
      <c r="AJ243" s="357"/>
      <c r="AK243" s="358"/>
      <c r="AL243" s="359"/>
    </row>
    <row r="244" spans="1:38" x14ac:dyDescent="0.25">
      <c r="A244" s="368" t="s">
        <v>21</v>
      </c>
      <c r="B244" s="355"/>
      <c r="C244" s="355"/>
      <c r="D244" s="355"/>
      <c r="E244" s="355"/>
      <c r="F244" s="152"/>
      <c r="G244" s="356"/>
      <c r="H244" s="356"/>
      <c r="I244" s="357"/>
      <c r="J244" s="152"/>
      <c r="K244" s="356"/>
      <c r="L244" s="356"/>
      <c r="M244" s="356"/>
      <c r="N244" s="152"/>
      <c r="O244" s="356"/>
      <c r="P244" s="356"/>
      <c r="Q244" s="357"/>
      <c r="R244" s="356"/>
      <c r="S244" s="356"/>
      <c r="T244" s="356"/>
      <c r="U244" s="356"/>
      <c r="V244" s="356"/>
      <c r="W244" s="415"/>
      <c r="X244" s="415"/>
      <c r="Y244" s="357"/>
      <c r="Z244" s="356"/>
      <c r="AA244" s="356"/>
      <c r="AB244" s="175"/>
      <c r="AC244" s="175"/>
      <c r="AD244" s="175"/>
      <c r="AE244" s="152"/>
      <c r="AF244" s="356"/>
      <c r="AG244" s="356"/>
      <c r="AH244" s="356"/>
      <c r="AI244" s="356"/>
      <c r="AJ244" s="357"/>
      <c r="AK244" s="358"/>
      <c r="AL244" s="359"/>
    </row>
    <row r="245" spans="1:38" x14ac:dyDescent="0.25">
      <c r="A245" s="368" t="s">
        <v>99</v>
      </c>
      <c r="B245" s="367"/>
      <c r="C245" s="367"/>
      <c r="D245" s="367"/>
      <c r="E245" s="367"/>
      <c r="F245" s="367"/>
      <c r="G245" s="367"/>
      <c r="H245" s="367"/>
      <c r="I245" s="374"/>
      <c r="J245" s="367"/>
      <c r="K245" s="367"/>
      <c r="L245" s="367"/>
      <c r="M245" s="367"/>
      <c r="N245" s="367"/>
      <c r="O245" s="367"/>
      <c r="P245" s="367"/>
      <c r="Q245" s="290"/>
      <c r="R245" s="367"/>
      <c r="S245" s="288"/>
      <c r="T245" s="338"/>
      <c r="U245" s="288"/>
      <c r="V245" s="288"/>
      <c r="W245" s="415"/>
      <c r="X245" s="415"/>
      <c r="Y245" s="290"/>
      <c r="Z245" s="288"/>
      <c r="AA245" s="288"/>
      <c r="AB245" s="435"/>
      <c r="AC245" s="435"/>
      <c r="AD245" s="435"/>
      <c r="AE245" s="288"/>
      <c r="AF245" s="288"/>
      <c r="AG245" s="288"/>
      <c r="AH245" s="288"/>
      <c r="AI245" s="288"/>
      <c r="AJ245" s="290"/>
      <c r="AK245" s="291"/>
      <c r="AL245" s="204"/>
    </row>
    <row r="246" spans="1:38" ht="15.75" x14ac:dyDescent="0.25">
      <c r="A246" s="426" t="s">
        <v>91</v>
      </c>
      <c r="B246" s="242"/>
      <c r="C246" s="242"/>
      <c r="D246" s="242"/>
      <c r="E246" s="242"/>
      <c r="F246" s="242"/>
      <c r="G246" s="242"/>
      <c r="H246" s="242"/>
      <c r="I246" s="409"/>
      <c r="J246" s="242"/>
      <c r="K246" s="242"/>
      <c r="L246" s="242"/>
      <c r="M246" s="242"/>
      <c r="N246" s="242"/>
      <c r="O246" s="242"/>
      <c r="P246" s="242"/>
      <c r="Q246" s="410"/>
      <c r="R246" s="242"/>
      <c r="S246" s="240"/>
      <c r="T246" s="134"/>
      <c r="U246" s="134"/>
      <c r="V246" s="134"/>
      <c r="W246" s="417"/>
      <c r="X246" s="417"/>
      <c r="Y246" s="49"/>
      <c r="Z246" s="134"/>
      <c r="AA246" s="240"/>
      <c r="AB246" s="159"/>
      <c r="AC246" s="159"/>
      <c r="AD246" s="159"/>
      <c r="AE246" s="134"/>
      <c r="AF246" s="240"/>
      <c r="AG246" s="134"/>
      <c r="AH246" s="134"/>
      <c r="AI246" s="134"/>
      <c r="AJ246" s="49"/>
      <c r="AK246" s="133"/>
      <c r="AL246" s="197"/>
    </row>
    <row r="247" spans="1:38" ht="19.5" thickBot="1" x14ac:dyDescent="0.35">
      <c r="A247" s="66" t="s">
        <v>101</v>
      </c>
      <c r="B247" s="396"/>
      <c r="C247" s="396"/>
      <c r="D247" s="396"/>
      <c r="E247" s="396"/>
      <c r="F247" s="396"/>
      <c r="G247" s="396"/>
      <c r="H247" s="396"/>
      <c r="I247" s="334"/>
      <c r="J247" s="396"/>
      <c r="K247" s="396"/>
      <c r="L247" s="396"/>
      <c r="M247" s="396"/>
      <c r="N247" s="396"/>
      <c r="O247" s="396"/>
      <c r="P247" s="396"/>
      <c r="Q247" s="334"/>
      <c r="R247" s="396"/>
      <c r="S247" s="396"/>
      <c r="T247" s="396"/>
      <c r="U247" s="396"/>
      <c r="V247" s="396"/>
      <c r="W247" s="420"/>
      <c r="X247" s="420"/>
      <c r="Y247" s="334"/>
      <c r="Z247" s="396"/>
      <c r="AA247" s="396"/>
      <c r="AB247" s="437"/>
      <c r="AC247" s="437"/>
      <c r="AD247" s="437"/>
      <c r="AE247" s="396"/>
      <c r="AF247" s="396"/>
      <c r="AG247" s="396"/>
      <c r="AH247" s="396"/>
      <c r="AI247" s="396"/>
      <c r="AJ247" s="334"/>
      <c r="AK247" s="397"/>
      <c r="AL247" s="228"/>
    </row>
    <row r="248" spans="1:38" ht="18.75" x14ac:dyDescent="0.3">
      <c r="A248" s="281" t="s">
        <v>2</v>
      </c>
      <c r="B248" s="241"/>
      <c r="C248" s="241"/>
      <c r="D248" s="241"/>
      <c r="E248" s="241"/>
      <c r="F248" s="241"/>
      <c r="G248" s="241"/>
      <c r="H248" s="241"/>
      <c r="I248" s="380"/>
      <c r="J248" s="241"/>
      <c r="K248" s="241"/>
      <c r="L248" s="241"/>
      <c r="M248" s="241"/>
      <c r="N248" s="241"/>
      <c r="O248" s="241"/>
      <c r="P248" s="241"/>
      <c r="Q248" s="377"/>
      <c r="R248" s="241"/>
      <c r="S248" s="241"/>
      <c r="T248" s="241"/>
      <c r="U248" s="241"/>
      <c r="V248" s="241"/>
      <c r="W248" s="413"/>
      <c r="X248" s="413"/>
      <c r="Y248" s="380"/>
      <c r="Z248" s="241"/>
      <c r="AA248" s="241"/>
      <c r="AB248" s="241"/>
      <c r="AC248" s="241"/>
      <c r="AD248" s="241"/>
      <c r="AE248" s="241"/>
      <c r="AF248" s="241"/>
      <c r="AG248" s="241"/>
      <c r="AH248" s="424"/>
      <c r="AI248" s="425"/>
      <c r="AJ248" s="360"/>
      <c r="AK248" s="266"/>
      <c r="AL248" s="284"/>
    </row>
    <row r="249" spans="1:38" ht="19.5" thickBot="1" x14ac:dyDescent="0.35">
      <c r="A249" s="272"/>
      <c r="B249" s="265"/>
      <c r="C249" s="265"/>
      <c r="D249" s="265"/>
      <c r="E249" s="265"/>
      <c r="F249" s="265"/>
      <c r="G249" s="265"/>
      <c r="H249" s="265"/>
      <c r="I249" s="334"/>
      <c r="J249" s="265"/>
      <c r="K249" s="265"/>
      <c r="L249" s="265"/>
      <c r="M249" s="265"/>
      <c r="N249" s="265"/>
      <c r="O249" s="265"/>
      <c r="P249" s="265"/>
      <c r="Q249" s="334"/>
      <c r="R249" s="265"/>
      <c r="S249" s="265"/>
      <c r="T249" s="265"/>
      <c r="U249" s="265"/>
      <c r="V249" s="265"/>
      <c r="W249" s="265"/>
      <c r="X249" s="265"/>
      <c r="Y249" s="334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334"/>
      <c r="AK249" s="273"/>
      <c r="AL249" s="228"/>
    </row>
    <row r="250" spans="1:38" ht="24" thickBot="1" x14ac:dyDescent="0.4">
      <c r="A250" s="252" t="s">
        <v>208</v>
      </c>
      <c r="B250" s="258"/>
      <c r="C250" s="258"/>
      <c r="D250" s="258"/>
      <c r="E250" s="258"/>
      <c r="F250" s="258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  <c r="AD250" s="254"/>
      <c r="AE250" s="254"/>
      <c r="AF250" s="254"/>
      <c r="AG250" s="254"/>
      <c r="AH250" s="254"/>
      <c r="AI250" s="254"/>
      <c r="AJ250" s="260"/>
      <c r="AK250" s="261"/>
      <c r="AL250" s="260"/>
    </row>
    <row r="251" spans="1:38" ht="15.75" thickBot="1" x14ac:dyDescent="0.3">
      <c r="A251" s="222" t="s">
        <v>2</v>
      </c>
      <c r="B251" s="53"/>
      <c r="C251" s="53"/>
      <c r="D251" s="53"/>
      <c r="E251" s="53"/>
      <c r="F251" s="53"/>
      <c r="G251" s="53"/>
      <c r="H251" s="53"/>
      <c r="I251" s="34"/>
      <c r="J251" s="53"/>
      <c r="K251" s="53"/>
      <c r="L251" s="53"/>
      <c r="M251" s="53"/>
      <c r="N251" s="53"/>
      <c r="O251" s="53"/>
      <c r="P251" s="53"/>
      <c r="Q251" s="34"/>
      <c r="R251" s="53"/>
      <c r="S251" s="53"/>
      <c r="T251" s="53"/>
      <c r="U251" s="53"/>
      <c r="V251" s="53"/>
      <c r="W251" s="53"/>
      <c r="X251" s="53"/>
      <c r="Y251" s="34"/>
      <c r="Z251" s="53"/>
      <c r="AA251" s="53"/>
      <c r="AB251" s="53"/>
      <c r="AC251" s="53"/>
      <c r="AD251" s="53"/>
      <c r="AE251" s="53"/>
      <c r="AF251" s="53"/>
      <c r="AG251" s="53"/>
      <c r="AH251" s="53"/>
      <c r="AI251" s="54"/>
      <c r="AJ251" s="49"/>
      <c r="AK251" s="346"/>
      <c r="AL251" s="105"/>
    </row>
    <row r="252" spans="1:38" ht="18.75" x14ac:dyDescent="0.3">
      <c r="A252" s="64" t="s">
        <v>57</v>
      </c>
      <c r="B252" s="1"/>
      <c r="C252" s="1"/>
      <c r="D252" s="1"/>
      <c r="E252" s="1"/>
      <c r="F252" s="1"/>
      <c r="G252" s="1"/>
      <c r="H252" s="1"/>
      <c r="I252" s="36"/>
      <c r="J252" s="1"/>
      <c r="K252" s="1"/>
      <c r="L252" s="1"/>
      <c r="M252" s="1"/>
      <c r="N252" s="1"/>
      <c r="O252" s="1"/>
      <c r="P252" s="1"/>
      <c r="Q252" s="36"/>
      <c r="R252" s="1"/>
      <c r="S252" s="1"/>
      <c r="T252" s="57"/>
      <c r="U252" s="1"/>
      <c r="V252" s="1"/>
      <c r="W252" s="1"/>
      <c r="X252" s="1"/>
      <c r="Y252" s="36"/>
      <c r="Z252" s="1"/>
      <c r="AA252" s="1"/>
      <c r="AB252" s="1"/>
      <c r="AC252" s="1"/>
      <c r="AD252" s="1"/>
      <c r="AE252" s="1"/>
      <c r="AF252" s="1"/>
      <c r="AG252" s="1"/>
      <c r="AH252" s="1"/>
      <c r="AI252" s="55"/>
      <c r="AJ252" s="36"/>
      <c r="AK252" s="339"/>
      <c r="AL252" s="197"/>
    </row>
    <row r="253" spans="1:38" ht="18.75" x14ac:dyDescent="0.3">
      <c r="A253" s="11" t="s">
        <v>58</v>
      </c>
      <c r="B253" s="1"/>
      <c r="C253" s="1"/>
      <c r="D253" s="1"/>
      <c r="E253" s="1"/>
      <c r="F253" s="1"/>
      <c r="G253" s="1"/>
      <c r="H253" s="1"/>
      <c r="I253" s="37"/>
      <c r="J253" s="118"/>
      <c r="K253" s="1"/>
      <c r="L253" s="1"/>
      <c r="M253" s="1"/>
      <c r="N253" s="1"/>
      <c r="O253" s="1"/>
      <c r="P253" s="1"/>
      <c r="Q253" s="37"/>
      <c r="R253" s="1"/>
      <c r="S253" s="1"/>
      <c r="T253" s="57"/>
      <c r="U253" s="1"/>
      <c r="V253" s="1"/>
      <c r="W253" s="1"/>
      <c r="X253" s="1"/>
      <c r="Y253" s="37"/>
      <c r="Z253" s="1"/>
      <c r="AA253" s="1"/>
      <c r="AB253" s="118"/>
      <c r="AC253" s="1"/>
      <c r="AD253" s="118"/>
      <c r="AE253" s="1"/>
      <c r="AF253" s="1"/>
      <c r="AG253" s="336"/>
      <c r="AH253" s="2"/>
      <c r="AI253" s="52"/>
      <c r="AJ253" s="37"/>
      <c r="AK253" s="340"/>
      <c r="AL253" s="197"/>
    </row>
    <row r="254" spans="1:38" ht="18.75" x14ac:dyDescent="0.3">
      <c r="A254" s="62" t="s">
        <v>59</v>
      </c>
      <c r="B254" s="123"/>
      <c r="C254" s="123"/>
      <c r="D254" s="123"/>
      <c r="E254" s="123"/>
      <c r="F254" s="123"/>
      <c r="G254" s="123"/>
      <c r="H254" s="123"/>
      <c r="I254" s="43"/>
      <c r="J254" s="178"/>
      <c r="K254" s="123"/>
      <c r="L254" s="123"/>
      <c r="M254" s="123"/>
      <c r="N254" s="123"/>
      <c r="O254" s="123"/>
      <c r="P254" s="123"/>
      <c r="Q254" s="43"/>
      <c r="R254" s="123"/>
      <c r="S254" s="123"/>
      <c r="T254" s="178"/>
      <c r="U254" s="123"/>
      <c r="V254" s="123"/>
      <c r="W254" s="123"/>
      <c r="X254" s="123"/>
      <c r="Y254" s="43"/>
      <c r="Z254" s="123"/>
      <c r="AA254" s="123"/>
      <c r="AB254" s="123"/>
      <c r="AC254" s="123"/>
      <c r="AD254" s="119"/>
      <c r="AE254" s="123"/>
      <c r="AF254" s="123"/>
      <c r="AG254" s="366"/>
      <c r="AH254" s="42"/>
      <c r="AI254" s="243"/>
      <c r="AJ254" s="43"/>
      <c r="AK254" s="342"/>
      <c r="AL254" s="204"/>
    </row>
    <row r="255" spans="1:38" ht="18.75" customHeight="1" thickBot="1" x14ac:dyDescent="0.35">
      <c r="A255" s="349"/>
      <c r="B255" s="274"/>
      <c r="C255" s="274"/>
      <c r="D255" s="274"/>
      <c r="E255" s="274"/>
      <c r="F255" s="274"/>
      <c r="G255" s="275"/>
      <c r="H255" s="275"/>
      <c r="I255" s="269"/>
      <c r="J255" s="270"/>
      <c r="K255" s="268"/>
      <c r="L255" s="275"/>
      <c r="M255" s="268"/>
      <c r="N255" s="275"/>
      <c r="O255" s="268"/>
      <c r="P255" s="275"/>
      <c r="Q255" s="269"/>
      <c r="R255" s="153"/>
      <c r="S255" s="275"/>
      <c r="T255" s="239"/>
      <c r="U255" s="268"/>
      <c r="V255" s="275"/>
      <c r="W255" s="275"/>
      <c r="X255" s="268"/>
      <c r="Y255" s="269"/>
      <c r="Z255" s="275"/>
      <c r="AA255" s="153"/>
      <c r="AB255" s="268"/>
      <c r="AC255" s="275"/>
      <c r="AD255" s="268"/>
      <c r="AE255" s="275"/>
      <c r="AF255" s="275"/>
      <c r="AG255" s="429"/>
      <c r="AH255" s="270"/>
      <c r="AI255" s="270"/>
      <c r="AJ255" s="269"/>
      <c r="AK255" s="271"/>
      <c r="AL255" s="204"/>
    </row>
    <row r="256" spans="1:38" ht="16.5" customHeight="1" x14ac:dyDescent="0.3">
      <c r="A256" s="281" t="s">
        <v>2</v>
      </c>
      <c r="B256" s="307"/>
      <c r="C256" s="307"/>
      <c r="D256" s="307"/>
      <c r="E256" s="307"/>
      <c r="F256" s="307"/>
      <c r="G256" s="307"/>
      <c r="H256" s="307"/>
      <c r="I256" s="376"/>
      <c r="J256" s="307"/>
      <c r="K256" s="307"/>
      <c r="L256" s="307"/>
      <c r="M256" s="307"/>
      <c r="N256" s="307"/>
      <c r="O256" s="307"/>
      <c r="P256" s="307"/>
      <c r="Q256" s="376"/>
      <c r="R256" s="307"/>
      <c r="S256" s="307"/>
      <c r="T256" s="163"/>
      <c r="U256" s="307"/>
      <c r="V256" s="307"/>
      <c r="W256" s="307"/>
      <c r="X256" s="307"/>
      <c r="Y256" s="376"/>
      <c r="Z256" s="307"/>
      <c r="AA256" s="307"/>
      <c r="AB256" s="307"/>
      <c r="AC256" s="307"/>
      <c r="AD256" s="307"/>
      <c r="AE256" s="307"/>
      <c r="AF256" s="307"/>
      <c r="AG256" s="428"/>
      <c r="AH256" s="308"/>
      <c r="AI256" s="308"/>
      <c r="AJ256" s="310"/>
      <c r="AK256" s="308"/>
      <c r="AL256" s="284"/>
    </row>
    <row r="257" spans="1:38" ht="15.75" thickBot="1" x14ac:dyDescent="0.3">
      <c r="A257" s="264"/>
      <c r="B257" s="265"/>
      <c r="C257" s="265"/>
      <c r="D257" s="265"/>
      <c r="E257" s="265"/>
      <c r="F257" s="265"/>
      <c r="G257" s="265"/>
      <c r="H257" s="265"/>
      <c r="I257" s="361"/>
      <c r="J257" s="265"/>
      <c r="K257" s="265"/>
      <c r="L257" s="265"/>
      <c r="M257" s="265"/>
      <c r="N257" s="265"/>
      <c r="O257" s="265"/>
      <c r="P257" s="265"/>
      <c r="Q257" s="361"/>
      <c r="R257" s="265"/>
      <c r="S257" s="265"/>
      <c r="T257" s="265"/>
      <c r="U257" s="265"/>
      <c r="V257" s="265"/>
      <c r="W257" s="265"/>
      <c r="X257" s="265"/>
      <c r="Y257" s="361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361"/>
      <c r="AK257" s="362"/>
      <c r="AL257" s="363"/>
    </row>
    <row r="258" spans="1:38" ht="24" thickBot="1" x14ac:dyDescent="0.4">
      <c r="A258" s="252" t="s">
        <v>209</v>
      </c>
      <c r="B258" s="258"/>
      <c r="C258" s="258"/>
      <c r="D258" s="258"/>
      <c r="E258" s="258"/>
      <c r="F258" s="258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  <c r="AD258" s="254"/>
      <c r="AE258" s="254"/>
      <c r="AF258" s="254"/>
      <c r="AG258" s="254"/>
      <c r="AH258" s="254"/>
      <c r="AI258" s="254"/>
      <c r="AJ258" s="260"/>
      <c r="AK258" s="261"/>
      <c r="AL258" s="260"/>
    </row>
    <row r="259" spans="1:38" ht="18.75" x14ac:dyDescent="0.3">
      <c r="A259" s="11" t="s">
        <v>54</v>
      </c>
      <c r="B259" s="1"/>
      <c r="C259" s="1"/>
      <c r="D259" s="1"/>
      <c r="E259" s="1"/>
      <c r="F259" s="1"/>
      <c r="G259" s="1"/>
      <c r="H259" s="1"/>
      <c r="I259" s="37"/>
      <c r="J259" s="118"/>
      <c r="K259" s="118"/>
      <c r="L259" s="1"/>
      <c r="M259" s="118"/>
      <c r="N259" s="1"/>
      <c r="O259" s="118"/>
      <c r="P259" s="1"/>
      <c r="Q259" s="37"/>
      <c r="R259" s="118"/>
      <c r="S259" s="1"/>
      <c r="T259" s="118"/>
      <c r="U259" s="118"/>
      <c r="V259" s="118"/>
      <c r="W259" s="118"/>
      <c r="X259" s="118"/>
      <c r="Y259" s="37"/>
      <c r="Z259" s="118"/>
      <c r="AA259" s="1"/>
      <c r="AB259" s="1"/>
      <c r="AC259" s="1"/>
      <c r="AD259" s="1"/>
      <c r="AE259" s="118"/>
      <c r="AF259" s="118"/>
      <c r="AG259" s="2"/>
      <c r="AH259" s="2"/>
      <c r="AI259" s="52"/>
      <c r="AJ259" s="37"/>
      <c r="AK259" s="339"/>
      <c r="AL259" s="197"/>
    </row>
    <row r="260" spans="1:38" ht="18.75" x14ac:dyDescent="0.3">
      <c r="A260" s="11" t="s">
        <v>55</v>
      </c>
      <c r="B260" s="1"/>
      <c r="C260" s="1"/>
      <c r="D260" s="1"/>
      <c r="E260" s="1"/>
      <c r="F260" s="1"/>
      <c r="G260" s="1"/>
      <c r="H260" s="1"/>
      <c r="I260" s="37"/>
      <c r="J260" s="118"/>
      <c r="K260" s="118"/>
      <c r="L260" s="1"/>
      <c r="M260" s="118"/>
      <c r="N260" s="118"/>
      <c r="O260" s="1"/>
      <c r="P260" s="1"/>
      <c r="Q260" s="37"/>
      <c r="R260" s="118"/>
      <c r="S260" s="1"/>
      <c r="T260" s="118"/>
      <c r="U260" s="1"/>
      <c r="V260" s="118"/>
      <c r="W260" s="118"/>
      <c r="X260" s="118"/>
      <c r="Y260" s="37"/>
      <c r="Z260" s="118"/>
      <c r="AA260" s="1"/>
      <c r="AB260" s="1"/>
      <c r="AC260" s="1"/>
      <c r="AD260" s="1"/>
      <c r="AE260" s="118"/>
      <c r="AF260" s="118"/>
      <c r="AG260" s="2"/>
      <c r="AH260" s="2"/>
      <c r="AI260" s="52"/>
      <c r="AJ260" s="37"/>
      <c r="AK260" s="339"/>
      <c r="AL260" s="197"/>
    </row>
    <row r="261" spans="1:38" ht="18.75" x14ac:dyDescent="0.3">
      <c r="A261" s="62" t="s">
        <v>56</v>
      </c>
      <c r="B261" s="123"/>
      <c r="C261" s="123"/>
      <c r="D261" s="123"/>
      <c r="E261" s="123"/>
      <c r="F261" s="123"/>
      <c r="G261" s="123"/>
      <c r="H261" s="123"/>
      <c r="I261" s="43"/>
      <c r="J261" s="119"/>
      <c r="K261" s="119"/>
      <c r="L261" s="123"/>
      <c r="M261" s="119"/>
      <c r="N261" s="123"/>
      <c r="O261" s="119"/>
      <c r="P261" s="123"/>
      <c r="Q261" s="43"/>
      <c r="R261" s="123"/>
      <c r="S261" s="123"/>
      <c r="T261" s="119"/>
      <c r="U261" s="119"/>
      <c r="V261" s="119"/>
      <c r="W261" s="119"/>
      <c r="X261" s="119"/>
      <c r="Y261" s="43"/>
      <c r="Z261" s="119"/>
      <c r="AA261" s="123"/>
      <c r="AB261" s="123"/>
      <c r="AC261" s="123"/>
      <c r="AD261" s="123"/>
      <c r="AE261" s="119"/>
      <c r="AF261" s="119"/>
      <c r="AG261" s="42"/>
      <c r="AH261" s="42"/>
      <c r="AI261" s="243"/>
      <c r="AJ261" s="43"/>
      <c r="AK261" s="342"/>
      <c r="AL261" s="204"/>
    </row>
    <row r="262" spans="1:38" x14ac:dyDescent="0.25">
      <c r="A262" s="67"/>
      <c r="B262" s="124"/>
      <c r="C262" s="124"/>
      <c r="D262" s="124"/>
      <c r="E262" s="124"/>
      <c r="F262" s="124"/>
      <c r="G262" s="124"/>
      <c r="H262" s="124"/>
      <c r="I262" s="47"/>
      <c r="J262" s="124"/>
      <c r="K262" s="124"/>
      <c r="L262" s="124"/>
      <c r="M262" s="124"/>
      <c r="N262" s="124"/>
      <c r="O262" s="124"/>
      <c r="P262" s="124"/>
      <c r="Q262" s="47"/>
      <c r="R262" s="124"/>
      <c r="S262" s="124"/>
      <c r="T262" s="124"/>
      <c r="U262" s="124"/>
      <c r="V262" s="124"/>
      <c r="W262" s="124"/>
      <c r="X262" s="124"/>
      <c r="Y262" s="47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37"/>
      <c r="AK262" s="3"/>
      <c r="AL262" s="197"/>
    </row>
    <row r="263" spans="1:38" ht="18.75" x14ac:dyDescent="0.3">
      <c r="A263" s="402" t="s">
        <v>2</v>
      </c>
      <c r="B263" s="403"/>
      <c r="C263" s="403"/>
      <c r="D263" s="403"/>
      <c r="E263" s="403"/>
      <c r="F263" s="403"/>
      <c r="G263" s="403"/>
      <c r="H263" s="403"/>
      <c r="I263" s="404"/>
      <c r="J263" s="403"/>
      <c r="K263" s="405"/>
      <c r="L263" s="403"/>
      <c r="M263" s="403"/>
      <c r="N263" s="403"/>
      <c r="O263" s="405"/>
      <c r="P263" s="403"/>
      <c r="Q263" s="404"/>
      <c r="R263" s="403"/>
      <c r="S263" s="405"/>
      <c r="T263" s="405"/>
      <c r="U263" s="405"/>
      <c r="V263" s="405"/>
      <c r="W263" s="405"/>
      <c r="X263" s="405"/>
      <c r="Y263" s="404"/>
      <c r="Z263" s="405"/>
      <c r="AA263" s="403"/>
      <c r="AB263" s="403"/>
      <c r="AC263" s="403"/>
      <c r="AD263" s="403"/>
      <c r="AE263" s="405"/>
      <c r="AF263" s="403"/>
      <c r="AG263" s="430"/>
      <c r="AH263" s="406"/>
      <c r="AI263" s="406"/>
      <c r="AJ263" s="407"/>
      <c r="AK263" s="406"/>
      <c r="AL263" s="408"/>
    </row>
    <row r="264" spans="1:38" ht="15.75" thickBot="1" x14ac:dyDescent="0.3">
      <c r="A264" s="364"/>
      <c r="B264" s="265"/>
      <c r="C264" s="265"/>
      <c r="D264" s="265"/>
      <c r="E264" s="265"/>
      <c r="F264" s="265"/>
      <c r="G264" s="265"/>
      <c r="H264" s="265"/>
      <c r="I264" s="361"/>
      <c r="J264" s="265"/>
      <c r="K264" s="265"/>
      <c r="L264" s="265"/>
      <c r="M264" s="265"/>
      <c r="N264" s="265"/>
      <c r="O264" s="265"/>
      <c r="P264" s="265"/>
      <c r="Q264" s="361"/>
      <c r="R264" s="265"/>
      <c r="S264" s="265"/>
      <c r="T264" s="265"/>
      <c r="U264" s="265"/>
      <c r="V264" s="265"/>
      <c r="W264" s="265"/>
      <c r="X264" s="265"/>
      <c r="Y264" s="361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361"/>
      <c r="AK264" s="362"/>
      <c r="AL264" s="363"/>
    </row>
    <row r="265" spans="1:38" ht="24" thickBot="1" x14ac:dyDescent="0.4">
      <c r="A265" s="276" t="s">
        <v>210</v>
      </c>
      <c r="B265" s="258"/>
      <c r="C265" s="258"/>
      <c r="D265" s="258"/>
      <c r="E265" s="258"/>
      <c r="F265" s="258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260"/>
      <c r="AK265" s="261"/>
      <c r="AL265" s="260"/>
    </row>
    <row r="266" spans="1:38" ht="16.5" thickBot="1" x14ac:dyDescent="0.3">
      <c r="A266" s="320" t="s">
        <v>24</v>
      </c>
      <c r="B266" s="53"/>
      <c r="C266" s="53"/>
      <c r="D266" s="53"/>
      <c r="E266" s="53"/>
      <c r="F266" s="53"/>
      <c r="G266" s="53"/>
      <c r="H266" s="53"/>
      <c r="I266" s="34"/>
      <c r="J266" s="53"/>
      <c r="K266" s="53"/>
      <c r="L266" s="53"/>
      <c r="M266" s="53"/>
      <c r="N266" s="53"/>
      <c r="O266" s="53"/>
      <c r="P266" s="53"/>
      <c r="Q266" s="34"/>
      <c r="R266" s="53"/>
      <c r="S266" s="53"/>
      <c r="T266" s="53"/>
      <c r="U266" s="53"/>
      <c r="V266" s="53"/>
      <c r="W266" s="53"/>
      <c r="X266" s="53"/>
      <c r="Y266" s="34"/>
      <c r="Z266" s="53"/>
      <c r="AA266" s="53"/>
      <c r="AB266" s="53"/>
      <c r="AC266" s="53"/>
      <c r="AD266" s="53"/>
      <c r="AE266" s="53"/>
      <c r="AF266" s="53"/>
      <c r="AG266" s="53"/>
      <c r="AH266" s="53"/>
      <c r="AI266" s="54"/>
      <c r="AJ266" s="49"/>
      <c r="AK266" s="346"/>
      <c r="AL266" s="197"/>
    </row>
    <row r="267" spans="1:38" x14ac:dyDescent="0.25">
      <c r="A267" s="64" t="s">
        <v>92</v>
      </c>
      <c r="B267" s="1"/>
      <c r="C267" s="1"/>
      <c r="D267" s="1"/>
      <c r="E267" s="1"/>
      <c r="F267" s="1"/>
      <c r="G267" s="1"/>
      <c r="H267" s="1"/>
      <c r="I267" s="36"/>
      <c r="J267" s="1"/>
      <c r="K267" s="1"/>
      <c r="L267" s="1"/>
      <c r="M267" s="1"/>
      <c r="N267" s="1"/>
      <c r="O267" s="1"/>
      <c r="P267" s="1"/>
      <c r="Q267" s="36"/>
      <c r="R267" s="1"/>
      <c r="S267" s="1"/>
      <c r="T267" s="1"/>
      <c r="U267" s="1"/>
      <c r="V267" s="57"/>
      <c r="W267" s="1"/>
      <c r="X267" s="1"/>
      <c r="Y267" s="36"/>
      <c r="Z267" s="57"/>
      <c r="AA267" s="57"/>
      <c r="AB267" s="57"/>
      <c r="AC267" s="57"/>
      <c r="AD267" s="57"/>
      <c r="AE267" s="57"/>
      <c r="AF267" s="57"/>
      <c r="AG267" s="57"/>
      <c r="AH267" s="57"/>
      <c r="AI267" s="58"/>
      <c r="AJ267" s="36"/>
      <c r="AK267" s="38"/>
      <c r="AL267" s="197"/>
    </row>
    <row r="268" spans="1:38" ht="18.75" x14ac:dyDescent="0.3">
      <c r="A268" s="11" t="s">
        <v>94</v>
      </c>
      <c r="B268" s="2"/>
      <c r="C268" s="2"/>
      <c r="D268" s="2"/>
      <c r="E268" s="2"/>
      <c r="F268" s="2"/>
      <c r="G268" s="2"/>
      <c r="H268" s="2"/>
      <c r="I268" s="37"/>
      <c r="J268" s="2"/>
      <c r="K268" s="2"/>
      <c r="L268" s="2"/>
      <c r="M268" s="2"/>
      <c r="N268" s="2"/>
      <c r="O268" s="2"/>
      <c r="P268" s="2"/>
      <c r="Q268" s="37"/>
      <c r="R268" s="2"/>
      <c r="S268" s="1"/>
      <c r="T268" s="57"/>
      <c r="U268" s="2"/>
      <c r="V268" s="161"/>
      <c r="W268" s="2"/>
      <c r="X268" s="2"/>
      <c r="Y268" s="37"/>
      <c r="Z268" s="59"/>
      <c r="AA268" s="59"/>
      <c r="AB268" s="59"/>
      <c r="AC268" s="59"/>
      <c r="AD268" s="59"/>
      <c r="AE268" s="59"/>
      <c r="AF268" s="59"/>
      <c r="AG268" s="59"/>
      <c r="AH268" s="59"/>
      <c r="AI268" s="60"/>
      <c r="AJ268" s="37"/>
      <c r="AK268" s="340"/>
      <c r="AL268" s="197"/>
    </row>
    <row r="269" spans="1:38" ht="18.75" x14ac:dyDescent="0.3">
      <c r="A269" s="11" t="s">
        <v>95</v>
      </c>
      <c r="B269" s="2"/>
      <c r="C269" s="2"/>
      <c r="D269" s="2"/>
      <c r="E269" s="2"/>
      <c r="F269" s="2"/>
      <c r="G269" s="2"/>
      <c r="H269" s="2"/>
      <c r="I269" s="37"/>
      <c r="J269" s="2"/>
      <c r="K269" s="2"/>
      <c r="L269" s="2"/>
      <c r="M269" s="2"/>
      <c r="N269" s="2"/>
      <c r="O269" s="2"/>
      <c r="P269" s="2"/>
      <c r="Q269" s="37"/>
      <c r="R269" s="2"/>
      <c r="S269" s="2"/>
      <c r="T269" s="2"/>
      <c r="U269" s="2"/>
      <c r="V269" s="57"/>
      <c r="W269" s="2"/>
      <c r="X269" s="2"/>
      <c r="Y269" s="37"/>
      <c r="Z269" s="59"/>
      <c r="AA269" s="59"/>
      <c r="AB269" s="59"/>
      <c r="AC269" s="59"/>
      <c r="AD269" s="59"/>
      <c r="AE269" s="59"/>
      <c r="AF269" s="59"/>
      <c r="AG269" s="59"/>
      <c r="AH269" s="59"/>
      <c r="AI269" s="60"/>
      <c r="AJ269" s="37"/>
      <c r="AK269" s="340"/>
      <c r="AL269" s="197"/>
    </row>
    <row r="270" spans="1:38" ht="18.75" x14ac:dyDescent="0.3">
      <c r="A270" s="11" t="s">
        <v>96</v>
      </c>
      <c r="B270" s="2"/>
      <c r="C270" s="2"/>
      <c r="D270" s="2"/>
      <c r="E270" s="2"/>
      <c r="F270" s="2"/>
      <c r="G270" s="2"/>
      <c r="H270" s="2"/>
      <c r="I270" s="37"/>
      <c r="J270" s="2"/>
      <c r="K270" s="2"/>
      <c r="L270" s="2"/>
      <c r="M270" s="2"/>
      <c r="N270" s="2"/>
      <c r="O270" s="2"/>
      <c r="P270" s="2"/>
      <c r="Q270" s="37"/>
      <c r="R270" s="2"/>
      <c r="S270" s="2"/>
      <c r="T270" s="2"/>
      <c r="U270" s="2"/>
      <c r="V270" s="161"/>
      <c r="W270" s="2"/>
      <c r="X270" s="2"/>
      <c r="Y270" s="37"/>
      <c r="Z270" s="59"/>
      <c r="AA270" s="59"/>
      <c r="AB270" s="59"/>
      <c r="AC270" s="59"/>
      <c r="AD270" s="59"/>
      <c r="AE270" s="59"/>
      <c r="AF270" s="59"/>
      <c r="AG270" s="59"/>
      <c r="AH270" s="59"/>
      <c r="AI270" s="60"/>
      <c r="AJ270" s="37"/>
      <c r="AK270" s="340"/>
      <c r="AL270" s="197"/>
    </row>
    <row r="271" spans="1:38" x14ac:dyDescent="0.25">
      <c r="A271" s="11" t="s">
        <v>97</v>
      </c>
      <c r="B271" s="124"/>
      <c r="C271" s="124"/>
      <c r="D271" s="124"/>
      <c r="E271" s="124"/>
      <c r="F271" s="124"/>
      <c r="G271" s="124"/>
      <c r="H271" s="124"/>
      <c r="I271" s="37"/>
      <c r="J271" s="124"/>
      <c r="K271" s="124"/>
      <c r="L271" s="124"/>
      <c r="M271" s="124"/>
      <c r="N271" s="124"/>
      <c r="O271" s="124"/>
      <c r="P271" s="124"/>
      <c r="Q271" s="37"/>
      <c r="R271" s="124"/>
      <c r="S271" s="124"/>
      <c r="T271" s="124"/>
      <c r="U271" s="124"/>
      <c r="V271" s="135"/>
      <c r="W271" s="124"/>
      <c r="X271" s="124"/>
      <c r="Y271" s="37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5"/>
      <c r="AJ271" s="37"/>
      <c r="AK271" s="38"/>
      <c r="AL271" s="197"/>
    </row>
    <row r="272" spans="1:38" ht="15.75" thickBot="1" x14ac:dyDescent="0.3">
      <c r="A272" s="11" t="s">
        <v>93</v>
      </c>
      <c r="B272" s="175"/>
      <c r="C272" s="175"/>
      <c r="D272" s="175"/>
      <c r="E272" s="175"/>
      <c r="F272" s="175"/>
      <c r="G272" s="175"/>
      <c r="H272" s="175"/>
      <c r="I272" s="43"/>
      <c r="J272" s="245"/>
      <c r="K272" s="245"/>
      <c r="L272" s="245"/>
      <c r="M272" s="245"/>
      <c r="N272" s="245"/>
      <c r="O272" s="245"/>
      <c r="P272" s="245"/>
      <c r="Q272" s="43"/>
      <c r="R272" s="245"/>
      <c r="S272" s="245"/>
      <c r="T272" s="245"/>
      <c r="U272" s="245"/>
      <c r="V272" s="175"/>
      <c r="W272" s="245"/>
      <c r="X272" s="245"/>
      <c r="Y272" s="43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6"/>
      <c r="AJ272" s="43"/>
      <c r="AK272" s="44"/>
      <c r="AL272" s="204"/>
    </row>
    <row r="273" spans="1:38" ht="16.5" thickBot="1" x14ac:dyDescent="0.3">
      <c r="A273" s="11" t="s">
        <v>60</v>
      </c>
      <c r="B273" s="398"/>
      <c r="C273" s="398"/>
      <c r="D273" s="398"/>
      <c r="E273" s="398"/>
      <c r="F273" s="398"/>
      <c r="G273" s="398"/>
      <c r="H273" s="398"/>
      <c r="I273" s="375"/>
      <c r="J273" s="398"/>
      <c r="K273" s="398"/>
      <c r="L273" s="398"/>
      <c r="M273" s="398"/>
      <c r="N273" s="398"/>
      <c r="O273" s="398"/>
      <c r="P273" s="398"/>
      <c r="Q273" s="375"/>
      <c r="R273" s="398"/>
      <c r="S273" s="399"/>
      <c r="T273" s="399"/>
      <c r="U273" s="399"/>
      <c r="V273" s="398"/>
      <c r="W273" s="399"/>
      <c r="X273" s="399"/>
      <c r="Y273" s="278"/>
      <c r="Z273" s="399"/>
      <c r="AA273" s="399"/>
      <c r="AB273" s="399"/>
      <c r="AC273" s="399"/>
      <c r="AD273" s="399"/>
      <c r="AE273" s="399"/>
      <c r="AF273" s="399"/>
      <c r="AG273" s="399"/>
      <c r="AH273" s="399"/>
      <c r="AI273" s="400"/>
      <c r="AJ273" s="278"/>
      <c r="AK273" s="168"/>
      <c r="AL273" s="401"/>
    </row>
    <row r="274" spans="1:38" ht="19.5" thickBot="1" x14ac:dyDescent="0.35">
      <c r="A274" s="280" t="s">
        <v>2</v>
      </c>
      <c r="B274" s="277"/>
      <c r="C274" s="277"/>
      <c r="D274" s="277"/>
      <c r="E274" s="277"/>
      <c r="F274" s="277"/>
      <c r="G274" s="277"/>
      <c r="H274" s="277"/>
      <c r="I274" s="375"/>
      <c r="J274" s="277"/>
      <c r="K274" s="277"/>
      <c r="L274" s="277"/>
      <c r="M274" s="277"/>
      <c r="N274" s="277"/>
      <c r="O274" s="277"/>
      <c r="P274" s="277"/>
      <c r="Q274" s="375"/>
      <c r="R274" s="277"/>
      <c r="S274" s="277"/>
      <c r="T274" s="277"/>
      <c r="U274" s="277"/>
      <c r="V274" s="277"/>
      <c r="W274" s="277"/>
      <c r="X274" s="277"/>
      <c r="Y274" s="375"/>
      <c r="Z274" s="277"/>
      <c r="AA274" s="277"/>
      <c r="AB274" s="277"/>
      <c r="AC274" s="277"/>
      <c r="AD274" s="277"/>
      <c r="AE274" s="277"/>
      <c r="AF274" s="277"/>
      <c r="AG274" s="277"/>
      <c r="AH274" s="277"/>
      <c r="AI274" s="423"/>
      <c r="AJ274" s="278"/>
      <c r="AK274" s="279"/>
      <c r="AL274" s="283"/>
    </row>
    <row r="275" spans="1:38" ht="27" thickBot="1" x14ac:dyDescent="0.45">
      <c r="A275" s="311" t="s">
        <v>211</v>
      </c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312"/>
    </row>
    <row r="276" spans="1:38" ht="16.5" thickBot="1" x14ac:dyDescent="0.3">
      <c r="A276" s="319" t="s">
        <v>8</v>
      </c>
      <c r="B276" s="316"/>
      <c r="C276" s="316"/>
      <c r="D276" s="316"/>
      <c r="E276" s="316"/>
      <c r="F276" s="316"/>
      <c r="G276" s="316"/>
      <c r="H276" s="316"/>
      <c r="I276" s="306"/>
      <c r="J276" s="316"/>
      <c r="K276" s="316"/>
      <c r="L276" s="316"/>
      <c r="M276" s="316"/>
      <c r="N276" s="316"/>
      <c r="O276" s="316"/>
      <c r="P276" s="316"/>
      <c r="Q276" s="306"/>
      <c r="R276" s="316"/>
      <c r="S276" s="316"/>
      <c r="T276" s="316"/>
      <c r="U276" s="316"/>
      <c r="V276" s="316"/>
      <c r="W276" s="316"/>
      <c r="X276" s="316"/>
      <c r="Y276" s="306"/>
      <c r="Z276" s="316"/>
      <c r="AA276" s="316"/>
      <c r="AB276" s="316"/>
      <c r="AC276" s="316"/>
      <c r="AD276" s="316"/>
      <c r="AE276" s="316"/>
      <c r="AF276" s="316"/>
      <c r="AG276" s="316"/>
      <c r="AH276" s="316"/>
      <c r="AI276" s="316"/>
      <c r="AJ276" s="306"/>
      <c r="AK276" s="317"/>
      <c r="AL276" s="318"/>
    </row>
    <row r="277" spans="1:38" x14ac:dyDescent="0.25">
      <c r="A277" s="61" t="s">
        <v>25</v>
      </c>
      <c r="B277" s="303"/>
      <c r="C277" s="303"/>
      <c r="D277" s="303"/>
      <c r="E277" s="303"/>
      <c r="F277" s="303"/>
      <c r="G277" s="303"/>
      <c r="H277" s="313"/>
      <c r="I277" s="304"/>
      <c r="J277" s="303"/>
      <c r="K277" s="303"/>
      <c r="L277" s="303"/>
      <c r="M277" s="303"/>
      <c r="N277" s="303"/>
      <c r="O277" s="303"/>
      <c r="P277" s="303"/>
      <c r="Q277" s="305"/>
      <c r="R277" s="303"/>
      <c r="S277" s="303"/>
      <c r="T277" s="303"/>
      <c r="U277" s="303"/>
      <c r="V277" s="303"/>
      <c r="W277" s="303"/>
      <c r="X277" s="303"/>
      <c r="Y277" s="305"/>
      <c r="Z277" s="303"/>
      <c r="AA277" s="303"/>
      <c r="AB277" s="303"/>
      <c r="AC277" s="303"/>
      <c r="AD277" s="303"/>
      <c r="AE277" s="303"/>
      <c r="AF277" s="303"/>
      <c r="AG277" s="303"/>
      <c r="AH277" s="303"/>
      <c r="AI277" s="303"/>
      <c r="AJ277" s="305"/>
      <c r="AK277" s="314"/>
      <c r="AL277" s="315"/>
    </row>
    <row r="278" spans="1:38" ht="15.75" x14ac:dyDescent="0.25">
      <c r="A278" s="11" t="s">
        <v>36</v>
      </c>
      <c r="B278" s="1"/>
      <c r="C278" s="1"/>
      <c r="D278" s="1"/>
      <c r="E278" s="1"/>
      <c r="F278" s="1"/>
      <c r="G278" s="118"/>
      <c r="H278" s="173"/>
      <c r="I278" s="36"/>
      <c r="J278" s="173"/>
      <c r="K278" s="1"/>
      <c r="L278" s="1"/>
      <c r="M278" s="1"/>
      <c r="N278" s="1"/>
      <c r="O278" s="1"/>
      <c r="P278" s="1"/>
      <c r="Q278" s="37"/>
      <c r="R278" s="1"/>
      <c r="S278" s="1"/>
      <c r="T278" s="1"/>
      <c r="U278" s="1"/>
      <c r="V278" s="118"/>
      <c r="W278" s="1"/>
      <c r="X278" s="1"/>
      <c r="Y278" s="37"/>
      <c r="Z278" s="1"/>
      <c r="AA278" s="1"/>
      <c r="AB278" s="1"/>
      <c r="AC278" s="1"/>
      <c r="AD278" s="1"/>
      <c r="AE278" s="1"/>
      <c r="AF278" s="118"/>
      <c r="AG278" s="1"/>
      <c r="AH278" s="1"/>
      <c r="AI278" s="1"/>
      <c r="AJ278" s="37"/>
      <c r="AK278" s="236"/>
      <c r="AL278" s="223"/>
    </row>
    <row r="279" spans="1:38" ht="15.75" x14ac:dyDescent="0.25">
      <c r="A279" s="11" t="s">
        <v>46</v>
      </c>
      <c r="B279" s="1"/>
      <c r="C279" s="1"/>
      <c r="D279" s="1"/>
      <c r="E279" s="1"/>
      <c r="F279" s="118"/>
      <c r="G279" s="1"/>
      <c r="H279" s="211"/>
      <c r="I279" s="36"/>
      <c r="J279" s="1"/>
      <c r="K279" s="1"/>
      <c r="L279" s="1"/>
      <c r="M279" s="1"/>
      <c r="N279" s="1"/>
      <c r="O279" s="1"/>
      <c r="P279" s="118"/>
      <c r="Q279" s="37"/>
      <c r="R279" s="1"/>
      <c r="S279" s="1"/>
      <c r="T279" s="1"/>
      <c r="U279" s="1"/>
      <c r="V279" s="1"/>
      <c r="W279" s="1"/>
      <c r="X279" s="1"/>
      <c r="Y279" s="37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37"/>
      <c r="AK279" s="237"/>
      <c r="AL279" s="223"/>
    </row>
    <row r="280" spans="1:38" ht="18.75" x14ac:dyDescent="0.3">
      <c r="A280" s="11" t="s">
        <v>47</v>
      </c>
      <c r="B280" s="1"/>
      <c r="C280" s="1"/>
      <c r="D280" s="1"/>
      <c r="E280" s="1"/>
      <c r="F280" s="118"/>
      <c r="G280" s="1"/>
      <c r="H280" s="173"/>
      <c r="I280" s="36"/>
      <c r="J280" s="1"/>
      <c r="K280" s="1"/>
      <c r="L280" s="1"/>
      <c r="M280" s="1"/>
      <c r="N280" s="1"/>
      <c r="O280" s="1"/>
      <c r="P280" s="118"/>
      <c r="Q280" s="37"/>
      <c r="R280" s="1"/>
      <c r="S280" s="1"/>
      <c r="T280" s="1"/>
      <c r="U280" s="1"/>
      <c r="V280" s="1"/>
      <c r="W280" s="1"/>
      <c r="X280" s="1"/>
      <c r="Y280" s="37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37"/>
      <c r="AK280" s="238"/>
      <c r="AL280" s="223"/>
    </row>
    <row r="281" spans="1:38" ht="18.75" x14ac:dyDescent="0.3">
      <c r="A281" s="11" t="s">
        <v>48</v>
      </c>
      <c r="B281" s="1"/>
      <c r="C281" s="1"/>
      <c r="D281" s="1"/>
      <c r="E281" s="1"/>
      <c r="F281" s="1"/>
      <c r="G281" s="1"/>
      <c r="H281" s="173"/>
      <c r="I281" s="36"/>
      <c r="J281" s="1"/>
      <c r="K281" s="1"/>
      <c r="L281" s="1"/>
      <c r="M281" s="1"/>
      <c r="N281" s="1"/>
      <c r="O281" s="1"/>
      <c r="P281" s="118"/>
      <c r="Q281" s="37"/>
      <c r="R281" s="1"/>
      <c r="S281" s="1"/>
      <c r="T281" s="1"/>
      <c r="U281" s="1"/>
      <c r="V281" s="1"/>
      <c r="W281" s="1"/>
      <c r="X281" s="1"/>
      <c r="Y281" s="37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37"/>
      <c r="AK281" s="238"/>
      <c r="AL281" s="223"/>
    </row>
    <row r="282" spans="1:38" ht="18.75" x14ac:dyDescent="0.3">
      <c r="A282" s="11" t="s">
        <v>37</v>
      </c>
      <c r="B282" s="1"/>
      <c r="C282" s="1"/>
      <c r="D282" s="1"/>
      <c r="E282" s="1"/>
      <c r="F282" s="118"/>
      <c r="G282" s="1"/>
      <c r="H282" s="173"/>
      <c r="I282" s="36"/>
      <c r="J282" s="1"/>
      <c r="K282" s="1"/>
      <c r="L282" s="1"/>
      <c r="M282" s="1"/>
      <c r="N282" s="1"/>
      <c r="O282" s="1"/>
      <c r="P282" s="118"/>
      <c r="Q282" s="37"/>
      <c r="R282" s="1"/>
      <c r="S282" s="1"/>
      <c r="T282" s="1"/>
      <c r="U282" s="1"/>
      <c r="V282" s="1"/>
      <c r="W282" s="1"/>
      <c r="X282" s="1"/>
      <c r="Y282" s="37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37"/>
      <c r="AK282" s="238"/>
      <c r="AL282" s="223"/>
    </row>
    <row r="283" spans="1:38" ht="18.75" x14ac:dyDescent="0.3">
      <c r="A283" s="11" t="s">
        <v>26</v>
      </c>
      <c r="B283" s="1"/>
      <c r="C283" s="1"/>
      <c r="D283" s="1"/>
      <c r="E283" s="1"/>
      <c r="F283" s="1"/>
      <c r="G283" s="118"/>
      <c r="H283" s="173"/>
      <c r="I283" s="36"/>
      <c r="J283" s="1"/>
      <c r="K283" s="1"/>
      <c r="L283" s="1"/>
      <c r="M283" s="1"/>
      <c r="N283" s="1"/>
      <c r="O283" s="1"/>
      <c r="P283" s="1"/>
      <c r="Q283" s="37"/>
      <c r="R283" s="1"/>
      <c r="S283" s="1"/>
      <c r="T283" s="1"/>
      <c r="U283" s="1"/>
      <c r="V283" s="1"/>
      <c r="W283" s="1"/>
      <c r="X283" s="1"/>
      <c r="Y283" s="37"/>
      <c r="Z283" s="118"/>
      <c r="AA283" s="1"/>
      <c r="AB283" s="1"/>
      <c r="AC283" s="1"/>
      <c r="AD283" s="1"/>
      <c r="AE283" s="1"/>
      <c r="AF283" s="1"/>
      <c r="AG283" s="1"/>
      <c r="AH283" s="1"/>
      <c r="AI283" s="1"/>
      <c r="AJ283" s="37"/>
      <c r="AK283" s="341"/>
      <c r="AL283" s="223"/>
    </row>
    <row r="284" spans="1:38" ht="18.75" x14ac:dyDescent="0.3">
      <c r="A284" s="11" t="s">
        <v>27</v>
      </c>
      <c r="B284" s="1"/>
      <c r="C284" s="1"/>
      <c r="D284" s="1"/>
      <c r="E284" s="1"/>
      <c r="F284" s="1"/>
      <c r="G284" s="118"/>
      <c r="H284" s="211"/>
      <c r="I284" s="36"/>
      <c r="J284" s="1"/>
      <c r="K284" s="1"/>
      <c r="L284" s="1"/>
      <c r="M284" s="1"/>
      <c r="N284" s="1"/>
      <c r="O284" s="1"/>
      <c r="P284" s="1"/>
      <c r="Q284" s="37"/>
      <c r="R284" s="118"/>
      <c r="S284" s="1"/>
      <c r="T284" s="118"/>
      <c r="U284" s="1"/>
      <c r="V284" s="1"/>
      <c r="W284" s="1"/>
      <c r="X284" s="1"/>
      <c r="Y284" s="37"/>
      <c r="Z284" s="1"/>
      <c r="AA284" s="1"/>
      <c r="AB284" s="1"/>
      <c r="AC284" s="1"/>
      <c r="AD284" s="1"/>
      <c r="AE284" s="118"/>
      <c r="AF284" s="1"/>
      <c r="AG284" s="1"/>
      <c r="AH284" s="1"/>
      <c r="AI284" s="1"/>
      <c r="AJ284" s="37"/>
      <c r="AK284" s="341"/>
      <c r="AL284" s="223"/>
    </row>
    <row r="285" spans="1:38" ht="18.75" x14ac:dyDescent="0.3">
      <c r="A285" s="62" t="s">
        <v>89</v>
      </c>
      <c r="B285" s="123"/>
      <c r="C285" s="123"/>
      <c r="D285" s="123"/>
      <c r="E285" s="123"/>
      <c r="F285" s="123"/>
      <c r="G285" s="123"/>
      <c r="H285" s="213"/>
      <c r="I285" s="126"/>
      <c r="J285" s="123"/>
      <c r="K285" s="123"/>
      <c r="L285" s="123"/>
      <c r="M285" s="123"/>
      <c r="N285" s="123"/>
      <c r="O285" s="123"/>
      <c r="P285" s="123"/>
      <c r="Q285" s="43"/>
      <c r="R285" s="123"/>
      <c r="S285" s="123"/>
      <c r="T285" s="123"/>
      <c r="U285" s="123"/>
      <c r="V285" s="123"/>
      <c r="W285" s="123"/>
      <c r="X285" s="123"/>
      <c r="Y285" s="4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43"/>
      <c r="AK285" s="421"/>
      <c r="AL285" s="229"/>
    </row>
    <row r="286" spans="1:38" ht="19.5" thickBot="1" x14ac:dyDescent="0.35">
      <c r="A286" s="62" t="s">
        <v>28</v>
      </c>
      <c r="B286" s="123"/>
      <c r="C286" s="123"/>
      <c r="D286" s="123"/>
      <c r="E286" s="123"/>
      <c r="F286" s="123"/>
      <c r="G286" s="123"/>
      <c r="H286" s="213"/>
      <c r="I286" s="126"/>
      <c r="J286" s="123"/>
      <c r="K286" s="123"/>
      <c r="L286" s="123"/>
      <c r="M286" s="123"/>
      <c r="N286" s="123"/>
      <c r="O286" s="123"/>
      <c r="P286" s="123"/>
      <c r="Q286" s="43"/>
      <c r="R286" s="123"/>
      <c r="S286" s="123"/>
      <c r="T286" s="123"/>
      <c r="U286" s="123"/>
      <c r="V286" s="123"/>
      <c r="W286" s="123"/>
      <c r="X286" s="123"/>
      <c r="Y286" s="4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43"/>
      <c r="AK286" s="239"/>
      <c r="AL286" s="229"/>
    </row>
    <row r="287" spans="1:38" ht="18.75" x14ac:dyDescent="0.3">
      <c r="A287" s="230" t="s">
        <v>2</v>
      </c>
      <c r="B287" s="232"/>
      <c r="C287" s="232"/>
      <c r="D287" s="232"/>
      <c r="E287" s="232"/>
      <c r="F287" s="232"/>
      <c r="G287" s="232"/>
      <c r="H287" s="248"/>
      <c r="I287" s="249"/>
      <c r="J287" s="231"/>
      <c r="K287" s="231"/>
      <c r="L287" s="231"/>
      <c r="M287" s="231"/>
      <c r="N287" s="231"/>
      <c r="O287" s="231"/>
      <c r="P287" s="231"/>
      <c r="Q287" s="249"/>
      <c r="R287" s="233"/>
      <c r="S287" s="233"/>
      <c r="T287" s="233"/>
      <c r="U287" s="233"/>
      <c r="V287" s="233"/>
      <c r="W287" s="233"/>
      <c r="X287" s="233"/>
      <c r="Y287" s="249"/>
      <c r="Z287" s="233"/>
      <c r="AA287" s="233"/>
      <c r="AB287" s="233"/>
      <c r="AC287" s="233"/>
      <c r="AD287" s="233"/>
      <c r="AE287" s="233"/>
      <c r="AF287" s="233"/>
      <c r="AG287" s="233"/>
      <c r="AH287" s="233"/>
      <c r="AI287" s="233"/>
      <c r="AJ287" s="249"/>
      <c r="AK287" s="234"/>
      <c r="AL287" s="235"/>
    </row>
    <row r="288" spans="1:38" ht="15.75" thickBot="1" x14ac:dyDescent="0.3">
      <c r="A288" s="224"/>
      <c r="B288" s="335"/>
      <c r="C288" s="225"/>
      <c r="D288" s="225"/>
      <c r="E288" s="225"/>
      <c r="F288" s="225"/>
      <c r="G288" s="225"/>
      <c r="H288" s="225"/>
      <c r="I288" s="56"/>
      <c r="J288" s="225"/>
      <c r="K288" s="225"/>
      <c r="L288" s="225"/>
      <c r="M288" s="225"/>
      <c r="N288" s="225"/>
      <c r="O288" s="225"/>
      <c r="P288" s="225"/>
      <c r="Q288" s="56"/>
      <c r="R288" s="225"/>
      <c r="S288" s="225"/>
      <c r="T288" s="225"/>
      <c r="U288" s="225"/>
      <c r="V288" s="225"/>
      <c r="W288" s="225"/>
      <c r="X288" s="225"/>
      <c r="Y288" s="56"/>
      <c r="Z288" s="226"/>
      <c r="AA288" s="225"/>
      <c r="AB288" s="227"/>
      <c r="AC288" s="225"/>
      <c r="AD288" s="225"/>
      <c r="AE288" s="225"/>
      <c r="AF288" s="225"/>
      <c r="AG288" s="225"/>
      <c r="AH288" s="225"/>
      <c r="AI288" s="225"/>
      <c r="AJ288" s="56"/>
      <c r="AK288" s="225"/>
      <c r="AL288" s="22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93"/>
  <sheetViews>
    <sheetView topLeftCell="A262" workbookViewId="0">
      <selection activeCell="A276" sqref="A276"/>
    </sheetView>
  </sheetViews>
  <sheetFormatPr defaultRowHeight="15" x14ac:dyDescent="0.25"/>
  <cols>
    <col min="1" max="1" width="13.85546875" customWidth="1"/>
    <col min="2" max="2" width="10" customWidth="1"/>
    <col min="3" max="3" width="10.140625" customWidth="1"/>
    <col min="4" max="5" width="9.5703125" customWidth="1"/>
    <col min="6" max="6" width="9.85546875" customWidth="1"/>
    <col min="7" max="7" width="9.28515625" customWidth="1"/>
    <col min="8" max="8" width="9.5703125" customWidth="1"/>
    <col min="9" max="9" width="11.140625" customWidth="1"/>
    <col min="10" max="10" width="8.5703125" customWidth="1"/>
    <col min="11" max="11" width="8.85546875" customWidth="1"/>
    <col min="12" max="12" width="8.28515625" customWidth="1"/>
    <col min="13" max="13" width="8.42578125" customWidth="1"/>
    <col min="14" max="14" width="8.5703125" customWidth="1"/>
    <col min="15" max="15" width="9.28515625" customWidth="1"/>
    <col min="16" max="16" width="9.140625" customWidth="1"/>
    <col min="17" max="17" width="10.7109375" customWidth="1"/>
    <col min="18" max="18" width="9.140625" customWidth="1"/>
    <col min="19" max="19" width="8.7109375" customWidth="1"/>
    <col min="20" max="20" width="9.140625" customWidth="1"/>
    <col min="21" max="21" width="8.28515625" customWidth="1"/>
    <col min="22" max="22" width="8.7109375" customWidth="1"/>
    <col min="23" max="23" width="8.85546875" customWidth="1"/>
    <col min="24" max="24" width="8.7109375" customWidth="1"/>
    <col min="25" max="25" width="11.85546875" customWidth="1"/>
    <col min="26" max="34" width="8.7109375" customWidth="1"/>
    <col min="35" max="35" width="1.140625" customWidth="1"/>
    <col min="36" max="36" width="11.7109375" customWidth="1"/>
    <col min="37" max="37" width="13.42578125" customWidth="1"/>
  </cols>
  <sheetData>
    <row r="1" spans="1:38" ht="24" thickBot="1" x14ac:dyDescent="0.4">
      <c r="A1" s="256" t="s">
        <v>212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</row>
    <row r="2" spans="1:38" ht="15.75" x14ac:dyDescent="0.25">
      <c r="A2" s="321" t="s">
        <v>3</v>
      </c>
      <c r="B2" s="322">
        <v>1</v>
      </c>
      <c r="C2" s="322">
        <v>2</v>
      </c>
      <c r="D2" s="322">
        <v>3</v>
      </c>
      <c r="E2" s="322">
        <v>4</v>
      </c>
      <c r="F2" s="322">
        <v>5</v>
      </c>
      <c r="G2" s="322">
        <v>6</v>
      </c>
      <c r="H2" s="322">
        <v>7</v>
      </c>
      <c r="I2" s="323" t="s">
        <v>6</v>
      </c>
      <c r="J2" s="322">
        <v>8</v>
      </c>
      <c r="K2" s="322">
        <v>9</v>
      </c>
      <c r="L2" s="322">
        <v>10</v>
      </c>
      <c r="M2" s="322">
        <v>11</v>
      </c>
      <c r="N2" s="322">
        <v>12</v>
      </c>
      <c r="O2" s="322">
        <v>13</v>
      </c>
      <c r="P2" s="322">
        <v>14</v>
      </c>
      <c r="Q2" s="323" t="s">
        <v>6</v>
      </c>
      <c r="R2" s="322">
        <v>15</v>
      </c>
      <c r="S2" s="322">
        <v>16</v>
      </c>
      <c r="T2" s="322">
        <v>17</v>
      </c>
      <c r="U2" s="322">
        <v>18</v>
      </c>
      <c r="V2" s="322">
        <v>19</v>
      </c>
      <c r="W2" s="322">
        <v>20</v>
      </c>
      <c r="X2" s="322">
        <v>21</v>
      </c>
      <c r="Y2" s="323" t="s">
        <v>6</v>
      </c>
      <c r="Z2" s="322">
        <v>22</v>
      </c>
      <c r="AA2" s="322">
        <v>23</v>
      </c>
      <c r="AB2" s="322">
        <v>24</v>
      </c>
      <c r="AC2" s="322">
        <v>25</v>
      </c>
      <c r="AD2" s="322">
        <v>26</v>
      </c>
      <c r="AE2" s="322">
        <v>27</v>
      </c>
      <c r="AF2" s="322">
        <v>28</v>
      </c>
      <c r="AG2" s="322">
        <v>29</v>
      </c>
      <c r="AH2" s="322">
        <v>30</v>
      </c>
      <c r="AI2" s="322">
        <v>31</v>
      </c>
      <c r="AJ2" s="324" t="s">
        <v>6</v>
      </c>
      <c r="AK2" s="325" t="s">
        <v>0</v>
      </c>
      <c r="AL2" s="395" t="s">
        <v>42</v>
      </c>
    </row>
    <row r="3" spans="1:38" x14ac:dyDescent="0.25">
      <c r="A3" s="11">
        <v>1</v>
      </c>
      <c r="B3" s="106"/>
      <c r="C3" s="106"/>
      <c r="D3" s="106"/>
      <c r="E3" s="106"/>
      <c r="F3" s="106"/>
      <c r="G3" s="106"/>
      <c r="H3" s="106"/>
      <c r="I3" s="157"/>
      <c r="J3" s="106"/>
      <c r="K3" s="106"/>
      <c r="L3" s="106"/>
      <c r="M3" s="106"/>
      <c r="N3" s="106"/>
      <c r="O3" s="106"/>
      <c r="P3" s="106"/>
      <c r="Q3" s="35"/>
      <c r="R3" s="106"/>
      <c r="S3" s="106"/>
      <c r="T3" s="106"/>
      <c r="U3" s="106"/>
      <c r="V3" s="106"/>
      <c r="W3" s="106"/>
      <c r="X3" s="106"/>
      <c r="Y3" s="3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36"/>
      <c r="AK3" s="14"/>
      <c r="AL3" s="203"/>
    </row>
    <row r="4" spans="1:38" x14ac:dyDescent="0.25">
      <c r="A4" s="11">
        <v>2</v>
      </c>
      <c r="B4" s="106"/>
      <c r="C4" s="106"/>
      <c r="D4" s="106"/>
      <c r="E4" s="106"/>
      <c r="F4" s="106"/>
      <c r="G4" s="106"/>
      <c r="H4" s="106"/>
      <c r="I4" s="37"/>
      <c r="J4" s="106"/>
      <c r="K4" s="106"/>
      <c r="L4" s="106"/>
      <c r="M4" s="106"/>
      <c r="N4" s="106"/>
      <c r="O4" s="106"/>
      <c r="P4" s="106"/>
      <c r="Q4" s="37"/>
      <c r="R4" s="106"/>
      <c r="S4" s="106"/>
      <c r="T4" s="106"/>
      <c r="U4" s="106"/>
      <c r="V4" s="106"/>
      <c r="W4" s="106"/>
      <c r="X4" s="106"/>
      <c r="Y4" s="37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37"/>
      <c r="AK4" s="38"/>
      <c r="AL4" s="154"/>
    </row>
    <row r="5" spans="1:38" x14ac:dyDescent="0.25">
      <c r="A5" s="11">
        <v>3</v>
      </c>
      <c r="B5" s="106"/>
      <c r="C5" s="106"/>
      <c r="D5" s="106"/>
      <c r="E5" s="106"/>
      <c r="F5" s="106"/>
      <c r="G5" s="106"/>
      <c r="H5" s="106"/>
      <c r="I5" s="37"/>
      <c r="J5" s="106"/>
      <c r="K5" s="106"/>
      <c r="L5" s="106"/>
      <c r="M5" s="106"/>
      <c r="N5" s="106"/>
      <c r="O5" s="106"/>
      <c r="P5" s="106"/>
      <c r="Q5" s="37"/>
      <c r="R5" s="106"/>
      <c r="S5" s="106"/>
      <c r="T5" s="106"/>
      <c r="U5" s="106"/>
      <c r="V5" s="106"/>
      <c r="W5" s="106"/>
      <c r="X5" s="106"/>
      <c r="Y5" s="37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37"/>
      <c r="AK5" s="38"/>
      <c r="AL5" s="176"/>
    </row>
    <row r="6" spans="1:38" x14ac:dyDescent="0.25">
      <c r="A6" s="11">
        <v>4</v>
      </c>
      <c r="B6" s="106"/>
      <c r="C6" s="106"/>
      <c r="D6" s="106"/>
      <c r="E6" s="106"/>
      <c r="F6" s="106"/>
      <c r="G6" s="106"/>
      <c r="H6" s="106"/>
      <c r="I6" s="37"/>
      <c r="J6" s="106"/>
      <c r="K6" s="106"/>
      <c r="L6" s="106"/>
      <c r="M6" s="106"/>
      <c r="N6" s="106"/>
      <c r="O6" s="106"/>
      <c r="P6" s="106"/>
      <c r="Q6" s="37"/>
      <c r="R6" s="106"/>
      <c r="S6" s="106"/>
      <c r="T6" s="106"/>
      <c r="U6" s="106"/>
      <c r="V6" s="106"/>
      <c r="W6" s="106"/>
      <c r="X6" s="106"/>
      <c r="Y6" s="37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37"/>
      <c r="AK6" s="38"/>
      <c r="AL6" s="176"/>
    </row>
    <row r="7" spans="1:38" x14ac:dyDescent="0.25">
      <c r="A7" s="11">
        <v>5</v>
      </c>
      <c r="B7" s="106"/>
      <c r="C7" s="106"/>
      <c r="D7" s="106"/>
      <c r="E7" s="106"/>
      <c r="F7" s="106"/>
      <c r="G7" s="106"/>
      <c r="H7" s="106"/>
      <c r="I7" s="37"/>
      <c r="J7" s="106"/>
      <c r="K7" s="106"/>
      <c r="L7" s="106"/>
      <c r="M7" s="106"/>
      <c r="N7" s="106"/>
      <c r="O7" s="106"/>
      <c r="P7" s="106"/>
      <c r="Q7" s="37"/>
      <c r="R7" s="106"/>
      <c r="S7" s="106"/>
      <c r="T7" s="106"/>
      <c r="U7" s="106"/>
      <c r="V7" s="106"/>
      <c r="W7" s="106"/>
      <c r="X7" s="106"/>
      <c r="Y7" s="37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37"/>
      <c r="AK7" s="38"/>
      <c r="AL7" s="176"/>
    </row>
    <row r="8" spans="1:38" x14ac:dyDescent="0.25">
      <c r="A8" s="11">
        <v>6</v>
      </c>
      <c r="B8" s="106"/>
      <c r="C8" s="106"/>
      <c r="D8" s="106"/>
      <c r="E8" s="106"/>
      <c r="F8" s="106"/>
      <c r="G8" s="106"/>
      <c r="H8" s="106"/>
      <c r="I8" s="37"/>
      <c r="J8" s="106"/>
      <c r="K8" s="106"/>
      <c r="L8" s="106"/>
      <c r="M8" s="106"/>
      <c r="N8" s="106"/>
      <c r="O8" s="106"/>
      <c r="P8" s="106"/>
      <c r="Q8" s="37"/>
      <c r="R8" s="106"/>
      <c r="S8" s="106"/>
      <c r="T8" s="106"/>
      <c r="U8" s="106"/>
      <c r="V8" s="106"/>
      <c r="W8" s="106"/>
      <c r="X8" s="106"/>
      <c r="Y8" s="37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37"/>
      <c r="AK8" s="38"/>
      <c r="AL8" s="176"/>
    </row>
    <row r="9" spans="1:38" x14ac:dyDescent="0.25">
      <c r="A9" s="11">
        <v>7</v>
      </c>
      <c r="B9" s="108"/>
      <c r="C9" s="108"/>
      <c r="D9" s="108"/>
      <c r="E9" s="108"/>
      <c r="F9" s="108"/>
      <c r="G9" s="108"/>
      <c r="H9" s="108"/>
      <c r="I9" s="111"/>
      <c r="J9" s="108"/>
      <c r="K9" s="108"/>
      <c r="L9" s="108"/>
      <c r="M9" s="108"/>
      <c r="N9" s="108"/>
      <c r="O9" s="108"/>
      <c r="P9" s="108"/>
      <c r="Q9" s="111"/>
      <c r="R9" s="108"/>
      <c r="S9" s="108"/>
      <c r="T9" s="108"/>
      <c r="U9" s="108"/>
      <c r="V9" s="108"/>
      <c r="W9" s="108"/>
      <c r="X9" s="108"/>
      <c r="Y9" s="111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11"/>
      <c r="AK9" s="38"/>
      <c r="AL9" s="197"/>
    </row>
    <row r="10" spans="1:38" x14ac:dyDescent="0.25">
      <c r="A10" s="11">
        <v>8</v>
      </c>
      <c r="B10" s="106"/>
      <c r="C10" s="106"/>
      <c r="D10" s="106"/>
      <c r="E10" s="106"/>
      <c r="F10" s="106"/>
      <c r="G10" s="106"/>
      <c r="H10" s="106"/>
      <c r="I10" s="37"/>
      <c r="J10" s="106"/>
      <c r="K10" s="106"/>
      <c r="L10" s="106"/>
      <c r="M10" s="106"/>
      <c r="N10" s="106"/>
      <c r="O10" s="106"/>
      <c r="P10" s="106"/>
      <c r="Q10" s="37"/>
      <c r="R10" s="106"/>
      <c r="S10" s="106"/>
      <c r="T10" s="106"/>
      <c r="U10" s="106"/>
      <c r="V10" s="106"/>
      <c r="W10" s="106"/>
      <c r="X10" s="106"/>
      <c r="Y10" s="37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37"/>
      <c r="AK10" s="38"/>
      <c r="AL10" s="176"/>
    </row>
    <row r="11" spans="1:38" x14ac:dyDescent="0.25">
      <c r="A11" s="11">
        <v>9</v>
      </c>
      <c r="B11" s="106"/>
      <c r="C11" s="106"/>
      <c r="D11" s="106"/>
      <c r="E11" s="106"/>
      <c r="F11" s="106"/>
      <c r="G11" s="106"/>
      <c r="H11" s="106"/>
      <c r="I11" s="37"/>
      <c r="J11" s="106"/>
      <c r="K11" s="106"/>
      <c r="L11" s="106"/>
      <c r="M11" s="106"/>
      <c r="N11" s="106"/>
      <c r="O11" s="106"/>
      <c r="P11" s="106"/>
      <c r="Q11" s="37"/>
      <c r="R11" s="106"/>
      <c r="S11" s="106"/>
      <c r="T11" s="106"/>
      <c r="U11" s="106"/>
      <c r="V11" s="106"/>
      <c r="W11" s="106"/>
      <c r="X11" s="106"/>
      <c r="Y11" s="37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37"/>
      <c r="AK11" s="38"/>
      <c r="AL11" s="176"/>
    </row>
    <row r="12" spans="1:38" x14ac:dyDescent="0.25">
      <c r="A12" s="11">
        <v>10</v>
      </c>
      <c r="B12" s="106"/>
      <c r="C12" s="106"/>
      <c r="D12" s="106"/>
      <c r="E12" s="106"/>
      <c r="F12" s="106"/>
      <c r="G12" s="106"/>
      <c r="H12" s="106"/>
      <c r="I12" s="37"/>
      <c r="J12" s="106"/>
      <c r="K12" s="106"/>
      <c r="L12" s="106"/>
      <c r="M12" s="106"/>
      <c r="N12" s="106"/>
      <c r="O12" s="106"/>
      <c r="P12" s="106"/>
      <c r="Q12" s="37"/>
      <c r="R12" s="106"/>
      <c r="S12" s="106"/>
      <c r="T12" s="106"/>
      <c r="U12" s="106"/>
      <c r="V12" s="106"/>
      <c r="W12" s="106"/>
      <c r="X12" s="106"/>
      <c r="Y12" s="37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37"/>
      <c r="AK12" s="38"/>
      <c r="AL12" s="176"/>
    </row>
    <row r="13" spans="1:38" x14ac:dyDescent="0.25">
      <c r="A13" s="11">
        <v>11</v>
      </c>
      <c r="B13" s="106"/>
      <c r="C13" s="106"/>
      <c r="D13" s="106"/>
      <c r="E13" s="106"/>
      <c r="F13" s="106"/>
      <c r="G13" s="106"/>
      <c r="H13" s="106"/>
      <c r="I13" s="37"/>
      <c r="J13" s="106"/>
      <c r="K13" s="106"/>
      <c r="L13" s="106"/>
      <c r="M13" s="106"/>
      <c r="N13" s="106"/>
      <c r="O13" s="106"/>
      <c r="P13" s="106"/>
      <c r="Q13" s="37"/>
      <c r="R13" s="106"/>
      <c r="S13" s="106"/>
      <c r="T13" s="106"/>
      <c r="U13" s="106"/>
      <c r="V13" s="106"/>
      <c r="W13" s="106"/>
      <c r="X13" s="106"/>
      <c r="Y13" s="37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37"/>
      <c r="AK13" s="38"/>
      <c r="AL13" s="197"/>
    </row>
    <row r="14" spans="1:38" x14ac:dyDescent="0.25">
      <c r="A14" s="11">
        <v>12</v>
      </c>
      <c r="B14" s="106"/>
      <c r="C14" s="106"/>
      <c r="D14" s="106"/>
      <c r="E14" s="106"/>
      <c r="F14" s="106"/>
      <c r="G14" s="106"/>
      <c r="H14" s="106"/>
      <c r="I14" s="37"/>
      <c r="J14" s="106"/>
      <c r="K14" s="106"/>
      <c r="L14" s="106"/>
      <c r="M14" s="106"/>
      <c r="N14" s="106"/>
      <c r="O14" s="106"/>
      <c r="P14" s="106"/>
      <c r="Q14" s="37"/>
      <c r="R14" s="106"/>
      <c r="S14" s="106"/>
      <c r="T14" s="106"/>
      <c r="U14" s="106"/>
      <c r="V14" s="106"/>
      <c r="W14" s="106"/>
      <c r="X14" s="106"/>
      <c r="Y14" s="37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37"/>
      <c r="AK14" s="38"/>
      <c r="AL14" s="197"/>
    </row>
    <row r="15" spans="1:38" x14ac:dyDescent="0.25">
      <c r="A15" s="11">
        <v>13</v>
      </c>
      <c r="B15" s="106"/>
      <c r="C15" s="106"/>
      <c r="D15" s="106"/>
      <c r="E15" s="106"/>
      <c r="F15" s="106"/>
      <c r="G15" s="106"/>
      <c r="H15" s="106"/>
      <c r="I15" s="37"/>
      <c r="J15" s="106"/>
      <c r="K15" s="106"/>
      <c r="L15" s="106"/>
      <c r="M15" s="106"/>
      <c r="N15" s="106"/>
      <c r="O15" s="106"/>
      <c r="P15" s="106"/>
      <c r="Q15" s="37"/>
      <c r="R15" s="106"/>
      <c r="S15" s="106"/>
      <c r="T15" s="106"/>
      <c r="U15" s="106"/>
      <c r="V15" s="106"/>
      <c r="W15" s="106"/>
      <c r="X15" s="106"/>
      <c r="Y15" s="37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37"/>
      <c r="AK15" s="38"/>
      <c r="AL15" s="197"/>
    </row>
    <row r="16" spans="1:38" x14ac:dyDescent="0.25">
      <c r="A16" s="11">
        <v>14</v>
      </c>
      <c r="B16" s="106"/>
      <c r="C16" s="106"/>
      <c r="D16" s="106"/>
      <c r="E16" s="106"/>
      <c r="F16" s="106"/>
      <c r="G16" s="106"/>
      <c r="H16" s="106"/>
      <c r="I16" s="37"/>
      <c r="J16" s="106"/>
      <c r="K16" s="106"/>
      <c r="L16" s="106"/>
      <c r="M16" s="106"/>
      <c r="N16" s="106"/>
      <c r="O16" s="106"/>
      <c r="P16" s="106"/>
      <c r="Q16" s="37"/>
      <c r="R16" s="106"/>
      <c r="S16" s="106"/>
      <c r="T16" s="106"/>
      <c r="U16" s="106"/>
      <c r="V16" s="106"/>
      <c r="W16" s="106"/>
      <c r="X16" s="106"/>
      <c r="Y16" s="37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37"/>
      <c r="AK16" s="38"/>
      <c r="AL16" s="197"/>
    </row>
    <row r="17" spans="1:38" x14ac:dyDescent="0.25">
      <c r="A17" s="11">
        <v>15</v>
      </c>
      <c r="B17" s="106"/>
      <c r="C17" s="106"/>
      <c r="D17" s="106"/>
      <c r="E17" s="106"/>
      <c r="F17" s="106"/>
      <c r="G17" s="106"/>
      <c r="H17" s="106"/>
      <c r="I17" s="37"/>
      <c r="J17" s="106"/>
      <c r="K17" s="106"/>
      <c r="L17" s="106"/>
      <c r="M17" s="106"/>
      <c r="N17" s="106"/>
      <c r="O17" s="106"/>
      <c r="P17" s="106"/>
      <c r="Q17" s="37"/>
      <c r="R17" s="106"/>
      <c r="S17" s="106"/>
      <c r="T17" s="106"/>
      <c r="U17" s="106"/>
      <c r="V17" s="106"/>
      <c r="W17" s="106"/>
      <c r="X17" s="106"/>
      <c r="Y17" s="37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37"/>
      <c r="AK17" s="38"/>
      <c r="AL17" s="197"/>
    </row>
    <row r="18" spans="1:38" x14ac:dyDescent="0.25">
      <c r="A18" s="11">
        <v>16</v>
      </c>
      <c r="B18" s="109"/>
      <c r="C18" s="109"/>
      <c r="D18" s="109"/>
      <c r="E18" s="109"/>
      <c r="F18" s="109"/>
      <c r="G18" s="109"/>
      <c r="H18" s="109"/>
      <c r="I18" s="39"/>
      <c r="J18" s="109"/>
      <c r="K18" s="109"/>
      <c r="L18" s="109"/>
      <c r="M18" s="109"/>
      <c r="N18" s="109"/>
      <c r="O18" s="109"/>
      <c r="P18" s="109"/>
      <c r="Q18" s="39"/>
      <c r="R18" s="109"/>
      <c r="S18" s="109"/>
      <c r="T18" s="109"/>
      <c r="U18" s="109"/>
      <c r="V18" s="109"/>
      <c r="W18" s="109"/>
      <c r="X18" s="109"/>
      <c r="Y18" s="3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39"/>
      <c r="AK18" s="41"/>
      <c r="AL18" s="202"/>
    </row>
    <row r="19" spans="1:38" x14ac:dyDescent="0.25">
      <c r="A19" s="11">
        <v>17</v>
      </c>
      <c r="B19" s="106"/>
      <c r="C19" s="106"/>
      <c r="D19" s="106"/>
      <c r="E19" s="106"/>
      <c r="F19" s="106"/>
      <c r="G19" s="106"/>
      <c r="H19" s="106"/>
      <c r="I19" s="37"/>
      <c r="J19" s="106"/>
      <c r="K19" s="106"/>
      <c r="L19" s="106"/>
      <c r="M19" s="106"/>
      <c r="N19" s="106"/>
      <c r="O19" s="106"/>
      <c r="P19" s="106"/>
      <c r="Q19" s="37"/>
      <c r="R19" s="106"/>
      <c r="S19" s="106"/>
      <c r="T19" s="106"/>
      <c r="U19" s="106"/>
      <c r="V19" s="106"/>
      <c r="W19" s="106"/>
      <c r="X19" s="106"/>
      <c r="Y19" s="37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37"/>
      <c r="AK19" s="38"/>
      <c r="AL19" s="197"/>
    </row>
    <row r="20" spans="1:38" x14ac:dyDescent="0.25">
      <c r="A20" s="11">
        <v>18</v>
      </c>
      <c r="B20" s="106"/>
      <c r="C20" s="106"/>
      <c r="D20" s="106"/>
      <c r="E20" s="106"/>
      <c r="F20" s="106"/>
      <c r="G20" s="106"/>
      <c r="H20" s="106"/>
      <c r="I20" s="37"/>
      <c r="J20" s="106"/>
      <c r="K20" s="106"/>
      <c r="L20" s="106"/>
      <c r="M20" s="106"/>
      <c r="N20" s="106"/>
      <c r="O20" s="106"/>
      <c r="P20" s="106"/>
      <c r="Q20" s="37"/>
      <c r="R20" s="106"/>
      <c r="S20" s="106"/>
      <c r="T20" s="106"/>
      <c r="U20" s="106"/>
      <c r="V20" s="106"/>
      <c r="W20" s="106"/>
      <c r="X20" s="106"/>
      <c r="Y20" s="37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37"/>
      <c r="AK20" s="38"/>
      <c r="AL20" s="197"/>
    </row>
    <row r="21" spans="1:38" x14ac:dyDescent="0.25">
      <c r="A21" s="11">
        <v>19</v>
      </c>
      <c r="B21" s="106"/>
      <c r="C21" s="106"/>
      <c r="D21" s="106"/>
      <c r="E21" s="106"/>
      <c r="F21" s="106"/>
      <c r="G21" s="106"/>
      <c r="H21" s="106"/>
      <c r="I21" s="37"/>
      <c r="J21" s="106"/>
      <c r="K21" s="106"/>
      <c r="L21" s="106"/>
      <c r="M21" s="106"/>
      <c r="N21" s="106"/>
      <c r="O21" s="106"/>
      <c r="P21" s="106"/>
      <c r="Q21" s="37"/>
      <c r="R21" s="106"/>
      <c r="S21" s="106"/>
      <c r="T21" s="106"/>
      <c r="U21" s="106"/>
      <c r="V21" s="106"/>
      <c r="W21" s="106"/>
      <c r="X21" s="106"/>
      <c r="Y21" s="37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37"/>
      <c r="AK21" s="38"/>
      <c r="AL21" s="197"/>
    </row>
    <row r="22" spans="1:38" x14ac:dyDescent="0.25">
      <c r="A22" s="11">
        <v>20</v>
      </c>
      <c r="B22" s="106"/>
      <c r="C22" s="106"/>
      <c r="D22" s="106"/>
      <c r="E22" s="106"/>
      <c r="F22" s="106"/>
      <c r="G22" s="106"/>
      <c r="H22" s="106"/>
      <c r="I22" s="37"/>
      <c r="J22" s="106"/>
      <c r="K22" s="106"/>
      <c r="L22" s="106"/>
      <c r="M22" s="106"/>
      <c r="N22" s="106"/>
      <c r="O22" s="106"/>
      <c r="P22" s="106"/>
      <c r="Q22" s="37"/>
      <c r="R22" s="106"/>
      <c r="S22" s="106"/>
      <c r="T22" s="106"/>
      <c r="U22" s="106"/>
      <c r="V22" s="106"/>
      <c r="W22" s="106"/>
      <c r="X22" s="106"/>
      <c r="Y22" s="37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37"/>
      <c r="AK22" s="38"/>
      <c r="AL22" s="197"/>
    </row>
    <row r="23" spans="1:38" x14ac:dyDescent="0.25">
      <c r="A23" s="11">
        <v>21</v>
      </c>
      <c r="B23" s="174"/>
      <c r="C23" s="174"/>
      <c r="D23" s="174"/>
      <c r="E23" s="174"/>
      <c r="F23" s="174"/>
      <c r="G23" s="174"/>
      <c r="H23" s="174"/>
      <c r="I23" s="111"/>
      <c r="J23" s="174"/>
      <c r="K23" s="174"/>
      <c r="L23" s="174"/>
      <c r="M23" s="174"/>
      <c r="N23" s="174"/>
      <c r="O23" s="174"/>
      <c r="P23" s="174"/>
      <c r="Q23" s="111"/>
      <c r="R23" s="174"/>
      <c r="S23" s="174"/>
      <c r="T23" s="174"/>
      <c r="U23" s="174"/>
      <c r="V23" s="174"/>
      <c r="W23" s="174"/>
      <c r="X23" s="174"/>
      <c r="Y23" s="111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11"/>
      <c r="AK23" s="38"/>
      <c r="AL23" s="197"/>
    </row>
    <row r="24" spans="1:38" x14ac:dyDescent="0.25">
      <c r="A24" s="11">
        <v>22</v>
      </c>
      <c r="B24" s="106"/>
      <c r="C24" s="106"/>
      <c r="D24" s="106"/>
      <c r="E24" s="106"/>
      <c r="F24" s="106"/>
      <c r="G24" s="106"/>
      <c r="H24" s="106"/>
      <c r="I24" s="37"/>
      <c r="J24" s="106"/>
      <c r="K24" s="106"/>
      <c r="L24" s="106"/>
      <c r="M24" s="106"/>
      <c r="N24" s="106"/>
      <c r="O24" s="106"/>
      <c r="P24" s="106"/>
      <c r="Q24" s="37"/>
      <c r="R24" s="106"/>
      <c r="S24" s="106"/>
      <c r="T24" s="106"/>
      <c r="U24" s="106"/>
      <c r="V24" s="106"/>
      <c r="W24" s="106"/>
      <c r="X24" s="106"/>
      <c r="Y24" s="37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37"/>
      <c r="AK24" s="38"/>
      <c r="AL24" s="197"/>
    </row>
    <row r="25" spans="1:38" x14ac:dyDescent="0.25">
      <c r="A25" s="11">
        <v>23</v>
      </c>
      <c r="B25" s="174"/>
      <c r="C25" s="174"/>
      <c r="D25" s="174"/>
      <c r="E25" s="174"/>
      <c r="F25" s="174"/>
      <c r="G25" s="174"/>
      <c r="H25" s="174"/>
      <c r="I25" s="111"/>
      <c r="J25" s="174"/>
      <c r="K25" s="174"/>
      <c r="L25" s="174"/>
      <c r="M25" s="174"/>
      <c r="N25" s="174"/>
      <c r="O25" s="174"/>
      <c r="P25" s="174"/>
      <c r="Q25" s="111"/>
      <c r="R25" s="174"/>
      <c r="S25" s="174"/>
      <c r="T25" s="174"/>
      <c r="U25" s="174"/>
      <c r="V25" s="174"/>
      <c r="W25" s="174"/>
      <c r="X25" s="174"/>
      <c r="Y25" s="111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11"/>
      <c r="AK25" s="38"/>
      <c r="AL25" s="197"/>
    </row>
    <row r="26" spans="1:38" x14ac:dyDescent="0.25">
      <c r="A26" s="11">
        <v>24</v>
      </c>
      <c r="B26" s="174"/>
      <c r="C26" s="174"/>
      <c r="D26" s="174"/>
      <c r="E26" s="174"/>
      <c r="F26" s="174"/>
      <c r="G26" s="174"/>
      <c r="H26" s="174"/>
      <c r="I26" s="111"/>
      <c r="J26" s="174"/>
      <c r="K26" s="174"/>
      <c r="L26" s="174"/>
      <c r="M26" s="174"/>
      <c r="N26" s="174"/>
      <c r="O26" s="174"/>
      <c r="P26" s="174"/>
      <c r="Q26" s="111"/>
      <c r="R26" s="174"/>
      <c r="S26" s="174"/>
      <c r="T26" s="174"/>
      <c r="U26" s="174"/>
      <c r="V26" s="174"/>
      <c r="W26" s="174"/>
      <c r="X26" s="174"/>
      <c r="Y26" s="111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11"/>
      <c r="AK26" s="38"/>
      <c r="AL26" s="197"/>
    </row>
    <row r="27" spans="1:38" x14ac:dyDescent="0.25">
      <c r="A27" s="11">
        <v>25</v>
      </c>
      <c r="B27" s="174"/>
      <c r="C27" s="174"/>
      <c r="D27" s="174"/>
      <c r="E27" s="174"/>
      <c r="F27" s="174"/>
      <c r="G27" s="174"/>
      <c r="H27" s="174"/>
      <c r="I27" s="111"/>
      <c r="J27" s="174"/>
      <c r="K27" s="174"/>
      <c r="L27" s="174"/>
      <c r="M27" s="174"/>
      <c r="N27" s="174"/>
      <c r="O27" s="174"/>
      <c r="P27" s="174"/>
      <c r="Q27" s="111"/>
      <c r="R27" s="174"/>
      <c r="S27" s="174"/>
      <c r="T27" s="174"/>
      <c r="U27" s="174"/>
      <c r="V27" s="174"/>
      <c r="W27" s="174"/>
      <c r="X27" s="174"/>
      <c r="Y27" s="111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11"/>
      <c r="AK27" s="38"/>
      <c r="AL27" s="197"/>
    </row>
    <row r="28" spans="1:38" x14ac:dyDescent="0.25">
      <c r="A28" s="11">
        <v>26</v>
      </c>
      <c r="B28" s="149"/>
      <c r="C28" s="149"/>
      <c r="D28" s="149"/>
      <c r="E28" s="149"/>
      <c r="F28" s="149"/>
      <c r="G28" s="149"/>
      <c r="H28" s="149"/>
      <c r="I28" s="111"/>
      <c r="J28" s="149"/>
      <c r="K28" s="149"/>
      <c r="L28" s="149"/>
      <c r="M28" s="149"/>
      <c r="N28" s="149"/>
      <c r="O28" s="149"/>
      <c r="P28" s="149"/>
      <c r="Q28" s="111"/>
      <c r="R28" s="149"/>
      <c r="S28" s="149"/>
      <c r="T28" s="149"/>
      <c r="U28" s="149"/>
      <c r="V28" s="149"/>
      <c r="W28" s="149"/>
      <c r="X28" s="149"/>
      <c r="Y28" s="111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11"/>
      <c r="AK28" s="38"/>
      <c r="AL28" s="197"/>
    </row>
    <row r="29" spans="1:38" x14ac:dyDescent="0.25">
      <c r="A29" s="11">
        <v>27</v>
      </c>
      <c r="B29" s="106"/>
      <c r="C29" s="106"/>
      <c r="D29" s="106"/>
      <c r="E29" s="106"/>
      <c r="F29" s="106"/>
      <c r="G29" s="106"/>
      <c r="H29" s="106"/>
      <c r="I29" s="37"/>
      <c r="J29" s="106"/>
      <c r="K29" s="106"/>
      <c r="L29" s="106"/>
      <c r="M29" s="106"/>
      <c r="N29" s="106"/>
      <c r="O29" s="106"/>
      <c r="P29" s="106"/>
      <c r="Q29" s="37"/>
      <c r="R29" s="106"/>
      <c r="S29" s="106"/>
      <c r="T29" s="106"/>
      <c r="U29" s="106"/>
      <c r="V29" s="106"/>
      <c r="W29" s="106"/>
      <c r="X29" s="106"/>
      <c r="Y29" s="37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37"/>
      <c r="AK29" s="38"/>
      <c r="AL29" s="197"/>
    </row>
    <row r="30" spans="1:38" x14ac:dyDescent="0.25">
      <c r="A30" s="11">
        <v>28</v>
      </c>
      <c r="B30" s="106"/>
      <c r="C30" s="106"/>
      <c r="D30" s="106"/>
      <c r="E30" s="106"/>
      <c r="F30" s="106"/>
      <c r="G30" s="106"/>
      <c r="H30" s="106"/>
      <c r="I30" s="37"/>
      <c r="J30" s="106"/>
      <c r="K30" s="106"/>
      <c r="L30" s="106"/>
      <c r="M30" s="106"/>
      <c r="N30" s="106"/>
      <c r="O30" s="106"/>
      <c r="P30" s="106"/>
      <c r="Q30" s="37"/>
      <c r="R30" s="106"/>
      <c r="S30" s="106"/>
      <c r="T30" s="106"/>
      <c r="U30" s="106"/>
      <c r="V30" s="106"/>
      <c r="W30" s="106"/>
      <c r="X30" s="106"/>
      <c r="Y30" s="37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37"/>
      <c r="AK30" s="38"/>
      <c r="AL30" s="197"/>
    </row>
    <row r="31" spans="1:38" x14ac:dyDescent="0.25">
      <c r="A31" s="11">
        <v>29</v>
      </c>
      <c r="B31" s="108"/>
      <c r="C31" s="108"/>
      <c r="D31" s="108"/>
      <c r="E31" s="108"/>
      <c r="F31" s="108"/>
      <c r="G31" s="108"/>
      <c r="H31" s="108"/>
      <c r="I31" s="111"/>
      <c r="J31" s="108"/>
      <c r="K31" s="108"/>
      <c r="L31" s="108"/>
      <c r="M31" s="108"/>
      <c r="N31" s="108"/>
      <c r="O31" s="108"/>
      <c r="P31" s="108"/>
      <c r="Q31" s="111"/>
      <c r="R31" s="108"/>
      <c r="S31" s="108"/>
      <c r="T31" s="108"/>
      <c r="U31" s="108"/>
      <c r="V31" s="108"/>
      <c r="W31" s="108"/>
      <c r="X31" s="108"/>
      <c r="Y31" s="111"/>
      <c r="Z31" s="108"/>
      <c r="AA31" s="108"/>
      <c r="AB31" s="108"/>
      <c r="AC31" s="108"/>
      <c r="AD31" s="108"/>
      <c r="AE31" s="108"/>
      <c r="AF31" s="108"/>
      <c r="AG31" s="107"/>
      <c r="AH31" s="107"/>
      <c r="AI31" s="107"/>
      <c r="AJ31" s="111"/>
      <c r="AK31" s="38"/>
      <c r="AL31" s="197"/>
    </row>
    <row r="32" spans="1:38" x14ac:dyDescent="0.25">
      <c r="A32" s="11">
        <v>30</v>
      </c>
      <c r="B32" s="106"/>
      <c r="C32" s="106"/>
      <c r="D32" s="106"/>
      <c r="E32" s="106"/>
      <c r="F32" s="106"/>
      <c r="G32" s="106"/>
      <c r="H32" s="106"/>
      <c r="I32" s="37"/>
      <c r="J32" s="106"/>
      <c r="K32" s="106"/>
      <c r="L32" s="106"/>
      <c r="M32" s="106"/>
      <c r="N32" s="106"/>
      <c r="O32" s="106"/>
      <c r="P32" s="106"/>
      <c r="Q32" s="37"/>
      <c r="R32" s="106"/>
      <c r="S32" s="106"/>
      <c r="T32" s="106"/>
      <c r="U32" s="106"/>
      <c r="V32" s="106"/>
      <c r="W32" s="106"/>
      <c r="X32" s="106"/>
      <c r="Y32" s="37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37"/>
      <c r="AK32" s="38"/>
      <c r="AL32" s="197"/>
    </row>
    <row r="33" spans="1:38" x14ac:dyDescent="0.25">
      <c r="A33" s="11">
        <v>31</v>
      </c>
      <c r="B33" s="106"/>
      <c r="C33" s="106"/>
      <c r="D33" s="106"/>
      <c r="E33" s="106"/>
      <c r="F33" s="106"/>
      <c r="G33" s="106"/>
      <c r="H33" s="106"/>
      <c r="I33" s="37"/>
      <c r="J33" s="106"/>
      <c r="K33" s="106"/>
      <c r="L33" s="106"/>
      <c r="M33" s="106"/>
      <c r="N33" s="106"/>
      <c r="O33" s="106"/>
      <c r="P33" s="106"/>
      <c r="Q33" s="37"/>
      <c r="R33" s="106"/>
      <c r="S33" s="106"/>
      <c r="T33" s="106"/>
      <c r="U33" s="106"/>
      <c r="V33" s="106"/>
      <c r="W33" s="106"/>
      <c r="X33" s="106"/>
      <c r="Y33" s="37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37"/>
      <c r="AK33" s="38"/>
      <c r="AL33" s="197"/>
    </row>
    <row r="34" spans="1:38" x14ac:dyDescent="0.25">
      <c r="A34" s="11">
        <v>32</v>
      </c>
      <c r="B34" s="106"/>
      <c r="C34" s="106"/>
      <c r="D34" s="106"/>
      <c r="E34" s="106"/>
      <c r="F34" s="106"/>
      <c r="G34" s="106"/>
      <c r="H34" s="106"/>
      <c r="I34" s="37"/>
      <c r="J34" s="106"/>
      <c r="K34" s="106"/>
      <c r="L34" s="106"/>
      <c r="M34" s="106"/>
      <c r="N34" s="106"/>
      <c r="O34" s="106"/>
      <c r="P34" s="106"/>
      <c r="Q34" s="37"/>
      <c r="R34" s="106"/>
      <c r="S34" s="106"/>
      <c r="T34" s="106"/>
      <c r="U34" s="106"/>
      <c r="V34" s="106"/>
      <c r="W34" s="106"/>
      <c r="X34" s="106"/>
      <c r="Y34" s="37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37"/>
      <c r="AK34" s="38"/>
      <c r="AL34" s="197"/>
    </row>
    <row r="35" spans="1:38" x14ac:dyDescent="0.25">
      <c r="A35" s="11">
        <v>33</v>
      </c>
      <c r="B35" s="106"/>
      <c r="C35" s="106"/>
      <c r="D35" s="106"/>
      <c r="E35" s="106"/>
      <c r="F35" s="106"/>
      <c r="G35" s="106"/>
      <c r="H35" s="106"/>
      <c r="I35" s="37"/>
      <c r="J35" s="106"/>
      <c r="K35" s="106"/>
      <c r="L35" s="106"/>
      <c r="M35" s="106"/>
      <c r="N35" s="106"/>
      <c r="O35" s="106"/>
      <c r="P35" s="106"/>
      <c r="Q35" s="37"/>
      <c r="R35" s="106"/>
      <c r="S35" s="106"/>
      <c r="T35" s="106"/>
      <c r="U35" s="106"/>
      <c r="V35" s="106"/>
      <c r="W35" s="106"/>
      <c r="X35" s="106"/>
      <c r="Y35" s="37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37"/>
      <c r="AK35" s="38"/>
      <c r="AL35" s="197"/>
    </row>
    <row r="36" spans="1:38" x14ac:dyDescent="0.25">
      <c r="A36" s="11">
        <v>34</v>
      </c>
      <c r="B36" s="106"/>
      <c r="C36" s="106"/>
      <c r="D36" s="106"/>
      <c r="E36" s="106"/>
      <c r="F36" s="106"/>
      <c r="G36" s="106"/>
      <c r="H36" s="106"/>
      <c r="I36" s="37"/>
      <c r="J36" s="106"/>
      <c r="K36" s="106"/>
      <c r="L36" s="106"/>
      <c r="M36" s="106"/>
      <c r="N36" s="106"/>
      <c r="O36" s="106"/>
      <c r="P36" s="106"/>
      <c r="Q36" s="37"/>
      <c r="R36" s="106"/>
      <c r="S36" s="106"/>
      <c r="T36" s="106"/>
      <c r="U36" s="106"/>
      <c r="V36" s="106"/>
      <c r="W36" s="106"/>
      <c r="X36" s="106"/>
      <c r="Y36" s="37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37"/>
      <c r="AK36" s="38"/>
      <c r="AL36" s="197"/>
    </row>
    <row r="37" spans="1:38" x14ac:dyDescent="0.25">
      <c r="A37" s="11">
        <v>35</v>
      </c>
      <c r="B37" s="106"/>
      <c r="C37" s="106"/>
      <c r="D37" s="106"/>
      <c r="E37" s="106"/>
      <c r="F37" s="106"/>
      <c r="G37" s="106"/>
      <c r="H37" s="106"/>
      <c r="I37" s="37"/>
      <c r="J37" s="106"/>
      <c r="K37" s="106"/>
      <c r="L37" s="106"/>
      <c r="M37" s="106"/>
      <c r="N37" s="106"/>
      <c r="O37" s="106"/>
      <c r="P37" s="106"/>
      <c r="Q37" s="37"/>
      <c r="R37" s="106"/>
      <c r="S37" s="106"/>
      <c r="T37" s="106"/>
      <c r="U37" s="106"/>
      <c r="V37" s="106"/>
      <c r="W37" s="106"/>
      <c r="X37" s="106"/>
      <c r="Y37" s="37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37"/>
      <c r="AK37" s="38"/>
      <c r="AL37" s="197"/>
    </row>
    <row r="38" spans="1:38" x14ac:dyDescent="0.25">
      <c r="A38" s="11">
        <v>36</v>
      </c>
      <c r="B38" s="108"/>
      <c r="C38" s="108"/>
      <c r="D38" s="108"/>
      <c r="E38" s="108"/>
      <c r="F38" s="108"/>
      <c r="G38" s="108"/>
      <c r="H38" s="108"/>
      <c r="I38" s="111"/>
      <c r="J38" s="108"/>
      <c r="K38" s="108"/>
      <c r="L38" s="108"/>
      <c r="M38" s="108"/>
      <c r="N38" s="108"/>
      <c r="O38" s="108"/>
      <c r="P38" s="108"/>
      <c r="Q38" s="111"/>
      <c r="R38" s="108"/>
      <c r="S38" s="108"/>
      <c r="T38" s="108"/>
      <c r="U38" s="108"/>
      <c r="V38" s="108"/>
      <c r="W38" s="108"/>
      <c r="X38" s="108"/>
      <c r="Y38" s="111"/>
      <c r="Z38" s="108"/>
      <c r="AA38" s="108"/>
      <c r="AB38" s="108"/>
      <c r="AC38" s="108"/>
      <c r="AD38" s="108"/>
      <c r="AE38" s="108"/>
      <c r="AF38" s="108"/>
      <c r="AG38" s="107"/>
      <c r="AH38" s="107"/>
      <c r="AI38" s="107"/>
      <c r="AJ38" s="111"/>
      <c r="AK38" s="38"/>
      <c r="AL38" s="197"/>
    </row>
    <row r="39" spans="1:38" x14ac:dyDescent="0.25">
      <c r="A39" s="11">
        <v>37</v>
      </c>
      <c r="B39" s="106"/>
      <c r="C39" s="106"/>
      <c r="D39" s="106"/>
      <c r="E39" s="106"/>
      <c r="F39" s="106"/>
      <c r="G39" s="106"/>
      <c r="H39" s="106"/>
      <c r="I39" s="37"/>
      <c r="J39" s="106"/>
      <c r="K39" s="106"/>
      <c r="L39" s="106"/>
      <c r="M39" s="106"/>
      <c r="N39" s="106"/>
      <c r="O39" s="106"/>
      <c r="P39" s="106"/>
      <c r="Q39" s="37"/>
      <c r="R39" s="106"/>
      <c r="S39" s="106"/>
      <c r="T39" s="106"/>
      <c r="U39" s="106"/>
      <c r="V39" s="106"/>
      <c r="W39" s="106"/>
      <c r="X39" s="106"/>
      <c r="Y39" s="37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37"/>
      <c r="AK39" s="38"/>
      <c r="AL39" s="197"/>
    </row>
    <row r="40" spans="1:38" x14ac:dyDescent="0.25">
      <c r="A40" s="11">
        <v>38</v>
      </c>
      <c r="B40" s="106"/>
      <c r="C40" s="106"/>
      <c r="D40" s="106"/>
      <c r="E40" s="106"/>
      <c r="F40" s="106"/>
      <c r="G40" s="106"/>
      <c r="H40" s="106"/>
      <c r="I40" s="37"/>
      <c r="J40" s="106"/>
      <c r="K40" s="106"/>
      <c r="L40" s="106"/>
      <c r="M40" s="106"/>
      <c r="N40" s="106"/>
      <c r="O40" s="106"/>
      <c r="P40" s="106"/>
      <c r="Q40" s="37"/>
      <c r="R40" s="106"/>
      <c r="S40" s="106"/>
      <c r="T40" s="106"/>
      <c r="U40" s="106"/>
      <c r="V40" s="106"/>
      <c r="W40" s="106"/>
      <c r="X40" s="106"/>
      <c r="Y40" s="37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37"/>
      <c r="AK40" s="38"/>
      <c r="AL40" s="197"/>
    </row>
    <row r="41" spans="1:38" x14ac:dyDescent="0.25">
      <c r="A41" s="11">
        <v>39</v>
      </c>
      <c r="B41" s="106"/>
      <c r="C41" s="106"/>
      <c r="D41" s="106"/>
      <c r="E41" s="106"/>
      <c r="F41" s="106"/>
      <c r="G41" s="106"/>
      <c r="H41" s="106"/>
      <c r="I41" s="37"/>
      <c r="J41" s="108"/>
      <c r="K41" s="116"/>
      <c r="L41" s="106"/>
      <c r="M41" s="106"/>
      <c r="N41" s="106"/>
      <c r="O41" s="106"/>
      <c r="P41" s="106"/>
      <c r="Q41" s="37"/>
      <c r="R41" s="106"/>
      <c r="S41" s="106"/>
      <c r="T41" s="106"/>
      <c r="U41" s="106"/>
      <c r="V41" s="106"/>
      <c r="W41" s="106"/>
      <c r="X41" s="106"/>
      <c r="Y41" s="37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37"/>
      <c r="AK41" s="38"/>
      <c r="AL41" s="197"/>
    </row>
    <row r="42" spans="1:38" x14ac:dyDescent="0.25">
      <c r="A42" s="11">
        <v>40</v>
      </c>
      <c r="B42" s="106"/>
      <c r="C42" s="106"/>
      <c r="D42" s="106"/>
      <c r="E42" s="106"/>
      <c r="F42" s="106"/>
      <c r="G42" s="106"/>
      <c r="H42" s="106"/>
      <c r="I42" s="37"/>
      <c r="J42" s="106"/>
      <c r="K42" s="106"/>
      <c r="L42" s="106"/>
      <c r="M42" s="106"/>
      <c r="N42" s="106"/>
      <c r="O42" s="106"/>
      <c r="P42" s="106"/>
      <c r="Q42" s="37"/>
      <c r="R42" s="106"/>
      <c r="S42" s="106"/>
      <c r="T42" s="106"/>
      <c r="U42" s="106"/>
      <c r="V42" s="106"/>
      <c r="W42" s="106"/>
      <c r="X42" s="106"/>
      <c r="Y42" s="37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37"/>
      <c r="AK42" s="38"/>
      <c r="AL42" s="197"/>
    </row>
    <row r="43" spans="1:38" x14ac:dyDescent="0.25">
      <c r="A43" s="11">
        <v>41</v>
      </c>
      <c r="B43" s="106"/>
      <c r="C43" s="106"/>
      <c r="D43" s="106"/>
      <c r="E43" s="106"/>
      <c r="F43" s="106"/>
      <c r="G43" s="106"/>
      <c r="H43" s="106"/>
      <c r="I43" s="37"/>
      <c r="J43" s="106"/>
      <c r="K43" s="106"/>
      <c r="L43" s="106"/>
      <c r="M43" s="106"/>
      <c r="N43" s="106"/>
      <c r="O43" s="106"/>
      <c r="P43" s="106"/>
      <c r="Q43" s="37"/>
      <c r="R43" s="106"/>
      <c r="S43" s="106"/>
      <c r="T43" s="106"/>
      <c r="U43" s="106"/>
      <c r="V43" s="106"/>
      <c r="W43" s="106"/>
      <c r="X43" s="106"/>
      <c r="Y43" s="37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37"/>
      <c r="AK43" s="38"/>
      <c r="AL43" s="197"/>
    </row>
    <row r="44" spans="1:38" x14ac:dyDescent="0.25">
      <c r="A44" s="11">
        <v>42</v>
      </c>
      <c r="B44" s="108"/>
      <c r="C44" s="108"/>
      <c r="D44" s="108"/>
      <c r="E44" s="108"/>
      <c r="F44" s="108"/>
      <c r="G44" s="108"/>
      <c r="H44" s="108"/>
      <c r="I44" s="111"/>
      <c r="J44" s="108"/>
      <c r="K44" s="108"/>
      <c r="L44" s="108"/>
      <c r="M44" s="108"/>
      <c r="N44" s="108"/>
      <c r="O44" s="108"/>
      <c r="P44" s="108"/>
      <c r="Q44" s="111"/>
      <c r="R44" s="108"/>
      <c r="S44" s="108"/>
      <c r="T44" s="108"/>
      <c r="U44" s="108"/>
      <c r="V44" s="108"/>
      <c r="W44" s="108"/>
      <c r="X44" s="108"/>
      <c r="Y44" s="111"/>
      <c r="Z44" s="108"/>
      <c r="AA44" s="108"/>
      <c r="AB44" s="108"/>
      <c r="AC44" s="108"/>
      <c r="AD44" s="108"/>
      <c r="AE44" s="108"/>
      <c r="AF44" s="108"/>
      <c r="AG44" s="107"/>
      <c r="AH44" s="107"/>
      <c r="AI44" s="107"/>
      <c r="AJ44" s="111"/>
      <c r="AK44" s="38"/>
      <c r="AL44" s="197"/>
    </row>
    <row r="45" spans="1:38" x14ac:dyDescent="0.25">
      <c r="A45" s="11">
        <v>43</v>
      </c>
      <c r="B45" s="106"/>
      <c r="C45" s="106"/>
      <c r="D45" s="106"/>
      <c r="E45" s="106"/>
      <c r="F45" s="106"/>
      <c r="G45" s="106"/>
      <c r="H45" s="106"/>
      <c r="I45" s="37"/>
      <c r="J45" s="106"/>
      <c r="K45" s="106"/>
      <c r="L45" s="106"/>
      <c r="M45" s="106"/>
      <c r="N45" s="106"/>
      <c r="O45" s="106"/>
      <c r="P45" s="106"/>
      <c r="Q45" s="37"/>
      <c r="R45" s="106"/>
      <c r="S45" s="106"/>
      <c r="T45" s="106"/>
      <c r="U45" s="106"/>
      <c r="V45" s="106"/>
      <c r="W45" s="106"/>
      <c r="X45" s="106"/>
      <c r="Y45" s="37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37"/>
      <c r="AK45" s="38"/>
      <c r="AL45" s="197"/>
    </row>
    <row r="46" spans="1:38" x14ac:dyDescent="0.25">
      <c r="A46" s="11">
        <v>44</v>
      </c>
      <c r="B46" s="106"/>
      <c r="C46" s="106"/>
      <c r="D46" s="106"/>
      <c r="E46" s="106"/>
      <c r="F46" s="106"/>
      <c r="G46" s="106"/>
      <c r="H46" s="106"/>
      <c r="I46" s="37"/>
      <c r="J46" s="106"/>
      <c r="K46" s="106"/>
      <c r="L46" s="106"/>
      <c r="M46" s="106"/>
      <c r="N46" s="106"/>
      <c r="O46" s="106"/>
      <c r="P46" s="106"/>
      <c r="Q46" s="37"/>
      <c r="R46" s="106"/>
      <c r="S46" s="106"/>
      <c r="T46" s="106"/>
      <c r="U46" s="106"/>
      <c r="V46" s="106"/>
      <c r="W46" s="106"/>
      <c r="X46" s="106"/>
      <c r="Y46" s="37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37"/>
      <c r="AK46" s="38"/>
      <c r="AL46" s="197"/>
    </row>
    <row r="47" spans="1:38" x14ac:dyDescent="0.25">
      <c r="A47" s="11">
        <v>45</v>
      </c>
      <c r="B47" s="106"/>
      <c r="C47" s="106"/>
      <c r="D47" s="106"/>
      <c r="E47" s="106"/>
      <c r="F47" s="106"/>
      <c r="G47" s="106"/>
      <c r="H47" s="106"/>
      <c r="I47" s="37"/>
      <c r="J47" s="106"/>
      <c r="K47" s="106"/>
      <c r="L47" s="106"/>
      <c r="M47" s="106"/>
      <c r="N47" s="106"/>
      <c r="O47" s="106"/>
      <c r="P47" s="106"/>
      <c r="Q47" s="37"/>
      <c r="R47" s="106"/>
      <c r="S47" s="106"/>
      <c r="T47" s="106"/>
      <c r="U47" s="106"/>
      <c r="V47" s="106"/>
      <c r="W47" s="106"/>
      <c r="X47" s="106"/>
      <c r="Y47" s="37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37"/>
      <c r="AK47" s="38"/>
      <c r="AL47" s="197"/>
    </row>
    <row r="48" spans="1:38" x14ac:dyDescent="0.25">
      <c r="A48" s="11">
        <v>46</v>
      </c>
      <c r="B48" s="106"/>
      <c r="C48" s="106"/>
      <c r="D48" s="106"/>
      <c r="E48" s="106"/>
      <c r="F48" s="106"/>
      <c r="G48" s="106"/>
      <c r="H48" s="106"/>
      <c r="I48" s="37"/>
      <c r="J48" s="106"/>
      <c r="K48" s="106"/>
      <c r="L48" s="106"/>
      <c r="M48" s="106"/>
      <c r="N48" s="106"/>
      <c r="O48" s="106"/>
      <c r="P48" s="106"/>
      <c r="Q48" s="37"/>
      <c r="R48" s="106"/>
      <c r="S48" s="106"/>
      <c r="T48" s="106"/>
      <c r="U48" s="106"/>
      <c r="V48" s="106"/>
      <c r="W48" s="106"/>
      <c r="X48" s="106"/>
      <c r="Y48" s="37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37"/>
      <c r="AK48" s="38"/>
      <c r="AL48" s="197"/>
    </row>
    <row r="49" spans="1:38" x14ac:dyDescent="0.25">
      <c r="A49" s="11">
        <v>47</v>
      </c>
      <c r="B49" s="106"/>
      <c r="C49" s="106"/>
      <c r="D49" s="106"/>
      <c r="E49" s="106"/>
      <c r="F49" s="106"/>
      <c r="G49" s="106"/>
      <c r="H49" s="106"/>
      <c r="I49" s="37"/>
      <c r="J49" s="106"/>
      <c r="K49" s="106"/>
      <c r="L49" s="106"/>
      <c r="M49" s="106"/>
      <c r="N49" s="106"/>
      <c r="O49" s="106"/>
      <c r="P49" s="106"/>
      <c r="Q49" s="37"/>
      <c r="R49" s="106"/>
      <c r="S49" s="106"/>
      <c r="T49" s="106"/>
      <c r="U49" s="106"/>
      <c r="V49" s="106"/>
      <c r="W49" s="106"/>
      <c r="X49" s="106"/>
      <c r="Y49" s="37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37"/>
      <c r="AK49" s="38"/>
      <c r="AL49" s="197"/>
    </row>
    <row r="50" spans="1:38" x14ac:dyDescent="0.25">
      <c r="A50" s="11">
        <v>48</v>
      </c>
      <c r="B50" s="106"/>
      <c r="C50" s="106"/>
      <c r="D50" s="106"/>
      <c r="E50" s="106"/>
      <c r="F50" s="106"/>
      <c r="G50" s="106"/>
      <c r="H50" s="106"/>
      <c r="I50" s="37"/>
      <c r="J50" s="106"/>
      <c r="K50" s="106"/>
      <c r="L50" s="106"/>
      <c r="M50" s="106"/>
      <c r="N50" s="106"/>
      <c r="O50" s="106"/>
      <c r="P50" s="106"/>
      <c r="Q50" s="37"/>
      <c r="R50" s="106"/>
      <c r="S50" s="106"/>
      <c r="T50" s="106"/>
      <c r="U50" s="106"/>
      <c r="V50" s="106"/>
      <c r="W50" s="106"/>
      <c r="X50" s="106"/>
      <c r="Y50" s="37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37"/>
      <c r="AK50" s="38"/>
      <c r="AL50" s="197"/>
    </row>
    <row r="51" spans="1:38" x14ac:dyDescent="0.25">
      <c r="A51" s="11">
        <v>49</v>
      </c>
      <c r="B51" s="106"/>
      <c r="C51" s="106"/>
      <c r="D51" s="106"/>
      <c r="E51" s="106"/>
      <c r="F51" s="106"/>
      <c r="G51" s="106"/>
      <c r="H51" s="106"/>
      <c r="I51" s="37"/>
      <c r="J51" s="106"/>
      <c r="K51" s="106"/>
      <c r="L51" s="106"/>
      <c r="M51" s="106"/>
      <c r="N51" s="106"/>
      <c r="O51" s="106"/>
      <c r="P51" s="106"/>
      <c r="Q51" s="37"/>
      <c r="R51" s="106"/>
      <c r="S51" s="106"/>
      <c r="T51" s="106"/>
      <c r="U51" s="106"/>
      <c r="V51" s="106"/>
      <c r="W51" s="106"/>
      <c r="X51" s="106"/>
      <c r="Y51" s="37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37"/>
      <c r="AK51" s="38"/>
      <c r="AL51" s="197"/>
    </row>
    <row r="52" spans="1:38" x14ac:dyDescent="0.25">
      <c r="A52" s="11">
        <v>50</v>
      </c>
      <c r="B52" s="106"/>
      <c r="C52" s="106"/>
      <c r="D52" s="106"/>
      <c r="E52" s="106"/>
      <c r="F52" s="106"/>
      <c r="G52" s="106"/>
      <c r="H52" s="106"/>
      <c r="I52" s="37"/>
      <c r="J52" s="106"/>
      <c r="K52" s="106"/>
      <c r="L52" s="106"/>
      <c r="M52" s="106"/>
      <c r="N52" s="106"/>
      <c r="O52" s="106"/>
      <c r="P52" s="106"/>
      <c r="Q52" s="37"/>
      <c r="R52" s="106"/>
      <c r="S52" s="106"/>
      <c r="T52" s="106"/>
      <c r="U52" s="106"/>
      <c r="V52" s="106"/>
      <c r="W52" s="106"/>
      <c r="X52" s="106"/>
      <c r="Y52" s="37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37"/>
      <c r="AK52" s="38"/>
      <c r="AL52" s="197"/>
    </row>
    <row r="53" spans="1:38" x14ac:dyDescent="0.25">
      <c r="A53" s="11">
        <v>51</v>
      </c>
      <c r="B53" s="106"/>
      <c r="C53" s="106"/>
      <c r="D53" s="106"/>
      <c r="E53" s="106"/>
      <c r="F53" s="106"/>
      <c r="G53" s="106"/>
      <c r="H53" s="106"/>
      <c r="I53" s="37"/>
      <c r="J53" s="106"/>
      <c r="K53" s="106"/>
      <c r="L53" s="106"/>
      <c r="M53" s="106"/>
      <c r="N53" s="106"/>
      <c r="O53" s="106"/>
      <c r="P53" s="106"/>
      <c r="Q53" s="37"/>
      <c r="R53" s="106"/>
      <c r="S53" s="106"/>
      <c r="T53" s="106"/>
      <c r="U53" s="106"/>
      <c r="V53" s="106"/>
      <c r="W53" s="106"/>
      <c r="X53" s="106"/>
      <c r="Y53" s="37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37"/>
      <c r="AK53" s="38"/>
      <c r="AL53" s="197"/>
    </row>
    <row r="54" spans="1:38" x14ac:dyDescent="0.25">
      <c r="A54" s="11">
        <v>52</v>
      </c>
      <c r="B54" s="106"/>
      <c r="C54" s="106"/>
      <c r="D54" s="106"/>
      <c r="E54" s="106"/>
      <c r="F54" s="108"/>
      <c r="G54" s="108"/>
      <c r="H54" s="108"/>
      <c r="I54" s="37"/>
      <c r="J54" s="108"/>
      <c r="K54" s="106"/>
      <c r="L54" s="106"/>
      <c r="M54" s="106"/>
      <c r="N54" s="106"/>
      <c r="O54" s="106"/>
      <c r="P54" s="106"/>
      <c r="Q54" s="37"/>
      <c r="R54" s="106"/>
      <c r="S54" s="106"/>
      <c r="T54" s="106"/>
      <c r="U54" s="106"/>
      <c r="V54" s="106"/>
      <c r="W54" s="106"/>
      <c r="X54" s="106"/>
      <c r="Y54" s="37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37"/>
      <c r="AK54" s="38"/>
      <c r="AL54" s="197"/>
    </row>
    <row r="55" spans="1:38" x14ac:dyDescent="0.25">
      <c r="A55" s="11">
        <v>53</v>
      </c>
      <c r="B55" s="106"/>
      <c r="C55" s="106"/>
      <c r="D55" s="106"/>
      <c r="E55" s="106"/>
      <c r="F55" s="106"/>
      <c r="G55" s="106"/>
      <c r="H55" s="106"/>
      <c r="I55" s="37"/>
      <c r="J55" s="106"/>
      <c r="K55" s="106"/>
      <c r="L55" s="106"/>
      <c r="M55" s="106"/>
      <c r="N55" s="106"/>
      <c r="O55" s="106"/>
      <c r="P55" s="106"/>
      <c r="Q55" s="37"/>
      <c r="R55" s="106"/>
      <c r="S55" s="106"/>
      <c r="T55" s="106"/>
      <c r="U55" s="106"/>
      <c r="V55" s="106"/>
      <c r="W55" s="106"/>
      <c r="X55" s="106"/>
      <c r="Y55" s="37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37"/>
      <c r="AK55" s="38"/>
      <c r="AL55" s="197"/>
    </row>
    <row r="56" spans="1:38" x14ac:dyDescent="0.25">
      <c r="A56" s="11">
        <v>54</v>
      </c>
      <c r="B56" s="106"/>
      <c r="C56" s="106"/>
      <c r="D56" s="106"/>
      <c r="E56" s="106"/>
      <c r="F56" s="106"/>
      <c r="G56" s="106"/>
      <c r="H56" s="106"/>
      <c r="I56" s="37"/>
      <c r="J56" s="106"/>
      <c r="K56" s="106"/>
      <c r="L56" s="106"/>
      <c r="M56" s="106"/>
      <c r="N56" s="106"/>
      <c r="O56" s="106"/>
      <c r="P56" s="106"/>
      <c r="Q56" s="37"/>
      <c r="R56" s="106"/>
      <c r="S56" s="106"/>
      <c r="T56" s="106"/>
      <c r="U56" s="106"/>
      <c r="V56" s="106"/>
      <c r="W56" s="106"/>
      <c r="X56" s="106"/>
      <c r="Y56" s="37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37"/>
      <c r="AK56" s="38"/>
      <c r="AL56" s="197"/>
    </row>
    <row r="57" spans="1:38" x14ac:dyDescent="0.25">
      <c r="A57" s="11">
        <v>55</v>
      </c>
      <c r="B57" s="106"/>
      <c r="C57" s="106"/>
      <c r="D57" s="106"/>
      <c r="E57" s="106"/>
      <c r="F57" s="106"/>
      <c r="G57" s="106"/>
      <c r="H57" s="106"/>
      <c r="I57" s="37"/>
      <c r="J57" s="106"/>
      <c r="K57" s="106"/>
      <c r="L57" s="106"/>
      <c r="M57" s="106"/>
      <c r="N57" s="106"/>
      <c r="O57" s="106"/>
      <c r="P57" s="106"/>
      <c r="Q57" s="37"/>
      <c r="R57" s="106"/>
      <c r="S57" s="106"/>
      <c r="T57" s="106"/>
      <c r="U57" s="106"/>
      <c r="V57" s="106"/>
      <c r="W57" s="106"/>
      <c r="X57" s="106"/>
      <c r="Y57" s="37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37"/>
      <c r="AK57" s="38"/>
      <c r="AL57" s="197"/>
    </row>
    <row r="58" spans="1:38" x14ac:dyDescent="0.25">
      <c r="A58" s="11">
        <v>56</v>
      </c>
      <c r="B58" s="106"/>
      <c r="C58" s="106"/>
      <c r="D58" s="106"/>
      <c r="E58" s="106"/>
      <c r="F58" s="106"/>
      <c r="G58" s="106"/>
      <c r="H58" s="106"/>
      <c r="I58" s="37"/>
      <c r="J58" s="106"/>
      <c r="K58" s="106"/>
      <c r="L58" s="106"/>
      <c r="M58" s="106"/>
      <c r="N58" s="106"/>
      <c r="O58" s="106"/>
      <c r="P58" s="106"/>
      <c r="Q58" s="37"/>
      <c r="R58" s="106"/>
      <c r="S58" s="106"/>
      <c r="T58" s="106"/>
      <c r="U58" s="106"/>
      <c r="V58" s="106"/>
      <c r="W58" s="106"/>
      <c r="X58" s="106"/>
      <c r="Y58" s="37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37"/>
      <c r="AK58" s="38"/>
      <c r="AL58" s="197"/>
    </row>
    <row r="59" spans="1:38" x14ac:dyDescent="0.25">
      <c r="A59" s="11">
        <v>57</v>
      </c>
      <c r="B59" s="106"/>
      <c r="C59" s="106"/>
      <c r="D59" s="106"/>
      <c r="E59" s="106"/>
      <c r="F59" s="106"/>
      <c r="G59" s="106"/>
      <c r="H59" s="106"/>
      <c r="I59" s="37"/>
      <c r="J59" s="106"/>
      <c r="K59" s="106"/>
      <c r="L59" s="106"/>
      <c r="M59" s="106"/>
      <c r="N59" s="106"/>
      <c r="O59" s="106"/>
      <c r="P59" s="106"/>
      <c r="Q59" s="37"/>
      <c r="R59" s="106"/>
      <c r="S59" s="106"/>
      <c r="T59" s="106"/>
      <c r="U59" s="106"/>
      <c r="V59" s="106"/>
      <c r="W59" s="106"/>
      <c r="X59" s="106"/>
      <c r="Y59" s="37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37"/>
      <c r="AK59" s="38"/>
      <c r="AL59" s="197"/>
    </row>
    <row r="60" spans="1:38" x14ac:dyDescent="0.25">
      <c r="A60" s="11">
        <v>58</v>
      </c>
      <c r="B60" s="106"/>
      <c r="C60" s="106"/>
      <c r="D60" s="106"/>
      <c r="E60" s="106"/>
      <c r="F60" s="106"/>
      <c r="G60" s="106"/>
      <c r="H60" s="106"/>
      <c r="I60" s="37"/>
      <c r="J60" s="106"/>
      <c r="K60" s="106"/>
      <c r="L60" s="106"/>
      <c r="M60" s="106"/>
      <c r="N60" s="106"/>
      <c r="O60" s="106"/>
      <c r="P60" s="106"/>
      <c r="Q60" s="37"/>
      <c r="R60" s="106"/>
      <c r="S60" s="106"/>
      <c r="T60" s="106"/>
      <c r="U60" s="106"/>
      <c r="V60" s="106"/>
      <c r="W60" s="106"/>
      <c r="X60" s="106"/>
      <c r="Y60" s="37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37"/>
      <c r="AK60" s="38"/>
      <c r="AL60" s="197"/>
    </row>
    <row r="61" spans="1:38" ht="18.75" x14ac:dyDescent="0.3">
      <c r="A61" s="11">
        <v>59</v>
      </c>
      <c r="B61" s="106"/>
      <c r="C61" s="106"/>
      <c r="D61" s="106"/>
      <c r="E61" s="106"/>
      <c r="F61" s="106"/>
      <c r="G61" s="106"/>
      <c r="H61" s="106"/>
      <c r="I61" s="37"/>
      <c r="J61" s="106"/>
      <c r="K61" s="106"/>
      <c r="L61" s="106"/>
      <c r="M61" s="106"/>
      <c r="N61" s="106"/>
      <c r="O61" s="106"/>
      <c r="P61" s="106"/>
      <c r="Q61" s="37"/>
      <c r="R61" s="106"/>
      <c r="S61" s="106"/>
      <c r="T61" s="106"/>
      <c r="U61" s="106"/>
      <c r="V61" s="106"/>
      <c r="W61" s="106"/>
      <c r="X61" s="106"/>
      <c r="Y61" s="37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37"/>
      <c r="AK61" s="340"/>
      <c r="AL61" s="197"/>
    </row>
    <row r="62" spans="1:38" ht="18.75" x14ac:dyDescent="0.3">
      <c r="A62" s="11">
        <v>60</v>
      </c>
      <c r="B62" s="106"/>
      <c r="C62" s="106"/>
      <c r="D62" s="106"/>
      <c r="E62" s="106"/>
      <c r="F62" s="106"/>
      <c r="G62" s="106"/>
      <c r="H62" s="106"/>
      <c r="I62" s="37"/>
      <c r="J62" s="106"/>
      <c r="K62" s="106"/>
      <c r="L62" s="106"/>
      <c r="M62" s="106"/>
      <c r="N62" s="106"/>
      <c r="O62" s="106"/>
      <c r="P62" s="106"/>
      <c r="Q62" s="37"/>
      <c r="R62" s="106"/>
      <c r="S62" s="106"/>
      <c r="T62" s="106"/>
      <c r="U62" s="106"/>
      <c r="V62" s="106"/>
      <c r="W62" s="106"/>
      <c r="X62" s="106"/>
      <c r="Y62" s="37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37"/>
      <c r="AK62" s="340"/>
      <c r="AL62" s="197"/>
    </row>
    <row r="63" spans="1:38" ht="18.75" x14ac:dyDescent="0.3">
      <c r="A63" s="11">
        <v>61</v>
      </c>
      <c r="B63" s="106"/>
      <c r="C63" s="106"/>
      <c r="D63" s="106"/>
      <c r="E63" s="106"/>
      <c r="F63" s="106"/>
      <c r="G63" s="106"/>
      <c r="H63" s="106"/>
      <c r="I63" s="37"/>
      <c r="J63" s="106"/>
      <c r="K63" s="106"/>
      <c r="L63" s="106"/>
      <c r="M63" s="106"/>
      <c r="N63" s="106"/>
      <c r="O63" s="106"/>
      <c r="P63" s="106"/>
      <c r="Q63" s="37"/>
      <c r="R63" s="106"/>
      <c r="S63" s="106"/>
      <c r="T63" s="106"/>
      <c r="U63" s="106"/>
      <c r="V63" s="106"/>
      <c r="W63" s="106"/>
      <c r="X63" s="106"/>
      <c r="Y63" s="37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37"/>
      <c r="AK63" s="340"/>
      <c r="AL63" s="197"/>
    </row>
    <row r="64" spans="1:38" x14ac:dyDescent="0.25">
      <c r="A64" s="11">
        <v>62</v>
      </c>
      <c r="B64" s="106"/>
      <c r="C64" s="106"/>
      <c r="D64" s="106"/>
      <c r="E64" s="106"/>
      <c r="F64" s="106"/>
      <c r="G64" s="106"/>
      <c r="H64" s="106"/>
      <c r="I64" s="37"/>
      <c r="J64" s="106"/>
      <c r="K64" s="106"/>
      <c r="L64" s="106"/>
      <c r="M64" s="106"/>
      <c r="N64" s="106"/>
      <c r="O64" s="106"/>
      <c r="P64" s="106"/>
      <c r="Q64" s="37"/>
      <c r="R64" s="106"/>
      <c r="S64" s="106"/>
      <c r="T64" s="106"/>
      <c r="U64" s="106"/>
      <c r="V64" s="106"/>
      <c r="W64" s="106"/>
      <c r="X64" s="106"/>
      <c r="Y64" s="37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37"/>
      <c r="AK64" s="38"/>
      <c r="AL64" s="197"/>
    </row>
    <row r="65" spans="1:38" ht="15.75" thickBot="1" x14ac:dyDescent="0.3">
      <c r="A65" s="62">
        <v>63</v>
      </c>
      <c r="B65" s="107"/>
      <c r="C65" s="107"/>
      <c r="D65" s="107"/>
      <c r="E65" s="107"/>
      <c r="F65" s="107"/>
      <c r="G65" s="107"/>
      <c r="H65" s="107"/>
      <c r="I65" s="110"/>
      <c r="J65" s="107"/>
      <c r="K65" s="107"/>
      <c r="L65" s="107"/>
      <c r="M65" s="107"/>
      <c r="N65" s="107"/>
      <c r="O65" s="107"/>
      <c r="P65" s="107"/>
      <c r="Q65" s="110"/>
      <c r="R65" s="107"/>
      <c r="S65" s="107"/>
      <c r="T65" s="107"/>
      <c r="U65" s="107"/>
      <c r="V65" s="107"/>
      <c r="W65" s="107"/>
      <c r="X65" s="107"/>
      <c r="Y65" s="114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14"/>
      <c r="AK65" s="44"/>
      <c r="AL65" s="204"/>
    </row>
    <row r="66" spans="1:38" ht="18.75" x14ac:dyDescent="0.3">
      <c r="A66" s="281" t="s">
        <v>2</v>
      </c>
      <c r="B66" s="163"/>
      <c r="C66" s="163"/>
      <c r="D66" s="163"/>
      <c r="E66" s="163"/>
      <c r="F66" s="163"/>
      <c r="G66" s="163"/>
      <c r="H66" s="163"/>
      <c r="I66" s="158"/>
      <c r="J66" s="163"/>
      <c r="K66" s="163"/>
      <c r="L66" s="163"/>
      <c r="M66" s="163"/>
      <c r="N66" s="163"/>
      <c r="O66" s="163"/>
      <c r="P66" s="163"/>
      <c r="Q66" s="221"/>
      <c r="R66" s="163"/>
      <c r="S66" s="163"/>
      <c r="T66" s="163"/>
      <c r="U66" s="163"/>
      <c r="V66" s="163"/>
      <c r="W66" s="163"/>
      <c r="X66" s="163"/>
      <c r="Y66" s="221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51"/>
      <c r="AK66" s="266"/>
      <c r="AL66" s="285"/>
    </row>
    <row r="67" spans="1:38" ht="15.75" thickBot="1" x14ac:dyDescent="0.3">
      <c r="A67" s="264"/>
      <c r="B67" s="265"/>
      <c r="C67" s="265"/>
      <c r="D67" s="265"/>
      <c r="E67" s="265"/>
      <c r="F67" s="265"/>
      <c r="G67" s="265"/>
      <c r="H67" s="265"/>
      <c r="I67" s="56"/>
      <c r="J67" s="265"/>
      <c r="K67" s="265"/>
      <c r="L67" s="265"/>
      <c r="M67" s="265"/>
      <c r="N67" s="265"/>
      <c r="O67" s="265"/>
      <c r="P67" s="265"/>
      <c r="Q67" s="56"/>
      <c r="R67" s="265"/>
      <c r="S67" s="265"/>
      <c r="T67" s="265"/>
      <c r="U67" s="265"/>
      <c r="V67" s="265"/>
      <c r="W67" s="265"/>
      <c r="X67" s="265"/>
      <c r="Y67" s="56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56"/>
      <c r="AK67" s="225"/>
      <c r="AL67" s="228"/>
    </row>
    <row r="68" spans="1:38" ht="24" thickBot="1" x14ac:dyDescent="0.4">
      <c r="A68" s="252" t="s">
        <v>213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60"/>
    </row>
    <row r="69" spans="1:38" ht="16.5" thickBot="1" x14ac:dyDescent="0.3">
      <c r="A69" s="321" t="s">
        <v>7</v>
      </c>
      <c r="B69" s="322"/>
      <c r="C69" s="322"/>
      <c r="D69" s="322"/>
      <c r="E69" s="322"/>
      <c r="F69" s="322"/>
      <c r="G69" s="322"/>
      <c r="H69" s="322"/>
      <c r="I69" s="323"/>
      <c r="J69" s="322"/>
      <c r="K69" s="322"/>
      <c r="L69" s="322"/>
      <c r="M69" s="322"/>
      <c r="N69" s="322"/>
      <c r="O69" s="322"/>
      <c r="P69" s="322"/>
      <c r="Q69" s="323"/>
      <c r="R69" s="322"/>
      <c r="S69" s="322"/>
      <c r="T69" s="322"/>
      <c r="U69" s="322"/>
      <c r="V69" s="322"/>
      <c r="W69" s="322"/>
      <c r="X69" s="322"/>
      <c r="Y69" s="323"/>
      <c r="Z69" s="322"/>
      <c r="AA69" s="322"/>
      <c r="AB69" s="322"/>
      <c r="AC69" s="322"/>
      <c r="AD69" s="322"/>
      <c r="AE69" s="322"/>
      <c r="AF69" s="322"/>
      <c r="AG69" s="322"/>
      <c r="AH69" s="322"/>
      <c r="AI69" s="322"/>
      <c r="AJ69" s="324"/>
      <c r="AK69" s="325"/>
      <c r="AL69" s="169"/>
    </row>
    <row r="70" spans="1:38" x14ac:dyDescent="0.25">
      <c r="A70" s="394">
        <v>23</v>
      </c>
      <c r="B70" s="386"/>
      <c r="C70" s="386"/>
      <c r="D70" s="386"/>
      <c r="E70" s="386"/>
      <c r="F70" s="386"/>
      <c r="G70" s="386"/>
      <c r="H70" s="386"/>
      <c r="I70" s="160"/>
      <c r="J70" s="386"/>
      <c r="K70" s="386"/>
      <c r="L70" s="386"/>
      <c r="M70" s="386"/>
      <c r="N70" s="386"/>
      <c r="O70" s="386"/>
      <c r="P70" s="387"/>
      <c r="Q70" s="160"/>
      <c r="R70" s="387"/>
      <c r="S70" s="386"/>
      <c r="T70" s="386"/>
      <c r="U70" s="386"/>
      <c r="V70" s="386"/>
      <c r="W70" s="386"/>
      <c r="X70" s="386"/>
      <c r="Y70" s="160"/>
      <c r="Z70" s="387"/>
      <c r="AA70" s="387"/>
      <c r="AB70" s="387"/>
      <c r="AC70" s="387"/>
      <c r="AD70" s="387"/>
      <c r="AE70" s="387"/>
      <c r="AF70" s="387"/>
      <c r="AG70" s="387"/>
      <c r="AH70" s="387"/>
      <c r="AI70" s="387"/>
      <c r="AJ70" s="160"/>
      <c r="AK70" s="14"/>
      <c r="AL70" s="172"/>
    </row>
    <row r="71" spans="1:38" x14ac:dyDescent="0.25">
      <c r="A71" s="381">
        <v>83</v>
      </c>
      <c r="B71" s="135"/>
      <c r="C71" s="121"/>
      <c r="D71" s="121"/>
      <c r="E71" s="1"/>
      <c r="F71" s="121"/>
      <c r="G71" s="121"/>
      <c r="H71" s="121"/>
      <c r="I71" s="37"/>
      <c r="J71" s="121"/>
      <c r="K71" s="121"/>
      <c r="L71" s="121"/>
      <c r="M71" s="121"/>
      <c r="N71" s="121"/>
      <c r="O71" s="120"/>
      <c r="P71" s="172"/>
      <c r="Q71" s="37"/>
      <c r="R71" s="135"/>
      <c r="S71" s="118"/>
      <c r="T71" s="118"/>
      <c r="U71" s="1"/>
      <c r="V71" s="118"/>
      <c r="W71" s="57"/>
      <c r="X71" s="57"/>
      <c r="Y71" s="37"/>
      <c r="Z71" s="1"/>
      <c r="AA71" s="118"/>
      <c r="AB71" s="1"/>
      <c r="AC71" s="1"/>
      <c r="AD71" s="1"/>
      <c r="AE71" s="118"/>
      <c r="AF71" s="118"/>
      <c r="AG71" s="118"/>
      <c r="AH71" s="118"/>
      <c r="AI71" s="118"/>
      <c r="AJ71" s="37"/>
      <c r="AK71" s="38"/>
      <c r="AL71" s="176"/>
    </row>
    <row r="72" spans="1:38" x14ac:dyDescent="0.25">
      <c r="A72" s="381">
        <v>90</v>
      </c>
      <c r="B72" s="135"/>
      <c r="C72" s="388"/>
      <c r="D72" s="388"/>
      <c r="E72" s="389"/>
      <c r="F72" s="389"/>
      <c r="G72" s="389"/>
      <c r="H72" s="389"/>
      <c r="I72" s="37"/>
      <c r="J72" s="390"/>
      <c r="K72" s="389"/>
      <c r="L72" s="390"/>
      <c r="M72" s="390"/>
      <c r="N72" s="390"/>
      <c r="O72" s="390"/>
      <c r="P72" s="391"/>
      <c r="Q72" s="111"/>
      <c r="R72" s="391"/>
      <c r="S72" s="390"/>
      <c r="T72" s="390"/>
      <c r="U72" s="390"/>
      <c r="V72" s="389"/>
      <c r="W72" s="387"/>
      <c r="X72" s="387"/>
      <c r="Y72" s="111"/>
      <c r="Z72" s="387"/>
      <c r="AA72" s="387"/>
      <c r="AB72" s="387"/>
      <c r="AC72" s="387"/>
      <c r="AD72" s="387"/>
      <c r="AE72" s="387"/>
      <c r="AF72" s="387"/>
      <c r="AG72" s="387"/>
      <c r="AH72" s="387"/>
      <c r="AI72" s="387"/>
      <c r="AJ72" s="111"/>
      <c r="AK72" s="38"/>
      <c r="AL72" s="176"/>
    </row>
    <row r="73" spans="1:38" x14ac:dyDescent="0.25">
      <c r="A73" s="381">
        <v>93</v>
      </c>
      <c r="B73" s="389"/>
      <c r="C73" s="118"/>
      <c r="D73" s="118"/>
      <c r="E73" s="118"/>
      <c r="F73" s="118"/>
      <c r="G73" s="389"/>
      <c r="H73" s="118"/>
      <c r="I73" s="37"/>
      <c r="J73" s="121"/>
      <c r="K73" s="121"/>
      <c r="L73" s="121"/>
      <c r="M73" s="131"/>
      <c r="N73" s="118"/>
      <c r="O73" s="120"/>
      <c r="P73" s="391"/>
      <c r="Q73" s="37"/>
      <c r="R73" s="205"/>
      <c r="S73" s="118"/>
      <c r="T73" s="118"/>
      <c r="U73" s="1"/>
      <c r="V73" s="1"/>
      <c r="W73" s="57"/>
      <c r="X73" s="57"/>
      <c r="Y73" s="37"/>
      <c r="Z73" s="118"/>
      <c r="AA73" s="387"/>
      <c r="AB73" s="1"/>
      <c r="AC73" s="387"/>
      <c r="AD73" s="1"/>
      <c r="AE73" s="118"/>
      <c r="AF73" s="387"/>
      <c r="AG73" s="118"/>
      <c r="AH73" s="118"/>
      <c r="AI73" s="118"/>
      <c r="AJ73" s="37"/>
      <c r="AK73" s="38"/>
      <c r="AL73" s="202"/>
    </row>
    <row r="74" spans="1:38" x14ac:dyDescent="0.25">
      <c r="A74" s="381">
        <v>95</v>
      </c>
      <c r="B74" s="389"/>
      <c r="C74" s="121"/>
      <c r="D74" s="121"/>
      <c r="E74" s="121"/>
      <c r="F74" s="121"/>
      <c r="G74" s="121"/>
      <c r="H74" s="121"/>
      <c r="I74" s="37"/>
      <c r="J74" s="121"/>
      <c r="K74" s="371"/>
      <c r="L74" s="390"/>
      <c r="M74" s="121"/>
      <c r="N74" s="121"/>
      <c r="O74" s="121"/>
      <c r="P74" s="172"/>
      <c r="Q74" s="37"/>
      <c r="R74" s="131"/>
      <c r="S74" s="118"/>
      <c r="T74" s="118"/>
      <c r="U74" s="1"/>
      <c r="V74" s="118"/>
      <c r="W74" s="57"/>
      <c r="X74" s="57"/>
      <c r="Y74" s="37"/>
      <c r="Z74" s="118"/>
      <c r="AA74" s="118"/>
      <c r="AB74" s="1"/>
      <c r="AC74" s="1"/>
      <c r="AD74" s="1"/>
      <c r="AE74" s="118"/>
      <c r="AF74" s="118"/>
      <c r="AG74" s="118"/>
      <c r="AH74" s="118"/>
      <c r="AI74" s="118"/>
      <c r="AJ74" s="37"/>
      <c r="AK74" s="38"/>
      <c r="AL74" s="176"/>
    </row>
    <row r="75" spans="1:38" x14ac:dyDescent="0.25">
      <c r="A75" s="381">
        <v>98</v>
      </c>
      <c r="B75" s="389"/>
      <c r="C75" s="389"/>
      <c r="D75" s="389"/>
      <c r="E75" s="389"/>
      <c r="F75" s="389"/>
      <c r="G75" s="389"/>
      <c r="H75" s="389"/>
      <c r="I75" s="111"/>
      <c r="J75" s="390"/>
      <c r="K75" s="389"/>
      <c r="L75" s="390"/>
      <c r="M75" s="390"/>
      <c r="N75" s="390"/>
      <c r="O75" s="390"/>
      <c r="P75" s="391"/>
      <c r="Q75" s="111"/>
      <c r="R75" s="391"/>
      <c r="S75" s="390"/>
      <c r="T75" s="390"/>
      <c r="U75" s="390"/>
      <c r="V75" s="389"/>
      <c r="W75" s="387"/>
      <c r="X75" s="387"/>
      <c r="Y75" s="111"/>
      <c r="Z75" s="387"/>
      <c r="AA75" s="387"/>
      <c r="AB75" s="387"/>
      <c r="AC75" s="387"/>
      <c r="AD75" s="387"/>
      <c r="AE75" s="387"/>
      <c r="AF75" s="387"/>
      <c r="AG75" s="387"/>
      <c r="AH75" s="387"/>
      <c r="AI75" s="387"/>
      <c r="AJ75" s="111"/>
      <c r="AK75" s="38"/>
      <c r="AL75" s="176"/>
    </row>
    <row r="76" spans="1:38" x14ac:dyDescent="0.25">
      <c r="A76" s="381">
        <v>104</v>
      </c>
      <c r="B76" s="131"/>
      <c r="C76" s="121"/>
      <c r="D76" s="121"/>
      <c r="E76" s="121"/>
      <c r="F76" s="121"/>
      <c r="G76" s="121"/>
      <c r="H76" s="121"/>
      <c r="I76" s="37"/>
      <c r="J76" s="121"/>
      <c r="K76" s="121"/>
      <c r="L76" s="371"/>
      <c r="M76" s="121"/>
      <c r="N76" s="372"/>
      <c r="O76" s="121"/>
      <c r="P76" s="172"/>
      <c r="Q76" s="37"/>
      <c r="R76" s="135"/>
      <c r="S76" s="118"/>
      <c r="T76" s="118"/>
      <c r="U76" s="1"/>
      <c r="V76" s="118"/>
      <c r="W76" s="57"/>
      <c r="X76" s="57"/>
      <c r="Y76" s="37"/>
      <c r="Z76" s="1"/>
      <c r="AA76" s="118"/>
      <c r="AB76" s="1"/>
      <c r="AC76" s="1"/>
      <c r="AD76" s="1"/>
      <c r="AE76" s="387"/>
      <c r="AF76" s="193"/>
      <c r="AG76" s="118"/>
      <c r="AH76" s="118"/>
      <c r="AI76" s="118"/>
      <c r="AJ76" s="37"/>
      <c r="AK76" s="38"/>
      <c r="AL76" s="176"/>
    </row>
    <row r="77" spans="1:38" x14ac:dyDescent="0.25">
      <c r="A77" s="393">
        <v>118</v>
      </c>
      <c r="B77" s="389"/>
      <c r="C77" s="389"/>
      <c r="D77" s="389"/>
      <c r="E77" s="389"/>
      <c r="F77" s="389"/>
      <c r="G77" s="389"/>
      <c r="H77" s="389"/>
      <c r="I77" s="111"/>
      <c r="J77" s="390"/>
      <c r="K77" s="389"/>
      <c r="L77" s="390"/>
      <c r="M77" s="390"/>
      <c r="N77" s="390"/>
      <c r="O77" s="390"/>
      <c r="P77" s="391"/>
      <c r="Q77" s="111"/>
      <c r="R77" s="391"/>
      <c r="S77" s="390"/>
      <c r="T77" s="176"/>
      <c r="U77" s="390"/>
      <c r="V77" s="390"/>
      <c r="W77" s="390"/>
      <c r="X77" s="390"/>
      <c r="Y77" s="37"/>
      <c r="Z77" s="387"/>
      <c r="AA77" s="387"/>
      <c r="AB77" s="387"/>
      <c r="AC77" s="387"/>
      <c r="AD77" s="387"/>
      <c r="AE77" s="387"/>
      <c r="AF77" s="387"/>
      <c r="AG77" s="118"/>
      <c r="AH77" s="118"/>
      <c r="AI77" s="118"/>
      <c r="AJ77" s="37"/>
      <c r="AK77" s="38"/>
      <c r="AL77" s="154"/>
    </row>
    <row r="78" spans="1:38" x14ac:dyDescent="0.25">
      <c r="A78" s="382">
        <v>128</v>
      </c>
      <c r="B78" s="118"/>
      <c r="C78" s="1"/>
      <c r="D78" s="121"/>
      <c r="E78" s="121"/>
      <c r="F78" s="121"/>
      <c r="G78" s="121"/>
      <c r="H78" s="118"/>
      <c r="I78" s="37"/>
      <c r="J78" s="118"/>
      <c r="K78" s="121"/>
      <c r="L78" s="121"/>
      <c r="M78" s="121"/>
      <c r="N78" s="121"/>
      <c r="O78" s="120"/>
      <c r="P78" s="172"/>
      <c r="Q78" s="37"/>
      <c r="R78" s="131"/>
      <c r="S78" s="118"/>
      <c r="T78" s="118"/>
      <c r="U78" s="1"/>
      <c r="V78" s="118"/>
      <c r="W78" s="57"/>
      <c r="X78" s="57"/>
      <c r="Y78" s="37"/>
      <c r="Z78" s="1"/>
      <c r="AA78" s="118"/>
      <c r="AB78" s="1"/>
      <c r="AC78" s="1"/>
      <c r="AD78" s="1"/>
      <c r="AE78" s="118"/>
      <c r="AF78" s="118"/>
      <c r="AG78" s="118"/>
      <c r="AH78" s="118"/>
      <c r="AI78" s="118"/>
      <c r="AJ78" s="37"/>
      <c r="AK78" s="38"/>
      <c r="AL78" s="176"/>
    </row>
    <row r="79" spans="1:38" x14ac:dyDescent="0.25">
      <c r="A79" s="382">
        <v>131</v>
      </c>
      <c r="B79" s="155"/>
      <c r="C79" s="135"/>
      <c r="D79" s="121"/>
      <c r="E79" s="121"/>
      <c r="F79" s="389"/>
      <c r="G79" s="121"/>
      <c r="H79" s="118"/>
      <c r="I79" s="37"/>
      <c r="J79" s="121"/>
      <c r="K79" s="118"/>
      <c r="L79" s="121"/>
      <c r="M79" s="121"/>
      <c r="N79" s="121"/>
      <c r="O79" s="121"/>
      <c r="P79" s="172"/>
      <c r="Q79" s="37"/>
      <c r="R79" s="131"/>
      <c r="S79" s="118"/>
      <c r="T79" s="390"/>
      <c r="U79" s="1"/>
      <c r="V79" s="118"/>
      <c r="W79" s="57"/>
      <c r="X79" s="57"/>
      <c r="Y79" s="37"/>
      <c r="Z79" s="118"/>
      <c r="AA79" s="118"/>
      <c r="AB79" s="1"/>
      <c r="AC79" s="1"/>
      <c r="AD79" s="387"/>
      <c r="AE79" s="193"/>
      <c r="AF79" s="118"/>
      <c r="AG79" s="118"/>
      <c r="AH79" s="118"/>
      <c r="AI79" s="118"/>
      <c r="AJ79" s="37"/>
      <c r="AK79" s="38"/>
      <c r="AL79" s="176"/>
    </row>
    <row r="80" spans="1:38" x14ac:dyDescent="0.25">
      <c r="A80" s="382">
        <v>132</v>
      </c>
      <c r="B80" s="12"/>
      <c r="C80" s="121"/>
      <c r="D80" s="121"/>
      <c r="E80" s="118"/>
      <c r="F80" s="121"/>
      <c r="G80" s="121"/>
      <c r="H80" s="121"/>
      <c r="I80" s="37"/>
      <c r="J80" s="390"/>
      <c r="K80" s="121"/>
      <c r="L80" s="121"/>
      <c r="M80" s="121"/>
      <c r="N80" s="121"/>
      <c r="O80" s="121"/>
      <c r="P80" s="172"/>
      <c r="Q80" s="37"/>
      <c r="R80" s="131"/>
      <c r="S80" s="118"/>
      <c r="T80" s="118"/>
      <c r="U80" s="1"/>
      <c r="V80" s="1"/>
      <c r="W80" s="57"/>
      <c r="X80" s="57"/>
      <c r="Y80" s="37"/>
      <c r="Z80" s="118"/>
      <c r="AA80" s="1"/>
      <c r="AB80" s="1"/>
      <c r="AC80" s="1"/>
      <c r="AD80" s="387"/>
      <c r="AE80" s="135"/>
      <c r="AF80" s="118"/>
      <c r="AG80" s="118"/>
      <c r="AH80" s="118"/>
      <c r="AI80" s="118"/>
      <c r="AJ80" s="37"/>
      <c r="AK80" s="38"/>
      <c r="AL80" s="176"/>
    </row>
    <row r="81" spans="1:38" x14ac:dyDescent="0.25">
      <c r="A81" s="382">
        <v>133</v>
      </c>
      <c r="B81" s="131"/>
      <c r="C81" s="131"/>
      <c r="D81" s="121"/>
      <c r="E81" s="121"/>
      <c r="F81" s="118"/>
      <c r="G81" s="118"/>
      <c r="H81" s="1"/>
      <c r="I81" s="37"/>
      <c r="J81" s="121"/>
      <c r="K81" s="118"/>
      <c r="L81" s="1"/>
      <c r="M81" s="121"/>
      <c r="N81" s="120"/>
      <c r="O81" s="120"/>
      <c r="P81" s="205"/>
      <c r="Q81" s="37"/>
      <c r="R81" s="131"/>
      <c r="S81" s="118"/>
      <c r="T81" s="118"/>
      <c r="U81" s="1"/>
      <c r="V81" s="118"/>
      <c r="W81" s="57"/>
      <c r="X81" s="57"/>
      <c r="Y81" s="37"/>
      <c r="Z81" s="118"/>
      <c r="AA81" s="118"/>
      <c r="AB81" s="1"/>
      <c r="AC81" s="1"/>
      <c r="AD81" s="1"/>
      <c r="AE81" s="387"/>
      <c r="AF81" s="193"/>
      <c r="AG81" s="118"/>
      <c r="AH81" s="118"/>
      <c r="AI81" s="118"/>
      <c r="AJ81" s="37"/>
      <c r="AK81" s="38"/>
      <c r="AL81" s="154"/>
    </row>
    <row r="82" spans="1:38" x14ac:dyDescent="0.25">
      <c r="A82" s="382">
        <v>134</v>
      </c>
      <c r="B82" s="155"/>
      <c r="C82" s="131"/>
      <c r="D82" s="12"/>
      <c r="E82" s="121"/>
      <c r="F82" s="118"/>
      <c r="G82" s="344"/>
      <c r="H82" s="118"/>
      <c r="I82" s="37"/>
      <c r="J82" s="118"/>
      <c r="K82" s="118"/>
      <c r="L82" s="121"/>
      <c r="M82" s="121"/>
      <c r="N82" s="118"/>
      <c r="O82" s="118"/>
      <c r="P82" s="172"/>
      <c r="Q82" s="37"/>
      <c r="R82" s="131"/>
      <c r="S82" s="118"/>
      <c r="T82" s="118"/>
      <c r="U82" s="1"/>
      <c r="V82" s="118"/>
      <c r="W82" s="57"/>
      <c r="X82" s="57"/>
      <c r="Y82" s="37"/>
      <c r="Z82" s="118"/>
      <c r="AA82" s="118"/>
      <c r="AB82" s="1"/>
      <c r="AC82" s="1"/>
      <c r="AD82" s="1"/>
      <c r="AE82" s="118"/>
      <c r="AF82" s="118"/>
      <c r="AG82" s="118"/>
      <c r="AH82" s="118"/>
      <c r="AI82" s="118"/>
      <c r="AJ82" s="37"/>
      <c r="AK82" s="38"/>
      <c r="AL82" s="176"/>
    </row>
    <row r="83" spans="1:38" x14ac:dyDescent="0.25">
      <c r="A83" s="382">
        <v>135</v>
      </c>
      <c r="B83" s="389"/>
      <c r="C83" s="155"/>
      <c r="D83" s="121"/>
      <c r="E83" s="1"/>
      <c r="F83" s="118"/>
      <c r="G83" s="121"/>
      <c r="H83" s="121"/>
      <c r="I83" s="37"/>
      <c r="J83" s="121"/>
      <c r="K83" s="121"/>
      <c r="L83" s="121"/>
      <c r="M83" s="121"/>
      <c r="N83" s="121"/>
      <c r="O83" s="121"/>
      <c r="P83" s="205"/>
      <c r="Q83" s="37"/>
      <c r="R83" s="131"/>
      <c r="S83" s="118"/>
      <c r="T83" s="118"/>
      <c r="U83" s="1"/>
      <c r="V83" s="118"/>
      <c r="W83" s="57"/>
      <c r="X83" s="57"/>
      <c r="Y83" s="37"/>
      <c r="Z83" s="118"/>
      <c r="AA83" s="118"/>
      <c r="AB83" s="1"/>
      <c r="AC83" s="1"/>
      <c r="AD83" s="1"/>
      <c r="AE83" s="173"/>
      <c r="AF83" s="118"/>
      <c r="AG83" s="118"/>
      <c r="AH83" s="118"/>
      <c r="AI83" s="118"/>
      <c r="AJ83" s="37"/>
      <c r="AK83" s="38"/>
      <c r="AL83" s="176"/>
    </row>
    <row r="84" spans="1:38" x14ac:dyDescent="0.25">
      <c r="A84" s="382">
        <v>136</v>
      </c>
      <c r="B84" s="131"/>
      <c r="C84" s="135"/>
      <c r="D84" s="131"/>
      <c r="E84" s="1"/>
      <c r="F84" s="389"/>
      <c r="G84" s="121"/>
      <c r="H84" s="121"/>
      <c r="I84" s="37"/>
      <c r="J84" s="121"/>
      <c r="K84" s="121"/>
      <c r="L84" s="390"/>
      <c r="M84" s="118"/>
      <c r="N84" s="118"/>
      <c r="O84" s="118"/>
      <c r="P84" s="172"/>
      <c r="Q84" s="37"/>
      <c r="R84" s="131"/>
      <c r="S84" s="118"/>
      <c r="T84" s="1"/>
      <c r="U84" s="1"/>
      <c r="V84" s="118"/>
      <c r="W84" s="57"/>
      <c r="X84" s="57"/>
      <c r="Y84" s="37"/>
      <c r="Z84" s="1"/>
      <c r="AA84" s="387"/>
      <c r="AB84" s="1"/>
      <c r="AC84" s="1"/>
      <c r="AD84" s="1"/>
      <c r="AE84" s="118"/>
      <c r="AF84" s="173"/>
      <c r="AG84" s="118"/>
      <c r="AH84" s="118"/>
      <c r="AI84" s="118"/>
      <c r="AJ84" s="37"/>
      <c r="AK84" s="38"/>
      <c r="AL84" s="176"/>
    </row>
    <row r="85" spans="1:38" x14ac:dyDescent="0.25">
      <c r="A85" s="382">
        <v>137</v>
      </c>
      <c r="B85" s="131"/>
      <c r="C85" s="392"/>
      <c r="D85" s="392"/>
      <c r="E85" s="121"/>
      <c r="F85" s="121"/>
      <c r="G85" s="121"/>
      <c r="H85" s="121"/>
      <c r="I85" s="37"/>
      <c r="J85" s="121"/>
      <c r="K85" s="118"/>
      <c r="L85" s="121"/>
      <c r="M85" s="121"/>
      <c r="N85" s="121"/>
      <c r="O85" s="118"/>
      <c r="P85" s="172"/>
      <c r="Q85" s="37"/>
      <c r="R85" s="155"/>
      <c r="S85" s="1"/>
      <c r="T85" s="1"/>
      <c r="U85" s="1"/>
      <c r="V85" s="118"/>
      <c r="W85" s="57"/>
      <c r="X85" s="390"/>
      <c r="Y85" s="37"/>
      <c r="Z85" s="118"/>
      <c r="AA85" s="1"/>
      <c r="AB85" s="1"/>
      <c r="AC85" s="1"/>
      <c r="AD85" s="1"/>
      <c r="AE85" s="118"/>
      <c r="AF85" s="1"/>
      <c r="AG85" s="118"/>
      <c r="AH85" s="118"/>
      <c r="AI85" s="118"/>
      <c r="AJ85" s="37"/>
      <c r="AK85" s="38"/>
      <c r="AL85" s="176"/>
    </row>
    <row r="86" spans="1:38" x14ac:dyDescent="0.25">
      <c r="A86" s="382">
        <v>138</v>
      </c>
      <c r="B86" s="131"/>
      <c r="C86" s="135"/>
      <c r="D86" s="121"/>
      <c r="E86" s="118"/>
      <c r="F86" s="118"/>
      <c r="G86" s="121"/>
      <c r="H86" s="1"/>
      <c r="I86" s="37"/>
      <c r="J86" s="121"/>
      <c r="K86" s="121"/>
      <c r="L86" s="121"/>
      <c r="M86" s="121"/>
      <c r="N86" s="121"/>
      <c r="O86" s="390"/>
      <c r="P86" s="391"/>
      <c r="Q86" s="37"/>
      <c r="R86" s="391"/>
      <c r="S86" s="390"/>
      <c r="T86" s="390"/>
      <c r="U86" s="390"/>
      <c r="V86" s="390"/>
      <c r="W86" s="390"/>
      <c r="X86" s="390"/>
      <c r="Y86" s="111"/>
      <c r="Z86" s="205"/>
      <c r="AA86" s="135"/>
      <c r="AB86" s="135"/>
      <c r="AC86" s="135"/>
      <c r="AD86" s="135"/>
      <c r="AE86" s="387"/>
      <c r="AF86" s="135"/>
      <c r="AG86" s="135"/>
      <c r="AH86" s="135"/>
      <c r="AI86" s="135"/>
      <c r="AJ86" s="37"/>
      <c r="AK86" s="38"/>
      <c r="AL86" s="176"/>
    </row>
    <row r="87" spans="1:38" x14ac:dyDescent="0.25">
      <c r="A87" s="382">
        <v>139</v>
      </c>
      <c r="B87" s="131"/>
      <c r="C87" s="135"/>
      <c r="D87" s="155"/>
      <c r="E87" s="118"/>
      <c r="F87" s="118"/>
      <c r="G87" s="121"/>
      <c r="H87" s="118"/>
      <c r="I87" s="37"/>
      <c r="J87" s="118"/>
      <c r="K87" s="118"/>
      <c r="L87" s="121"/>
      <c r="M87" s="121"/>
      <c r="N87" s="121"/>
      <c r="O87" s="118"/>
      <c r="P87" s="172"/>
      <c r="Q87" s="37"/>
      <c r="R87" s="131"/>
      <c r="S87" s="118"/>
      <c r="T87" s="118"/>
      <c r="U87" s="1"/>
      <c r="V87" s="118"/>
      <c r="W87" s="57"/>
      <c r="X87" s="57"/>
      <c r="Y87" s="37"/>
      <c r="Z87" s="118"/>
      <c r="AA87" s="118"/>
      <c r="AB87" s="1"/>
      <c r="AC87" s="1"/>
      <c r="AD87" s="1"/>
      <c r="AE87" s="118"/>
      <c r="AF87" s="1"/>
      <c r="AG87" s="118"/>
      <c r="AH87" s="118"/>
      <c r="AI87" s="118"/>
      <c r="AJ87" s="37"/>
      <c r="AK87" s="38"/>
      <c r="AL87" s="176"/>
    </row>
    <row r="88" spans="1:38" x14ac:dyDescent="0.25">
      <c r="A88" s="382">
        <v>140</v>
      </c>
      <c r="B88" s="155"/>
      <c r="C88" s="131"/>
      <c r="D88" s="121"/>
      <c r="E88" s="118"/>
      <c r="F88" s="121"/>
      <c r="G88" s="121"/>
      <c r="H88" s="118"/>
      <c r="I88" s="37"/>
      <c r="J88" s="118"/>
      <c r="K88" s="118"/>
      <c r="L88" s="118"/>
      <c r="M88" s="118"/>
      <c r="N88" s="118"/>
      <c r="O88" s="118"/>
      <c r="P88" s="172"/>
      <c r="Q88" s="37"/>
      <c r="R88" s="131"/>
      <c r="S88" s="118"/>
      <c r="T88" s="118"/>
      <c r="U88" s="1"/>
      <c r="V88" s="1"/>
      <c r="W88" s="57"/>
      <c r="X88" s="57"/>
      <c r="Y88" s="37"/>
      <c r="Z88" s="118"/>
      <c r="AA88" s="118"/>
      <c r="AB88" s="1"/>
      <c r="AC88" s="1"/>
      <c r="AD88" s="1"/>
      <c r="AE88" s="118"/>
      <c r="AF88" s="1"/>
      <c r="AG88" s="118"/>
      <c r="AH88" s="118"/>
      <c r="AI88" s="118"/>
      <c r="AJ88" s="37"/>
      <c r="AK88" s="38"/>
      <c r="AL88" s="172"/>
    </row>
    <row r="89" spans="1:38" x14ac:dyDescent="0.25">
      <c r="A89" s="382">
        <v>141</v>
      </c>
      <c r="B89" s="155"/>
      <c r="C89" s="392"/>
      <c r="D89" s="155"/>
      <c r="E89" s="121"/>
      <c r="F89" s="121"/>
      <c r="G89" s="121"/>
      <c r="H89" s="121"/>
      <c r="I89" s="37"/>
      <c r="J89" s="121"/>
      <c r="K89" s="121"/>
      <c r="L89" s="121"/>
      <c r="M89" s="121"/>
      <c r="N89" s="121"/>
      <c r="O89" s="121"/>
      <c r="P89" s="172"/>
      <c r="Q89" s="37"/>
      <c r="R89" s="131"/>
      <c r="S89" s="118"/>
      <c r="T89" s="118"/>
      <c r="U89" s="1"/>
      <c r="V89" s="1"/>
      <c r="W89" s="57"/>
      <c r="X89" s="57"/>
      <c r="Y89" s="37"/>
      <c r="Z89" s="1"/>
      <c r="AA89" s="118"/>
      <c r="AB89" s="1"/>
      <c r="AC89" s="1"/>
      <c r="AD89" s="1"/>
      <c r="AE89" s="118"/>
      <c r="AF89" s="118"/>
      <c r="AG89" s="118"/>
      <c r="AH89" s="118"/>
      <c r="AI89" s="118"/>
      <c r="AJ89" s="37"/>
      <c r="AK89" s="38"/>
      <c r="AL89" s="176"/>
    </row>
    <row r="90" spans="1:38" x14ac:dyDescent="0.25">
      <c r="A90" s="382">
        <v>142</v>
      </c>
      <c r="B90" s="131"/>
      <c r="C90" s="131"/>
      <c r="D90" s="121"/>
      <c r="E90" s="118"/>
      <c r="F90" s="118"/>
      <c r="G90" s="121"/>
      <c r="H90" s="1"/>
      <c r="I90" s="37"/>
      <c r="J90" s="121"/>
      <c r="K90" s="118"/>
      <c r="L90" s="118"/>
      <c r="M90" s="121"/>
      <c r="N90" s="118"/>
      <c r="O90" s="118"/>
      <c r="P90" s="172"/>
      <c r="Q90" s="37"/>
      <c r="R90" s="131"/>
      <c r="S90" s="118"/>
      <c r="T90" s="118"/>
      <c r="U90" s="1"/>
      <c r="V90" s="118"/>
      <c r="W90" s="57"/>
      <c r="X90" s="57"/>
      <c r="Y90" s="37"/>
      <c r="Z90" s="118"/>
      <c r="AA90" s="118"/>
      <c r="AB90" s="1"/>
      <c r="AC90" s="1"/>
      <c r="AD90" s="1"/>
      <c r="AE90" s="118"/>
      <c r="AF90" s="118"/>
      <c r="AG90" s="118"/>
      <c r="AH90" s="118"/>
      <c r="AI90" s="118"/>
      <c r="AJ90" s="37"/>
      <c r="AK90" s="38"/>
      <c r="AL90" s="154"/>
    </row>
    <row r="91" spans="1:38" x14ac:dyDescent="0.25">
      <c r="A91" s="382">
        <v>143</v>
      </c>
      <c r="B91" s="155"/>
      <c r="C91" s="155"/>
      <c r="D91" s="121"/>
      <c r="E91" s="121"/>
      <c r="F91" s="121"/>
      <c r="G91" s="121"/>
      <c r="H91" s="118"/>
      <c r="I91" s="37"/>
      <c r="J91" s="121"/>
      <c r="K91" s="121"/>
      <c r="L91" s="121"/>
      <c r="M91" s="121"/>
      <c r="N91" s="121"/>
      <c r="O91" s="121"/>
      <c r="P91" s="205"/>
      <c r="Q91" s="37"/>
      <c r="R91" s="131"/>
      <c r="S91" s="118"/>
      <c r="T91" s="118"/>
      <c r="U91" s="1"/>
      <c r="V91" s="1"/>
      <c r="W91" s="57"/>
      <c r="X91" s="57"/>
      <c r="Y91" s="37"/>
      <c r="Z91" s="118"/>
      <c r="AA91" s="118"/>
      <c r="AB91" s="1"/>
      <c r="AC91" s="1"/>
      <c r="AD91" s="1"/>
      <c r="AE91" s="118"/>
      <c r="AF91" s="118"/>
      <c r="AG91" s="118"/>
      <c r="AH91" s="118"/>
      <c r="AI91" s="118"/>
      <c r="AJ91" s="37"/>
      <c r="AK91" s="38"/>
      <c r="AL91" s="154"/>
    </row>
    <row r="92" spans="1:38" x14ac:dyDescent="0.25">
      <c r="A92" s="382">
        <v>144</v>
      </c>
      <c r="B92" s="12"/>
      <c r="C92" s="389"/>
      <c r="D92" s="121"/>
      <c r="E92" s="121"/>
      <c r="F92" s="118"/>
      <c r="G92" s="121"/>
      <c r="H92" s="121"/>
      <c r="I92" s="37"/>
      <c r="J92" s="121"/>
      <c r="K92" s="118"/>
      <c r="L92" s="121"/>
      <c r="M92" s="121"/>
      <c r="N92" s="121"/>
      <c r="O92" s="120"/>
      <c r="P92" s="172"/>
      <c r="Q92" s="37"/>
      <c r="R92" s="131"/>
      <c r="S92" s="118"/>
      <c r="T92" s="118"/>
      <c r="U92" s="1"/>
      <c r="V92" s="118"/>
      <c r="W92" s="57"/>
      <c r="X92" s="57"/>
      <c r="Y92" s="37"/>
      <c r="Z92" s="1"/>
      <c r="AA92" s="118"/>
      <c r="AB92" s="1"/>
      <c r="AC92" s="1"/>
      <c r="AD92" s="1"/>
      <c r="AE92" s="118"/>
      <c r="AF92" s="118"/>
      <c r="AG92" s="118"/>
      <c r="AH92" s="118"/>
      <c r="AI92" s="118"/>
      <c r="AJ92" s="37"/>
      <c r="AK92" s="38"/>
      <c r="AL92" s="176"/>
    </row>
    <row r="93" spans="1:38" x14ac:dyDescent="0.25">
      <c r="A93" s="382">
        <v>145</v>
      </c>
      <c r="B93" s="389"/>
      <c r="C93" s="155"/>
      <c r="D93" s="121"/>
      <c r="E93" s="121"/>
      <c r="F93" s="118"/>
      <c r="G93" s="121"/>
      <c r="H93" s="121"/>
      <c r="I93" s="37"/>
      <c r="J93" s="121"/>
      <c r="K93" s="121"/>
      <c r="L93" s="121"/>
      <c r="M93" s="121"/>
      <c r="N93" s="121"/>
      <c r="O93" s="121"/>
      <c r="P93" s="172"/>
      <c r="Q93" s="37"/>
      <c r="R93" s="131"/>
      <c r="S93" s="118"/>
      <c r="T93" s="118"/>
      <c r="U93" s="1"/>
      <c r="V93" s="161"/>
      <c r="W93" s="57"/>
      <c r="X93" s="57"/>
      <c r="Y93" s="37"/>
      <c r="Z93" s="118"/>
      <c r="AA93" s="1"/>
      <c r="AB93" s="1"/>
      <c r="AC93" s="1"/>
      <c r="AD93" s="1"/>
      <c r="AE93" s="118"/>
      <c r="AF93" s="118"/>
      <c r="AG93" s="118"/>
      <c r="AH93" s="118"/>
      <c r="AI93" s="118"/>
      <c r="AJ93" s="37"/>
      <c r="AK93" s="38"/>
      <c r="AL93" s="197"/>
    </row>
    <row r="94" spans="1:38" x14ac:dyDescent="0.25">
      <c r="A94" s="382">
        <v>147</v>
      </c>
      <c r="B94" s="121"/>
      <c r="C94" s="121"/>
      <c r="D94" s="121"/>
      <c r="E94" s="389"/>
      <c r="F94" s="121"/>
      <c r="G94" s="121"/>
      <c r="H94" s="121"/>
      <c r="I94" s="37"/>
      <c r="J94" s="121"/>
      <c r="K94" s="121"/>
      <c r="L94" s="121"/>
      <c r="M94" s="121"/>
      <c r="N94" s="121"/>
      <c r="O94" s="390"/>
      <c r="P94" s="391"/>
      <c r="Q94" s="37"/>
      <c r="R94" s="172"/>
      <c r="S94" s="118"/>
      <c r="T94" s="118"/>
      <c r="U94" s="1"/>
      <c r="V94" s="118"/>
      <c r="W94" s="57"/>
      <c r="X94" s="57"/>
      <c r="Y94" s="37"/>
      <c r="Z94" s="118"/>
      <c r="AA94" s="118"/>
      <c r="AB94" s="1"/>
      <c r="AC94" s="1"/>
      <c r="AD94" s="1"/>
      <c r="AE94" s="1"/>
      <c r="AF94" s="118"/>
      <c r="AG94" s="118"/>
      <c r="AH94" s="118"/>
      <c r="AI94" s="118"/>
      <c r="AJ94" s="37"/>
      <c r="AK94" s="38"/>
      <c r="AL94" s="197"/>
    </row>
    <row r="95" spans="1:38" x14ac:dyDescent="0.25">
      <c r="A95" s="382">
        <v>148</v>
      </c>
      <c r="B95" s="135"/>
      <c r="C95" s="131"/>
      <c r="D95" s="131"/>
      <c r="E95" s="121"/>
      <c r="F95" s="121"/>
      <c r="G95" s="121"/>
      <c r="H95" s="121"/>
      <c r="I95" s="37"/>
      <c r="J95" s="121"/>
      <c r="K95" s="121"/>
      <c r="L95" s="121"/>
      <c r="M95" s="390"/>
      <c r="N95" s="121"/>
      <c r="O95" s="121"/>
      <c r="P95" s="172"/>
      <c r="Q95" s="37"/>
      <c r="R95" s="131"/>
      <c r="S95" s="118"/>
      <c r="T95" s="118"/>
      <c r="U95" s="1"/>
      <c r="V95" s="118"/>
      <c r="W95" s="57"/>
      <c r="X95" s="57"/>
      <c r="Y95" s="37"/>
      <c r="Z95" s="118"/>
      <c r="AA95" s="118"/>
      <c r="AB95" s="1"/>
      <c r="AC95" s="1"/>
      <c r="AD95" s="1"/>
      <c r="AE95" s="118"/>
      <c r="AF95" s="118"/>
      <c r="AG95" s="118"/>
      <c r="AH95" s="118"/>
      <c r="AI95" s="118"/>
      <c r="AJ95" s="37"/>
      <c r="AK95" s="38"/>
      <c r="AL95" s="197"/>
    </row>
    <row r="96" spans="1:38" x14ac:dyDescent="0.25">
      <c r="A96" s="382">
        <v>149</v>
      </c>
      <c r="B96" s="155"/>
      <c r="C96" s="121"/>
      <c r="D96" s="121"/>
      <c r="E96" s="121"/>
      <c r="F96" s="1"/>
      <c r="G96" s="121"/>
      <c r="H96" s="121"/>
      <c r="I96" s="37"/>
      <c r="J96" s="121"/>
      <c r="K96" s="121"/>
      <c r="L96" s="121"/>
      <c r="M96" s="121"/>
      <c r="N96" s="121"/>
      <c r="O96" s="121"/>
      <c r="P96" s="172"/>
      <c r="Q96" s="37"/>
      <c r="R96" s="131"/>
      <c r="S96" s="1"/>
      <c r="T96" s="118"/>
      <c r="U96" s="1"/>
      <c r="V96" s="118"/>
      <c r="W96" s="57"/>
      <c r="X96" s="57"/>
      <c r="Y96" s="37"/>
      <c r="Z96" s="118"/>
      <c r="AA96" s="118"/>
      <c r="AB96" s="1"/>
      <c r="AC96" s="1"/>
      <c r="AD96" s="1"/>
      <c r="AE96" s="118"/>
      <c r="AF96" s="118"/>
      <c r="AG96" s="118"/>
      <c r="AH96" s="118"/>
      <c r="AI96" s="118"/>
      <c r="AJ96" s="37"/>
      <c r="AK96" s="38"/>
      <c r="AL96" s="197"/>
    </row>
    <row r="97" spans="1:38" x14ac:dyDescent="0.25">
      <c r="A97" s="382">
        <v>150</v>
      </c>
      <c r="B97" s="131"/>
      <c r="C97" s="135"/>
      <c r="D97" s="121"/>
      <c r="E97" s="121"/>
      <c r="F97" s="121"/>
      <c r="G97" s="121"/>
      <c r="H97" s="121"/>
      <c r="I97" s="37"/>
      <c r="J97" s="121"/>
      <c r="K97" s="121"/>
      <c r="L97" s="121"/>
      <c r="M97" s="118"/>
      <c r="N97" s="121"/>
      <c r="O97" s="121"/>
      <c r="P97" s="172"/>
      <c r="Q97" s="37"/>
      <c r="R97" s="131"/>
      <c r="S97" s="118"/>
      <c r="T97" s="118"/>
      <c r="U97" s="1"/>
      <c r="V97" s="118"/>
      <c r="W97" s="57"/>
      <c r="X97" s="57"/>
      <c r="Y97" s="37"/>
      <c r="Z97" s="118"/>
      <c r="AA97" s="118"/>
      <c r="AB97" s="1"/>
      <c r="AC97" s="1"/>
      <c r="AD97" s="387"/>
      <c r="AE97" s="193"/>
      <c r="AF97" s="118"/>
      <c r="AG97" s="118"/>
      <c r="AH97" s="118"/>
      <c r="AI97" s="118"/>
      <c r="AJ97" s="37"/>
      <c r="AK97" s="38"/>
      <c r="AL97" s="197"/>
    </row>
    <row r="98" spans="1:38" x14ac:dyDescent="0.25">
      <c r="A98" s="382">
        <v>151</v>
      </c>
      <c r="B98" s="135"/>
      <c r="C98" s="155"/>
      <c r="D98" s="121"/>
      <c r="E98" s="121"/>
      <c r="F98" s="121"/>
      <c r="G98" s="121"/>
      <c r="H98" s="121"/>
      <c r="I98" s="37"/>
      <c r="J98" s="121"/>
      <c r="K98" s="386"/>
      <c r="L98" s="121"/>
      <c r="M98" s="121"/>
      <c r="N98" s="121"/>
      <c r="O98" s="121"/>
      <c r="P98" s="172"/>
      <c r="Q98" s="37"/>
      <c r="R98" s="391"/>
      <c r="S98" s="155"/>
      <c r="T98" s="1"/>
      <c r="U98" s="1"/>
      <c r="V98" s="118"/>
      <c r="W98" s="57"/>
      <c r="X98" s="57"/>
      <c r="Y98" s="37"/>
      <c r="Z98" s="1"/>
      <c r="AA98" s="118"/>
      <c r="AB98" s="1"/>
      <c r="AC98" s="1"/>
      <c r="AD98" s="1"/>
      <c r="AE98" s="1"/>
      <c r="AF98" s="118"/>
      <c r="AG98" s="118"/>
      <c r="AH98" s="118"/>
      <c r="AI98" s="118"/>
      <c r="AJ98" s="37"/>
      <c r="AK98" s="38"/>
      <c r="AL98" s="197"/>
    </row>
    <row r="99" spans="1:38" x14ac:dyDescent="0.25">
      <c r="A99" s="382">
        <v>152</v>
      </c>
      <c r="B99" s="389"/>
      <c r="C99" s="389"/>
      <c r="D99" s="389"/>
      <c r="E99" s="389"/>
      <c r="F99" s="389"/>
      <c r="G99" s="389"/>
      <c r="H99" s="389"/>
      <c r="I99" s="111"/>
      <c r="J99" s="390"/>
      <c r="K99" s="386"/>
      <c r="L99" s="390"/>
      <c r="M99" s="390"/>
      <c r="N99" s="390"/>
      <c r="O99" s="390"/>
      <c r="P99" s="391"/>
      <c r="Q99" s="111"/>
      <c r="R99" s="391"/>
      <c r="S99" s="390"/>
      <c r="T99" s="390"/>
      <c r="U99" s="390"/>
      <c r="V99" s="389"/>
      <c r="W99" s="387"/>
      <c r="X99" s="387"/>
      <c r="Y99" s="111"/>
      <c r="Z99" s="387"/>
      <c r="AA99" s="387"/>
      <c r="AB99" s="387"/>
      <c r="AC99" s="387"/>
      <c r="AD99" s="387"/>
      <c r="AE99" s="387"/>
      <c r="AF99" s="387"/>
      <c r="AG99" s="387"/>
      <c r="AH99" s="387"/>
      <c r="AI99" s="387"/>
      <c r="AJ99" s="111"/>
      <c r="AK99" s="38"/>
      <c r="AL99" s="197"/>
    </row>
    <row r="100" spans="1:38" x14ac:dyDescent="0.25">
      <c r="A100" s="382">
        <v>153</v>
      </c>
      <c r="B100" s="12"/>
      <c r="C100" s="135"/>
      <c r="D100" s="131"/>
      <c r="E100" s="1"/>
      <c r="F100" s="118"/>
      <c r="G100" s="121"/>
      <c r="H100" s="1"/>
      <c r="I100" s="37"/>
      <c r="J100" s="1"/>
      <c r="K100" s="1"/>
      <c r="L100" s="121"/>
      <c r="M100" s="118"/>
      <c r="N100" s="118"/>
      <c r="O100" s="121"/>
      <c r="P100" s="172"/>
      <c r="Q100" s="37"/>
      <c r="R100" s="131"/>
      <c r="S100" s="118"/>
      <c r="T100" s="118"/>
      <c r="U100" s="1"/>
      <c r="V100" s="118"/>
      <c r="W100" s="57"/>
      <c r="X100" s="57"/>
      <c r="Y100" s="37"/>
      <c r="Z100" s="118"/>
      <c r="AA100" s="118"/>
      <c r="AB100" s="1"/>
      <c r="AC100" s="1"/>
      <c r="AD100" s="1"/>
      <c r="AE100" s="118"/>
      <c r="AF100" s="118"/>
      <c r="AG100" s="118"/>
      <c r="AH100" s="118"/>
      <c r="AI100" s="118"/>
      <c r="AJ100" s="37"/>
      <c r="AK100" s="38"/>
      <c r="AL100" s="197"/>
    </row>
    <row r="101" spans="1:38" x14ac:dyDescent="0.25">
      <c r="A101" s="382">
        <v>154</v>
      </c>
      <c r="B101" s="131"/>
      <c r="C101" s="389"/>
      <c r="D101" s="121"/>
      <c r="E101" s="121"/>
      <c r="F101" s="121"/>
      <c r="G101" s="121"/>
      <c r="H101" s="121"/>
      <c r="I101" s="37"/>
      <c r="J101" s="121"/>
      <c r="K101" s="121"/>
      <c r="L101" s="121"/>
      <c r="M101" s="121"/>
      <c r="N101" s="121"/>
      <c r="O101" s="121"/>
      <c r="P101" s="172"/>
      <c r="Q101" s="37"/>
      <c r="R101" s="131"/>
      <c r="S101" s="118"/>
      <c r="T101" s="118"/>
      <c r="U101" s="1"/>
      <c r="V101" s="118"/>
      <c r="W101" s="57"/>
      <c r="X101" s="57"/>
      <c r="Y101" s="37"/>
      <c r="Z101" s="118"/>
      <c r="AA101" s="118"/>
      <c r="AB101" s="1"/>
      <c r="AC101" s="1"/>
      <c r="AD101" s="1"/>
      <c r="AE101" s="118"/>
      <c r="AF101" s="118"/>
      <c r="AG101" s="118"/>
      <c r="AH101" s="118"/>
      <c r="AI101" s="118"/>
      <c r="AJ101" s="37"/>
      <c r="AK101" s="38"/>
      <c r="AL101" s="197"/>
    </row>
    <row r="102" spans="1:38" x14ac:dyDescent="0.25">
      <c r="A102" s="382">
        <v>155</v>
      </c>
      <c r="B102" s="131"/>
      <c r="C102" s="131"/>
      <c r="D102" s="121"/>
      <c r="E102" s="389"/>
      <c r="F102" s="121"/>
      <c r="G102" s="121"/>
      <c r="H102" s="121"/>
      <c r="I102" s="37"/>
      <c r="J102" s="121"/>
      <c r="K102" s="121"/>
      <c r="L102" s="121"/>
      <c r="M102" s="121"/>
      <c r="N102" s="121"/>
      <c r="O102" s="121"/>
      <c r="P102" s="172"/>
      <c r="Q102" s="37"/>
      <c r="R102" s="12"/>
      <c r="S102" s="118"/>
      <c r="T102" s="118"/>
      <c r="U102" s="1"/>
      <c r="V102" s="118"/>
      <c r="W102" s="57"/>
      <c r="X102" s="57"/>
      <c r="Y102" s="37"/>
      <c r="Z102" s="118"/>
      <c r="AA102" s="118"/>
      <c r="AB102" s="1"/>
      <c r="AC102" s="1"/>
      <c r="AD102" s="1"/>
      <c r="AE102" s="118"/>
      <c r="AF102" s="1"/>
      <c r="AG102" s="118"/>
      <c r="AH102" s="118"/>
      <c r="AI102" s="118"/>
      <c r="AJ102" s="37"/>
      <c r="AK102" s="38"/>
      <c r="AL102" s="197"/>
    </row>
    <row r="103" spans="1:38" x14ac:dyDescent="0.25">
      <c r="A103" s="382">
        <v>156</v>
      </c>
      <c r="B103" s="131"/>
      <c r="C103" s="121"/>
      <c r="D103" s="388"/>
      <c r="E103" s="118"/>
      <c r="F103" s="118"/>
      <c r="G103" s="121"/>
      <c r="H103" s="121"/>
      <c r="I103" s="37"/>
      <c r="J103" s="121"/>
      <c r="K103" s="121"/>
      <c r="L103" s="121"/>
      <c r="M103" s="121"/>
      <c r="N103" s="121"/>
      <c r="O103" s="121"/>
      <c r="P103" s="172"/>
      <c r="Q103" s="37"/>
      <c r="R103" s="155"/>
      <c r="S103" s="118"/>
      <c r="T103" s="1"/>
      <c r="U103" s="1"/>
      <c r="V103" s="118"/>
      <c r="W103" s="57"/>
      <c r="X103" s="57"/>
      <c r="Y103" s="37"/>
      <c r="Z103" s="118"/>
      <c r="AA103" s="118"/>
      <c r="AB103" s="1"/>
      <c r="AC103" s="1"/>
      <c r="AD103" s="1"/>
      <c r="AE103" s="118"/>
      <c r="AF103" s="118"/>
      <c r="AG103" s="118"/>
      <c r="AH103" s="118"/>
      <c r="AI103" s="118"/>
      <c r="AJ103" s="37"/>
      <c r="AK103" s="38"/>
      <c r="AL103" s="197"/>
    </row>
    <row r="104" spans="1:38" x14ac:dyDescent="0.25">
      <c r="A104" s="382">
        <v>157</v>
      </c>
      <c r="B104" s="131"/>
      <c r="C104" s="155"/>
      <c r="D104" s="131"/>
      <c r="E104" s="121"/>
      <c r="F104" s="118"/>
      <c r="G104" s="121"/>
      <c r="H104" s="1"/>
      <c r="I104" s="37"/>
      <c r="J104" s="118"/>
      <c r="K104" s="121"/>
      <c r="L104" s="118"/>
      <c r="M104" s="121"/>
      <c r="N104" s="118"/>
      <c r="O104" s="1"/>
      <c r="P104" s="172"/>
      <c r="Q104" s="37"/>
      <c r="R104" s="155"/>
      <c r="S104" s="118"/>
      <c r="T104" s="118"/>
      <c r="U104" s="390"/>
      <c r="V104" s="118"/>
      <c r="W104" s="57"/>
      <c r="X104" s="57"/>
      <c r="Y104" s="37"/>
      <c r="Z104" s="118"/>
      <c r="AA104" s="118"/>
      <c r="AB104" s="1"/>
      <c r="AC104" s="1"/>
      <c r="AD104" s="1"/>
      <c r="AE104" s="118"/>
      <c r="AF104" s="1"/>
      <c r="AG104" s="118"/>
      <c r="AH104" s="118"/>
      <c r="AI104" s="118"/>
      <c r="AJ104" s="37"/>
      <c r="AK104" s="38"/>
      <c r="AL104" s="197"/>
    </row>
    <row r="105" spans="1:38" x14ac:dyDescent="0.25">
      <c r="A105" s="382">
        <v>158</v>
      </c>
      <c r="B105" s="389"/>
      <c r="C105" s="392"/>
      <c r="D105" s="155"/>
      <c r="E105" s="1"/>
      <c r="F105" s="118"/>
      <c r="G105" s="121"/>
      <c r="H105" s="121"/>
      <c r="I105" s="37"/>
      <c r="J105" s="121"/>
      <c r="K105" s="121"/>
      <c r="L105" s="121"/>
      <c r="M105" s="121"/>
      <c r="N105" s="121"/>
      <c r="O105" s="120"/>
      <c r="P105" s="172"/>
      <c r="Q105" s="37"/>
      <c r="R105" s="131"/>
      <c r="S105" s="1"/>
      <c r="T105" s="118"/>
      <c r="U105" s="1"/>
      <c r="V105" s="118"/>
      <c r="W105" s="57"/>
      <c r="X105" s="57"/>
      <c r="Y105" s="37"/>
      <c r="Z105" s="118"/>
      <c r="AA105" s="387"/>
      <c r="AB105" s="1"/>
      <c r="AC105" s="1"/>
      <c r="AD105" s="1"/>
      <c r="AE105" s="118"/>
      <c r="AF105" s="118"/>
      <c r="AG105" s="118"/>
      <c r="AH105" s="118"/>
      <c r="AI105" s="118"/>
      <c r="AJ105" s="37"/>
      <c r="AK105" s="38"/>
      <c r="AL105" s="197"/>
    </row>
    <row r="106" spans="1:38" x14ac:dyDescent="0.25">
      <c r="A106" s="382">
        <v>159</v>
      </c>
      <c r="B106" s="131"/>
      <c r="C106" s="179"/>
      <c r="D106" s="121"/>
      <c r="E106" s="121"/>
      <c r="F106" s="118"/>
      <c r="G106" s="1"/>
      <c r="H106" s="121"/>
      <c r="I106" s="37"/>
      <c r="J106" s="121"/>
      <c r="K106" s="121"/>
      <c r="L106" s="121"/>
      <c r="M106" s="120"/>
      <c r="N106" s="121"/>
      <c r="O106" s="1"/>
      <c r="P106" s="172"/>
      <c r="Q106" s="37"/>
      <c r="R106" s="155"/>
      <c r="S106" s="1"/>
      <c r="T106" s="118"/>
      <c r="U106" s="1"/>
      <c r="V106" s="118"/>
      <c r="W106" s="57"/>
      <c r="X106" s="57"/>
      <c r="Y106" s="37"/>
      <c r="Z106" s="1"/>
      <c r="AA106" s="118"/>
      <c r="AB106" s="1"/>
      <c r="AC106" s="1"/>
      <c r="AD106" s="1"/>
      <c r="AE106" s="118"/>
      <c r="AF106" s="118"/>
      <c r="AG106" s="118"/>
      <c r="AH106" s="118"/>
      <c r="AI106" s="118"/>
      <c r="AJ106" s="37"/>
      <c r="AK106" s="38"/>
      <c r="AL106" s="197"/>
    </row>
    <row r="107" spans="1:38" x14ac:dyDescent="0.25">
      <c r="A107" s="382">
        <v>161</v>
      </c>
      <c r="B107" s="389"/>
      <c r="C107" s="389"/>
      <c r="D107" s="392"/>
      <c r="E107" s="389"/>
      <c r="F107" s="389"/>
      <c r="G107" s="389"/>
      <c r="H107" s="389"/>
      <c r="I107" s="111"/>
      <c r="J107" s="390"/>
      <c r="K107" s="121"/>
      <c r="L107" s="121"/>
      <c r="M107" s="121"/>
      <c r="N107" s="121"/>
      <c r="O107" s="121"/>
      <c r="P107" s="172"/>
      <c r="Q107" s="37"/>
      <c r="R107" s="131"/>
      <c r="S107" s="118"/>
      <c r="T107" s="118"/>
      <c r="U107" s="1"/>
      <c r="V107" s="118"/>
      <c r="W107" s="57"/>
      <c r="X107" s="57"/>
      <c r="Y107" s="37"/>
      <c r="Z107" s="118"/>
      <c r="AA107" s="118"/>
      <c r="AB107" s="1"/>
      <c r="AC107" s="1"/>
      <c r="AD107" s="1"/>
      <c r="AE107" s="118"/>
      <c r="AF107" s="118"/>
      <c r="AG107" s="118"/>
      <c r="AH107" s="118"/>
      <c r="AI107" s="118"/>
      <c r="AJ107" s="37"/>
      <c r="AK107" s="38"/>
      <c r="AL107" s="197"/>
    </row>
    <row r="108" spans="1:38" x14ac:dyDescent="0.25">
      <c r="A108" s="382">
        <v>162</v>
      </c>
      <c r="B108" s="131"/>
      <c r="C108" s="121"/>
      <c r="D108" s="121"/>
      <c r="E108" s="1"/>
      <c r="F108" s="118"/>
      <c r="G108" s="1"/>
      <c r="H108" s="121"/>
      <c r="I108" s="37"/>
      <c r="J108" s="121"/>
      <c r="K108" s="1"/>
      <c r="L108" s="121"/>
      <c r="M108" s="121"/>
      <c r="N108" s="121"/>
      <c r="O108" s="1"/>
      <c r="P108" s="172"/>
      <c r="Q108" s="37"/>
      <c r="R108" s="131"/>
      <c r="S108" s="118"/>
      <c r="T108" s="118"/>
      <c r="U108" s="1"/>
      <c r="V108" s="118"/>
      <c r="W108" s="57"/>
      <c r="X108" s="57"/>
      <c r="Y108" s="37"/>
      <c r="Z108" s="118"/>
      <c r="AA108" s="118"/>
      <c r="AB108" s="1"/>
      <c r="AC108" s="1"/>
      <c r="AD108" s="1"/>
      <c r="AE108" s="118"/>
      <c r="AF108" s="118"/>
      <c r="AG108" s="118"/>
      <c r="AH108" s="118"/>
      <c r="AI108" s="118"/>
      <c r="AJ108" s="37"/>
      <c r="AK108" s="38"/>
      <c r="AL108" s="197"/>
    </row>
    <row r="109" spans="1:38" x14ac:dyDescent="0.25">
      <c r="A109" s="382">
        <v>163</v>
      </c>
      <c r="B109" s="155"/>
      <c r="C109" s="155"/>
      <c r="D109" s="121"/>
      <c r="E109" s="121"/>
      <c r="F109" s="121"/>
      <c r="G109" s="121"/>
      <c r="H109" s="121"/>
      <c r="I109" s="37"/>
      <c r="J109" s="121"/>
      <c r="K109" s="121"/>
      <c r="L109" s="390"/>
      <c r="M109" s="390"/>
      <c r="N109" s="390"/>
      <c r="O109" s="390"/>
      <c r="P109" s="390"/>
      <c r="Q109" s="37"/>
      <c r="R109" s="205"/>
      <c r="S109" s="118"/>
      <c r="T109" s="118"/>
      <c r="U109" s="1"/>
      <c r="V109" s="118"/>
      <c r="W109" s="57"/>
      <c r="X109" s="57"/>
      <c r="Y109" s="37"/>
      <c r="Z109" s="118"/>
      <c r="AA109" s="118"/>
      <c r="AB109" s="1"/>
      <c r="AC109" s="1"/>
      <c r="AD109" s="1"/>
      <c r="AE109" s="118"/>
      <c r="AF109" s="118"/>
      <c r="AG109" s="118"/>
      <c r="AH109" s="118"/>
      <c r="AI109" s="118"/>
      <c r="AJ109" s="37"/>
      <c r="AK109" s="38"/>
      <c r="AL109" s="197"/>
    </row>
    <row r="110" spans="1:38" x14ac:dyDescent="0.25">
      <c r="A110" s="382">
        <v>164</v>
      </c>
      <c r="B110" s="131"/>
      <c r="C110" s="121"/>
      <c r="D110" s="390"/>
      <c r="E110" s="118"/>
      <c r="F110" s="121"/>
      <c r="G110" s="121"/>
      <c r="H110" s="1"/>
      <c r="I110" s="37"/>
      <c r="J110" s="121"/>
      <c r="K110" s="121"/>
      <c r="L110" s="121"/>
      <c r="M110" s="121"/>
      <c r="N110" s="121"/>
      <c r="O110" s="121"/>
      <c r="P110" s="172"/>
      <c r="Q110" s="37"/>
      <c r="R110" s="131"/>
      <c r="S110" s="118"/>
      <c r="T110" s="118"/>
      <c r="U110" s="1"/>
      <c r="V110" s="118"/>
      <c r="W110" s="57"/>
      <c r="X110" s="57"/>
      <c r="Y110" s="37"/>
      <c r="Z110" s="118"/>
      <c r="AA110" s="118"/>
      <c r="AB110" s="1"/>
      <c r="AC110" s="1"/>
      <c r="AD110" s="1"/>
      <c r="AE110" s="118"/>
      <c r="AF110" s="118"/>
      <c r="AG110" s="118"/>
      <c r="AH110" s="118"/>
      <c r="AI110" s="118"/>
      <c r="AJ110" s="37"/>
      <c r="AK110" s="38"/>
      <c r="AL110" s="197"/>
    </row>
    <row r="111" spans="1:38" x14ac:dyDescent="0.25">
      <c r="A111" s="382">
        <v>165</v>
      </c>
      <c r="B111" s="155"/>
      <c r="C111" s="390"/>
      <c r="D111" s="121"/>
      <c r="E111" s="118"/>
      <c r="F111" s="121"/>
      <c r="G111" s="121"/>
      <c r="H111" s="121"/>
      <c r="I111" s="37"/>
      <c r="J111" s="390"/>
      <c r="K111" s="121"/>
      <c r="L111" s="121"/>
      <c r="M111" s="121"/>
      <c r="N111" s="121"/>
      <c r="O111" s="120"/>
      <c r="P111" s="172"/>
      <c r="Q111" s="37"/>
      <c r="R111" s="131"/>
      <c r="S111" s="118"/>
      <c r="T111" s="118"/>
      <c r="U111" s="1"/>
      <c r="V111" s="118"/>
      <c r="W111" s="57"/>
      <c r="X111" s="57"/>
      <c r="Y111" s="37"/>
      <c r="Z111" s="118"/>
      <c r="AA111" s="118"/>
      <c r="AB111" s="1"/>
      <c r="AC111" s="1"/>
      <c r="AD111" s="1"/>
      <c r="AE111" s="118"/>
      <c r="AF111" s="118"/>
      <c r="AG111" s="118"/>
      <c r="AH111" s="118"/>
      <c r="AI111" s="118"/>
      <c r="AJ111" s="37"/>
      <c r="AK111" s="38"/>
      <c r="AL111" s="197"/>
    </row>
    <row r="112" spans="1:38" x14ac:dyDescent="0.25">
      <c r="A112" s="382">
        <v>166</v>
      </c>
      <c r="B112" s="135"/>
      <c r="C112" s="135"/>
      <c r="D112" s="121"/>
      <c r="E112" s="121"/>
      <c r="F112" s="121"/>
      <c r="G112" s="1"/>
      <c r="H112" s="1"/>
      <c r="I112" s="37"/>
      <c r="J112" s="121"/>
      <c r="K112" s="1"/>
      <c r="L112" s="336"/>
      <c r="M112" s="121"/>
      <c r="N112" s="118"/>
      <c r="O112" s="120"/>
      <c r="P112" s="172"/>
      <c r="Q112" s="37"/>
      <c r="R112" s="131"/>
      <c r="S112" s="118"/>
      <c r="T112" s="118"/>
      <c r="U112" s="1"/>
      <c r="V112" s="118"/>
      <c r="W112" s="57"/>
      <c r="X112" s="57"/>
      <c r="Y112" s="37"/>
      <c r="Z112" s="118"/>
      <c r="AA112" s="118"/>
      <c r="AB112" s="1"/>
      <c r="AC112" s="1"/>
      <c r="AD112" s="1"/>
      <c r="AE112" s="118"/>
      <c r="AF112" s="1"/>
      <c r="AG112" s="118"/>
      <c r="AH112" s="118"/>
      <c r="AI112" s="118"/>
      <c r="AJ112" s="37"/>
      <c r="AK112" s="38"/>
      <c r="AL112" s="197"/>
    </row>
    <row r="113" spans="1:38" x14ac:dyDescent="0.25">
      <c r="A113" s="382">
        <v>167</v>
      </c>
      <c r="B113" s="155"/>
      <c r="C113" s="155"/>
      <c r="D113" s="121"/>
      <c r="E113" s="121"/>
      <c r="F113" s="390"/>
      <c r="G113" s="121"/>
      <c r="H113" s="121"/>
      <c r="I113" s="37"/>
      <c r="J113" s="121"/>
      <c r="K113" s="121"/>
      <c r="L113" s="121"/>
      <c r="M113" s="118"/>
      <c r="N113" s="120"/>
      <c r="O113" s="121"/>
      <c r="P113" s="172"/>
      <c r="Q113" s="37"/>
      <c r="R113" s="131"/>
      <c r="S113" s="118"/>
      <c r="T113" s="118"/>
      <c r="U113" s="1"/>
      <c r="V113" s="118"/>
      <c r="W113" s="57"/>
      <c r="X113" s="57"/>
      <c r="Y113" s="37"/>
      <c r="Z113" s="118"/>
      <c r="AA113" s="118"/>
      <c r="AB113" s="1"/>
      <c r="AC113" s="1"/>
      <c r="AD113" s="1"/>
      <c r="AE113" s="118"/>
      <c r="AF113" s="118"/>
      <c r="AG113" s="118"/>
      <c r="AH113" s="118"/>
      <c r="AI113" s="118"/>
      <c r="AJ113" s="37"/>
      <c r="AK113" s="38"/>
      <c r="AL113" s="197"/>
    </row>
    <row r="114" spans="1:38" x14ac:dyDescent="0.25">
      <c r="A114" s="382">
        <v>168</v>
      </c>
      <c r="B114" s="131"/>
      <c r="C114" s="390"/>
      <c r="D114" s="121"/>
      <c r="E114" s="121"/>
      <c r="F114" s="121"/>
      <c r="G114" s="121"/>
      <c r="H114" s="1"/>
      <c r="I114" s="37"/>
      <c r="J114" s="121"/>
      <c r="K114" s="121"/>
      <c r="L114" s="155"/>
      <c r="M114" s="118"/>
      <c r="N114" s="118"/>
      <c r="O114" s="120"/>
      <c r="P114" s="172"/>
      <c r="Q114" s="37"/>
      <c r="R114" s="131"/>
      <c r="S114" s="118"/>
      <c r="T114" s="118"/>
      <c r="U114" s="1"/>
      <c r="V114" s="118"/>
      <c r="W114" s="57"/>
      <c r="X114" s="57"/>
      <c r="Y114" s="37"/>
      <c r="Z114" s="118"/>
      <c r="AA114" s="1"/>
      <c r="AB114" s="1"/>
      <c r="AC114" s="1"/>
      <c r="AD114" s="1"/>
      <c r="AE114" s="118"/>
      <c r="AF114" s="118"/>
      <c r="AG114" s="118"/>
      <c r="AH114" s="118"/>
      <c r="AI114" s="118"/>
      <c r="AJ114" s="37"/>
      <c r="AK114" s="38"/>
      <c r="AL114" s="197"/>
    </row>
    <row r="115" spans="1:38" x14ac:dyDescent="0.25">
      <c r="A115" s="382">
        <v>169</v>
      </c>
      <c r="B115" s="12"/>
      <c r="C115" s="155"/>
      <c r="D115" s="121"/>
      <c r="E115" s="118"/>
      <c r="F115" s="121"/>
      <c r="G115" s="1"/>
      <c r="H115" s="1"/>
      <c r="I115" s="37"/>
      <c r="J115" s="121"/>
      <c r="K115" s="118"/>
      <c r="L115" s="118"/>
      <c r="M115" s="121"/>
      <c r="N115" s="1"/>
      <c r="O115" s="118"/>
      <c r="P115" s="172"/>
      <c r="Q115" s="37"/>
      <c r="R115" s="131"/>
      <c r="S115" s="118"/>
      <c r="T115" s="118"/>
      <c r="U115" s="1"/>
      <c r="V115" s="118"/>
      <c r="W115" s="57"/>
      <c r="X115" s="57"/>
      <c r="Y115" s="37"/>
      <c r="Z115" s="1"/>
      <c r="AA115" s="118"/>
      <c r="AB115" s="1"/>
      <c r="AC115" s="1"/>
      <c r="AD115" s="1"/>
      <c r="AE115" s="118"/>
      <c r="AF115" s="1"/>
      <c r="AG115" s="118"/>
      <c r="AH115" s="118"/>
      <c r="AI115" s="118"/>
      <c r="AJ115" s="37"/>
      <c r="AK115" s="38"/>
      <c r="AL115" s="197"/>
    </row>
    <row r="116" spans="1:38" x14ac:dyDescent="0.25">
      <c r="A116" s="382">
        <v>170</v>
      </c>
      <c r="B116" s="155"/>
      <c r="C116" s="121"/>
      <c r="D116" s="121"/>
      <c r="E116" s="121"/>
      <c r="F116" s="121"/>
      <c r="G116" s="121"/>
      <c r="H116" s="121"/>
      <c r="I116" s="37"/>
      <c r="J116" s="121"/>
      <c r="K116" s="121"/>
      <c r="L116" s="390"/>
      <c r="M116" s="121"/>
      <c r="N116" s="121"/>
      <c r="O116" s="121"/>
      <c r="P116" s="172"/>
      <c r="Q116" s="37"/>
      <c r="R116" s="131"/>
      <c r="S116" s="118"/>
      <c r="T116" s="118"/>
      <c r="U116" s="1"/>
      <c r="V116" s="1"/>
      <c r="W116" s="57"/>
      <c r="X116" s="57"/>
      <c r="Y116" s="37"/>
      <c r="Z116" s="118"/>
      <c r="AA116" s="118"/>
      <c r="AB116" s="1"/>
      <c r="AC116" s="1"/>
      <c r="AD116" s="1"/>
      <c r="AE116" s="118"/>
      <c r="AF116" s="387"/>
      <c r="AG116" s="118"/>
      <c r="AH116" s="118"/>
      <c r="AI116" s="118"/>
      <c r="AJ116" s="37"/>
      <c r="AK116" s="38"/>
      <c r="AL116" s="197"/>
    </row>
    <row r="117" spans="1:38" x14ac:dyDescent="0.25">
      <c r="A117" s="382">
        <v>171</v>
      </c>
      <c r="B117" s="390"/>
      <c r="C117" s="121"/>
      <c r="D117" s="155"/>
      <c r="E117" s="1"/>
      <c r="F117" s="118"/>
      <c r="G117" s="121"/>
      <c r="H117" s="121"/>
      <c r="I117" s="37"/>
      <c r="J117" s="121"/>
      <c r="K117" s="121"/>
      <c r="L117" s="121"/>
      <c r="M117" s="121"/>
      <c r="N117" s="121"/>
      <c r="O117" s="121"/>
      <c r="P117" s="172"/>
      <c r="Q117" s="37"/>
      <c r="R117" s="12"/>
      <c r="S117" s="118"/>
      <c r="T117" s="118"/>
      <c r="U117" s="1"/>
      <c r="V117" s="131"/>
      <c r="W117" s="57"/>
      <c r="X117" s="57"/>
      <c r="Y117" s="37"/>
      <c r="Z117" s="118"/>
      <c r="AA117" s="118"/>
      <c r="AB117" s="1"/>
      <c r="AC117" s="1"/>
      <c r="AD117" s="1"/>
      <c r="AE117" s="118"/>
      <c r="AF117" s="118"/>
      <c r="AG117" s="118"/>
      <c r="AH117" s="118"/>
      <c r="AI117" s="118"/>
      <c r="AJ117" s="37"/>
      <c r="AK117" s="38"/>
      <c r="AL117" s="197"/>
    </row>
    <row r="118" spans="1:38" x14ac:dyDescent="0.25">
      <c r="A118" s="382">
        <v>172</v>
      </c>
      <c r="B118" s="390"/>
      <c r="C118" s="390"/>
      <c r="D118" s="390"/>
      <c r="E118" s="390"/>
      <c r="F118" s="390"/>
      <c r="G118" s="390"/>
      <c r="H118" s="390"/>
      <c r="I118" s="111"/>
      <c r="J118" s="121"/>
      <c r="K118" s="118"/>
      <c r="L118" s="390"/>
      <c r="M118" s="390"/>
      <c r="N118" s="390"/>
      <c r="O118" s="118"/>
      <c r="P118" s="390"/>
      <c r="Q118" s="37"/>
      <c r="R118" s="390"/>
      <c r="S118" s="390"/>
      <c r="T118" s="390"/>
      <c r="U118" s="390"/>
      <c r="V118" s="389"/>
      <c r="W118" s="205"/>
      <c r="X118" s="387"/>
      <c r="Y118" s="37"/>
      <c r="Z118" s="118"/>
      <c r="AA118" s="387"/>
      <c r="AB118" s="387"/>
      <c r="AC118" s="387"/>
      <c r="AD118" s="387"/>
      <c r="AE118" s="387"/>
      <c r="AF118" s="387"/>
      <c r="AG118" s="118"/>
      <c r="AH118" s="118"/>
      <c r="AI118" s="118"/>
      <c r="AJ118" s="37"/>
      <c r="AK118" s="38"/>
      <c r="AL118" s="197"/>
    </row>
    <row r="119" spans="1:38" x14ac:dyDescent="0.25">
      <c r="A119" s="382">
        <v>173</v>
      </c>
      <c r="B119" s="390"/>
      <c r="C119" s="390"/>
      <c r="D119" s="390"/>
      <c r="E119" s="390"/>
      <c r="F119" s="390"/>
      <c r="G119" s="390"/>
      <c r="H119" s="390"/>
      <c r="I119" s="111"/>
      <c r="J119" s="390"/>
      <c r="K119" s="390"/>
      <c r="L119" s="390"/>
      <c r="M119" s="390"/>
      <c r="N119" s="390"/>
      <c r="O119" s="390"/>
      <c r="P119" s="390"/>
      <c r="Q119" s="111"/>
      <c r="R119" s="390"/>
      <c r="S119" s="390"/>
      <c r="T119" s="390"/>
      <c r="U119" s="203"/>
      <c r="V119" s="390"/>
      <c r="W119" s="390"/>
      <c r="X119" s="390"/>
      <c r="Y119" s="37"/>
      <c r="Z119" s="387"/>
      <c r="AA119" s="387"/>
      <c r="AB119" s="387"/>
      <c r="AC119" s="387"/>
      <c r="AD119" s="387"/>
      <c r="AE119" s="387"/>
      <c r="AF119" s="387"/>
      <c r="AG119" s="387"/>
      <c r="AH119" s="387"/>
      <c r="AI119" s="387"/>
      <c r="AJ119" s="111"/>
      <c r="AK119" s="38"/>
      <c r="AL119" s="197"/>
    </row>
    <row r="120" spans="1:38" x14ac:dyDescent="0.25">
      <c r="A120" s="385">
        <v>174</v>
      </c>
      <c r="B120" s="131"/>
      <c r="C120" s="131"/>
      <c r="D120" s="155"/>
      <c r="E120" s="1"/>
      <c r="F120" s="121"/>
      <c r="G120" s="118"/>
      <c r="H120" s="118"/>
      <c r="I120" s="37"/>
      <c r="J120" s="118"/>
      <c r="K120" s="118"/>
      <c r="L120" s="121"/>
      <c r="M120" s="118"/>
      <c r="N120" s="118"/>
      <c r="O120" s="118"/>
      <c r="P120" s="172"/>
      <c r="Q120" s="37"/>
      <c r="R120" s="12"/>
      <c r="S120" s="118"/>
      <c r="T120" s="118"/>
      <c r="U120" s="1"/>
      <c r="V120" s="118"/>
      <c r="W120" s="57"/>
      <c r="X120" s="57"/>
      <c r="Y120" s="37"/>
      <c r="Z120" s="118"/>
      <c r="AA120" s="118"/>
      <c r="AB120" s="1"/>
      <c r="AC120" s="1"/>
      <c r="AD120" s="1"/>
      <c r="AE120" s="118"/>
      <c r="AF120" s="118"/>
      <c r="AG120" s="118"/>
      <c r="AH120" s="118"/>
      <c r="AI120" s="118"/>
      <c r="AJ120" s="37"/>
      <c r="AK120" s="38"/>
      <c r="AL120" s="176"/>
    </row>
    <row r="121" spans="1:38" x14ac:dyDescent="0.25">
      <c r="A121" s="385">
        <v>175</v>
      </c>
      <c r="B121" s="155"/>
      <c r="C121" s="131"/>
      <c r="D121" s="12"/>
      <c r="E121" s="121"/>
      <c r="F121" s="120"/>
      <c r="G121" s="121"/>
      <c r="H121" s="121"/>
      <c r="I121" s="37"/>
      <c r="J121" s="121"/>
      <c r="K121" s="121"/>
      <c r="L121" s="121"/>
      <c r="M121" s="121"/>
      <c r="N121" s="121"/>
      <c r="O121" s="120"/>
      <c r="P121" s="205"/>
      <c r="Q121" s="37"/>
      <c r="R121" s="131"/>
      <c r="S121" s="118"/>
      <c r="T121" s="118"/>
      <c r="U121" s="1"/>
      <c r="V121" s="118"/>
      <c r="W121" s="57"/>
      <c r="X121" s="57"/>
      <c r="Y121" s="37"/>
      <c r="Z121" s="118"/>
      <c r="AA121" s="118"/>
      <c r="AB121" s="1"/>
      <c r="AC121" s="1"/>
      <c r="AD121" s="1"/>
      <c r="AE121" s="118"/>
      <c r="AF121" s="118"/>
      <c r="AG121" s="118"/>
      <c r="AH121" s="118"/>
      <c r="AI121" s="118"/>
      <c r="AJ121" s="37"/>
      <c r="AK121" s="38"/>
      <c r="AL121" s="197"/>
    </row>
    <row r="122" spans="1:38" x14ac:dyDescent="0.25">
      <c r="A122" s="385">
        <v>176</v>
      </c>
      <c r="B122" s="390"/>
      <c r="C122" s="390"/>
      <c r="D122" s="390"/>
      <c r="E122" s="390"/>
      <c r="F122" s="390"/>
      <c r="G122" s="390"/>
      <c r="H122" s="390"/>
      <c r="I122" s="111"/>
      <c r="J122" s="390"/>
      <c r="K122" s="390"/>
      <c r="L122" s="390"/>
      <c r="M122" s="390"/>
      <c r="N122" s="390"/>
      <c r="O122" s="390"/>
      <c r="P122" s="390"/>
      <c r="Q122" s="111"/>
      <c r="R122" s="390"/>
      <c r="S122" s="390"/>
      <c r="T122" s="390"/>
      <c r="U122" s="390"/>
      <c r="V122" s="389"/>
      <c r="W122" s="387"/>
      <c r="X122" s="387"/>
      <c r="Y122" s="111"/>
      <c r="Z122" s="387"/>
      <c r="AA122" s="387"/>
      <c r="AB122" s="387"/>
      <c r="AC122" s="387"/>
      <c r="AD122" s="387"/>
      <c r="AE122" s="387"/>
      <c r="AF122" s="387"/>
      <c r="AG122" s="387"/>
      <c r="AH122" s="387"/>
      <c r="AI122" s="387"/>
      <c r="AJ122" s="114"/>
      <c r="AK122" s="44"/>
      <c r="AL122" s="197"/>
    </row>
    <row r="123" spans="1:38" x14ac:dyDescent="0.25">
      <c r="A123" s="385">
        <v>177</v>
      </c>
      <c r="B123" s="390"/>
      <c r="C123" s="155"/>
      <c r="D123" s="131"/>
      <c r="E123" s="118"/>
      <c r="F123" s="118"/>
      <c r="G123" s="118"/>
      <c r="H123" s="118"/>
      <c r="I123" s="37"/>
      <c r="J123" s="120"/>
      <c r="K123" s="118"/>
      <c r="L123" s="1"/>
      <c r="M123" s="118"/>
      <c r="N123" s="118"/>
      <c r="O123" s="118"/>
      <c r="P123" s="172"/>
      <c r="Q123" s="37"/>
      <c r="R123" s="131"/>
      <c r="S123" s="118"/>
      <c r="T123" s="118"/>
      <c r="U123" s="1"/>
      <c r="V123" s="118"/>
      <c r="W123" s="57"/>
      <c r="X123" s="57"/>
      <c r="Y123" s="37"/>
      <c r="Z123" s="387"/>
      <c r="AA123" s="118"/>
      <c r="AB123" s="1"/>
      <c r="AC123" s="1"/>
      <c r="AD123" s="1"/>
      <c r="AE123" s="387"/>
      <c r="AF123" s="118"/>
      <c r="AG123" s="118"/>
      <c r="AH123" s="118"/>
      <c r="AI123" s="118"/>
      <c r="AJ123" s="47"/>
      <c r="AK123" s="48"/>
      <c r="AL123" s="197"/>
    </row>
    <row r="124" spans="1:38" x14ac:dyDescent="0.25">
      <c r="A124" s="385">
        <v>178</v>
      </c>
      <c r="B124" s="390"/>
      <c r="C124" s="155"/>
      <c r="D124" s="121"/>
      <c r="E124" s="121"/>
      <c r="F124" s="121"/>
      <c r="G124" s="121"/>
      <c r="H124" s="121"/>
      <c r="I124" s="37"/>
      <c r="J124" s="121"/>
      <c r="K124" s="118"/>
      <c r="L124" s="161"/>
      <c r="M124" s="121"/>
      <c r="N124" s="121"/>
      <c r="O124" s="120"/>
      <c r="P124" s="205"/>
      <c r="Q124" s="37"/>
      <c r="R124" s="131"/>
      <c r="S124" s="118"/>
      <c r="T124" s="118"/>
      <c r="U124" s="1"/>
      <c r="V124" s="1"/>
      <c r="W124" s="57"/>
      <c r="X124" s="57"/>
      <c r="Y124" s="37"/>
      <c r="Z124" s="118"/>
      <c r="AA124" s="1"/>
      <c r="AB124" s="1"/>
      <c r="AC124" s="1"/>
      <c r="AD124" s="1"/>
      <c r="AE124" s="118"/>
      <c r="AF124" s="118"/>
      <c r="AG124" s="118"/>
      <c r="AH124" s="118"/>
      <c r="AI124" s="118"/>
      <c r="AJ124" s="49"/>
      <c r="AK124" s="48"/>
      <c r="AL124" s="197"/>
    </row>
    <row r="125" spans="1:38" x14ac:dyDescent="0.25">
      <c r="A125" s="385">
        <v>179</v>
      </c>
      <c r="B125" s="390"/>
      <c r="C125" s="155"/>
      <c r="D125" s="390"/>
      <c r="E125" s="1"/>
      <c r="F125" s="390"/>
      <c r="G125" s="390"/>
      <c r="H125" s="118"/>
      <c r="I125" s="37"/>
      <c r="J125" s="118"/>
      <c r="K125" s="118"/>
      <c r="L125" s="118"/>
      <c r="M125" s="121"/>
      <c r="N125" s="1"/>
      <c r="O125" s="118"/>
      <c r="P125" s="172"/>
      <c r="Q125" s="37"/>
      <c r="R125" s="131"/>
      <c r="S125" s="118"/>
      <c r="T125" s="118"/>
      <c r="U125" s="1"/>
      <c r="V125" s="118"/>
      <c r="W125" s="57"/>
      <c r="X125" s="57"/>
      <c r="Y125" s="37"/>
      <c r="Z125" s="118"/>
      <c r="AA125" s="118"/>
      <c r="AB125" s="1"/>
      <c r="AC125" s="1"/>
      <c r="AD125" s="1"/>
      <c r="AE125" s="118"/>
      <c r="AF125" s="118"/>
      <c r="AG125" s="118"/>
      <c r="AH125" s="118"/>
      <c r="AI125" s="118"/>
      <c r="AJ125" s="36"/>
      <c r="AK125" s="14"/>
      <c r="AL125" s="197"/>
    </row>
    <row r="126" spans="1:38" x14ac:dyDescent="0.25">
      <c r="A126" s="385">
        <v>180</v>
      </c>
      <c r="B126" s="390"/>
      <c r="C126" s="390"/>
      <c r="D126" s="390"/>
      <c r="E126" s="390"/>
      <c r="F126" s="390"/>
      <c r="G126" s="118"/>
      <c r="H126" s="390"/>
      <c r="I126" s="37"/>
      <c r="J126" s="118"/>
      <c r="K126" s="390"/>
      <c r="L126" s="390"/>
      <c r="M126" s="390"/>
      <c r="N126" s="390"/>
      <c r="O126" s="390"/>
      <c r="P126" s="390"/>
      <c r="Q126" s="37"/>
      <c r="R126" s="176"/>
      <c r="S126" s="390"/>
      <c r="T126" s="390"/>
      <c r="U126" s="390"/>
      <c r="V126" s="390"/>
      <c r="W126" s="57"/>
      <c r="X126" s="390"/>
      <c r="Y126" s="37"/>
      <c r="Z126" s="387"/>
      <c r="AA126" s="387"/>
      <c r="AB126" s="1"/>
      <c r="AC126" s="387"/>
      <c r="AD126" s="387"/>
      <c r="AE126" s="387"/>
      <c r="AF126" s="387"/>
      <c r="AG126" s="118"/>
      <c r="AH126" s="118"/>
      <c r="AI126" s="118"/>
      <c r="AJ126" s="37"/>
      <c r="AK126" s="38"/>
      <c r="AL126" s="197"/>
    </row>
    <row r="127" spans="1:38" x14ac:dyDescent="0.25">
      <c r="A127" s="385">
        <v>181</v>
      </c>
      <c r="B127" s="131"/>
      <c r="C127" s="155"/>
      <c r="D127" s="131"/>
      <c r="E127" s="121"/>
      <c r="F127" s="118"/>
      <c r="G127" s="118"/>
      <c r="H127" s="121"/>
      <c r="I127" s="37"/>
      <c r="J127" s="118"/>
      <c r="K127" s="118"/>
      <c r="L127" s="118"/>
      <c r="M127" s="390"/>
      <c r="N127" s="121"/>
      <c r="O127" s="120"/>
      <c r="P127" s="205"/>
      <c r="Q127" s="37"/>
      <c r="R127" s="131"/>
      <c r="S127" s="118"/>
      <c r="T127" s="118"/>
      <c r="U127" s="1"/>
      <c r="V127" s="118"/>
      <c r="W127" s="57"/>
      <c r="X127" s="57"/>
      <c r="Y127" s="37"/>
      <c r="Z127" s="118"/>
      <c r="AA127" s="118"/>
      <c r="AB127" s="1"/>
      <c r="AC127" s="1"/>
      <c r="AD127" s="1"/>
      <c r="AE127" s="118"/>
      <c r="AF127" s="118"/>
      <c r="AG127" s="118"/>
      <c r="AH127" s="118"/>
      <c r="AI127" s="118"/>
      <c r="AJ127" s="37"/>
      <c r="AK127" s="38"/>
      <c r="AL127" s="197"/>
    </row>
    <row r="128" spans="1:38" x14ac:dyDescent="0.25">
      <c r="A128" s="385">
        <v>182</v>
      </c>
      <c r="B128" s="390"/>
      <c r="C128" s="121"/>
      <c r="D128" s="121"/>
      <c r="E128" s="121"/>
      <c r="F128" s="121"/>
      <c r="G128" s="121"/>
      <c r="H128" s="121"/>
      <c r="I128" s="37"/>
      <c r="J128" s="121"/>
      <c r="K128" s="121"/>
      <c r="L128" s="121"/>
      <c r="M128" s="121"/>
      <c r="N128" s="121"/>
      <c r="O128" s="120"/>
      <c r="P128" s="172"/>
      <c r="Q128" s="37"/>
      <c r="R128" s="131"/>
      <c r="S128" s="118"/>
      <c r="T128" s="118"/>
      <c r="U128" s="1"/>
      <c r="V128" s="118"/>
      <c r="W128" s="57"/>
      <c r="X128" s="57"/>
      <c r="Y128" s="37"/>
      <c r="Z128" s="118"/>
      <c r="AA128" s="118"/>
      <c r="AB128" s="1"/>
      <c r="AC128" s="1"/>
      <c r="AD128" s="1"/>
      <c r="AE128" s="1"/>
      <c r="AF128" s="118"/>
      <c r="AG128" s="118"/>
      <c r="AH128" s="118"/>
      <c r="AI128" s="118"/>
      <c r="AJ128" s="37"/>
      <c r="AK128" s="38"/>
      <c r="AL128" s="197"/>
    </row>
    <row r="129" spans="1:38" x14ac:dyDescent="0.25">
      <c r="A129" s="385">
        <v>183</v>
      </c>
      <c r="B129" s="390"/>
      <c r="C129" s="131"/>
      <c r="D129" s="131"/>
      <c r="E129" s="118"/>
      <c r="F129" s="118"/>
      <c r="G129" s="390"/>
      <c r="H129" s="390"/>
      <c r="I129" s="37"/>
      <c r="J129" s="118"/>
      <c r="K129" s="118"/>
      <c r="L129" s="118"/>
      <c r="M129" s="118"/>
      <c r="N129" s="121"/>
      <c r="O129" s="390"/>
      <c r="P129" s="172"/>
      <c r="Q129" s="37"/>
      <c r="R129" s="390"/>
      <c r="S129" s="390"/>
      <c r="T129" s="390"/>
      <c r="U129" s="1"/>
      <c r="V129" s="118"/>
      <c r="W129" s="57"/>
      <c r="X129" s="57"/>
      <c r="Y129" s="37"/>
      <c r="Z129" s="118"/>
      <c r="AA129" s="118"/>
      <c r="AB129" s="1"/>
      <c r="AC129" s="1"/>
      <c r="AD129" s="1"/>
      <c r="AE129" s="118"/>
      <c r="AF129" s="118"/>
      <c r="AG129" s="118"/>
      <c r="AH129" s="118"/>
      <c r="AI129" s="118"/>
      <c r="AJ129" s="37"/>
      <c r="AK129" s="38"/>
      <c r="AL129" s="197"/>
    </row>
    <row r="130" spans="1:38" x14ac:dyDescent="0.25">
      <c r="A130" s="385">
        <v>184</v>
      </c>
      <c r="B130" s="155"/>
      <c r="C130" s="135"/>
      <c r="D130" s="121"/>
      <c r="E130" s="121"/>
      <c r="F130" s="118"/>
      <c r="G130" s="121"/>
      <c r="H130" s="390"/>
      <c r="I130" s="37"/>
      <c r="J130" s="390"/>
      <c r="K130" s="371"/>
      <c r="L130" s="121"/>
      <c r="M130" s="121"/>
      <c r="N130" s="121"/>
      <c r="O130" s="121"/>
      <c r="P130" s="172"/>
      <c r="Q130" s="37"/>
      <c r="R130" s="131"/>
      <c r="S130" s="118"/>
      <c r="T130" s="118"/>
      <c r="U130" s="1"/>
      <c r="V130" s="118"/>
      <c r="W130" s="57"/>
      <c r="X130" s="57"/>
      <c r="Y130" s="37"/>
      <c r="Z130" s="118"/>
      <c r="AA130" s="118"/>
      <c r="AB130" s="1"/>
      <c r="AC130" s="1"/>
      <c r="AD130" s="1"/>
      <c r="AE130" s="118"/>
      <c r="AF130" s="118"/>
      <c r="AG130" s="118"/>
      <c r="AH130" s="118"/>
      <c r="AI130" s="118"/>
      <c r="AJ130" s="37"/>
      <c r="AK130" s="38"/>
      <c r="AL130" s="197"/>
    </row>
    <row r="131" spans="1:38" x14ac:dyDescent="0.25">
      <c r="A131" s="385">
        <v>185</v>
      </c>
      <c r="B131" s="390"/>
      <c r="C131" s="155"/>
      <c r="D131" s="135"/>
      <c r="E131" s="1"/>
      <c r="F131" s="390"/>
      <c r="G131" s="118"/>
      <c r="H131" s="390"/>
      <c r="I131" s="37"/>
      <c r="J131" s="390"/>
      <c r="K131" s="118"/>
      <c r="L131" s="118"/>
      <c r="M131" s="118"/>
      <c r="N131" s="131"/>
      <c r="O131" s="1"/>
      <c r="P131" s="172"/>
      <c r="Q131" s="37"/>
      <c r="R131" s="131"/>
      <c r="S131" s="1"/>
      <c r="T131" s="118"/>
      <c r="U131" s="1"/>
      <c r="V131" s="118"/>
      <c r="W131" s="57"/>
      <c r="X131" s="57"/>
      <c r="Y131" s="37"/>
      <c r="Z131" s="1"/>
      <c r="AA131" s="387"/>
      <c r="AB131" s="1"/>
      <c r="AC131" s="1"/>
      <c r="AD131" s="1"/>
      <c r="AE131" s="118"/>
      <c r="AF131" s="118"/>
      <c r="AG131" s="118"/>
      <c r="AH131" s="118"/>
      <c r="AI131" s="118"/>
      <c r="AJ131" s="37"/>
      <c r="AK131" s="38"/>
      <c r="AL131" s="197"/>
    </row>
    <row r="132" spans="1:38" x14ac:dyDescent="0.25">
      <c r="A132" s="385">
        <v>186</v>
      </c>
      <c r="B132" s="131"/>
      <c r="C132" s="131"/>
      <c r="D132" s="155"/>
      <c r="E132" s="118"/>
      <c r="F132" s="390"/>
      <c r="G132" s="121"/>
      <c r="H132" s="121"/>
      <c r="I132" s="37"/>
      <c r="J132" s="121"/>
      <c r="K132" s="121"/>
      <c r="L132" s="121"/>
      <c r="M132" s="121"/>
      <c r="N132" s="121"/>
      <c r="O132" s="120"/>
      <c r="P132" s="172"/>
      <c r="Q132" s="37"/>
      <c r="R132" s="12"/>
      <c r="S132" s="118"/>
      <c r="T132" s="118"/>
      <c r="U132" s="1"/>
      <c r="V132" s="118"/>
      <c r="W132" s="57"/>
      <c r="X132" s="57"/>
      <c r="Y132" s="37"/>
      <c r="Z132" s="118"/>
      <c r="AA132" s="118"/>
      <c r="AB132" s="1"/>
      <c r="AC132" s="1"/>
      <c r="AD132" s="1"/>
      <c r="AE132" s="1"/>
      <c r="AF132" s="118"/>
      <c r="AG132" s="118"/>
      <c r="AH132" s="118"/>
      <c r="AI132" s="118"/>
      <c r="AJ132" s="37"/>
      <c r="AK132" s="38"/>
      <c r="AL132" s="197"/>
    </row>
    <row r="133" spans="1:38" x14ac:dyDescent="0.25">
      <c r="A133" s="385">
        <v>187</v>
      </c>
      <c r="B133" s="390"/>
      <c r="C133" s="390"/>
      <c r="D133" s="390"/>
      <c r="E133" s="390"/>
      <c r="F133" s="390"/>
      <c r="G133" s="390"/>
      <c r="H133" s="390"/>
      <c r="I133" s="111"/>
      <c r="J133" s="390"/>
      <c r="K133" s="390"/>
      <c r="L133" s="390"/>
      <c r="M133" s="390"/>
      <c r="N133" s="390"/>
      <c r="O133" s="390"/>
      <c r="P133" s="390"/>
      <c r="Q133" s="111"/>
      <c r="R133" s="390"/>
      <c r="S133" s="390"/>
      <c r="T133" s="390"/>
      <c r="U133" s="390"/>
      <c r="V133" s="389"/>
      <c r="W133" s="387"/>
      <c r="X133" s="387"/>
      <c r="Y133" s="111"/>
      <c r="Z133" s="387"/>
      <c r="AA133" s="387"/>
      <c r="AB133" s="387"/>
      <c r="AC133" s="387"/>
      <c r="AD133" s="387"/>
      <c r="AE133" s="387"/>
      <c r="AF133" s="387"/>
      <c r="AG133" s="387"/>
      <c r="AH133" s="387"/>
      <c r="AI133" s="387"/>
      <c r="AJ133" s="111"/>
      <c r="AK133" s="38"/>
      <c r="AL133" s="197"/>
    </row>
    <row r="134" spans="1:38" x14ac:dyDescent="0.25">
      <c r="A134" s="385">
        <v>188</v>
      </c>
      <c r="B134" s="131"/>
      <c r="C134" s="12"/>
      <c r="D134" s="131"/>
      <c r="E134" s="118"/>
      <c r="F134" s="390"/>
      <c r="G134" s="121"/>
      <c r="H134" s="121"/>
      <c r="I134" s="37"/>
      <c r="J134" s="121"/>
      <c r="K134" s="121"/>
      <c r="L134" s="121"/>
      <c r="M134" s="121"/>
      <c r="N134" s="130"/>
      <c r="O134" s="118"/>
      <c r="P134" s="172"/>
      <c r="Q134" s="37"/>
      <c r="R134" s="131"/>
      <c r="S134" s="118"/>
      <c r="T134" s="118"/>
      <c r="U134" s="1"/>
      <c r="V134" s="118"/>
      <c r="W134" s="57"/>
      <c r="X134" s="57"/>
      <c r="Y134" s="37"/>
      <c r="Z134" s="118"/>
      <c r="AA134" s="118"/>
      <c r="AB134" s="1"/>
      <c r="AC134" s="1"/>
      <c r="AD134" s="1"/>
      <c r="AE134" s="118"/>
      <c r="AF134" s="118"/>
      <c r="AG134" s="118"/>
      <c r="AH134" s="118"/>
      <c r="AI134" s="118"/>
      <c r="AJ134" s="37"/>
      <c r="AK134" s="38"/>
      <c r="AL134" s="197"/>
    </row>
    <row r="135" spans="1:38" x14ac:dyDescent="0.25">
      <c r="A135" s="385">
        <v>189</v>
      </c>
      <c r="B135" s="155"/>
      <c r="C135" s="390"/>
      <c r="D135" s="131"/>
      <c r="E135" s="118"/>
      <c r="F135" s="121"/>
      <c r="G135" s="118"/>
      <c r="H135" s="121"/>
      <c r="I135" s="37"/>
      <c r="J135" s="118"/>
      <c r="K135" s="1"/>
      <c r="L135" s="1"/>
      <c r="M135" s="118"/>
      <c r="N135" s="118"/>
      <c r="O135" s="118"/>
      <c r="P135" s="172"/>
      <c r="Q135" s="37"/>
      <c r="R135" s="155"/>
      <c r="S135" s="118"/>
      <c r="T135" s="1"/>
      <c r="U135" s="1"/>
      <c r="V135" s="118"/>
      <c r="W135" s="57"/>
      <c r="X135" s="57"/>
      <c r="Y135" s="37"/>
      <c r="Z135" s="118"/>
      <c r="AA135" s="118"/>
      <c r="AB135" s="1"/>
      <c r="AC135" s="1"/>
      <c r="AD135" s="1"/>
      <c r="AE135" s="118"/>
      <c r="AF135" s="1"/>
      <c r="AG135" s="118"/>
      <c r="AH135" s="118"/>
      <c r="AI135" s="118"/>
      <c r="AJ135" s="37"/>
      <c r="AK135" s="38"/>
      <c r="AL135" s="197"/>
    </row>
    <row r="136" spans="1:38" x14ac:dyDescent="0.25">
      <c r="A136" s="385">
        <v>190</v>
      </c>
      <c r="B136" s="390"/>
      <c r="C136" s="155"/>
      <c r="D136" s="135"/>
      <c r="E136" s="118"/>
      <c r="F136" s="1"/>
      <c r="G136" s="121"/>
      <c r="H136" s="1"/>
      <c r="I136" s="37"/>
      <c r="J136" s="121"/>
      <c r="K136" s="121"/>
      <c r="L136" s="390"/>
      <c r="M136" s="390"/>
      <c r="N136" s="121"/>
      <c r="O136" s="121"/>
      <c r="P136" s="172"/>
      <c r="Q136" s="37"/>
      <c r="R136" s="12"/>
      <c r="S136" s="118"/>
      <c r="T136" s="118"/>
      <c r="U136" s="1"/>
      <c r="V136" s="1"/>
      <c r="W136" s="57"/>
      <c r="X136" s="57"/>
      <c r="Y136" s="37"/>
      <c r="Z136" s="118"/>
      <c r="AA136" s="118"/>
      <c r="AB136" s="1"/>
      <c r="AC136" s="1"/>
      <c r="AD136" s="1"/>
      <c r="AE136" s="118"/>
      <c r="AF136" s="118"/>
      <c r="AG136" s="118"/>
      <c r="AH136" s="118"/>
      <c r="AI136" s="118"/>
      <c r="AJ136" s="37"/>
      <c r="AK136" s="38"/>
      <c r="AL136" s="197"/>
    </row>
    <row r="137" spans="1:38" x14ac:dyDescent="0.25">
      <c r="A137" s="385">
        <v>191</v>
      </c>
      <c r="B137" s="131"/>
      <c r="C137" s="121"/>
      <c r="D137" s="155"/>
      <c r="E137" s="121"/>
      <c r="F137" s="121"/>
      <c r="G137" s="121"/>
      <c r="H137" s="121"/>
      <c r="I137" s="37"/>
      <c r="J137" s="121"/>
      <c r="K137" s="121"/>
      <c r="L137" s="121"/>
      <c r="M137" s="121"/>
      <c r="N137" s="121"/>
      <c r="O137" s="118"/>
      <c r="P137" s="172"/>
      <c r="Q137" s="37"/>
      <c r="R137" s="155"/>
      <c r="S137" s="118"/>
      <c r="T137" s="118"/>
      <c r="U137" s="1"/>
      <c r="V137" s="131"/>
      <c r="W137" s="57"/>
      <c r="X137" s="57"/>
      <c r="Y137" s="37"/>
      <c r="Z137" s="118"/>
      <c r="AA137" s="118"/>
      <c r="AB137" s="1"/>
      <c r="AC137" s="1"/>
      <c r="AD137" s="1"/>
      <c r="AE137" s="118"/>
      <c r="AF137" s="1"/>
      <c r="AG137" s="118"/>
      <c r="AH137" s="118"/>
      <c r="AI137" s="118"/>
      <c r="AJ137" s="37"/>
      <c r="AK137" s="38"/>
      <c r="AL137" s="197"/>
    </row>
    <row r="138" spans="1:38" x14ac:dyDescent="0.25">
      <c r="A138" s="385">
        <v>192</v>
      </c>
      <c r="B138" s="131"/>
      <c r="C138" s="155"/>
      <c r="D138" s="121"/>
      <c r="E138" s="121"/>
      <c r="F138" s="121"/>
      <c r="G138" s="121"/>
      <c r="H138" s="121"/>
      <c r="I138" s="37"/>
      <c r="J138" s="390"/>
      <c r="K138" s="390"/>
      <c r="L138" s="390"/>
      <c r="M138" s="390"/>
      <c r="N138" s="390"/>
      <c r="O138" s="390"/>
      <c r="P138" s="390"/>
      <c r="Q138" s="111"/>
      <c r="R138" s="172"/>
      <c r="S138" s="118"/>
      <c r="T138" s="390"/>
      <c r="U138" s="1"/>
      <c r="V138" s="390"/>
      <c r="W138" s="57"/>
      <c r="X138" s="390"/>
      <c r="Y138" s="37"/>
      <c r="Z138" s="387"/>
      <c r="AA138" s="118"/>
      <c r="AB138" s="1"/>
      <c r="AC138" s="1"/>
      <c r="AD138" s="1"/>
      <c r="AE138" s="118"/>
      <c r="AF138" s="118"/>
      <c r="AG138" s="118"/>
      <c r="AH138" s="118"/>
      <c r="AI138" s="118"/>
      <c r="AJ138" s="37"/>
      <c r="AK138" s="38"/>
      <c r="AL138" s="197"/>
    </row>
    <row r="139" spans="1:38" x14ac:dyDescent="0.25">
      <c r="A139" s="385">
        <v>193</v>
      </c>
      <c r="B139" s="131"/>
      <c r="C139" s="135"/>
      <c r="D139" s="131"/>
      <c r="E139" s="121"/>
      <c r="F139" s="118"/>
      <c r="G139" s="118"/>
      <c r="H139" s="118"/>
      <c r="I139" s="37"/>
      <c r="J139" s="121"/>
      <c r="K139" s="121"/>
      <c r="L139" s="118"/>
      <c r="M139" s="118"/>
      <c r="N139" s="118"/>
      <c r="O139" s="118"/>
      <c r="P139" s="172"/>
      <c r="Q139" s="37"/>
      <c r="R139" s="131"/>
      <c r="S139" s="1"/>
      <c r="T139" s="118"/>
      <c r="U139" s="1"/>
      <c r="V139" s="118"/>
      <c r="W139" s="57"/>
      <c r="X139" s="57"/>
      <c r="Y139" s="37"/>
      <c r="Z139" s="118"/>
      <c r="AA139" s="118"/>
      <c r="AB139" s="1"/>
      <c r="AC139" s="1"/>
      <c r="AD139" s="1"/>
      <c r="AE139" s="118"/>
      <c r="AF139" s="118"/>
      <c r="AG139" s="118"/>
      <c r="AH139" s="118"/>
      <c r="AI139" s="118"/>
      <c r="AJ139" s="37"/>
      <c r="AK139" s="38"/>
      <c r="AL139" s="197"/>
    </row>
    <row r="140" spans="1:38" x14ac:dyDescent="0.25">
      <c r="A140" s="385">
        <v>194</v>
      </c>
      <c r="B140" s="135"/>
      <c r="C140" s="155"/>
      <c r="D140" s="121"/>
      <c r="E140" s="118"/>
      <c r="F140" s="121"/>
      <c r="G140" s="118"/>
      <c r="H140" s="118"/>
      <c r="I140" s="37"/>
      <c r="J140" s="118"/>
      <c r="K140" s="1"/>
      <c r="L140" s="118"/>
      <c r="M140" s="118"/>
      <c r="N140" s="12"/>
      <c r="O140" s="120"/>
      <c r="P140" s="172"/>
      <c r="Q140" s="37"/>
      <c r="R140" s="131"/>
      <c r="S140" s="390"/>
      <c r="T140" s="118"/>
      <c r="U140" s="1"/>
      <c r="V140" s="118"/>
      <c r="W140" s="57"/>
      <c r="X140" s="57"/>
      <c r="Y140" s="37"/>
      <c r="Z140" s="118"/>
      <c r="AA140" s="1"/>
      <c r="AB140" s="387"/>
      <c r="AC140" s="1"/>
      <c r="AD140" s="1"/>
      <c r="AE140" s="118"/>
      <c r="AF140" s="118"/>
      <c r="AG140" s="118"/>
      <c r="AH140" s="118"/>
      <c r="AI140" s="118"/>
      <c r="AJ140" s="40"/>
      <c r="AK140" s="41"/>
      <c r="AL140" s="197"/>
    </row>
    <row r="141" spans="1:38" x14ac:dyDescent="0.25">
      <c r="A141" s="385">
        <v>195</v>
      </c>
      <c r="B141" s="131"/>
      <c r="C141" s="135"/>
      <c r="D141" s="121"/>
      <c r="E141" s="118"/>
      <c r="F141" s="121"/>
      <c r="G141" s="121"/>
      <c r="H141" s="121"/>
      <c r="I141" s="37"/>
      <c r="J141" s="121"/>
      <c r="K141" s="121"/>
      <c r="L141" s="371"/>
      <c r="M141" s="121"/>
      <c r="N141" s="121"/>
      <c r="O141" s="161"/>
      <c r="P141" s="172"/>
      <c r="Q141" s="37"/>
      <c r="R141" s="12"/>
      <c r="S141" s="118"/>
      <c r="T141" s="118"/>
      <c r="U141" s="1"/>
      <c r="V141" s="390"/>
      <c r="W141" s="57"/>
      <c r="X141" s="57"/>
      <c r="Y141" s="37"/>
      <c r="Z141" s="118"/>
      <c r="AA141" s="1"/>
      <c r="AB141" s="1"/>
      <c r="AC141" s="1"/>
      <c r="AD141" s="1"/>
      <c r="AE141" s="118"/>
      <c r="AF141" s="118"/>
      <c r="AG141" s="118"/>
      <c r="AH141" s="118"/>
      <c r="AI141" s="118"/>
      <c r="AJ141" s="37"/>
      <c r="AK141" s="38"/>
      <c r="AL141" s="197"/>
    </row>
    <row r="142" spans="1:38" x14ac:dyDescent="0.25">
      <c r="A142" s="385">
        <v>196</v>
      </c>
      <c r="B142" s="12"/>
      <c r="C142" s="155"/>
      <c r="D142" s="121"/>
      <c r="E142" s="121"/>
      <c r="F142" s="121"/>
      <c r="G142" s="121"/>
      <c r="H142" s="121"/>
      <c r="I142" s="37"/>
      <c r="J142" s="121"/>
      <c r="K142" s="120"/>
      <c r="L142" s="121"/>
      <c r="M142" s="121"/>
      <c r="N142" s="121"/>
      <c r="O142" s="390"/>
      <c r="P142" s="390"/>
      <c r="Q142" s="37"/>
      <c r="R142" s="390"/>
      <c r="S142" s="176"/>
      <c r="T142" s="1"/>
      <c r="U142" s="1"/>
      <c r="V142" s="118"/>
      <c r="W142" s="57"/>
      <c r="X142" s="57"/>
      <c r="Y142" s="37"/>
      <c r="Z142" s="118"/>
      <c r="AA142" s="118"/>
      <c r="AB142" s="1"/>
      <c r="AC142" s="1"/>
      <c r="AD142" s="1"/>
      <c r="AE142" s="118"/>
      <c r="AF142" s="118"/>
      <c r="AG142" s="118"/>
      <c r="AH142" s="118"/>
      <c r="AI142" s="118"/>
      <c r="AJ142" s="37"/>
      <c r="AK142" s="38"/>
      <c r="AL142" s="197"/>
    </row>
    <row r="143" spans="1:38" x14ac:dyDescent="0.25">
      <c r="A143" s="385">
        <v>197</v>
      </c>
      <c r="B143" s="131"/>
      <c r="C143" s="155"/>
      <c r="D143" s="155"/>
      <c r="E143" s="118"/>
      <c r="F143" s="121"/>
      <c r="G143" s="118"/>
      <c r="H143" s="121"/>
      <c r="I143" s="37"/>
      <c r="J143" s="12"/>
      <c r="K143" s="118"/>
      <c r="L143" s="121"/>
      <c r="M143" s="118"/>
      <c r="N143" s="118"/>
      <c r="O143" s="121"/>
      <c r="P143" s="172"/>
      <c r="Q143" s="37"/>
      <c r="R143" s="131"/>
      <c r="S143" s="118"/>
      <c r="T143" s="118"/>
      <c r="U143" s="1"/>
      <c r="V143" s="118"/>
      <c r="W143" s="57"/>
      <c r="X143" s="57"/>
      <c r="Y143" s="37"/>
      <c r="Z143" s="118"/>
      <c r="AA143" s="1"/>
      <c r="AB143" s="1"/>
      <c r="AC143" s="1"/>
      <c r="AD143" s="1"/>
      <c r="AE143" s="118"/>
      <c r="AF143" s="1"/>
      <c r="AG143" s="118"/>
      <c r="AH143" s="118"/>
      <c r="AI143" s="118"/>
      <c r="AJ143" s="37"/>
      <c r="AK143" s="38"/>
      <c r="AL143" s="197"/>
    </row>
    <row r="144" spans="1:38" x14ac:dyDescent="0.25">
      <c r="A144" s="385">
        <v>198</v>
      </c>
      <c r="B144" s="131"/>
      <c r="C144" s="121"/>
      <c r="D144" s="121"/>
      <c r="E144" s="121"/>
      <c r="F144" s="121"/>
      <c r="G144" s="121"/>
      <c r="H144" s="121"/>
      <c r="I144" s="37"/>
      <c r="J144" s="121"/>
      <c r="K144" s="371"/>
      <c r="L144" s="121"/>
      <c r="M144" s="121"/>
      <c r="N144" s="121"/>
      <c r="O144" s="121"/>
      <c r="P144" s="172"/>
      <c r="Q144" s="37"/>
      <c r="R144" s="131"/>
      <c r="S144" s="118"/>
      <c r="T144" s="118"/>
      <c r="U144" s="1"/>
      <c r="V144" s="118"/>
      <c r="W144" s="57"/>
      <c r="X144" s="57"/>
      <c r="Y144" s="37"/>
      <c r="Z144" s="118"/>
      <c r="AA144" s="118"/>
      <c r="AB144" s="1"/>
      <c r="AC144" s="1"/>
      <c r="AD144" s="1"/>
      <c r="AE144" s="118"/>
      <c r="AF144" s="118"/>
      <c r="AG144" s="118"/>
      <c r="AH144" s="118"/>
      <c r="AI144" s="118"/>
      <c r="AJ144" s="37"/>
      <c r="AK144" s="38"/>
      <c r="AL144" s="197"/>
    </row>
    <row r="145" spans="1:38" x14ac:dyDescent="0.25">
      <c r="A145" s="385">
        <v>199</v>
      </c>
      <c r="B145" s="131"/>
      <c r="C145" s="131"/>
      <c r="D145" s="12"/>
      <c r="E145" s="1"/>
      <c r="F145" s="118"/>
      <c r="G145" s="1"/>
      <c r="H145" s="118"/>
      <c r="I145" s="37"/>
      <c r="J145" s="118"/>
      <c r="K145" s="118"/>
      <c r="L145" s="135"/>
      <c r="M145" s="121"/>
      <c r="N145" s="121"/>
      <c r="O145" s="118"/>
      <c r="P145" s="172"/>
      <c r="Q145" s="37"/>
      <c r="R145" s="131"/>
      <c r="S145" s="118"/>
      <c r="T145" s="390"/>
      <c r="U145" s="1"/>
      <c r="V145" s="118"/>
      <c r="W145" s="57"/>
      <c r="X145" s="57"/>
      <c r="Y145" s="37"/>
      <c r="Z145" s="118"/>
      <c r="AA145" s="118"/>
      <c r="AB145" s="1"/>
      <c r="AC145" s="387"/>
      <c r="AD145" s="387"/>
      <c r="AE145" s="387"/>
      <c r="AF145" s="193"/>
      <c r="AG145" s="118"/>
      <c r="AH145" s="118"/>
      <c r="AI145" s="118"/>
      <c r="AJ145" s="37"/>
      <c r="AK145" s="38"/>
      <c r="AL145" s="197"/>
    </row>
    <row r="146" spans="1:38" x14ac:dyDescent="0.25">
      <c r="A146" s="385">
        <v>200</v>
      </c>
      <c r="B146" s="390"/>
      <c r="C146" s="390"/>
      <c r="D146" s="390"/>
      <c r="E146" s="390"/>
      <c r="F146" s="390"/>
      <c r="G146" s="390"/>
      <c r="H146" s="390"/>
      <c r="I146" s="111"/>
      <c r="J146" s="390"/>
      <c r="K146" s="390"/>
      <c r="L146" s="390"/>
      <c r="M146" s="390"/>
      <c r="N146" s="390"/>
      <c r="O146" s="390"/>
      <c r="P146" s="390"/>
      <c r="Q146" s="111"/>
      <c r="R146" s="390"/>
      <c r="S146" s="390"/>
      <c r="T146" s="390"/>
      <c r="U146" s="390"/>
      <c r="V146" s="389"/>
      <c r="W146" s="387"/>
      <c r="X146" s="387"/>
      <c r="Y146" s="111"/>
      <c r="Z146" s="387"/>
      <c r="AA146" s="387"/>
      <c r="AB146" s="387"/>
      <c r="AC146" s="387"/>
      <c r="AD146" s="387"/>
      <c r="AE146" s="387"/>
      <c r="AF146" s="387"/>
      <c r="AG146" s="387"/>
      <c r="AH146" s="387"/>
      <c r="AI146" s="387"/>
      <c r="AJ146" s="111"/>
      <c r="AK146" s="38"/>
      <c r="AL146" s="197"/>
    </row>
    <row r="147" spans="1:38" x14ac:dyDescent="0.25">
      <c r="A147" s="385">
        <v>201</v>
      </c>
      <c r="B147" s="12"/>
      <c r="C147" s="121"/>
      <c r="D147" s="121"/>
      <c r="E147" s="1"/>
      <c r="F147" s="118"/>
      <c r="G147" s="121"/>
      <c r="H147" s="118"/>
      <c r="I147" s="37"/>
      <c r="J147" s="118"/>
      <c r="K147" s="121"/>
      <c r="L147" s="121"/>
      <c r="M147" s="121"/>
      <c r="N147" s="118"/>
      <c r="O147" s="118"/>
      <c r="P147" s="172"/>
      <c r="Q147" s="37"/>
      <c r="R147" s="131"/>
      <c r="S147" s="118"/>
      <c r="T147" s="118"/>
      <c r="U147" s="1"/>
      <c r="V147" s="118"/>
      <c r="W147" s="57"/>
      <c r="X147" s="57"/>
      <c r="Y147" s="37"/>
      <c r="Z147" s="118"/>
      <c r="AA147" s="118"/>
      <c r="AB147" s="1"/>
      <c r="AC147" s="1"/>
      <c r="AD147" s="1"/>
      <c r="AE147" s="118"/>
      <c r="AF147" s="118"/>
      <c r="AG147" s="118"/>
      <c r="AH147" s="118"/>
      <c r="AI147" s="118"/>
      <c r="AJ147" s="37"/>
      <c r="AK147" s="38"/>
      <c r="AL147" s="197"/>
    </row>
    <row r="148" spans="1:38" x14ac:dyDescent="0.25">
      <c r="A148" s="385">
        <v>202</v>
      </c>
      <c r="B148" s="121"/>
      <c r="C148" s="121"/>
      <c r="D148" s="155"/>
      <c r="E148" s="1"/>
      <c r="F148" s="121"/>
      <c r="G148" s="121"/>
      <c r="H148" s="390"/>
      <c r="I148" s="37"/>
      <c r="J148" s="118"/>
      <c r="K148" s="118"/>
      <c r="L148" s="118"/>
      <c r="M148" s="121"/>
      <c r="N148" s="57"/>
      <c r="O148" s="118"/>
      <c r="P148" s="172"/>
      <c r="Q148" s="37"/>
      <c r="R148" s="131"/>
      <c r="S148" s="118"/>
      <c r="T148" s="118"/>
      <c r="U148" s="1"/>
      <c r="V148" s="118"/>
      <c r="W148" s="57"/>
      <c r="X148" s="57"/>
      <c r="Y148" s="37"/>
      <c r="Z148" s="387"/>
      <c r="AA148" s="387"/>
      <c r="AB148" s="1"/>
      <c r="AC148" s="387"/>
      <c r="AD148" s="1"/>
      <c r="AE148" s="211"/>
      <c r="AF148" s="387"/>
      <c r="AG148" s="118"/>
      <c r="AH148" s="118"/>
      <c r="AI148" s="118"/>
      <c r="AJ148" s="37"/>
      <c r="AK148" s="38"/>
      <c r="AL148" s="197"/>
    </row>
    <row r="149" spans="1:38" x14ac:dyDescent="0.25">
      <c r="A149" s="385">
        <v>203</v>
      </c>
      <c r="B149" s="390"/>
      <c r="C149" s="155"/>
      <c r="D149" s="121"/>
      <c r="E149" s="121"/>
      <c r="F149" s="121"/>
      <c r="G149" s="121"/>
      <c r="H149" s="121"/>
      <c r="I149" s="37"/>
      <c r="J149" s="121"/>
      <c r="K149" s="121"/>
      <c r="L149" s="121"/>
      <c r="M149" s="121"/>
      <c r="N149" s="121"/>
      <c r="O149" s="121"/>
      <c r="P149" s="205"/>
      <c r="Q149" s="37"/>
      <c r="R149" s="131"/>
      <c r="S149" s="1"/>
      <c r="T149" s="118"/>
      <c r="U149" s="1"/>
      <c r="V149" s="118"/>
      <c r="W149" s="57"/>
      <c r="X149" s="57"/>
      <c r="Y149" s="37"/>
      <c r="Z149" s="118"/>
      <c r="AA149" s="1"/>
      <c r="AB149" s="1"/>
      <c r="AC149" s="1"/>
      <c r="AD149" s="1"/>
      <c r="AE149" s="118"/>
      <c r="AF149" s="118"/>
      <c r="AG149" s="118"/>
      <c r="AH149" s="118"/>
      <c r="AI149" s="118"/>
      <c r="AJ149" s="37"/>
      <c r="AK149" s="38"/>
      <c r="AL149" s="197"/>
    </row>
    <row r="150" spans="1:38" x14ac:dyDescent="0.25">
      <c r="A150" s="383">
        <v>204</v>
      </c>
      <c r="B150" s="155"/>
      <c r="C150" s="155"/>
      <c r="D150" s="121"/>
      <c r="E150" s="121"/>
      <c r="F150" s="1"/>
      <c r="G150" s="121"/>
      <c r="H150" s="1"/>
      <c r="I150" s="37"/>
      <c r="J150" s="121"/>
      <c r="K150" s="118"/>
      <c r="L150" s="118"/>
      <c r="M150" s="118"/>
      <c r="N150" s="118"/>
      <c r="O150" s="120"/>
      <c r="P150" s="172"/>
      <c r="Q150" s="37"/>
      <c r="R150" s="131"/>
      <c r="S150" s="118"/>
      <c r="T150" s="118"/>
      <c r="U150" s="1"/>
      <c r="V150" s="118"/>
      <c r="W150" s="57"/>
      <c r="X150" s="57"/>
      <c r="Y150" s="37"/>
      <c r="Z150" s="118"/>
      <c r="AA150" s="118"/>
      <c r="AB150" s="1"/>
      <c r="AC150" s="1"/>
      <c r="AD150" s="1"/>
      <c r="AE150" s="118"/>
      <c r="AF150" s="118"/>
      <c r="AG150" s="118"/>
      <c r="AH150" s="118"/>
      <c r="AI150" s="118"/>
      <c r="AJ150" s="37"/>
      <c r="AK150" s="38"/>
      <c r="AL150" s="176"/>
    </row>
    <row r="151" spans="1:38" x14ac:dyDescent="0.25">
      <c r="A151" s="383">
        <v>205</v>
      </c>
      <c r="B151" s="155"/>
      <c r="C151" s="121"/>
      <c r="D151" s="121"/>
      <c r="E151" s="121"/>
      <c r="F151" s="121"/>
      <c r="G151" s="121"/>
      <c r="H151" s="121"/>
      <c r="I151" s="37"/>
      <c r="J151" s="121"/>
      <c r="K151" s="121"/>
      <c r="L151" s="121"/>
      <c r="M151" s="121"/>
      <c r="N151" s="121"/>
      <c r="O151" s="121"/>
      <c r="P151" s="172"/>
      <c r="Q151" s="37"/>
      <c r="R151" s="131"/>
      <c r="S151" s="118"/>
      <c r="T151" s="118"/>
      <c r="U151" s="1"/>
      <c r="V151" s="118"/>
      <c r="W151" s="57"/>
      <c r="X151" s="57"/>
      <c r="Y151" s="37"/>
      <c r="Z151" s="118"/>
      <c r="AA151" s="118"/>
      <c r="AB151" s="1"/>
      <c r="AC151" s="1"/>
      <c r="AD151" s="1"/>
      <c r="AE151" s="118"/>
      <c r="AF151" s="118"/>
      <c r="AG151" s="118"/>
      <c r="AH151" s="118"/>
      <c r="AI151" s="118"/>
      <c r="AJ151" s="37"/>
      <c r="AK151" s="38"/>
      <c r="AL151" s="197"/>
    </row>
    <row r="152" spans="1:38" x14ac:dyDescent="0.25">
      <c r="A152" s="383">
        <v>206</v>
      </c>
      <c r="B152" s="131"/>
      <c r="C152" s="121"/>
      <c r="D152" s="121"/>
      <c r="E152" s="118"/>
      <c r="F152" s="121"/>
      <c r="G152" s="121"/>
      <c r="H152" s="118"/>
      <c r="I152" s="37"/>
      <c r="J152" s="121"/>
      <c r="K152" s="121"/>
      <c r="L152" s="121"/>
      <c r="M152" s="121"/>
      <c r="N152" s="121"/>
      <c r="O152" s="121"/>
      <c r="P152" s="172"/>
      <c r="Q152" s="37"/>
      <c r="R152" s="12"/>
      <c r="S152" s="118"/>
      <c r="T152" s="1"/>
      <c r="U152" s="1"/>
      <c r="V152" s="118"/>
      <c r="W152" s="57"/>
      <c r="X152" s="57"/>
      <c r="Y152" s="37"/>
      <c r="Z152" s="1"/>
      <c r="AA152" s="118"/>
      <c r="AB152" s="1"/>
      <c r="AC152" s="1"/>
      <c r="AD152" s="1"/>
      <c r="AE152" s="118"/>
      <c r="AF152" s="1"/>
      <c r="AG152" s="118"/>
      <c r="AH152" s="118"/>
      <c r="AI152" s="118"/>
      <c r="AJ152" s="37"/>
      <c r="AK152" s="38"/>
      <c r="AL152" s="197"/>
    </row>
    <row r="153" spans="1:38" x14ac:dyDescent="0.25">
      <c r="A153" s="383">
        <v>207</v>
      </c>
      <c r="B153" s="155"/>
      <c r="C153" s="390"/>
      <c r="D153" s="155"/>
      <c r="E153" s="121"/>
      <c r="F153" s="121"/>
      <c r="G153" s="121"/>
      <c r="H153" s="118"/>
      <c r="I153" s="37"/>
      <c r="J153" s="121"/>
      <c r="K153" s="121"/>
      <c r="L153" s="121"/>
      <c r="M153" s="121"/>
      <c r="N153" s="121"/>
      <c r="O153" s="120"/>
      <c r="P153" s="172"/>
      <c r="Q153" s="37"/>
      <c r="R153" s="131"/>
      <c r="S153" s="118"/>
      <c r="T153" s="118"/>
      <c r="U153" s="1"/>
      <c r="V153" s="118"/>
      <c r="W153" s="57"/>
      <c r="X153" s="57"/>
      <c r="Y153" s="37"/>
      <c r="Z153" s="118"/>
      <c r="AA153" s="118"/>
      <c r="AB153" s="1"/>
      <c r="AC153" s="1"/>
      <c r="AD153" s="1"/>
      <c r="AE153" s="118"/>
      <c r="AF153" s="118"/>
      <c r="AG153" s="118"/>
      <c r="AH153" s="118"/>
      <c r="AI153" s="118"/>
      <c r="AJ153" s="37"/>
      <c r="AK153" s="38"/>
      <c r="AL153" s="197"/>
    </row>
    <row r="154" spans="1:38" x14ac:dyDescent="0.25">
      <c r="A154" s="383">
        <v>208</v>
      </c>
      <c r="B154" s="131"/>
      <c r="C154" s="135"/>
      <c r="D154" s="155"/>
      <c r="E154" s="121"/>
      <c r="F154" s="118"/>
      <c r="G154" s="118"/>
      <c r="H154" s="118"/>
      <c r="I154" s="37"/>
      <c r="J154" s="118"/>
      <c r="K154" s="118"/>
      <c r="L154" s="118"/>
      <c r="M154" s="121"/>
      <c r="N154" s="118"/>
      <c r="O154" s="118"/>
      <c r="P154" s="172"/>
      <c r="Q154" s="37"/>
      <c r="R154" s="131"/>
      <c r="S154" s="118"/>
      <c r="T154" s="118"/>
      <c r="U154" s="1"/>
      <c r="V154" s="1"/>
      <c r="W154" s="57"/>
      <c r="X154" s="57"/>
      <c r="Y154" s="37"/>
      <c r="Z154" s="118"/>
      <c r="AA154" s="118"/>
      <c r="AB154" s="1"/>
      <c r="AC154" s="1"/>
      <c r="AD154" s="1"/>
      <c r="AE154" s="118"/>
      <c r="AF154" s="118"/>
      <c r="AG154" s="118"/>
      <c r="AH154" s="118"/>
      <c r="AI154" s="118"/>
      <c r="AJ154" s="37"/>
      <c r="AK154" s="38"/>
      <c r="AL154" s="197"/>
    </row>
    <row r="155" spans="1:38" x14ac:dyDescent="0.25">
      <c r="A155" s="383">
        <v>209</v>
      </c>
      <c r="B155" s="155"/>
      <c r="C155" s="155"/>
      <c r="D155" s="121"/>
      <c r="E155" s="121"/>
      <c r="F155" s="121"/>
      <c r="G155" s="121"/>
      <c r="H155" s="121"/>
      <c r="I155" s="37"/>
      <c r="J155" s="121"/>
      <c r="K155" s="121"/>
      <c r="L155" s="121"/>
      <c r="M155" s="121"/>
      <c r="N155" s="121"/>
      <c r="O155" s="121"/>
      <c r="P155" s="205"/>
      <c r="Q155" s="37"/>
      <c r="R155" s="131"/>
      <c r="S155" s="118"/>
      <c r="T155" s="118"/>
      <c r="U155" s="1"/>
      <c r="V155" s="118"/>
      <c r="W155" s="57"/>
      <c r="X155" s="57"/>
      <c r="Y155" s="37"/>
      <c r="Z155" s="118"/>
      <c r="AA155" s="118"/>
      <c r="AB155" s="1"/>
      <c r="AC155" s="1"/>
      <c r="AD155" s="387"/>
      <c r="AE155" s="185"/>
      <c r="AF155" s="118"/>
      <c r="AG155" s="118"/>
      <c r="AH155" s="118"/>
      <c r="AI155" s="118"/>
      <c r="AJ155" s="37"/>
      <c r="AK155" s="38"/>
      <c r="AL155" s="197"/>
    </row>
    <row r="156" spans="1:38" x14ac:dyDescent="0.25">
      <c r="A156" s="383">
        <v>210</v>
      </c>
      <c r="B156" s="131"/>
      <c r="C156" s="135"/>
      <c r="D156" s="121"/>
      <c r="E156" s="121"/>
      <c r="F156" s="1"/>
      <c r="G156" s="121"/>
      <c r="H156" s="121"/>
      <c r="I156" s="37"/>
      <c r="J156" s="121"/>
      <c r="K156" s="121"/>
      <c r="L156" s="390"/>
      <c r="M156" s="121"/>
      <c r="N156" s="121"/>
      <c r="O156" s="120"/>
      <c r="P156" s="205"/>
      <c r="Q156" s="37"/>
      <c r="R156" s="131"/>
      <c r="S156" s="118"/>
      <c r="T156" s="118"/>
      <c r="U156" s="1"/>
      <c r="V156" s="118"/>
      <c r="W156" s="57"/>
      <c r="X156" s="57"/>
      <c r="Y156" s="37"/>
      <c r="Z156" s="118"/>
      <c r="AA156" s="118"/>
      <c r="AB156" s="1"/>
      <c r="AC156" s="1"/>
      <c r="AD156" s="1"/>
      <c r="AE156" s="1"/>
      <c r="AF156" s="118"/>
      <c r="AG156" s="118"/>
      <c r="AH156" s="118"/>
      <c r="AI156" s="118"/>
      <c r="AJ156" s="37"/>
      <c r="AK156" s="38"/>
      <c r="AL156" s="197"/>
    </row>
    <row r="157" spans="1:38" x14ac:dyDescent="0.25">
      <c r="A157" s="383">
        <v>211</v>
      </c>
      <c r="B157" s="155"/>
      <c r="C157" s="155"/>
      <c r="D157" s="121"/>
      <c r="E157" s="121"/>
      <c r="F157" s="118"/>
      <c r="G157" s="121"/>
      <c r="H157" s="118"/>
      <c r="I157" s="37"/>
      <c r="J157" s="121"/>
      <c r="K157" s="121"/>
      <c r="L157" s="121"/>
      <c r="M157" s="121"/>
      <c r="N157" s="121"/>
      <c r="O157" s="121"/>
      <c r="P157" s="172"/>
      <c r="Q157" s="37"/>
      <c r="R157" s="131"/>
      <c r="S157" s="118"/>
      <c r="T157" s="118"/>
      <c r="U157" s="1"/>
      <c r="V157" s="118"/>
      <c r="W157" s="57"/>
      <c r="X157" s="57"/>
      <c r="Y157" s="37"/>
      <c r="Z157" s="118"/>
      <c r="AA157" s="1"/>
      <c r="AB157" s="1"/>
      <c r="AC157" s="1"/>
      <c r="AD157" s="1"/>
      <c r="AE157" s="118"/>
      <c r="AF157" s="1"/>
      <c r="AG157" s="118"/>
      <c r="AH157" s="118"/>
      <c r="AI157" s="118"/>
      <c r="AJ157" s="37"/>
      <c r="AK157" s="38"/>
      <c r="AL157" s="197"/>
    </row>
    <row r="158" spans="1:38" x14ac:dyDescent="0.25">
      <c r="A158" s="383">
        <v>212</v>
      </c>
      <c r="B158" s="121"/>
      <c r="C158" s="155"/>
      <c r="D158" s="390"/>
      <c r="E158" s="118"/>
      <c r="F158" s="118"/>
      <c r="G158" s="118"/>
      <c r="H158" s="121"/>
      <c r="I158" s="37"/>
      <c r="J158" s="121"/>
      <c r="K158" s="121"/>
      <c r="L158" s="121"/>
      <c r="M158" s="121"/>
      <c r="N158" s="121"/>
      <c r="O158" s="120"/>
      <c r="P158" s="172"/>
      <c r="Q158" s="37"/>
      <c r="R158" s="131"/>
      <c r="S158" s="118"/>
      <c r="T158" s="118"/>
      <c r="U158" s="1"/>
      <c r="V158" s="118"/>
      <c r="W158" s="57"/>
      <c r="X158" s="57"/>
      <c r="Y158" s="37"/>
      <c r="Z158" s="118"/>
      <c r="AA158" s="118"/>
      <c r="AB158" s="1"/>
      <c r="AC158" s="1"/>
      <c r="AD158" s="1"/>
      <c r="AE158" s="118"/>
      <c r="AF158" s="118"/>
      <c r="AG158" s="118"/>
      <c r="AH158" s="118"/>
      <c r="AI158" s="118"/>
      <c r="AJ158" s="37"/>
      <c r="AK158" s="38"/>
      <c r="AL158" s="197"/>
    </row>
    <row r="159" spans="1:38" ht="18.75" x14ac:dyDescent="0.3">
      <c r="A159" s="383">
        <v>213</v>
      </c>
      <c r="B159" s="135"/>
      <c r="C159" s="121"/>
      <c r="D159" s="121"/>
      <c r="E159" s="121"/>
      <c r="F159" s="118"/>
      <c r="G159" s="121"/>
      <c r="H159" s="121"/>
      <c r="I159" s="37"/>
      <c r="J159" s="121"/>
      <c r="K159" s="121"/>
      <c r="L159" s="121"/>
      <c r="M159" s="121"/>
      <c r="N159" s="121"/>
      <c r="O159" s="120"/>
      <c r="P159" s="172"/>
      <c r="Q159" s="37"/>
      <c r="R159" s="131"/>
      <c r="S159" s="118"/>
      <c r="T159" s="118"/>
      <c r="U159" s="1"/>
      <c r="V159" s="118"/>
      <c r="W159" s="57"/>
      <c r="X159" s="57"/>
      <c r="Y159" s="37"/>
      <c r="Z159" s="1"/>
      <c r="AA159" s="118"/>
      <c r="AB159" s="1"/>
      <c r="AC159" s="1"/>
      <c r="AD159" s="1"/>
      <c r="AE159" s="118"/>
      <c r="AF159" s="118"/>
      <c r="AG159" s="118"/>
      <c r="AH159" s="118"/>
      <c r="AI159" s="118"/>
      <c r="AJ159" s="37"/>
      <c r="AK159" s="339"/>
      <c r="AL159" s="197"/>
    </row>
    <row r="160" spans="1:38" ht="18.75" x14ac:dyDescent="0.3">
      <c r="A160" s="383">
        <v>214</v>
      </c>
      <c r="B160" s="131"/>
      <c r="C160" s="121"/>
      <c r="D160" s="121"/>
      <c r="E160" s="121"/>
      <c r="F160" s="121"/>
      <c r="G160" s="121"/>
      <c r="H160" s="121"/>
      <c r="I160" s="37"/>
      <c r="J160" s="121"/>
      <c r="K160" s="1"/>
      <c r="L160" s="121"/>
      <c r="M160" s="121"/>
      <c r="N160" s="121"/>
      <c r="O160" s="390"/>
      <c r="P160" s="172"/>
      <c r="Q160" s="37"/>
      <c r="R160" s="131"/>
      <c r="S160" s="118"/>
      <c r="T160" s="118"/>
      <c r="U160" s="1"/>
      <c r="V160" s="118"/>
      <c r="W160" s="57"/>
      <c r="X160" s="57"/>
      <c r="Y160" s="37"/>
      <c r="Z160" s="118"/>
      <c r="AA160" s="118"/>
      <c r="AB160" s="1"/>
      <c r="AC160" s="1"/>
      <c r="AD160" s="1"/>
      <c r="AE160" s="118"/>
      <c r="AF160" s="118"/>
      <c r="AG160" s="118"/>
      <c r="AH160" s="118"/>
      <c r="AI160" s="118"/>
      <c r="AJ160" s="37"/>
      <c r="AK160" s="339"/>
      <c r="AL160" s="197"/>
    </row>
    <row r="161" spans="1:38" ht="18.75" x14ac:dyDescent="0.3">
      <c r="A161" s="383">
        <v>215</v>
      </c>
      <c r="B161" s="131"/>
      <c r="C161" s="135"/>
      <c r="D161" s="121"/>
      <c r="E161" s="121"/>
      <c r="F161" s="118"/>
      <c r="G161" s="121"/>
      <c r="H161" s="121"/>
      <c r="I161" s="37"/>
      <c r="J161" s="121"/>
      <c r="K161" s="121"/>
      <c r="L161" s="121"/>
      <c r="M161" s="121"/>
      <c r="N161" s="121"/>
      <c r="O161" s="121"/>
      <c r="P161" s="172"/>
      <c r="Q161" s="37"/>
      <c r="R161" s="131"/>
      <c r="S161" s="118"/>
      <c r="T161" s="118"/>
      <c r="U161" s="1"/>
      <c r="V161" s="118"/>
      <c r="W161" s="57"/>
      <c r="X161" s="57"/>
      <c r="Y161" s="37"/>
      <c r="Z161" s="118"/>
      <c r="AA161" s="1"/>
      <c r="AB161" s="1"/>
      <c r="AC161" s="1"/>
      <c r="AD161" s="1"/>
      <c r="AE161" s="118"/>
      <c r="AF161" s="118"/>
      <c r="AG161" s="118"/>
      <c r="AH161" s="118"/>
      <c r="AI161" s="118"/>
      <c r="AJ161" s="37"/>
      <c r="AK161" s="339"/>
      <c r="AL161" s="197"/>
    </row>
    <row r="162" spans="1:38" ht="15.75" thickBot="1" x14ac:dyDescent="0.3">
      <c r="A162" s="384">
        <v>216</v>
      </c>
      <c r="B162" s="152"/>
      <c r="C162" s="171"/>
      <c r="D162" s="128"/>
      <c r="E162" s="128"/>
      <c r="F162" s="128"/>
      <c r="G162" s="390"/>
      <c r="H162" s="128"/>
      <c r="I162" s="43"/>
      <c r="J162" s="128"/>
      <c r="K162" s="390"/>
      <c r="L162" s="390"/>
      <c r="M162" s="390"/>
      <c r="N162" s="128"/>
      <c r="O162" s="122"/>
      <c r="P162" s="206"/>
      <c r="Q162" s="43"/>
      <c r="R162" s="152"/>
      <c r="S162" s="119"/>
      <c r="T162" s="119"/>
      <c r="U162" s="123"/>
      <c r="V162" s="119"/>
      <c r="W162" s="178"/>
      <c r="X162" s="178"/>
      <c r="Y162" s="43"/>
      <c r="Z162" s="387"/>
      <c r="AA162" s="119"/>
      <c r="AB162" s="123"/>
      <c r="AC162" s="123"/>
      <c r="AD162" s="123"/>
      <c r="AE162" s="119"/>
      <c r="AF162" s="119"/>
      <c r="AG162" s="119"/>
      <c r="AH162" s="119"/>
      <c r="AI162" s="119"/>
      <c r="AJ162" s="43"/>
      <c r="AK162" s="44"/>
      <c r="AL162" s="204"/>
    </row>
    <row r="163" spans="1:38" ht="18.75" x14ac:dyDescent="0.3">
      <c r="A163" s="281" t="s">
        <v>2</v>
      </c>
      <c r="B163" s="163"/>
      <c r="C163" s="163"/>
      <c r="D163" s="163"/>
      <c r="E163" s="163"/>
      <c r="F163" s="163"/>
      <c r="G163" s="163"/>
      <c r="H163" s="163"/>
      <c r="I163" s="158"/>
      <c r="J163" s="163"/>
      <c r="K163" s="163"/>
      <c r="L163" s="163"/>
      <c r="M163" s="163"/>
      <c r="N163" s="163"/>
      <c r="O163" s="163"/>
      <c r="P163" s="163"/>
      <c r="Q163" s="221"/>
      <c r="R163" s="163"/>
      <c r="S163" s="163"/>
      <c r="T163" s="163"/>
      <c r="U163" s="163"/>
      <c r="V163" s="163"/>
      <c r="W163" s="163"/>
      <c r="X163" s="163"/>
      <c r="Y163" s="221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262"/>
      <c r="AK163" s="263"/>
      <c r="AL163" s="235"/>
    </row>
    <row r="164" spans="1:38" ht="15.75" thickBot="1" x14ac:dyDescent="0.3">
      <c r="A164" s="264"/>
      <c r="B164" s="265"/>
      <c r="C164" s="265"/>
      <c r="D164" s="265"/>
      <c r="E164" s="265"/>
      <c r="F164" s="265"/>
      <c r="G164" s="265"/>
      <c r="H164" s="265"/>
      <c r="I164" s="56"/>
      <c r="J164" s="265"/>
      <c r="K164" s="265"/>
      <c r="L164" s="265"/>
      <c r="M164" s="265"/>
      <c r="N164" s="265"/>
      <c r="O164" s="265"/>
      <c r="P164" s="265"/>
      <c r="Q164" s="56"/>
      <c r="R164" s="265"/>
      <c r="S164" s="265"/>
      <c r="T164" s="265"/>
      <c r="U164" s="265"/>
      <c r="V164" s="265"/>
      <c r="W164" s="265"/>
      <c r="X164" s="265"/>
      <c r="Y164" s="56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56"/>
      <c r="AK164" s="225"/>
      <c r="AL164" s="228"/>
    </row>
    <row r="165" spans="1:38" ht="24" thickBot="1" x14ac:dyDescent="0.4">
      <c r="A165" s="252" t="s">
        <v>214</v>
      </c>
      <c r="B165" s="258"/>
      <c r="C165" s="258"/>
      <c r="D165" s="258"/>
      <c r="E165" s="258"/>
      <c r="F165" s="258"/>
      <c r="G165" s="254"/>
      <c r="H165" s="254"/>
      <c r="I165" s="259"/>
      <c r="J165" s="259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60"/>
      <c r="AK165" s="261"/>
      <c r="AL165" s="255"/>
    </row>
    <row r="166" spans="1:38" ht="15.75" x14ac:dyDescent="0.25">
      <c r="A166" s="320" t="s">
        <v>8</v>
      </c>
      <c r="B166" s="326"/>
      <c r="C166" s="326"/>
      <c r="D166" s="326"/>
      <c r="E166" s="326"/>
      <c r="F166" s="326"/>
      <c r="G166" s="326"/>
      <c r="H166" s="326"/>
      <c r="I166" s="323"/>
      <c r="J166" s="326"/>
      <c r="K166" s="326"/>
      <c r="L166" s="326"/>
      <c r="M166" s="326"/>
      <c r="N166" s="326"/>
      <c r="O166" s="326"/>
      <c r="P166" s="326"/>
      <c r="Q166" s="323"/>
      <c r="R166" s="326"/>
      <c r="S166" s="326"/>
      <c r="T166" s="326"/>
      <c r="U166" s="326"/>
      <c r="V166" s="326"/>
      <c r="W166" s="326"/>
      <c r="X166" s="326"/>
      <c r="Y166" s="323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4"/>
      <c r="AK166" s="325"/>
      <c r="AL166" s="327"/>
    </row>
    <row r="167" spans="1:38" ht="15" customHeight="1" x14ac:dyDescent="0.25">
      <c r="A167" s="67" t="s">
        <v>9</v>
      </c>
      <c r="B167" s="1"/>
      <c r="C167" s="1"/>
      <c r="D167" s="1"/>
      <c r="E167" s="1"/>
      <c r="F167" s="1"/>
      <c r="G167" s="1"/>
      <c r="H167" s="1"/>
      <c r="I167" s="36"/>
      <c r="J167" s="1"/>
      <c r="K167" s="1"/>
      <c r="L167" s="173"/>
      <c r="M167" s="1"/>
      <c r="N167" s="1"/>
      <c r="O167" s="1"/>
      <c r="P167" s="1"/>
      <c r="Q167" s="36"/>
      <c r="R167" s="1"/>
      <c r="S167" s="1"/>
      <c r="T167" s="1"/>
      <c r="U167" s="1"/>
      <c r="V167" s="173"/>
      <c r="W167" s="173"/>
      <c r="X167" s="173"/>
      <c r="Y167" s="36"/>
      <c r="Z167" s="1"/>
      <c r="AA167" s="1"/>
      <c r="AB167" s="173"/>
      <c r="AC167" s="173"/>
      <c r="AD167" s="173"/>
      <c r="AE167" s="1"/>
      <c r="AF167" s="1"/>
      <c r="AG167" s="1"/>
      <c r="AH167" s="1"/>
      <c r="AI167" s="1"/>
      <c r="AJ167" s="37"/>
      <c r="AK167" s="38"/>
      <c r="AL167" s="197"/>
    </row>
    <row r="168" spans="1:38" x14ac:dyDescent="0.25">
      <c r="A168" s="67" t="s">
        <v>10</v>
      </c>
      <c r="B168" s="118"/>
      <c r="C168" s="118"/>
      <c r="D168" s="118"/>
      <c r="E168" s="118"/>
      <c r="F168" s="118"/>
      <c r="G168" s="118"/>
      <c r="H168" s="118"/>
      <c r="I168" s="37"/>
      <c r="J168" s="2"/>
      <c r="K168" s="2"/>
      <c r="L168" s="211"/>
      <c r="M168" s="2"/>
      <c r="N168" s="2"/>
      <c r="O168" s="2"/>
      <c r="P168" s="336"/>
      <c r="Q168" s="37"/>
      <c r="R168" s="118"/>
      <c r="S168" s="118"/>
      <c r="T168" s="118"/>
      <c r="U168" s="2"/>
      <c r="V168" s="211"/>
      <c r="W168" s="211"/>
      <c r="X168" s="211"/>
      <c r="Y168" s="37"/>
      <c r="Z168" s="118"/>
      <c r="AA168" s="118"/>
      <c r="AB168" s="211"/>
      <c r="AC168" s="211"/>
      <c r="AD168" s="211"/>
      <c r="AE168" s="2"/>
      <c r="AF168" s="2"/>
      <c r="AG168" s="2"/>
      <c r="AH168" s="2"/>
      <c r="AI168" s="2"/>
      <c r="AJ168" s="37"/>
      <c r="AK168" s="38"/>
      <c r="AL168" s="197"/>
    </row>
    <row r="169" spans="1:38" ht="18.75" x14ac:dyDescent="0.3">
      <c r="A169" s="67" t="s">
        <v>45</v>
      </c>
      <c r="B169" s="118"/>
      <c r="C169" s="118"/>
      <c r="D169" s="118"/>
      <c r="E169" s="118"/>
      <c r="F169" s="118"/>
      <c r="G169" s="118"/>
      <c r="H169" s="118"/>
      <c r="I169" s="37"/>
      <c r="J169" s="2"/>
      <c r="K169" s="2"/>
      <c r="L169" s="211"/>
      <c r="M169" s="2"/>
      <c r="N169" s="2"/>
      <c r="O169" s="2"/>
      <c r="P169" s="336"/>
      <c r="Q169" s="37"/>
      <c r="R169" s="118"/>
      <c r="S169" s="118"/>
      <c r="T169" s="118"/>
      <c r="U169" s="2"/>
      <c r="V169" s="211"/>
      <c r="W169" s="211"/>
      <c r="X169" s="211"/>
      <c r="Y169" s="37"/>
      <c r="Z169" s="118"/>
      <c r="AA169" s="118"/>
      <c r="AB169" s="211"/>
      <c r="AC169" s="211"/>
      <c r="AD169" s="211"/>
      <c r="AE169" s="2"/>
      <c r="AF169" s="2"/>
      <c r="AG169" s="2"/>
      <c r="AH169" s="2"/>
      <c r="AI169" s="2"/>
      <c r="AJ169" s="37"/>
      <c r="AK169" s="339"/>
      <c r="AL169" s="197"/>
    </row>
    <row r="170" spans="1:38" ht="18.75" x14ac:dyDescent="0.3">
      <c r="A170" s="67" t="s">
        <v>11</v>
      </c>
      <c r="B170" s="118"/>
      <c r="C170" s="118"/>
      <c r="D170" s="118"/>
      <c r="E170" s="118"/>
      <c r="F170" s="118"/>
      <c r="G170" s="118"/>
      <c r="H170" s="118"/>
      <c r="I170" s="37"/>
      <c r="J170" s="2"/>
      <c r="K170" s="118"/>
      <c r="L170" s="211"/>
      <c r="M170" s="118"/>
      <c r="N170" s="118"/>
      <c r="O170" s="2"/>
      <c r="P170" s="1"/>
      <c r="Q170" s="37"/>
      <c r="R170" s="118"/>
      <c r="S170" s="118"/>
      <c r="T170" s="118"/>
      <c r="U170" s="2"/>
      <c r="V170" s="211"/>
      <c r="W170" s="211"/>
      <c r="X170" s="211"/>
      <c r="Y170" s="37"/>
      <c r="Z170" s="118"/>
      <c r="AA170" s="118"/>
      <c r="AB170" s="211"/>
      <c r="AC170" s="211"/>
      <c r="AD170" s="211"/>
      <c r="AE170" s="1"/>
      <c r="AF170" s="2"/>
      <c r="AG170" s="2"/>
      <c r="AH170" s="2"/>
      <c r="AI170" s="2"/>
      <c r="AJ170" s="37"/>
      <c r="AK170" s="339"/>
      <c r="AL170" s="197"/>
    </row>
    <row r="171" spans="1:38" ht="18.75" x14ac:dyDescent="0.3">
      <c r="A171" s="67" t="s">
        <v>12</v>
      </c>
      <c r="B171" s="118"/>
      <c r="C171" s="118"/>
      <c r="D171" s="118"/>
      <c r="E171" s="118"/>
      <c r="F171" s="118"/>
      <c r="G171" s="118"/>
      <c r="H171" s="118"/>
      <c r="I171" s="37"/>
      <c r="J171" s="118"/>
      <c r="K171" s="118"/>
      <c r="L171" s="211"/>
      <c r="M171" s="2"/>
      <c r="N171" s="2"/>
      <c r="O171" s="118"/>
      <c r="P171" s="1"/>
      <c r="Q171" s="37"/>
      <c r="R171" s="118"/>
      <c r="S171" s="118"/>
      <c r="T171" s="118"/>
      <c r="U171" s="1"/>
      <c r="V171" s="211"/>
      <c r="W171" s="211"/>
      <c r="X171" s="211"/>
      <c r="Y171" s="37"/>
      <c r="Z171" s="118"/>
      <c r="AA171" s="118"/>
      <c r="AB171" s="211"/>
      <c r="AC171" s="211"/>
      <c r="AD171" s="211"/>
      <c r="AE171" s="2"/>
      <c r="AF171" s="1"/>
      <c r="AG171" s="2"/>
      <c r="AH171" s="2"/>
      <c r="AI171" s="2"/>
      <c r="AJ171" s="37"/>
      <c r="AK171" s="339"/>
      <c r="AL171" s="197"/>
    </row>
    <row r="172" spans="1:38" ht="15.75" thickBot="1" x14ac:dyDescent="0.3">
      <c r="A172" s="63" t="s">
        <v>79</v>
      </c>
      <c r="B172" s="119"/>
      <c r="C172" s="123"/>
      <c r="D172" s="119"/>
      <c r="E172" s="119"/>
      <c r="F172" s="119"/>
      <c r="G172" s="119"/>
      <c r="H172" s="119"/>
      <c r="I172" s="43"/>
      <c r="J172" s="119"/>
      <c r="K172" s="119"/>
      <c r="L172" s="200"/>
      <c r="M172" s="119"/>
      <c r="N172" s="119"/>
      <c r="O172" s="42"/>
      <c r="P172" s="123"/>
      <c r="Q172" s="43"/>
      <c r="R172" s="119"/>
      <c r="S172" s="119"/>
      <c r="T172" s="119"/>
      <c r="U172" s="42"/>
      <c r="V172" s="200"/>
      <c r="W172" s="200"/>
      <c r="X172" s="200"/>
      <c r="Y172" s="43"/>
      <c r="Z172" s="119"/>
      <c r="AA172" s="119"/>
      <c r="AB172" s="200"/>
      <c r="AC172" s="200"/>
      <c r="AD172" s="200"/>
      <c r="AE172" s="119"/>
      <c r="AF172" s="42"/>
      <c r="AG172" s="42"/>
      <c r="AH172" s="42"/>
      <c r="AI172" s="42"/>
      <c r="AJ172" s="43"/>
      <c r="AK172" s="44"/>
      <c r="AL172" s="204"/>
    </row>
    <row r="173" spans="1:38" ht="19.5" thickBot="1" x14ac:dyDescent="0.35">
      <c r="A173" s="281" t="s">
        <v>2</v>
      </c>
      <c r="B173" s="241"/>
      <c r="C173" s="241"/>
      <c r="D173" s="241"/>
      <c r="E173" s="241"/>
      <c r="F173" s="241"/>
      <c r="G173" s="241"/>
      <c r="H173" s="241"/>
      <c r="I173" s="221"/>
      <c r="J173" s="241"/>
      <c r="K173" s="241"/>
      <c r="L173" s="241"/>
      <c r="M173" s="241"/>
      <c r="N173" s="191"/>
      <c r="O173" s="191"/>
      <c r="P173" s="241"/>
      <c r="Q173" s="221"/>
      <c r="R173" s="241"/>
      <c r="S173" s="241"/>
      <c r="T173" s="241"/>
      <c r="U173" s="241"/>
      <c r="V173" s="241"/>
      <c r="W173" s="241"/>
      <c r="X173" s="241"/>
      <c r="Y173" s="221"/>
      <c r="Z173" s="241"/>
      <c r="AA173" s="191"/>
      <c r="AB173" s="241"/>
      <c r="AC173" s="241"/>
      <c r="AD173" s="241"/>
      <c r="AE173" s="241"/>
      <c r="AF173" s="241"/>
      <c r="AG173" s="191"/>
      <c r="AH173" s="191"/>
      <c r="AI173" s="191"/>
      <c r="AJ173" s="262"/>
      <c r="AK173" s="263"/>
      <c r="AL173" s="284"/>
    </row>
    <row r="174" spans="1:38" ht="15.75" thickBot="1" x14ac:dyDescent="0.3">
      <c r="A174" s="264"/>
      <c r="B174" s="348"/>
      <c r="C174" s="348"/>
      <c r="D174" s="348"/>
      <c r="E174" s="348"/>
      <c r="F174" s="348"/>
      <c r="G174" s="348"/>
      <c r="H174" s="348"/>
      <c r="I174" s="56"/>
      <c r="J174" s="348"/>
      <c r="K174" s="348"/>
      <c r="L174" s="348"/>
      <c r="M174" s="348"/>
      <c r="N174" s="348"/>
      <c r="O174" s="348"/>
      <c r="P174" s="348"/>
      <c r="Q174" s="56"/>
      <c r="R174" s="348"/>
      <c r="S174" s="348"/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228"/>
    </row>
    <row r="175" spans="1:38" ht="24" thickBot="1" x14ac:dyDescent="0.4">
      <c r="A175" s="252" t="s">
        <v>215</v>
      </c>
      <c r="B175" s="258"/>
      <c r="C175" s="258"/>
      <c r="D175" s="258"/>
      <c r="E175" s="258"/>
      <c r="F175" s="258"/>
      <c r="G175" s="254"/>
      <c r="H175" s="254"/>
      <c r="I175" s="259"/>
      <c r="J175" s="259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60"/>
      <c r="AK175" s="261"/>
      <c r="AL175" s="260"/>
    </row>
    <row r="176" spans="1:38" ht="15.75" x14ac:dyDescent="0.25">
      <c r="A176" s="320" t="s">
        <v>8</v>
      </c>
      <c r="B176" s="326"/>
      <c r="C176" s="326"/>
      <c r="D176" s="326"/>
      <c r="E176" s="326"/>
      <c r="F176" s="326"/>
      <c r="G176" s="326"/>
      <c r="H176" s="326"/>
      <c r="I176" s="323"/>
      <c r="J176" s="326"/>
      <c r="K176" s="326"/>
      <c r="L176" s="326"/>
      <c r="M176" s="326"/>
      <c r="N176" s="326"/>
      <c r="O176" s="326"/>
      <c r="P176" s="326"/>
      <c r="Q176" s="323"/>
      <c r="R176" s="326"/>
      <c r="S176" s="326"/>
      <c r="T176" s="326"/>
      <c r="U176" s="326"/>
      <c r="V176" s="326"/>
      <c r="W176" s="326"/>
      <c r="X176" s="326"/>
      <c r="Y176" s="323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4"/>
      <c r="AK176" s="325"/>
      <c r="AL176" s="327"/>
    </row>
    <row r="177" spans="1:38" ht="18.75" x14ac:dyDescent="0.3">
      <c r="A177" s="67" t="s">
        <v>29</v>
      </c>
      <c r="B177" s="118"/>
      <c r="C177" s="118"/>
      <c r="D177" s="118"/>
      <c r="E177" s="118"/>
      <c r="F177" s="118"/>
      <c r="G177" s="118"/>
      <c r="H177" s="118"/>
      <c r="I177" s="37"/>
      <c r="J177" s="118"/>
      <c r="K177" s="118"/>
      <c r="L177" s="161"/>
      <c r="M177" s="118"/>
      <c r="N177" s="118"/>
      <c r="O177" s="2"/>
      <c r="P177" s="2"/>
      <c r="Q177" s="37"/>
      <c r="R177" s="161"/>
      <c r="S177" s="118"/>
      <c r="T177" s="118"/>
      <c r="U177" s="118"/>
      <c r="V177" s="118"/>
      <c r="W177" s="57"/>
      <c r="X177" s="57"/>
      <c r="Y177" s="37"/>
      <c r="Z177" s="118"/>
      <c r="AA177" s="118"/>
      <c r="AB177" s="161"/>
      <c r="AC177" s="161"/>
      <c r="AD177" s="161"/>
      <c r="AE177" s="2"/>
      <c r="AF177" s="2"/>
      <c r="AG177" s="2"/>
      <c r="AH177" s="2"/>
      <c r="AI177" s="2"/>
      <c r="AJ177" s="37"/>
      <c r="AK177" s="339"/>
      <c r="AL177" s="197"/>
    </row>
    <row r="178" spans="1:38" ht="18.75" x14ac:dyDescent="0.3">
      <c r="A178" s="67" t="s">
        <v>13</v>
      </c>
      <c r="B178" s="118"/>
      <c r="C178" s="1"/>
      <c r="D178" s="118"/>
      <c r="E178" s="118"/>
      <c r="F178" s="118"/>
      <c r="G178" s="118"/>
      <c r="H178" s="118"/>
      <c r="I178" s="37"/>
      <c r="J178" s="2"/>
      <c r="K178" s="2"/>
      <c r="L178" s="161"/>
      <c r="M178" s="2"/>
      <c r="N178" s="2"/>
      <c r="O178" s="118"/>
      <c r="P178" s="118"/>
      <c r="Q178" s="37"/>
      <c r="R178" s="161"/>
      <c r="S178" s="2"/>
      <c r="T178" s="2"/>
      <c r="U178" s="2"/>
      <c r="V178" s="2"/>
      <c r="W178" s="57"/>
      <c r="X178" s="57"/>
      <c r="Y178" s="37"/>
      <c r="Z178" s="2"/>
      <c r="AA178" s="2"/>
      <c r="AB178" s="161"/>
      <c r="AC178" s="161"/>
      <c r="AD178" s="161"/>
      <c r="AE178" s="1"/>
      <c r="AF178" s="118"/>
      <c r="AG178" s="2"/>
      <c r="AH178" s="2"/>
      <c r="AI178" s="2"/>
      <c r="AJ178" s="37"/>
      <c r="AK178" s="339"/>
      <c r="AL178" s="197"/>
    </row>
    <row r="179" spans="1:38" ht="18.75" x14ac:dyDescent="0.3">
      <c r="A179" s="63" t="s">
        <v>14</v>
      </c>
      <c r="B179" s="119"/>
      <c r="C179" s="119"/>
      <c r="D179" s="119"/>
      <c r="E179" s="119"/>
      <c r="F179" s="119"/>
      <c r="G179" s="119"/>
      <c r="H179" s="119"/>
      <c r="I179" s="43"/>
      <c r="J179" s="42"/>
      <c r="K179" s="42"/>
      <c r="L179" s="177"/>
      <c r="M179" s="42"/>
      <c r="N179" s="42"/>
      <c r="O179" s="42"/>
      <c r="P179" s="42"/>
      <c r="Q179" s="43"/>
      <c r="R179" s="177"/>
      <c r="S179" s="42"/>
      <c r="T179" s="42"/>
      <c r="U179" s="42"/>
      <c r="V179" s="42"/>
      <c r="W179" s="178"/>
      <c r="X179" s="178"/>
      <c r="Y179" s="43"/>
      <c r="Z179" s="42"/>
      <c r="AA179" s="42"/>
      <c r="AB179" s="177"/>
      <c r="AC179" s="177"/>
      <c r="AD179" s="177"/>
      <c r="AE179" s="42"/>
      <c r="AF179" s="42"/>
      <c r="AG179" s="42"/>
      <c r="AH179" s="42"/>
      <c r="AI179" s="42"/>
      <c r="AJ179" s="43"/>
      <c r="AK179" s="342"/>
      <c r="AL179" s="204"/>
    </row>
    <row r="180" spans="1:38" ht="19.5" thickBot="1" x14ac:dyDescent="0.35">
      <c r="A180" s="349"/>
      <c r="B180" s="175"/>
      <c r="C180" s="175"/>
      <c r="D180" s="175"/>
      <c r="E180" s="175"/>
      <c r="F180" s="175"/>
      <c r="G180" s="175"/>
      <c r="H180" s="175"/>
      <c r="I180" s="127"/>
      <c r="J180" s="245"/>
      <c r="K180" s="245"/>
      <c r="L180" s="175"/>
      <c r="M180" s="245"/>
      <c r="N180" s="245"/>
      <c r="O180" s="245"/>
      <c r="P180" s="245"/>
      <c r="Q180" s="45"/>
      <c r="R180" s="175"/>
      <c r="S180" s="245"/>
      <c r="T180" s="245"/>
      <c r="U180" s="245"/>
      <c r="V180" s="245"/>
      <c r="W180" s="175"/>
      <c r="X180" s="175"/>
      <c r="Y180" s="45"/>
      <c r="Z180" s="245"/>
      <c r="AA180" s="245"/>
      <c r="AB180" s="438"/>
      <c r="AC180" s="438"/>
      <c r="AD180" s="438"/>
      <c r="AE180" s="245"/>
      <c r="AF180" s="245"/>
      <c r="AG180" s="245"/>
      <c r="AH180" s="245"/>
      <c r="AI180" s="245"/>
      <c r="AJ180" s="43"/>
      <c r="AK180" s="293"/>
      <c r="AL180" s="204"/>
    </row>
    <row r="181" spans="1:38" ht="18.75" x14ac:dyDescent="0.3">
      <c r="A181" s="281" t="s">
        <v>2</v>
      </c>
      <c r="B181" s="163"/>
      <c r="C181" s="163"/>
      <c r="D181" s="163"/>
      <c r="E181" s="163"/>
      <c r="F181" s="163"/>
      <c r="G181" s="163"/>
      <c r="H181" s="163"/>
      <c r="I181" s="221"/>
      <c r="J181" s="163"/>
      <c r="K181" s="163"/>
      <c r="L181" s="163"/>
      <c r="M181" s="163"/>
      <c r="N181" s="163"/>
      <c r="O181" s="163"/>
      <c r="P181" s="163"/>
      <c r="Q181" s="221"/>
      <c r="R181" s="163"/>
      <c r="S181" s="163"/>
      <c r="T181" s="163"/>
      <c r="U181" s="163"/>
      <c r="V181" s="163"/>
      <c r="W181" s="163"/>
      <c r="X181" s="163"/>
      <c r="Y181" s="221"/>
      <c r="Z181" s="163"/>
      <c r="AA181" s="163"/>
      <c r="AB181" s="163"/>
      <c r="AC181" s="163"/>
      <c r="AD181" s="163"/>
      <c r="AE181" s="163"/>
      <c r="AF181" s="163"/>
      <c r="AG181" s="50"/>
      <c r="AH181" s="50"/>
      <c r="AI181" s="50"/>
      <c r="AJ181" s="262"/>
      <c r="AK181" s="263"/>
      <c r="AL181" s="235"/>
    </row>
    <row r="182" spans="1:38" ht="15.75" thickBot="1" x14ac:dyDescent="0.3">
      <c r="A182" s="264"/>
      <c r="B182" s="265"/>
      <c r="C182" s="265"/>
      <c r="D182" s="265"/>
      <c r="E182" s="265"/>
      <c r="F182" s="265"/>
      <c r="G182" s="265"/>
      <c r="H182" s="265"/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</row>
    <row r="183" spans="1:38" ht="24" thickBot="1" x14ac:dyDescent="0.4">
      <c r="A183" s="252" t="s">
        <v>216</v>
      </c>
      <c r="B183" s="258"/>
      <c r="C183" s="258"/>
      <c r="D183" s="258"/>
      <c r="E183" s="258"/>
      <c r="F183" s="258"/>
      <c r="G183" s="254"/>
      <c r="H183" s="254"/>
      <c r="I183" s="259"/>
      <c r="J183" s="259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60"/>
      <c r="AK183" s="261"/>
      <c r="AL183" s="260"/>
    </row>
    <row r="184" spans="1:38" ht="15.75" x14ac:dyDescent="0.25">
      <c r="A184" s="320" t="s">
        <v>8</v>
      </c>
      <c r="B184" s="326"/>
      <c r="C184" s="326"/>
      <c r="D184" s="326"/>
      <c r="E184" s="326"/>
      <c r="F184" s="326"/>
      <c r="G184" s="326"/>
      <c r="H184" s="326"/>
      <c r="I184" s="323"/>
      <c r="J184" s="326"/>
      <c r="K184" s="326"/>
      <c r="L184" s="326"/>
      <c r="M184" s="326"/>
      <c r="N184" s="326"/>
      <c r="O184" s="326"/>
      <c r="P184" s="326"/>
      <c r="Q184" s="323"/>
      <c r="R184" s="326"/>
      <c r="S184" s="326"/>
      <c r="T184" s="326"/>
      <c r="U184" s="326"/>
      <c r="V184" s="326"/>
      <c r="W184" s="326"/>
      <c r="X184" s="326"/>
      <c r="Y184" s="323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4"/>
      <c r="AK184" s="325"/>
      <c r="AL184" s="327"/>
    </row>
    <row r="185" spans="1:38" x14ac:dyDescent="0.25">
      <c r="A185" s="67" t="s">
        <v>32</v>
      </c>
      <c r="B185" s="118"/>
      <c r="C185" s="118"/>
      <c r="D185" s="1"/>
      <c r="E185" s="1"/>
      <c r="F185" s="118"/>
      <c r="G185" s="118"/>
      <c r="H185" s="118"/>
      <c r="I185" s="37"/>
      <c r="J185" s="118"/>
      <c r="K185" s="2"/>
      <c r="L185" s="1"/>
      <c r="M185" s="1"/>
      <c r="N185" s="1"/>
      <c r="O185" s="2"/>
      <c r="P185" s="2"/>
      <c r="Q185" s="37"/>
      <c r="R185" s="161"/>
      <c r="S185" s="2"/>
      <c r="T185" s="2"/>
      <c r="U185" s="2"/>
      <c r="V185" s="1"/>
      <c r="W185" s="57"/>
      <c r="X185" s="57"/>
      <c r="Y185" s="37"/>
      <c r="Z185" s="2"/>
      <c r="AA185" s="1"/>
      <c r="AB185" s="161"/>
      <c r="AC185" s="161"/>
      <c r="AD185" s="161"/>
      <c r="AE185" s="57"/>
      <c r="AF185" s="161"/>
      <c r="AG185" s="2"/>
      <c r="AH185" s="2"/>
      <c r="AI185" s="2"/>
      <c r="AJ185" s="37"/>
      <c r="AK185" s="38"/>
      <c r="AL185" s="197"/>
    </row>
    <row r="186" spans="1:38" x14ac:dyDescent="0.25">
      <c r="A186" s="67" t="s">
        <v>15</v>
      </c>
      <c r="B186" s="118"/>
      <c r="C186" s="118"/>
      <c r="D186" s="118"/>
      <c r="E186" s="118"/>
      <c r="F186" s="118"/>
      <c r="G186" s="118"/>
      <c r="H186" s="118"/>
      <c r="I186" s="37"/>
      <c r="J186" s="118"/>
      <c r="K186" s="2"/>
      <c r="L186" s="2"/>
      <c r="M186" s="336"/>
      <c r="N186" s="2"/>
      <c r="O186" s="2"/>
      <c r="P186" s="2"/>
      <c r="Q186" s="37"/>
      <c r="R186" s="161"/>
      <c r="S186" s="2"/>
      <c r="T186" s="2"/>
      <c r="U186" s="2"/>
      <c r="V186" s="2"/>
      <c r="W186" s="57"/>
      <c r="X186" s="57"/>
      <c r="Y186" s="37"/>
      <c r="Z186" s="1"/>
      <c r="AA186" s="2"/>
      <c r="AB186" s="161"/>
      <c r="AC186" s="161"/>
      <c r="AD186" s="161"/>
      <c r="AE186" s="161"/>
      <c r="AF186" s="161"/>
      <c r="AG186" s="2"/>
      <c r="AH186" s="2"/>
      <c r="AI186" s="2"/>
      <c r="AJ186" s="37"/>
      <c r="AK186" s="38"/>
      <c r="AL186" s="197"/>
    </row>
    <row r="187" spans="1:38" x14ac:dyDescent="0.25">
      <c r="A187" s="67" t="s">
        <v>34</v>
      </c>
      <c r="B187" s="118"/>
      <c r="C187" s="118"/>
      <c r="D187" s="118"/>
      <c r="E187" s="118"/>
      <c r="F187" s="118"/>
      <c r="G187" s="118"/>
      <c r="H187" s="118"/>
      <c r="I187" s="37"/>
      <c r="J187" s="118"/>
      <c r="K187" s="2"/>
      <c r="L187" s="2"/>
      <c r="M187" s="336"/>
      <c r="N187" s="2"/>
      <c r="O187" s="2"/>
      <c r="P187" s="2"/>
      <c r="Q187" s="37"/>
      <c r="R187" s="161"/>
      <c r="S187" s="2"/>
      <c r="T187" s="2"/>
      <c r="U187" s="2"/>
      <c r="V187" s="2"/>
      <c r="W187" s="57"/>
      <c r="X187" s="57"/>
      <c r="Y187" s="37"/>
      <c r="Z187" s="2"/>
      <c r="AA187" s="2"/>
      <c r="AB187" s="161"/>
      <c r="AC187" s="161"/>
      <c r="AD187" s="161"/>
      <c r="AE187" s="161"/>
      <c r="AF187" s="161"/>
      <c r="AG187" s="2"/>
      <c r="AH187" s="2"/>
      <c r="AI187" s="2"/>
      <c r="AJ187" s="37"/>
      <c r="AK187" s="38"/>
      <c r="AL187" s="197"/>
    </row>
    <row r="188" spans="1:38" x14ac:dyDescent="0.25">
      <c r="A188" s="67" t="s">
        <v>31</v>
      </c>
      <c r="B188" s="1"/>
      <c r="C188" s="118"/>
      <c r="D188" s="118"/>
      <c r="E188" s="118"/>
      <c r="F188" s="118"/>
      <c r="G188" s="118"/>
      <c r="H188" s="118"/>
      <c r="I188" s="37"/>
      <c r="J188" s="118"/>
      <c r="K188" s="2"/>
      <c r="L188" s="2"/>
      <c r="M188" s="336"/>
      <c r="N188" s="2"/>
      <c r="O188" s="2"/>
      <c r="P188" s="2"/>
      <c r="Q188" s="37"/>
      <c r="R188" s="161"/>
      <c r="S188" s="2"/>
      <c r="T188" s="2"/>
      <c r="U188" s="2"/>
      <c r="V188" s="2"/>
      <c r="W188" s="57"/>
      <c r="X188" s="57"/>
      <c r="Y188" s="37"/>
      <c r="Z188" s="2"/>
      <c r="AA188" s="2"/>
      <c r="AB188" s="161"/>
      <c r="AC188" s="161"/>
      <c r="AD188" s="161"/>
      <c r="AE188" s="161"/>
      <c r="AF188" s="161"/>
      <c r="AG188" s="2"/>
      <c r="AH188" s="2"/>
      <c r="AI188" s="2"/>
      <c r="AJ188" s="37"/>
      <c r="AK188" s="38"/>
      <c r="AL188" s="197"/>
    </row>
    <row r="189" spans="1:38" x14ac:dyDescent="0.25">
      <c r="A189" s="67" t="s">
        <v>30</v>
      </c>
      <c r="B189" s="118"/>
      <c r="C189" s="118"/>
      <c r="D189" s="118"/>
      <c r="E189" s="118"/>
      <c r="F189" s="118"/>
      <c r="G189" s="118"/>
      <c r="H189" s="118"/>
      <c r="I189" s="37"/>
      <c r="J189" s="118"/>
      <c r="K189" s="2"/>
      <c r="L189" s="2"/>
      <c r="M189" s="336"/>
      <c r="N189" s="2"/>
      <c r="O189" s="2"/>
      <c r="P189" s="2"/>
      <c r="Q189" s="37"/>
      <c r="R189" s="161"/>
      <c r="S189" s="2"/>
      <c r="T189" s="2"/>
      <c r="U189" s="2"/>
      <c r="V189" s="2"/>
      <c r="W189" s="57"/>
      <c r="X189" s="57"/>
      <c r="Y189" s="37"/>
      <c r="Z189" s="2"/>
      <c r="AA189" s="2"/>
      <c r="AB189" s="161"/>
      <c r="AC189" s="161"/>
      <c r="AD189" s="161"/>
      <c r="AE189" s="161"/>
      <c r="AF189" s="161"/>
      <c r="AG189" s="2"/>
      <c r="AH189" s="2"/>
      <c r="AI189" s="2"/>
      <c r="AJ189" s="37"/>
      <c r="AK189" s="38"/>
      <c r="AL189" s="197"/>
    </row>
    <row r="190" spans="1:38" x14ac:dyDescent="0.25">
      <c r="A190" s="67" t="s">
        <v>17</v>
      </c>
      <c r="B190" s="118"/>
      <c r="C190" s="118"/>
      <c r="D190" s="118"/>
      <c r="E190" s="118"/>
      <c r="F190" s="118"/>
      <c r="G190" s="118"/>
      <c r="H190" s="118"/>
      <c r="I190" s="37"/>
      <c r="J190" s="118"/>
      <c r="K190" s="118"/>
      <c r="L190" s="118"/>
      <c r="M190" s="336"/>
      <c r="N190" s="118"/>
      <c r="O190" s="118"/>
      <c r="P190" s="118"/>
      <c r="Q190" s="37"/>
      <c r="R190" s="161"/>
      <c r="S190" s="118"/>
      <c r="T190" s="118"/>
      <c r="U190" s="118"/>
      <c r="V190" s="2"/>
      <c r="W190" s="57"/>
      <c r="X190" s="57"/>
      <c r="Y190" s="37"/>
      <c r="Z190" s="118"/>
      <c r="AA190" s="2"/>
      <c r="AB190" s="161"/>
      <c r="AC190" s="161"/>
      <c r="AD190" s="161"/>
      <c r="AE190" s="161"/>
      <c r="AF190" s="161"/>
      <c r="AG190" s="2"/>
      <c r="AH190" s="2"/>
      <c r="AI190" s="2"/>
      <c r="AJ190" s="37"/>
      <c r="AK190" s="38"/>
      <c r="AL190" s="197"/>
    </row>
    <row r="191" spans="1:38" ht="18.75" x14ac:dyDescent="0.3">
      <c r="A191" s="67" t="s">
        <v>16</v>
      </c>
      <c r="B191" s="118"/>
      <c r="C191" s="118"/>
      <c r="D191" s="118"/>
      <c r="E191" s="118"/>
      <c r="F191" s="118"/>
      <c r="G191" s="118"/>
      <c r="H191" s="118"/>
      <c r="I191" s="37"/>
      <c r="J191" s="118"/>
      <c r="K191" s="2"/>
      <c r="L191" s="118"/>
      <c r="M191" s="336"/>
      <c r="N191" s="2"/>
      <c r="O191" s="2"/>
      <c r="P191" s="2"/>
      <c r="Q191" s="37"/>
      <c r="R191" s="161"/>
      <c r="S191" s="2"/>
      <c r="T191" s="2"/>
      <c r="U191" s="118"/>
      <c r="V191" s="2"/>
      <c r="W191" s="57"/>
      <c r="X191" s="57"/>
      <c r="Y191" s="37"/>
      <c r="Z191" s="2"/>
      <c r="AA191" s="2"/>
      <c r="AB191" s="161"/>
      <c r="AC191" s="161"/>
      <c r="AD191" s="161"/>
      <c r="AE191" s="161"/>
      <c r="AF191" s="161"/>
      <c r="AG191" s="2"/>
      <c r="AH191" s="2"/>
      <c r="AI191" s="2"/>
      <c r="AJ191" s="37"/>
      <c r="AK191" s="339"/>
      <c r="AL191" s="197"/>
    </row>
    <row r="192" spans="1:38" ht="18.75" x14ac:dyDescent="0.3">
      <c r="A192" s="67" t="s">
        <v>33</v>
      </c>
      <c r="B192" s="119"/>
      <c r="C192" s="119"/>
      <c r="D192" s="119"/>
      <c r="E192" s="119"/>
      <c r="F192" s="119"/>
      <c r="G192" s="119"/>
      <c r="H192" s="119"/>
      <c r="I192" s="43"/>
      <c r="J192" s="119"/>
      <c r="K192" s="42"/>
      <c r="L192" s="42"/>
      <c r="M192" s="366"/>
      <c r="N192" s="42"/>
      <c r="O192" s="42"/>
      <c r="P192" s="42"/>
      <c r="Q192" s="43"/>
      <c r="R192" s="177"/>
      <c r="S192" s="42"/>
      <c r="T192" s="42"/>
      <c r="U192" s="42"/>
      <c r="V192" s="42"/>
      <c r="W192" s="178"/>
      <c r="X192" s="178"/>
      <c r="Y192" s="43"/>
      <c r="Z192" s="42"/>
      <c r="AA192" s="42"/>
      <c r="AB192" s="177"/>
      <c r="AC192" s="177"/>
      <c r="AD192" s="178"/>
      <c r="AE192" s="177"/>
      <c r="AF192" s="177"/>
      <c r="AG192" s="42"/>
      <c r="AH192" s="42"/>
      <c r="AI192" s="42"/>
      <c r="AJ192" s="43"/>
      <c r="AK192" s="342"/>
      <c r="AL192" s="204"/>
    </row>
    <row r="193" spans="1:38" ht="18.75" x14ac:dyDescent="0.3">
      <c r="A193" s="63" t="s">
        <v>18</v>
      </c>
      <c r="B193" s="135"/>
      <c r="C193" s="135"/>
      <c r="D193" s="135"/>
      <c r="E193" s="135"/>
      <c r="F193" s="135"/>
      <c r="G193" s="135"/>
      <c r="H193" s="135"/>
      <c r="I193" s="47"/>
      <c r="J193" s="135"/>
      <c r="K193" s="124"/>
      <c r="L193" s="124"/>
      <c r="M193" s="124"/>
      <c r="N193" s="124"/>
      <c r="O193" s="124"/>
      <c r="P193" s="124"/>
      <c r="Q193" s="47"/>
      <c r="R193" s="135"/>
      <c r="S193" s="124"/>
      <c r="T193" s="135"/>
      <c r="U193" s="124"/>
      <c r="V193" s="124"/>
      <c r="W193" s="135"/>
      <c r="X193" s="135"/>
      <c r="Y193" s="47"/>
      <c r="Z193" s="124"/>
      <c r="AA193" s="124"/>
      <c r="AB193" s="135"/>
      <c r="AC193" s="135"/>
      <c r="AD193" s="135"/>
      <c r="AE193" s="135"/>
      <c r="AF193" s="135"/>
      <c r="AG193" s="124"/>
      <c r="AH193" s="124"/>
      <c r="AI193" s="124"/>
      <c r="AJ193" s="37"/>
      <c r="AK193" s="378"/>
      <c r="AL193" s="197"/>
    </row>
    <row r="194" spans="1:38" x14ac:dyDescent="0.25">
      <c r="A194" s="63" t="s">
        <v>19</v>
      </c>
      <c r="B194" s="132"/>
      <c r="C194" s="132"/>
      <c r="D194" s="132"/>
      <c r="E194" s="132"/>
      <c r="F194" s="132"/>
      <c r="G194" s="132"/>
      <c r="H194" s="132"/>
      <c r="I194" s="43"/>
      <c r="J194" s="132"/>
      <c r="K194" s="132"/>
      <c r="L194" s="132"/>
      <c r="M194" s="151"/>
      <c r="N194" s="132"/>
      <c r="O194" s="132"/>
      <c r="P194" s="132"/>
      <c r="Q194" s="43"/>
      <c r="R194" s="164"/>
      <c r="S194" s="132"/>
      <c r="T194" s="132"/>
      <c r="U194" s="132"/>
      <c r="V194" s="132"/>
      <c r="W194" s="162"/>
      <c r="X194" s="162"/>
      <c r="Y194" s="43"/>
      <c r="Z194" s="132"/>
      <c r="AA194" s="132"/>
      <c r="AB194" s="164"/>
      <c r="AC194" s="164"/>
      <c r="AD194" s="164"/>
      <c r="AE194" s="164"/>
      <c r="AF194" s="164"/>
      <c r="AG194" s="132"/>
      <c r="AH194" s="132"/>
      <c r="AI194" s="132"/>
      <c r="AJ194" s="43"/>
      <c r="AK194" s="293"/>
      <c r="AL194" s="204"/>
    </row>
    <row r="195" spans="1:38" x14ac:dyDescent="0.25">
      <c r="A195" s="67" t="s">
        <v>102</v>
      </c>
      <c r="B195" s="112"/>
      <c r="C195" s="112"/>
      <c r="D195" s="112"/>
      <c r="E195" s="112"/>
      <c r="F195" s="112"/>
      <c r="G195" s="112"/>
      <c r="H195" s="112"/>
      <c r="I195" s="37"/>
      <c r="J195" s="112"/>
      <c r="K195" s="112"/>
      <c r="L195" s="112"/>
      <c r="M195" s="113"/>
      <c r="N195" s="112"/>
      <c r="O195" s="112"/>
      <c r="P195" s="112"/>
      <c r="Q195" s="37"/>
      <c r="R195" s="18"/>
      <c r="S195" s="112"/>
      <c r="T195" s="112"/>
      <c r="U195" s="112"/>
      <c r="V195" s="112"/>
      <c r="W195" s="115"/>
      <c r="X195" s="115"/>
      <c r="Y195" s="37"/>
      <c r="Z195" s="112"/>
      <c r="AA195" s="112"/>
      <c r="AB195" s="18"/>
      <c r="AC195" s="18"/>
      <c r="AD195" s="18"/>
      <c r="AE195" s="18"/>
      <c r="AF195" s="18"/>
      <c r="AG195" s="337"/>
      <c r="AH195" s="112"/>
      <c r="AI195" s="112"/>
      <c r="AJ195" s="37"/>
      <c r="AK195" s="3"/>
      <c r="AL195" s="197"/>
    </row>
    <row r="196" spans="1:38" ht="18.75" x14ac:dyDescent="0.3">
      <c r="A196" s="402" t="s">
        <v>2</v>
      </c>
      <c r="B196" s="199"/>
      <c r="C196" s="199"/>
      <c r="D196" s="199"/>
      <c r="E196" s="199"/>
      <c r="F196" s="199"/>
      <c r="G196" s="199"/>
      <c r="H196" s="199"/>
      <c r="I196" s="440"/>
      <c r="J196" s="199"/>
      <c r="K196" s="199"/>
      <c r="L196" s="199"/>
      <c r="M196" s="199"/>
      <c r="N196" s="199"/>
      <c r="O196" s="199"/>
      <c r="P196" s="199"/>
      <c r="Q196" s="440"/>
      <c r="R196" s="199"/>
      <c r="S196" s="199"/>
      <c r="T196" s="199"/>
      <c r="U196" s="199"/>
      <c r="V196" s="199"/>
      <c r="W196" s="199"/>
      <c r="X196" s="199"/>
      <c r="Y196" s="440"/>
      <c r="Z196" s="199"/>
      <c r="AA196" s="199"/>
      <c r="AB196" s="199"/>
      <c r="AC196" s="199"/>
      <c r="AD196" s="199"/>
      <c r="AE196" s="199"/>
      <c r="AF196" s="199"/>
      <c r="AG196" s="199"/>
      <c r="AH196" s="199"/>
      <c r="AI196" s="199"/>
      <c r="AJ196" s="439"/>
      <c r="AK196" s="441"/>
      <c r="AL196" s="442"/>
    </row>
    <row r="197" spans="1:38" ht="15.75" thickBot="1" x14ac:dyDescent="0.3">
      <c r="A197" s="264"/>
      <c r="B197" s="265"/>
      <c r="C197" s="265"/>
      <c r="D197" s="265"/>
      <c r="E197" s="265"/>
      <c r="F197" s="265"/>
      <c r="G197" s="265"/>
      <c r="H197" s="265"/>
      <c r="I197" s="56"/>
      <c r="J197" s="265"/>
      <c r="K197" s="265"/>
      <c r="L197" s="265"/>
      <c r="M197" s="265"/>
      <c r="N197" s="265"/>
      <c r="O197" s="265"/>
      <c r="P197" s="265"/>
      <c r="Q197" s="56"/>
      <c r="R197" s="265"/>
      <c r="S197" s="265"/>
      <c r="T197" s="265"/>
      <c r="U197" s="265"/>
      <c r="V197" s="265"/>
      <c r="W197" s="265"/>
      <c r="X197" s="265"/>
      <c r="Y197" s="56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56"/>
      <c r="AK197" s="225"/>
      <c r="AL197" s="228"/>
    </row>
    <row r="198" spans="1:38" ht="24" thickBot="1" x14ac:dyDescent="0.4">
      <c r="A198" s="294" t="s">
        <v>217</v>
      </c>
      <c r="B198" s="295"/>
      <c r="C198" s="295"/>
      <c r="D198" s="295"/>
      <c r="E198" s="295"/>
      <c r="F198" s="295"/>
      <c r="G198" s="296"/>
      <c r="H198" s="297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8"/>
      <c r="AA198" s="298"/>
      <c r="AB198" s="298"/>
      <c r="AC198" s="298"/>
      <c r="AD198" s="298"/>
      <c r="AE198" s="298"/>
      <c r="AF198" s="298"/>
      <c r="AG198" s="298"/>
      <c r="AH198" s="298"/>
      <c r="AI198" s="298"/>
      <c r="AJ198" s="299"/>
      <c r="AK198" s="300"/>
      <c r="AL198" s="301"/>
    </row>
    <row r="199" spans="1:38" ht="16.5" thickBot="1" x14ac:dyDescent="0.3">
      <c r="A199" s="319" t="s">
        <v>80</v>
      </c>
      <c r="B199" s="328"/>
      <c r="C199" s="328"/>
      <c r="D199" s="328"/>
      <c r="E199" s="328"/>
      <c r="F199" s="328"/>
      <c r="G199" s="328"/>
      <c r="H199" s="328"/>
      <c r="I199" s="329"/>
      <c r="J199" s="328"/>
      <c r="K199" s="328"/>
      <c r="L199" s="328"/>
      <c r="M199" s="328"/>
      <c r="N199" s="328"/>
      <c r="O199" s="328"/>
      <c r="P199" s="328"/>
      <c r="Q199" s="329"/>
      <c r="R199" s="328"/>
      <c r="S199" s="328"/>
      <c r="T199" s="328"/>
      <c r="U199" s="328"/>
      <c r="V199" s="328"/>
      <c r="W199" s="328"/>
      <c r="X199" s="328"/>
      <c r="Y199" s="329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9"/>
      <c r="AK199" s="345"/>
      <c r="AL199" s="331"/>
    </row>
    <row r="200" spans="1:38" ht="18.75" x14ac:dyDescent="0.3">
      <c r="A200" s="347" t="s">
        <v>81</v>
      </c>
      <c r="B200" s="303"/>
      <c r="C200" s="303"/>
      <c r="D200" s="303"/>
      <c r="E200" s="303"/>
      <c r="F200" s="303"/>
      <c r="G200" s="303"/>
      <c r="H200" s="303"/>
      <c r="I200" s="304"/>
      <c r="J200" s="303"/>
      <c r="K200" s="303"/>
      <c r="L200" s="303"/>
      <c r="M200" s="303"/>
      <c r="N200" s="303"/>
      <c r="O200" s="303"/>
      <c r="P200" s="303"/>
      <c r="Q200" s="304"/>
      <c r="R200" s="303"/>
      <c r="S200" s="303"/>
      <c r="T200" s="303"/>
      <c r="U200" s="303"/>
      <c r="V200" s="303"/>
      <c r="W200" s="411"/>
      <c r="X200" s="411"/>
      <c r="Y200" s="304"/>
      <c r="Z200" s="303"/>
      <c r="AA200" s="303"/>
      <c r="AB200" s="303"/>
      <c r="AC200" s="303"/>
      <c r="AD200" s="303"/>
      <c r="AE200" s="303"/>
      <c r="AF200" s="303"/>
      <c r="AG200" s="303"/>
      <c r="AH200" s="303"/>
      <c r="AI200" s="303"/>
      <c r="AJ200" s="305"/>
      <c r="AK200" s="343"/>
      <c r="AL200" s="207"/>
    </row>
    <row r="201" spans="1:38" ht="18.75" x14ac:dyDescent="0.3">
      <c r="A201" s="63" t="s">
        <v>82</v>
      </c>
      <c r="B201" s="119"/>
      <c r="C201" s="119"/>
      <c r="D201" s="119"/>
      <c r="E201" s="119"/>
      <c r="F201" s="119"/>
      <c r="G201" s="119"/>
      <c r="H201" s="119"/>
      <c r="I201" s="43"/>
      <c r="J201" s="42"/>
      <c r="K201" s="42"/>
      <c r="L201" s="42"/>
      <c r="M201" s="42"/>
      <c r="N201" s="42"/>
      <c r="O201" s="42"/>
      <c r="P201" s="42"/>
      <c r="Q201" s="43"/>
      <c r="R201" s="42"/>
      <c r="S201" s="42"/>
      <c r="T201" s="42"/>
      <c r="U201" s="42"/>
      <c r="V201" s="42"/>
      <c r="W201" s="177"/>
      <c r="X201" s="177"/>
      <c r="Y201" s="43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3"/>
      <c r="AK201" s="379"/>
      <c r="AL201" s="204"/>
    </row>
    <row r="202" spans="1:38" ht="23.25" x14ac:dyDescent="0.35">
      <c r="A202" s="195"/>
      <c r="B202" s="135"/>
      <c r="C202" s="135"/>
      <c r="D202" s="135"/>
      <c r="E202" s="135"/>
      <c r="F202" s="135"/>
      <c r="G202" s="135"/>
      <c r="H202" s="135"/>
      <c r="I202" s="157"/>
      <c r="J202" s="124"/>
      <c r="K202" s="124"/>
      <c r="L202" s="124"/>
      <c r="M202" s="124"/>
      <c r="N202" s="124"/>
      <c r="O202" s="124"/>
      <c r="P202" s="124"/>
      <c r="Q202" s="47"/>
      <c r="R202" s="124"/>
      <c r="S202" s="124"/>
      <c r="T202" s="124"/>
      <c r="U202" s="124"/>
      <c r="V202" s="124"/>
      <c r="W202" s="135"/>
      <c r="X202" s="135"/>
      <c r="Y202" s="47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47"/>
      <c r="AK202" s="422"/>
      <c r="AL202" s="292"/>
    </row>
    <row r="203" spans="1:38" ht="16.5" thickBot="1" x14ac:dyDescent="0.3">
      <c r="A203" s="63"/>
      <c r="B203" s="132"/>
      <c r="C203" s="132"/>
      <c r="D203" s="132"/>
      <c r="E203" s="132"/>
      <c r="F203" s="132"/>
      <c r="G203" s="132"/>
      <c r="H203" s="132"/>
      <c r="I203" s="43"/>
      <c r="J203" s="132"/>
      <c r="K203" s="132"/>
      <c r="L203" s="132"/>
      <c r="M203" s="132"/>
      <c r="N203" s="132"/>
      <c r="O203" s="132"/>
      <c r="P203" s="132"/>
      <c r="Q203" s="43"/>
      <c r="R203" s="132"/>
      <c r="S203" s="132"/>
      <c r="T203" s="132"/>
      <c r="U203" s="132"/>
      <c r="V203" s="132"/>
      <c r="W203" s="164"/>
      <c r="X203" s="164"/>
      <c r="Y203" s="43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43"/>
      <c r="AK203" s="117"/>
      <c r="AL203" s="350"/>
    </row>
    <row r="204" spans="1:38" ht="23.25" x14ac:dyDescent="0.35">
      <c r="A204" s="281" t="s">
        <v>2</v>
      </c>
      <c r="B204" s="163"/>
      <c r="C204" s="163"/>
      <c r="D204" s="163"/>
      <c r="E204" s="163"/>
      <c r="F204" s="163"/>
      <c r="G204" s="163"/>
      <c r="H204" s="163"/>
      <c r="I204" s="221"/>
      <c r="J204" s="163"/>
      <c r="K204" s="163"/>
      <c r="L204" s="163"/>
      <c r="M204" s="163"/>
      <c r="N204" s="163"/>
      <c r="O204" s="163"/>
      <c r="P204" s="163"/>
      <c r="Q204" s="221"/>
      <c r="R204" s="163"/>
      <c r="S204" s="163"/>
      <c r="T204" s="163"/>
      <c r="U204" s="163"/>
      <c r="V204" s="163"/>
      <c r="W204" s="163"/>
      <c r="X204" s="163"/>
      <c r="Y204" s="221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51"/>
      <c r="AK204" s="351"/>
      <c r="AL204" s="352"/>
    </row>
    <row r="205" spans="1:38" ht="16.5" thickBot="1" x14ac:dyDescent="0.3">
      <c r="A205" s="264"/>
      <c r="B205" s="265"/>
      <c r="C205" s="265"/>
      <c r="D205" s="265"/>
      <c r="E205" s="265"/>
      <c r="F205" s="265"/>
      <c r="G205" s="265"/>
      <c r="H205" s="265"/>
      <c r="I205" s="56"/>
      <c r="J205" s="265"/>
      <c r="K205" s="265"/>
      <c r="L205" s="265"/>
      <c r="M205" s="265"/>
      <c r="N205" s="265"/>
      <c r="O205" s="265"/>
      <c r="P205" s="265"/>
      <c r="Q205" s="56"/>
      <c r="R205" s="265"/>
      <c r="S205" s="265"/>
      <c r="T205" s="265"/>
      <c r="U205" s="265"/>
      <c r="V205" s="265"/>
      <c r="W205" s="265"/>
      <c r="X205" s="265"/>
      <c r="Y205" s="56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56"/>
      <c r="AK205" s="353"/>
      <c r="AL205" s="354"/>
    </row>
    <row r="206" spans="1:38" ht="24" thickBot="1" x14ac:dyDescent="0.4">
      <c r="A206" s="294" t="s">
        <v>218</v>
      </c>
      <c r="B206" s="295"/>
      <c r="C206" s="295"/>
      <c r="D206" s="295"/>
      <c r="E206" s="295"/>
      <c r="F206" s="295"/>
      <c r="G206" s="296"/>
      <c r="H206" s="297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9"/>
      <c r="AK206" s="300"/>
      <c r="AL206" s="301"/>
    </row>
    <row r="207" spans="1:38" ht="16.5" thickBot="1" x14ac:dyDescent="0.3">
      <c r="A207" s="319" t="s">
        <v>20</v>
      </c>
      <c r="B207" s="328"/>
      <c r="C207" s="328"/>
      <c r="D207" s="328"/>
      <c r="E207" s="328"/>
      <c r="F207" s="328"/>
      <c r="G207" s="328"/>
      <c r="H207" s="328"/>
      <c r="I207" s="329"/>
      <c r="J207" s="328"/>
      <c r="K207" s="328"/>
      <c r="L207" s="328"/>
      <c r="M207" s="328"/>
      <c r="N207" s="328"/>
      <c r="O207" s="328"/>
      <c r="P207" s="328"/>
      <c r="Q207" s="329"/>
      <c r="R207" s="328"/>
      <c r="S207" s="328"/>
      <c r="T207" s="328"/>
      <c r="U207" s="328"/>
      <c r="V207" s="328"/>
      <c r="W207" s="328"/>
      <c r="X207" s="328"/>
      <c r="Y207" s="329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9"/>
      <c r="AK207" s="330"/>
      <c r="AL207" s="331"/>
    </row>
    <row r="208" spans="1:38" x14ac:dyDescent="0.25">
      <c r="A208" s="302" t="s">
        <v>63</v>
      </c>
      <c r="B208" s="303"/>
      <c r="C208" s="303"/>
      <c r="D208" s="303"/>
      <c r="E208" s="303"/>
      <c r="F208" s="303"/>
      <c r="G208" s="303"/>
      <c r="H208" s="303"/>
      <c r="I208" s="304"/>
      <c r="J208" s="303"/>
      <c r="K208" s="303"/>
      <c r="L208" s="303"/>
      <c r="M208" s="303"/>
      <c r="N208" s="303"/>
      <c r="O208" s="303"/>
      <c r="P208" s="303"/>
      <c r="Q208" s="304"/>
      <c r="R208" s="303"/>
      <c r="S208" s="303"/>
      <c r="T208" s="303"/>
      <c r="U208" s="303"/>
      <c r="V208" s="303"/>
      <c r="W208" s="412"/>
      <c r="X208" s="412"/>
      <c r="Y208" s="304"/>
      <c r="Z208" s="303"/>
      <c r="AA208" s="303"/>
      <c r="AB208" s="411"/>
      <c r="AC208" s="411"/>
      <c r="AD208" s="411"/>
      <c r="AE208" s="303"/>
      <c r="AF208" s="303"/>
      <c r="AG208" s="303"/>
      <c r="AH208" s="303"/>
      <c r="AI208" s="303"/>
      <c r="AJ208" s="305"/>
      <c r="AK208" s="184"/>
      <c r="AL208" s="207"/>
    </row>
    <row r="209" spans="1:38" x14ac:dyDescent="0.25">
      <c r="A209" s="65" t="s">
        <v>64</v>
      </c>
      <c r="B209" s="118"/>
      <c r="C209" s="118"/>
      <c r="D209" s="118"/>
      <c r="E209" s="118"/>
      <c r="F209" s="118"/>
      <c r="G209" s="118"/>
      <c r="H209" s="118"/>
      <c r="I209" s="37"/>
      <c r="J209" s="118"/>
      <c r="K209" s="2"/>
      <c r="L209" s="2"/>
      <c r="M209" s="118"/>
      <c r="N209" s="2"/>
      <c r="O209" s="2"/>
      <c r="P209" s="2"/>
      <c r="Q209" s="37"/>
      <c r="R209" s="2"/>
      <c r="S209" s="118"/>
      <c r="T209" s="2"/>
      <c r="U209" s="1"/>
      <c r="V209" s="2"/>
      <c r="W209" s="414"/>
      <c r="X209" s="414"/>
      <c r="Y209" s="37"/>
      <c r="Z209" s="2"/>
      <c r="AA209" s="2"/>
      <c r="AB209" s="57"/>
      <c r="AC209" s="57"/>
      <c r="AD209" s="57"/>
      <c r="AE209" s="118"/>
      <c r="AF209" s="2"/>
      <c r="AG209" s="2"/>
      <c r="AH209" s="2"/>
      <c r="AI209" s="2"/>
      <c r="AJ209" s="37"/>
      <c r="AK209" s="38"/>
      <c r="AL209" s="197"/>
    </row>
    <row r="210" spans="1:38" x14ac:dyDescent="0.25">
      <c r="A210" s="65" t="s">
        <v>77</v>
      </c>
      <c r="B210" s="118"/>
      <c r="C210" s="118"/>
      <c r="D210" s="118"/>
      <c r="E210" s="118"/>
      <c r="F210" s="118"/>
      <c r="G210" s="118"/>
      <c r="H210" s="118"/>
      <c r="I210" s="37"/>
      <c r="J210" s="118"/>
      <c r="K210" s="2"/>
      <c r="L210" s="2"/>
      <c r="M210" s="2"/>
      <c r="N210" s="2"/>
      <c r="O210" s="2"/>
      <c r="P210" s="2"/>
      <c r="Q210" s="37"/>
      <c r="R210" s="2"/>
      <c r="S210" s="2"/>
      <c r="T210" s="2"/>
      <c r="U210" s="2"/>
      <c r="V210" s="2"/>
      <c r="W210" s="414"/>
      <c r="X210" s="414"/>
      <c r="Y210" s="37"/>
      <c r="Z210" s="2"/>
      <c r="AA210" s="2"/>
      <c r="AB210" s="57"/>
      <c r="AC210" s="57"/>
      <c r="AD210" s="57"/>
      <c r="AE210" s="118"/>
      <c r="AF210" s="2"/>
      <c r="AG210" s="2"/>
      <c r="AH210" s="2"/>
      <c r="AI210" s="2"/>
      <c r="AJ210" s="37"/>
      <c r="AK210" s="38"/>
      <c r="AL210" s="197"/>
    </row>
    <row r="211" spans="1:38" x14ac:dyDescent="0.25">
      <c r="A211" s="65" t="s">
        <v>65</v>
      </c>
      <c r="B211" s="118"/>
      <c r="C211" s="118"/>
      <c r="D211" s="118"/>
      <c r="E211" s="118"/>
      <c r="F211" s="118"/>
      <c r="G211" s="118"/>
      <c r="H211" s="1"/>
      <c r="I211" s="37"/>
      <c r="J211" s="118"/>
      <c r="K211" s="2"/>
      <c r="L211" s="2"/>
      <c r="M211" s="2"/>
      <c r="N211" s="2"/>
      <c r="O211" s="2"/>
      <c r="P211" s="2"/>
      <c r="Q211" s="37"/>
      <c r="R211" s="1"/>
      <c r="S211" s="2"/>
      <c r="T211" s="2"/>
      <c r="U211" s="2"/>
      <c r="V211" s="2"/>
      <c r="W211" s="414"/>
      <c r="X211" s="414"/>
      <c r="Y211" s="37"/>
      <c r="Z211" s="2"/>
      <c r="AA211" s="2"/>
      <c r="AB211" s="57"/>
      <c r="AC211" s="57"/>
      <c r="AD211" s="57"/>
      <c r="AE211" s="118"/>
      <c r="AF211" s="2"/>
      <c r="AG211" s="2"/>
      <c r="AH211" s="2"/>
      <c r="AI211" s="2"/>
      <c r="AJ211" s="47"/>
      <c r="AK211" s="48"/>
      <c r="AL211" s="197"/>
    </row>
    <row r="212" spans="1:38" x14ac:dyDescent="0.25">
      <c r="A212" s="65" t="s">
        <v>66</v>
      </c>
      <c r="B212" s="118"/>
      <c r="C212" s="118"/>
      <c r="D212" s="118"/>
      <c r="E212" s="118"/>
      <c r="F212" s="118"/>
      <c r="G212" s="118"/>
      <c r="H212" s="118"/>
      <c r="I212" s="37"/>
      <c r="J212" s="118"/>
      <c r="K212" s="2"/>
      <c r="L212" s="161"/>
      <c r="M212" s="2"/>
      <c r="N212" s="2"/>
      <c r="O212" s="2"/>
      <c r="P212" s="2"/>
      <c r="Q212" s="37"/>
      <c r="R212" s="2"/>
      <c r="S212" s="2"/>
      <c r="T212" s="2"/>
      <c r="U212" s="2"/>
      <c r="V212" s="2"/>
      <c r="W212" s="414"/>
      <c r="X212" s="414"/>
      <c r="Y212" s="37"/>
      <c r="Z212" s="2"/>
      <c r="AA212" s="2"/>
      <c r="AB212" s="57"/>
      <c r="AC212" s="57"/>
      <c r="AD212" s="57"/>
      <c r="AE212" s="118"/>
      <c r="AF212" s="2"/>
      <c r="AG212" s="2"/>
      <c r="AH212" s="2"/>
      <c r="AI212" s="2"/>
      <c r="AJ212" s="37"/>
      <c r="AK212" s="38"/>
      <c r="AL212" s="197"/>
    </row>
    <row r="213" spans="1:38" x14ac:dyDescent="0.25">
      <c r="A213" s="65" t="s">
        <v>67</v>
      </c>
      <c r="B213" s="118"/>
      <c r="C213" s="118"/>
      <c r="D213" s="118"/>
      <c r="E213" s="118"/>
      <c r="F213" s="1"/>
      <c r="G213" s="118"/>
      <c r="H213" s="118"/>
      <c r="I213" s="37"/>
      <c r="J213" s="118"/>
      <c r="K213" s="1"/>
      <c r="L213" s="2"/>
      <c r="M213" s="2"/>
      <c r="N213" s="2"/>
      <c r="O213" s="1"/>
      <c r="P213" s="2"/>
      <c r="Q213" s="37"/>
      <c r="R213" s="2"/>
      <c r="S213" s="118"/>
      <c r="T213" s="2"/>
      <c r="U213" s="2"/>
      <c r="V213" s="2"/>
      <c r="W213" s="414"/>
      <c r="X213" s="414"/>
      <c r="Y213" s="37"/>
      <c r="Z213" s="2"/>
      <c r="AA213" s="2"/>
      <c r="AB213" s="57"/>
      <c r="AC213" s="57"/>
      <c r="AD213" s="57"/>
      <c r="AE213" s="118"/>
      <c r="AF213" s="2"/>
      <c r="AG213" s="336"/>
      <c r="AH213" s="2"/>
      <c r="AI213" s="2"/>
      <c r="AJ213" s="37"/>
      <c r="AK213" s="38"/>
      <c r="AL213" s="197"/>
    </row>
    <row r="214" spans="1:38" x14ac:dyDescent="0.25">
      <c r="A214" s="65" t="s">
        <v>68</v>
      </c>
      <c r="B214" s="118"/>
      <c r="C214" s="118"/>
      <c r="D214" s="118"/>
      <c r="E214" s="118"/>
      <c r="F214" s="118"/>
      <c r="G214" s="118"/>
      <c r="H214" s="118"/>
      <c r="I214" s="37"/>
      <c r="J214" s="118"/>
      <c r="K214" s="2"/>
      <c r="L214" s="2"/>
      <c r="M214" s="2"/>
      <c r="N214" s="2"/>
      <c r="O214" s="1"/>
      <c r="P214" s="2"/>
      <c r="Q214" s="37"/>
      <c r="R214" s="2"/>
      <c r="S214" s="2"/>
      <c r="T214" s="2"/>
      <c r="U214" s="2"/>
      <c r="V214" s="2"/>
      <c r="W214" s="414"/>
      <c r="X214" s="414"/>
      <c r="Y214" s="37"/>
      <c r="Z214" s="2"/>
      <c r="AA214" s="2"/>
      <c r="AB214" s="57"/>
      <c r="AC214" s="57"/>
      <c r="AD214" s="57"/>
      <c r="AE214" s="118"/>
      <c r="AF214" s="2"/>
      <c r="AG214" s="2"/>
      <c r="AH214" s="2"/>
      <c r="AI214" s="2"/>
      <c r="AJ214" s="37"/>
      <c r="AK214" s="38"/>
      <c r="AL214" s="197"/>
    </row>
    <row r="215" spans="1:38" x14ac:dyDescent="0.25">
      <c r="A215" s="65" t="s">
        <v>78</v>
      </c>
      <c r="B215" s="118"/>
      <c r="C215" s="118"/>
      <c r="D215" s="118"/>
      <c r="E215" s="118"/>
      <c r="F215" s="118"/>
      <c r="G215" s="118"/>
      <c r="H215" s="118"/>
      <c r="I215" s="37"/>
      <c r="J215" s="118"/>
      <c r="K215" s="2"/>
      <c r="L215" s="2"/>
      <c r="M215" s="2"/>
      <c r="N215" s="2"/>
      <c r="O215" s="2"/>
      <c r="P215" s="2"/>
      <c r="Q215" s="37"/>
      <c r="R215" s="2"/>
      <c r="S215" s="2"/>
      <c r="T215" s="2"/>
      <c r="U215" s="2"/>
      <c r="V215" s="2"/>
      <c r="W215" s="414"/>
      <c r="X215" s="414"/>
      <c r="Y215" s="37"/>
      <c r="Z215" s="2"/>
      <c r="AA215" s="2"/>
      <c r="AB215" s="57"/>
      <c r="AC215" s="57"/>
      <c r="AD215" s="57"/>
      <c r="AE215" s="118"/>
      <c r="AF215" s="2"/>
      <c r="AG215" s="2"/>
      <c r="AH215" s="2"/>
      <c r="AI215" s="2"/>
      <c r="AJ215" s="37"/>
      <c r="AK215" s="38"/>
      <c r="AL215" s="197"/>
    </row>
    <row r="216" spans="1:38" x14ac:dyDescent="0.25">
      <c r="A216" s="65" t="s">
        <v>69</v>
      </c>
      <c r="B216" s="118"/>
      <c r="C216" s="118"/>
      <c r="D216" s="118"/>
      <c r="E216" s="118"/>
      <c r="F216" s="118"/>
      <c r="G216" s="118"/>
      <c r="H216" s="118"/>
      <c r="I216" s="37"/>
      <c r="J216" s="118"/>
      <c r="K216" s="2"/>
      <c r="L216" s="2"/>
      <c r="M216" s="2"/>
      <c r="N216" s="373"/>
      <c r="O216" s="2"/>
      <c r="P216" s="2"/>
      <c r="Q216" s="37"/>
      <c r="R216" s="2"/>
      <c r="S216" s="2"/>
      <c r="T216" s="2"/>
      <c r="U216" s="118"/>
      <c r="V216" s="2"/>
      <c r="W216" s="414"/>
      <c r="X216" s="414"/>
      <c r="Y216" s="37"/>
      <c r="Z216" s="2"/>
      <c r="AA216" s="2"/>
      <c r="AB216" s="57"/>
      <c r="AC216" s="57"/>
      <c r="AD216" s="57"/>
      <c r="AE216" s="118"/>
      <c r="AF216" s="2"/>
      <c r="AG216" s="2"/>
      <c r="AH216" s="2"/>
      <c r="AI216" s="2"/>
      <c r="AJ216" s="37"/>
      <c r="AK216" s="38"/>
      <c r="AL216" s="197"/>
    </row>
    <row r="217" spans="1:38" x14ac:dyDescent="0.25">
      <c r="A217" s="65" t="s">
        <v>70</v>
      </c>
      <c r="B217" s="118"/>
      <c r="C217" s="118"/>
      <c r="D217" s="118"/>
      <c r="E217" s="118"/>
      <c r="F217" s="118"/>
      <c r="G217" s="118"/>
      <c r="H217" s="118"/>
      <c r="I217" s="37"/>
      <c r="J217" s="118"/>
      <c r="K217" s="2"/>
      <c r="L217" s="118"/>
      <c r="M217" s="2"/>
      <c r="N217" s="373"/>
      <c r="O217" s="2"/>
      <c r="P217" s="2"/>
      <c r="Q217" s="37"/>
      <c r="R217" s="118"/>
      <c r="S217" s="2"/>
      <c r="T217" s="2"/>
      <c r="U217" s="2"/>
      <c r="V217" s="2"/>
      <c r="W217" s="414"/>
      <c r="X217" s="414"/>
      <c r="Y217" s="37"/>
      <c r="Z217" s="2"/>
      <c r="AA217" s="118"/>
      <c r="AB217" s="57"/>
      <c r="AC217" s="57"/>
      <c r="AD217" s="57"/>
      <c r="AE217" s="118"/>
      <c r="AF217" s="118"/>
      <c r="AG217" s="2"/>
      <c r="AH217" s="2"/>
      <c r="AI217" s="2"/>
      <c r="AJ217" s="37"/>
      <c r="AK217" s="38"/>
      <c r="AL217" s="197"/>
    </row>
    <row r="218" spans="1:38" x14ac:dyDescent="0.25">
      <c r="A218" s="65" t="s">
        <v>71</v>
      </c>
      <c r="B218" s="118"/>
      <c r="C218" s="118"/>
      <c r="D218" s="118"/>
      <c r="E218" s="118"/>
      <c r="F218" s="1"/>
      <c r="G218" s="118"/>
      <c r="H218" s="118"/>
      <c r="I218" s="37"/>
      <c r="J218" s="118"/>
      <c r="K218" s="2"/>
      <c r="L218" s="2"/>
      <c r="M218" s="1"/>
      <c r="N218" s="373"/>
      <c r="O218" s="2"/>
      <c r="P218" s="2"/>
      <c r="Q218" s="37"/>
      <c r="R218" s="2"/>
      <c r="S218" s="2"/>
      <c r="T218" s="2"/>
      <c r="U218" s="2"/>
      <c r="V218" s="2"/>
      <c r="W218" s="414"/>
      <c r="X218" s="414"/>
      <c r="Y218" s="37"/>
      <c r="Z218" s="2"/>
      <c r="AA218" s="2"/>
      <c r="AB218" s="57"/>
      <c r="AC218" s="57"/>
      <c r="AD218" s="57"/>
      <c r="AE218" s="118"/>
      <c r="AF218" s="2"/>
      <c r="AG218" s="2"/>
      <c r="AH218" s="2"/>
      <c r="AI218" s="2"/>
      <c r="AJ218" s="37"/>
      <c r="AK218" s="38"/>
      <c r="AL218" s="197"/>
    </row>
    <row r="219" spans="1:38" x14ac:dyDescent="0.25">
      <c r="A219" s="65" t="s">
        <v>72</v>
      </c>
      <c r="B219" s="118"/>
      <c r="C219" s="118"/>
      <c r="D219" s="118"/>
      <c r="E219" s="118"/>
      <c r="F219" s="118"/>
      <c r="G219" s="118"/>
      <c r="H219" s="118"/>
      <c r="I219" s="37"/>
      <c r="J219" s="118"/>
      <c r="K219" s="2"/>
      <c r="L219" s="2"/>
      <c r="M219" s="2"/>
      <c r="N219" s="211"/>
      <c r="O219" s="2"/>
      <c r="P219" s="2"/>
      <c r="Q219" s="37"/>
      <c r="R219" s="2"/>
      <c r="S219" s="2"/>
      <c r="T219" s="2"/>
      <c r="U219" s="2"/>
      <c r="V219" s="1"/>
      <c r="W219" s="414"/>
      <c r="X219" s="414"/>
      <c r="Y219" s="37"/>
      <c r="Z219" s="2"/>
      <c r="AA219" s="2"/>
      <c r="AB219" s="57"/>
      <c r="AC219" s="57"/>
      <c r="AD219" s="57"/>
      <c r="AE219" s="118"/>
      <c r="AF219" s="2"/>
      <c r="AG219" s="2"/>
      <c r="AH219" s="2"/>
      <c r="AI219" s="2"/>
      <c r="AJ219" s="37"/>
      <c r="AK219" s="38"/>
      <c r="AL219" s="197"/>
    </row>
    <row r="220" spans="1:38" x14ac:dyDescent="0.25">
      <c r="A220" s="65" t="s">
        <v>73</v>
      </c>
      <c r="B220" s="118"/>
      <c r="C220" s="118"/>
      <c r="D220" s="118"/>
      <c r="E220" s="118"/>
      <c r="F220" s="1"/>
      <c r="G220" s="118"/>
      <c r="H220" s="118"/>
      <c r="I220" s="37"/>
      <c r="J220" s="118"/>
      <c r="K220" s="2"/>
      <c r="L220" s="2"/>
      <c r="M220" s="2"/>
      <c r="N220" s="373"/>
      <c r="O220" s="2"/>
      <c r="P220" s="2"/>
      <c r="Q220" s="37"/>
      <c r="R220" s="118"/>
      <c r="S220" s="2"/>
      <c r="T220" s="2"/>
      <c r="U220" s="2"/>
      <c r="V220" s="2"/>
      <c r="W220" s="414"/>
      <c r="X220" s="414"/>
      <c r="Y220" s="37"/>
      <c r="Z220" s="2"/>
      <c r="AA220" s="1"/>
      <c r="AB220" s="57"/>
      <c r="AC220" s="57"/>
      <c r="AD220" s="57"/>
      <c r="AE220" s="118"/>
      <c r="AF220" s="2"/>
      <c r="AG220" s="2"/>
      <c r="AH220" s="2"/>
      <c r="AI220" s="2"/>
      <c r="AJ220" s="37"/>
      <c r="AK220" s="38"/>
      <c r="AL220" s="197"/>
    </row>
    <row r="221" spans="1:38" x14ac:dyDescent="0.25">
      <c r="A221" s="65" t="s">
        <v>74</v>
      </c>
      <c r="B221" s="118"/>
      <c r="C221" s="118"/>
      <c r="D221" s="118"/>
      <c r="E221" s="118"/>
      <c r="F221" s="118"/>
      <c r="G221" s="1"/>
      <c r="H221" s="118"/>
      <c r="I221" s="37"/>
      <c r="J221" s="118"/>
      <c r="K221" s="2"/>
      <c r="L221" s="2"/>
      <c r="M221" s="1"/>
      <c r="N221" s="373"/>
      <c r="O221" s="2"/>
      <c r="P221" s="2"/>
      <c r="Q221" s="37"/>
      <c r="R221" s="118"/>
      <c r="S221" s="2"/>
      <c r="T221" s="118"/>
      <c r="U221" s="2"/>
      <c r="V221" s="2"/>
      <c r="W221" s="414"/>
      <c r="X221" s="414"/>
      <c r="Y221" s="37"/>
      <c r="Z221" s="2"/>
      <c r="AA221" s="1"/>
      <c r="AB221" s="57"/>
      <c r="AC221" s="57"/>
      <c r="AD221" s="57"/>
      <c r="AE221" s="118"/>
      <c r="AF221" s="1"/>
      <c r="AG221" s="2"/>
      <c r="AH221" s="2"/>
      <c r="AI221" s="2"/>
      <c r="AJ221" s="37"/>
      <c r="AK221" s="38"/>
      <c r="AL221" s="197"/>
    </row>
    <row r="222" spans="1:38" x14ac:dyDescent="0.25">
      <c r="A222" s="65" t="s">
        <v>76</v>
      </c>
      <c r="B222" s="118"/>
      <c r="C222" s="118"/>
      <c r="D222" s="118"/>
      <c r="E222" s="118"/>
      <c r="F222" s="118"/>
      <c r="G222" s="118"/>
      <c r="H222" s="118"/>
      <c r="I222" s="37"/>
      <c r="J222" s="118"/>
      <c r="K222" s="2"/>
      <c r="L222" s="2"/>
      <c r="M222" s="2"/>
      <c r="N222" s="1"/>
      <c r="O222" s="2"/>
      <c r="P222" s="2"/>
      <c r="Q222" s="37"/>
      <c r="R222" s="2"/>
      <c r="S222" s="2"/>
      <c r="T222" s="2"/>
      <c r="U222" s="2"/>
      <c r="V222" s="2"/>
      <c r="W222" s="414"/>
      <c r="X222" s="414"/>
      <c r="Y222" s="37"/>
      <c r="Z222" s="2"/>
      <c r="AA222" s="2"/>
      <c r="AB222" s="57"/>
      <c r="AC222" s="57"/>
      <c r="AD222" s="57"/>
      <c r="AE222" s="118"/>
      <c r="AF222" s="2"/>
      <c r="AG222" s="2"/>
      <c r="AH222" s="2"/>
      <c r="AI222" s="2"/>
      <c r="AJ222" s="37"/>
      <c r="AK222" s="38"/>
      <c r="AL222" s="197"/>
    </row>
    <row r="223" spans="1:38" x14ac:dyDescent="0.25">
      <c r="A223" s="65" t="s">
        <v>75</v>
      </c>
      <c r="B223" s="118"/>
      <c r="C223" s="1"/>
      <c r="D223" s="118"/>
      <c r="E223" s="118"/>
      <c r="F223" s="118"/>
      <c r="G223" s="118"/>
      <c r="H223" s="118"/>
      <c r="I223" s="37"/>
      <c r="J223" s="118"/>
      <c r="K223" s="2"/>
      <c r="L223" s="1"/>
      <c r="M223" s="2"/>
      <c r="N223" s="373"/>
      <c r="O223" s="2"/>
      <c r="P223" s="2"/>
      <c r="Q223" s="37"/>
      <c r="R223" s="2"/>
      <c r="S223" s="118"/>
      <c r="T223" s="2"/>
      <c r="U223" s="2"/>
      <c r="V223" s="2"/>
      <c r="W223" s="414"/>
      <c r="X223" s="414"/>
      <c r="Y223" s="37"/>
      <c r="Z223" s="2"/>
      <c r="AA223" s="2"/>
      <c r="AB223" s="57"/>
      <c r="AC223" s="57"/>
      <c r="AD223" s="57"/>
      <c r="AE223" s="118"/>
      <c r="AF223" s="2"/>
      <c r="AG223" s="2"/>
      <c r="AH223" s="2"/>
      <c r="AI223" s="2"/>
      <c r="AJ223" s="37"/>
      <c r="AK223" s="38"/>
      <c r="AL223" s="197"/>
    </row>
    <row r="224" spans="1:38" x14ac:dyDescent="0.25">
      <c r="A224" s="65" t="s">
        <v>49</v>
      </c>
      <c r="B224" s="118"/>
      <c r="C224" s="118"/>
      <c r="D224" s="118"/>
      <c r="E224" s="118"/>
      <c r="F224" s="118"/>
      <c r="G224" s="118"/>
      <c r="H224" s="118"/>
      <c r="I224" s="37"/>
      <c r="J224" s="118"/>
      <c r="K224" s="118"/>
      <c r="L224" s="2"/>
      <c r="M224" s="2"/>
      <c r="N224" s="373"/>
      <c r="O224" s="2"/>
      <c r="P224" s="2"/>
      <c r="Q224" s="37"/>
      <c r="R224" s="2"/>
      <c r="S224" s="2"/>
      <c r="T224" s="2"/>
      <c r="U224" s="2"/>
      <c r="V224" s="2"/>
      <c r="W224" s="414"/>
      <c r="X224" s="414"/>
      <c r="Y224" s="37"/>
      <c r="Z224" s="2"/>
      <c r="AA224" s="2"/>
      <c r="AB224" s="57"/>
      <c r="AC224" s="57"/>
      <c r="AD224" s="57"/>
      <c r="AE224" s="118"/>
      <c r="AF224" s="2"/>
      <c r="AG224" s="2"/>
      <c r="AH224" s="2"/>
      <c r="AI224" s="2"/>
      <c r="AJ224" s="37"/>
      <c r="AK224" s="38"/>
      <c r="AL224" s="197"/>
    </row>
    <row r="225" spans="1:38" x14ac:dyDescent="0.25">
      <c r="A225" s="65" t="s">
        <v>23</v>
      </c>
      <c r="B225" s="118"/>
      <c r="C225" s="118"/>
      <c r="D225" s="118"/>
      <c r="E225" s="118"/>
      <c r="F225" s="118"/>
      <c r="G225" s="118"/>
      <c r="H225" s="118"/>
      <c r="I225" s="37"/>
      <c r="J225" s="118"/>
      <c r="K225" s="118"/>
      <c r="L225" s="2"/>
      <c r="M225" s="2"/>
      <c r="N225" s="373"/>
      <c r="O225" s="2"/>
      <c r="P225" s="2"/>
      <c r="Q225" s="37"/>
      <c r="R225" s="2"/>
      <c r="S225" s="2"/>
      <c r="T225" s="2"/>
      <c r="U225" s="2"/>
      <c r="V225" s="2"/>
      <c r="W225" s="414"/>
      <c r="X225" s="414"/>
      <c r="Y225" s="37"/>
      <c r="Z225" s="2"/>
      <c r="AA225" s="2"/>
      <c r="AB225" s="57"/>
      <c r="AC225" s="57"/>
      <c r="AD225" s="57"/>
      <c r="AE225" s="118"/>
      <c r="AF225" s="2"/>
      <c r="AG225" s="2"/>
      <c r="AH225" s="2"/>
      <c r="AI225" s="2"/>
      <c r="AJ225" s="37"/>
      <c r="AK225" s="38"/>
      <c r="AL225" s="197"/>
    </row>
    <row r="226" spans="1:38" x14ac:dyDescent="0.25">
      <c r="A226" s="65" t="s">
        <v>50</v>
      </c>
      <c r="B226" s="118"/>
      <c r="C226" s="118"/>
      <c r="D226" s="118"/>
      <c r="E226" s="118"/>
      <c r="F226" s="1"/>
      <c r="G226" s="118"/>
      <c r="H226" s="118"/>
      <c r="I226" s="37"/>
      <c r="J226" s="118"/>
      <c r="K226" s="118"/>
      <c r="L226" s="2"/>
      <c r="M226" s="2"/>
      <c r="N226" s="373"/>
      <c r="O226" s="2"/>
      <c r="P226" s="2"/>
      <c r="Q226" s="37"/>
      <c r="R226" s="2"/>
      <c r="S226" s="2"/>
      <c r="T226" s="2"/>
      <c r="U226" s="2"/>
      <c r="V226" s="2"/>
      <c r="W226" s="414"/>
      <c r="X226" s="414"/>
      <c r="Y226" s="37"/>
      <c r="Z226" s="2"/>
      <c r="AA226" s="2"/>
      <c r="AB226" s="57"/>
      <c r="AC226" s="57"/>
      <c r="AD226" s="57"/>
      <c r="AE226" s="118"/>
      <c r="AF226" s="2"/>
      <c r="AG226" s="2"/>
      <c r="AH226" s="2"/>
      <c r="AI226" s="2"/>
      <c r="AJ226" s="37"/>
      <c r="AK226" s="38"/>
      <c r="AL226" s="197"/>
    </row>
    <row r="227" spans="1:38" x14ac:dyDescent="0.25">
      <c r="A227" s="65" t="s">
        <v>51</v>
      </c>
      <c r="B227" s="118"/>
      <c r="C227" s="118"/>
      <c r="D227" s="118"/>
      <c r="E227" s="118"/>
      <c r="F227" s="118"/>
      <c r="G227" s="118"/>
      <c r="H227" s="118"/>
      <c r="I227" s="37"/>
      <c r="J227" s="118"/>
      <c r="K227" s="2"/>
      <c r="L227" s="2"/>
      <c r="M227" s="2"/>
      <c r="N227" s="373"/>
      <c r="O227" s="2"/>
      <c r="P227" s="2"/>
      <c r="Q227" s="37"/>
      <c r="R227" s="2"/>
      <c r="S227" s="2"/>
      <c r="T227" s="2"/>
      <c r="U227" s="2"/>
      <c r="V227" s="118"/>
      <c r="W227" s="414"/>
      <c r="X227" s="414"/>
      <c r="Y227" s="37"/>
      <c r="Z227" s="2"/>
      <c r="AA227" s="2"/>
      <c r="AB227" s="57"/>
      <c r="AC227" s="57"/>
      <c r="AD227" s="57"/>
      <c r="AE227" s="118"/>
      <c r="AF227" s="2"/>
      <c r="AG227" s="2"/>
      <c r="AH227" s="2"/>
      <c r="AI227" s="2"/>
      <c r="AJ227" s="37"/>
      <c r="AK227" s="38"/>
      <c r="AL227" s="197"/>
    </row>
    <row r="228" spans="1:38" x14ac:dyDescent="0.25">
      <c r="A228" s="65" t="s">
        <v>52</v>
      </c>
      <c r="B228" s="118"/>
      <c r="C228" s="118"/>
      <c r="D228" s="118"/>
      <c r="E228" s="118"/>
      <c r="F228" s="118"/>
      <c r="G228" s="118"/>
      <c r="H228" s="118"/>
      <c r="I228" s="37"/>
      <c r="J228" s="118"/>
      <c r="K228" s="2"/>
      <c r="L228" s="2"/>
      <c r="M228" s="2"/>
      <c r="N228" s="373"/>
      <c r="O228" s="2"/>
      <c r="P228" s="2"/>
      <c r="Q228" s="37"/>
      <c r="R228" s="118"/>
      <c r="S228" s="2"/>
      <c r="T228" s="2"/>
      <c r="U228" s="2"/>
      <c r="V228" s="2"/>
      <c r="W228" s="414"/>
      <c r="X228" s="414"/>
      <c r="Y228" s="37"/>
      <c r="Z228" s="2"/>
      <c r="AA228" s="2"/>
      <c r="AB228" s="57"/>
      <c r="AC228" s="57"/>
      <c r="AD228" s="57"/>
      <c r="AE228" s="118"/>
      <c r="AF228" s="2"/>
      <c r="AG228" s="2"/>
      <c r="AH228" s="2"/>
      <c r="AI228" s="2"/>
      <c r="AJ228" s="37"/>
      <c r="AK228" s="38"/>
      <c r="AL228" s="197"/>
    </row>
    <row r="229" spans="1:38" x14ac:dyDescent="0.25">
      <c r="A229" s="65" t="s">
        <v>53</v>
      </c>
      <c r="B229" s="118"/>
      <c r="C229" s="118"/>
      <c r="D229" s="118"/>
      <c r="E229" s="118"/>
      <c r="F229" s="118"/>
      <c r="G229" s="118"/>
      <c r="H229" s="118"/>
      <c r="I229" s="37"/>
      <c r="J229" s="118"/>
      <c r="K229" s="2"/>
      <c r="L229" s="2"/>
      <c r="M229" s="2"/>
      <c r="N229" s="373"/>
      <c r="O229" s="2"/>
      <c r="P229" s="2"/>
      <c r="Q229" s="37"/>
      <c r="R229" s="118"/>
      <c r="S229" s="2"/>
      <c r="T229" s="2"/>
      <c r="U229" s="2"/>
      <c r="V229" s="2"/>
      <c r="W229" s="414"/>
      <c r="X229" s="414"/>
      <c r="Y229" s="37"/>
      <c r="Z229" s="2"/>
      <c r="AA229" s="2"/>
      <c r="AB229" s="57"/>
      <c r="AC229" s="57"/>
      <c r="AD229" s="57"/>
      <c r="AE229" s="118"/>
      <c r="AF229" s="2"/>
      <c r="AG229" s="2"/>
      <c r="AH229" s="2"/>
      <c r="AI229" s="2"/>
      <c r="AJ229" s="37"/>
      <c r="AK229" s="38"/>
      <c r="AL229" s="197"/>
    </row>
    <row r="230" spans="1:38" x14ac:dyDescent="0.25">
      <c r="A230" s="65" t="s">
        <v>98</v>
      </c>
      <c r="B230" s="118"/>
      <c r="C230" s="118"/>
      <c r="D230" s="118"/>
      <c r="E230" s="118"/>
      <c r="F230" s="118"/>
      <c r="G230" s="118"/>
      <c r="H230" s="118"/>
      <c r="I230" s="37"/>
      <c r="J230" s="118"/>
      <c r="K230" s="2"/>
      <c r="L230" s="2"/>
      <c r="M230" s="2"/>
      <c r="N230" s="373"/>
      <c r="O230" s="2"/>
      <c r="P230" s="2"/>
      <c r="Q230" s="37"/>
      <c r="R230" s="2"/>
      <c r="S230" s="2"/>
      <c r="T230" s="118"/>
      <c r="U230" s="2"/>
      <c r="V230" s="2"/>
      <c r="W230" s="414"/>
      <c r="X230" s="414"/>
      <c r="Y230" s="37"/>
      <c r="Z230" s="2"/>
      <c r="AA230" s="2"/>
      <c r="AB230" s="57"/>
      <c r="AC230" s="57"/>
      <c r="AD230" s="57"/>
      <c r="AE230" s="118"/>
      <c r="AF230" s="2"/>
      <c r="AG230" s="2"/>
      <c r="AH230" s="2"/>
      <c r="AI230" s="2"/>
      <c r="AJ230" s="37"/>
      <c r="AK230" s="38"/>
      <c r="AL230" s="197"/>
    </row>
    <row r="231" spans="1:38" ht="18.75" x14ac:dyDescent="0.3">
      <c r="A231" s="65" t="s">
        <v>83</v>
      </c>
      <c r="B231" s="152"/>
      <c r="C231" s="267"/>
      <c r="D231" s="267"/>
      <c r="E231" s="267"/>
      <c r="F231" s="267"/>
      <c r="G231" s="153"/>
      <c r="H231" s="268"/>
      <c r="I231" s="269"/>
      <c r="J231" s="268"/>
      <c r="K231" s="153"/>
      <c r="L231" s="152"/>
      <c r="M231" s="270"/>
      <c r="N231" s="171"/>
      <c r="O231" s="270"/>
      <c r="P231" s="152"/>
      <c r="Q231" s="269"/>
      <c r="R231" s="152"/>
      <c r="S231" s="152"/>
      <c r="T231" s="152"/>
      <c r="U231" s="152"/>
      <c r="V231" s="152"/>
      <c r="W231" s="415"/>
      <c r="X231" s="416"/>
      <c r="Y231" s="269"/>
      <c r="Z231" s="270"/>
      <c r="AA231" s="152"/>
      <c r="AB231" s="175"/>
      <c r="AC231" s="239"/>
      <c r="AD231" s="175"/>
      <c r="AE231" s="152"/>
      <c r="AF231" s="270"/>
      <c r="AG231" s="356"/>
      <c r="AH231" s="270"/>
      <c r="AI231" s="270"/>
      <c r="AJ231" s="269"/>
      <c r="AK231" s="271"/>
      <c r="AL231" s="204"/>
    </row>
    <row r="232" spans="1:38" x14ac:dyDescent="0.25">
      <c r="A232" s="65" t="s">
        <v>84</v>
      </c>
      <c r="B232" s="115"/>
      <c r="C232" s="242"/>
      <c r="D232" s="115"/>
      <c r="E232" s="18"/>
      <c r="F232" s="242"/>
      <c r="G232" s="18"/>
      <c r="H232" s="18"/>
      <c r="I232" s="49"/>
      <c r="J232" s="134"/>
      <c r="K232" s="134"/>
      <c r="L232" s="240"/>
      <c r="M232" s="134"/>
      <c r="N232" s="242"/>
      <c r="O232" s="134"/>
      <c r="P232" s="240"/>
      <c r="Q232" s="49"/>
      <c r="R232" s="134"/>
      <c r="S232" s="242"/>
      <c r="T232" s="134"/>
      <c r="U232" s="240"/>
      <c r="V232" s="134"/>
      <c r="W232" s="417"/>
      <c r="X232" s="417"/>
      <c r="Y232" s="49"/>
      <c r="Z232" s="134"/>
      <c r="AA232" s="134"/>
      <c r="AB232" s="432"/>
      <c r="AC232" s="159"/>
      <c r="AD232" s="432"/>
      <c r="AE232" s="134"/>
      <c r="AF232" s="240"/>
      <c r="AG232" s="247"/>
      <c r="AH232" s="134"/>
      <c r="AI232" s="134"/>
      <c r="AJ232" s="49"/>
      <c r="AK232" s="133"/>
      <c r="AL232" s="197"/>
    </row>
    <row r="233" spans="1:38" x14ac:dyDescent="0.25">
      <c r="A233" s="65" t="s">
        <v>85</v>
      </c>
      <c r="B233" s="115"/>
      <c r="C233" s="115"/>
      <c r="D233" s="115"/>
      <c r="E233" s="18"/>
      <c r="F233" s="18"/>
      <c r="G233" s="18"/>
      <c r="H233" s="18"/>
      <c r="I233" s="49"/>
      <c r="J233" s="134"/>
      <c r="K233" s="134"/>
      <c r="L233" s="240"/>
      <c r="M233" s="134"/>
      <c r="N233" s="156"/>
      <c r="O233" s="134"/>
      <c r="P233" s="134"/>
      <c r="Q233" s="49"/>
      <c r="R233" s="240"/>
      <c r="S233" s="134"/>
      <c r="T233" s="134"/>
      <c r="U233" s="134"/>
      <c r="V233" s="240"/>
      <c r="W233" s="417"/>
      <c r="X233" s="417"/>
      <c r="Y233" s="49"/>
      <c r="Z233" s="134"/>
      <c r="AA233" s="134"/>
      <c r="AB233" s="432"/>
      <c r="AC233" s="159"/>
      <c r="AD233" s="432"/>
      <c r="AE233" s="134"/>
      <c r="AF233" s="134"/>
      <c r="AG233" s="247"/>
      <c r="AH233" s="134"/>
      <c r="AI233" s="134"/>
      <c r="AJ233" s="49"/>
      <c r="AK233" s="133"/>
      <c r="AL233" s="197"/>
    </row>
    <row r="234" spans="1:38" ht="18.75" x14ac:dyDescent="0.3">
      <c r="A234" s="65" t="s">
        <v>62</v>
      </c>
      <c r="B234" s="112"/>
      <c r="C234" s="112"/>
      <c r="D234" s="337"/>
      <c r="E234" s="112"/>
      <c r="F234" s="112"/>
      <c r="G234" s="112"/>
      <c r="H234" s="112"/>
      <c r="I234" s="244"/>
      <c r="J234" s="112"/>
      <c r="K234" s="112"/>
      <c r="L234" s="112"/>
      <c r="M234" s="112"/>
      <c r="N234" s="18"/>
      <c r="O234" s="112"/>
      <c r="P234" s="112"/>
      <c r="Q234" s="244"/>
      <c r="R234" s="337"/>
      <c r="S234" s="112"/>
      <c r="T234" s="112"/>
      <c r="U234" s="112"/>
      <c r="V234" s="337"/>
      <c r="W234" s="417"/>
      <c r="X234" s="417"/>
      <c r="Y234" s="244"/>
      <c r="Z234" s="112"/>
      <c r="AA234" s="112"/>
      <c r="AB234" s="115"/>
      <c r="AC234" s="242"/>
      <c r="AD234" s="242"/>
      <c r="AE234" s="112"/>
      <c r="AF234" s="112"/>
      <c r="AG234" s="337"/>
      <c r="AH234" s="112"/>
      <c r="AI234" s="112"/>
      <c r="AJ234" s="244"/>
      <c r="AK234" s="170"/>
      <c r="AL234" s="197"/>
    </row>
    <row r="235" spans="1:38" ht="23.25" x14ac:dyDescent="0.35">
      <c r="A235" s="65" t="s">
        <v>61</v>
      </c>
      <c r="B235" s="286"/>
      <c r="C235" s="131"/>
      <c r="D235" s="286"/>
      <c r="E235" s="286"/>
      <c r="F235" s="286"/>
      <c r="G235" s="287"/>
      <c r="H235" s="12"/>
      <c r="I235" s="289"/>
      <c r="J235" s="365"/>
      <c r="K235" s="287"/>
      <c r="L235" s="12"/>
      <c r="M235" s="287"/>
      <c r="N235" s="155"/>
      <c r="O235" s="287"/>
      <c r="P235" s="287"/>
      <c r="Q235" s="289"/>
      <c r="R235" s="131"/>
      <c r="S235" s="287"/>
      <c r="T235" s="287"/>
      <c r="U235" s="131"/>
      <c r="V235" s="287"/>
      <c r="W235" s="417"/>
      <c r="X235" s="418"/>
      <c r="Y235" s="289"/>
      <c r="Z235" s="131"/>
      <c r="AA235" s="287"/>
      <c r="AB235" s="433"/>
      <c r="AC235" s="135"/>
      <c r="AD235" s="434"/>
      <c r="AE235" s="365"/>
      <c r="AF235" s="131"/>
      <c r="AG235" s="431"/>
      <c r="AH235" s="287"/>
      <c r="AI235" s="287"/>
      <c r="AJ235" s="289"/>
      <c r="AK235" s="255"/>
      <c r="AL235" s="292"/>
    </row>
    <row r="236" spans="1:38" x14ac:dyDescent="0.25">
      <c r="A236" s="66" t="s">
        <v>86</v>
      </c>
      <c r="B236" s="288"/>
      <c r="C236" s="288"/>
      <c r="D236" s="288"/>
      <c r="E236" s="288"/>
      <c r="F236" s="338"/>
      <c r="G236" s="288"/>
      <c r="H236" s="288"/>
      <c r="I236" s="290"/>
      <c r="J236" s="288"/>
      <c r="K236" s="288"/>
      <c r="L236" s="338"/>
      <c r="M236" s="288"/>
      <c r="N236" s="288"/>
      <c r="O236" s="288"/>
      <c r="P236" s="338"/>
      <c r="Q236" s="290"/>
      <c r="R236" s="288"/>
      <c r="S236" s="288"/>
      <c r="T236" s="288"/>
      <c r="U236" s="288"/>
      <c r="V236" s="288"/>
      <c r="W236" s="415"/>
      <c r="X236" s="415"/>
      <c r="Y236" s="290"/>
      <c r="Z236" s="288"/>
      <c r="AA236" s="288"/>
      <c r="AB236" s="435"/>
      <c r="AC236" s="435"/>
      <c r="AD236" s="436"/>
      <c r="AE236" s="288"/>
      <c r="AF236" s="338"/>
      <c r="AG236" s="427"/>
      <c r="AH236" s="288"/>
      <c r="AI236" s="288"/>
      <c r="AJ236" s="290"/>
      <c r="AK236" s="291"/>
      <c r="AL236" s="204"/>
    </row>
    <row r="237" spans="1:38" x14ac:dyDescent="0.25">
      <c r="A237" s="66" t="s">
        <v>100</v>
      </c>
      <c r="B237" s="162"/>
      <c r="C237" s="162"/>
      <c r="D237" s="162"/>
      <c r="E237" s="164"/>
      <c r="F237" s="164"/>
      <c r="G237" s="164"/>
      <c r="H237" s="164"/>
      <c r="I237" s="290"/>
      <c r="J237" s="338"/>
      <c r="K237" s="288"/>
      <c r="L237" s="288"/>
      <c r="M237" s="288"/>
      <c r="N237" s="288"/>
      <c r="O237" s="288"/>
      <c r="P237" s="288"/>
      <c r="Q237" s="290"/>
      <c r="R237" s="288"/>
      <c r="S237" s="288"/>
      <c r="T237" s="288"/>
      <c r="U237" s="288"/>
      <c r="V237" s="288"/>
      <c r="W237" s="415"/>
      <c r="X237" s="415"/>
      <c r="Y237" s="290"/>
      <c r="Z237" s="288"/>
      <c r="AA237" s="288"/>
      <c r="AB237" s="435"/>
      <c r="AC237" s="435"/>
      <c r="AD237" s="436"/>
      <c r="AE237" s="288"/>
      <c r="AF237" s="288"/>
      <c r="AG237" s="427"/>
      <c r="AH237" s="288"/>
      <c r="AI237" s="332"/>
      <c r="AJ237" s="290"/>
      <c r="AK237" s="46"/>
      <c r="AL237" s="204"/>
    </row>
    <row r="238" spans="1:38" ht="15" customHeight="1" x14ac:dyDescent="0.25">
      <c r="A238" s="66" t="s">
        <v>35</v>
      </c>
      <c r="B238" s="162"/>
      <c r="C238" s="162"/>
      <c r="D238" s="162"/>
      <c r="E238" s="164"/>
      <c r="F238" s="164"/>
      <c r="G238" s="164"/>
      <c r="H238" s="164"/>
      <c r="I238" s="290"/>
      <c r="J238" s="338"/>
      <c r="K238" s="288"/>
      <c r="L238" s="288"/>
      <c r="M238" s="288"/>
      <c r="N238" s="288"/>
      <c r="O238" s="288"/>
      <c r="P238" s="288"/>
      <c r="Q238" s="290"/>
      <c r="R238" s="288"/>
      <c r="S238" s="288"/>
      <c r="T238" s="288"/>
      <c r="U238" s="288"/>
      <c r="V238" s="288"/>
      <c r="W238" s="415"/>
      <c r="X238" s="415"/>
      <c r="Y238" s="290"/>
      <c r="Z238" s="288"/>
      <c r="AA238" s="288"/>
      <c r="AB238" s="435"/>
      <c r="AC238" s="435"/>
      <c r="AD238" s="436"/>
      <c r="AE238" s="288"/>
      <c r="AF238" s="288"/>
      <c r="AG238" s="443"/>
      <c r="AH238" s="288"/>
      <c r="AI238" s="332"/>
      <c r="AJ238" s="290"/>
      <c r="AK238" s="46"/>
      <c r="AL238" s="204"/>
    </row>
    <row r="239" spans="1:38" ht="15" customHeight="1" x14ac:dyDescent="0.3">
      <c r="A239" s="368" t="s">
        <v>22</v>
      </c>
      <c r="B239" s="162"/>
      <c r="C239" s="162"/>
      <c r="D239" s="162"/>
      <c r="E239" s="164"/>
      <c r="F239" s="164"/>
      <c r="G239" s="164"/>
      <c r="H239" s="338"/>
      <c r="I239" s="290"/>
      <c r="J239" s="338"/>
      <c r="K239" s="367"/>
      <c r="L239" s="288"/>
      <c r="M239" s="288"/>
      <c r="N239" s="338"/>
      <c r="O239" s="288"/>
      <c r="P239" s="288"/>
      <c r="Q239" s="290"/>
      <c r="R239" s="288"/>
      <c r="S239" s="288"/>
      <c r="T239" s="288"/>
      <c r="U239" s="288"/>
      <c r="V239" s="288"/>
      <c r="W239" s="415"/>
      <c r="X239" s="415"/>
      <c r="Y239" s="290"/>
      <c r="Z239" s="288"/>
      <c r="AA239" s="288"/>
      <c r="AB239" s="436"/>
      <c r="AC239" s="435"/>
      <c r="AD239" s="436"/>
      <c r="AE239" s="288"/>
      <c r="AF239" s="288"/>
      <c r="AG239" s="288"/>
      <c r="AH239" s="288"/>
      <c r="AI239" s="332"/>
      <c r="AJ239" s="290"/>
      <c r="AK239" s="342"/>
      <c r="AL239" s="204"/>
    </row>
    <row r="240" spans="1:38" ht="18.75" x14ac:dyDescent="0.3">
      <c r="A240" s="368" t="s">
        <v>88</v>
      </c>
      <c r="B240" s="115"/>
      <c r="C240" s="115"/>
      <c r="D240" s="115"/>
      <c r="E240" s="18"/>
      <c r="F240" s="242"/>
      <c r="G240" s="18"/>
      <c r="H240" s="18"/>
      <c r="I240" s="49"/>
      <c r="J240" s="240"/>
      <c r="K240" s="134"/>
      <c r="L240" s="134"/>
      <c r="M240" s="134"/>
      <c r="N240" s="134"/>
      <c r="O240" s="134"/>
      <c r="P240" s="134"/>
      <c r="Q240" s="49"/>
      <c r="R240" s="134"/>
      <c r="S240" s="134"/>
      <c r="T240" s="134"/>
      <c r="U240" s="134"/>
      <c r="V240" s="134"/>
      <c r="W240" s="417"/>
      <c r="X240" s="417"/>
      <c r="Y240" s="49"/>
      <c r="Z240" s="134"/>
      <c r="AA240" s="134"/>
      <c r="AB240" s="159"/>
      <c r="AC240" s="159"/>
      <c r="AD240" s="432"/>
      <c r="AE240" s="134"/>
      <c r="AF240" s="134"/>
      <c r="AG240" s="134"/>
      <c r="AH240" s="134"/>
      <c r="AI240" s="134"/>
      <c r="AJ240" s="49"/>
      <c r="AK240" s="378"/>
      <c r="AL240" s="309"/>
    </row>
    <row r="241" spans="1:38" ht="18.75" x14ac:dyDescent="0.3">
      <c r="A241" s="368" t="s">
        <v>38</v>
      </c>
      <c r="B241" s="115"/>
      <c r="C241" s="115"/>
      <c r="D241" s="115"/>
      <c r="E241" s="18"/>
      <c r="F241" s="242"/>
      <c r="G241" s="18"/>
      <c r="H241" s="18"/>
      <c r="I241" s="49"/>
      <c r="J241" s="242"/>
      <c r="K241" s="134"/>
      <c r="L241" s="134"/>
      <c r="M241" s="134"/>
      <c r="N241" s="134"/>
      <c r="O241" s="134"/>
      <c r="P241" s="134"/>
      <c r="Q241" s="49"/>
      <c r="R241" s="134"/>
      <c r="S241" s="134"/>
      <c r="T241" s="134"/>
      <c r="U241" s="242"/>
      <c r="V241" s="134"/>
      <c r="W241" s="417"/>
      <c r="X241" s="417"/>
      <c r="Y241" s="49"/>
      <c r="Z241" s="242"/>
      <c r="AA241" s="134"/>
      <c r="AB241" s="159"/>
      <c r="AC241" s="159"/>
      <c r="AD241" s="159"/>
      <c r="AE241" s="242"/>
      <c r="AF241" s="134"/>
      <c r="AG241" s="134"/>
      <c r="AH241" s="134"/>
      <c r="AI241" s="134"/>
      <c r="AJ241" s="49"/>
      <c r="AK241" s="378"/>
      <c r="AL241" s="309"/>
    </row>
    <row r="242" spans="1:38" x14ac:dyDescent="0.25">
      <c r="A242" s="368" t="s">
        <v>90</v>
      </c>
      <c r="B242" s="150"/>
      <c r="C242" s="150"/>
      <c r="D242" s="282"/>
      <c r="E242" s="150"/>
      <c r="F242" s="282"/>
      <c r="G242" s="150"/>
      <c r="H242" s="150"/>
      <c r="I242" s="369"/>
      <c r="J242" s="282"/>
      <c r="K242" s="150"/>
      <c r="L242" s="149"/>
      <c r="M242" s="182"/>
      <c r="N242" s="182"/>
      <c r="O242" s="182"/>
      <c r="P242" s="182"/>
      <c r="Q242" s="370"/>
      <c r="R242" s="182"/>
      <c r="S242" s="182"/>
      <c r="T242" s="182"/>
      <c r="U242" s="182"/>
      <c r="V242" s="182"/>
      <c r="W242" s="419"/>
      <c r="X242" s="419"/>
      <c r="Y242" s="370"/>
      <c r="Z242" s="182"/>
      <c r="AA242" s="182"/>
      <c r="AB242" s="109"/>
      <c r="AC242" s="109"/>
      <c r="AD242" s="109"/>
      <c r="AE242" s="182"/>
      <c r="AF242" s="182"/>
      <c r="AG242" s="182"/>
      <c r="AH242" s="182"/>
      <c r="AI242" s="182"/>
      <c r="AJ242" s="370"/>
      <c r="AK242" s="333"/>
      <c r="AL242" s="309"/>
    </row>
    <row r="243" spans="1:38" x14ac:dyDescent="0.25">
      <c r="A243" s="368" t="s">
        <v>87</v>
      </c>
      <c r="B243" s="355"/>
      <c r="C243" s="355"/>
      <c r="D243" s="355"/>
      <c r="E243" s="355"/>
      <c r="F243" s="152"/>
      <c r="G243" s="356"/>
      <c r="H243" s="356"/>
      <c r="I243" s="357"/>
      <c r="J243" s="152"/>
      <c r="K243" s="356"/>
      <c r="L243" s="356"/>
      <c r="M243" s="356"/>
      <c r="N243" s="152"/>
      <c r="O243" s="356"/>
      <c r="P243" s="356"/>
      <c r="Q243" s="357"/>
      <c r="R243" s="356"/>
      <c r="S243" s="356"/>
      <c r="T243" s="356"/>
      <c r="U243" s="356"/>
      <c r="V243" s="356"/>
      <c r="W243" s="415"/>
      <c r="X243" s="415"/>
      <c r="Y243" s="357"/>
      <c r="Z243" s="356"/>
      <c r="AA243" s="356"/>
      <c r="AB243" s="175"/>
      <c r="AC243" s="175"/>
      <c r="AD243" s="175"/>
      <c r="AE243" s="152"/>
      <c r="AF243" s="356"/>
      <c r="AG243" s="356"/>
      <c r="AH243" s="356"/>
      <c r="AI243" s="356"/>
      <c r="AJ243" s="357"/>
      <c r="AK243" s="358"/>
      <c r="AL243" s="359"/>
    </row>
    <row r="244" spans="1:38" ht="15" customHeight="1" x14ac:dyDescent="0.25">
      <c r="A244" s="368" t="s">
        <v>21</v>
      </c>
      <c r="B244" s="355"/>
      <c r="C244" s="355"/>
      <c r="D244" s="355"/>
      <c r="E244" s="355"/>
      <c r="F244" s="152"/>
      <c r="G244" s="356"/>
      <c r="H244" s="356"/>
      <c r="I244" s="357"/>
      <c r="J244" s="152"/>
      <c r="K244" s="356"/>
      <c r="L244" s="356"/>
      <c r="M244" s="356"/>
      <c r="N244" s="152"/>
      <c r="O244" s="356"/>
      <c r="P244" s="356"/>
      <c r="Q244" s="357"/>
      <c r="R244" s="356"/>
      <c r="S244" s="356"/>
      <c r="T244" s="356"/>
      <c r="U244" s="356"/>
      <c r="V244" s="356"/>
      <c r="W244" s="415"/>
      <c r="X244" s="415"/>
      <c r="Y244" s="357"/>
      <c r="Z244" s="356"/>
      <c r="AA244" s="356"/>
      <c r="AB244" s="175"/>
      <c r="AC244" s="175"/>
      <c r="AD244" s="175"/>
      <c r="AE244" s="152"/>
      <c r="AF244" s="356"/>
      <c r="AG244" s="356"/>
      <c r="AH244" s="356"/>
      <c r="AI244" s="356"/>
      <c r="AJ244" s="357"/>
      <c r="AK244" s="358"/>
      <c r="AL244" s="359"/>
    </row>
    <row r="245" spans="1:38" ht="15" customHeight="1" x14ac:dyDescent="0.25">
      <c r="A245" s="368" t="s">
        <v>99</v>
      </c>
      <c r="B245" s="367"/>
      <c r="C245" s="367"/>
      <c r="D245" s="367"/>
      <c r="E245" s="367"/>
      <c r="F245" s="367"/>
      <c r="G245" s="367"/>
      <c r="H245" s="367"/>
      <c r="I245" s="374"/>
      <c r="J245" s="367"/>
      <c r="K245" s="367"/>
      <c r="L245" s="367"/>
      <c r="M245" s="367"/>
      <c r="N245" s="367"/>
      <c r="O245" s="367"/>
      <c r="P245" s="367"/>
      <c r="Q245" s="290"/>
      <c r="R245" s="367"/>
      <c r="S245" s="288"/>
      <c r="T245" s="338"/>
      <c r="U245" s="288"/>
      <c r="V245" s="288"/>
      <c r="W245" s="415"/>
      <c r="X245" s="415"/>
      <c r="Y245" s="290"/>
      <c r="Z245" s="288"/>
      <c r="AA245" s="288"/>
      <c r="AB245" s="435"/>
      <c r="AC245" s="435"/>
      <c r="AD245" s="435"/>
      <c r="AE245" s="288"/>
      <c r="AF245" s="288"/>
      <c r="AG245" s="288"/>
      <c r="AH245" s="288"/>
      <c r="AI245" s="288"/>
      <c r="AJ245" s="290"/>
      <c r="AK245" s="291"/>
      <c r="AL245" s="204"/>
    </row>
    <row r="246" spans="1:38" ht="15" customHeight="1" x14ac:dyDescent="0.25">
      <c r="A246" s="426" t="s">
        <v>91</v>
      </c>
      <c r="B246" s="242"/>
      <c r="C246" s="242"/>
      <c r="D246" s="242"/>
      <c r="E246" s="242"/>
      <c r="F246" s="242"/>
      <c r="G246" s="242"/>
      <c r="H246" s="242"/>
      <c r="I246" s="409"/>
      <c r="J246" s="242"/>
      <c r="K246" s="242"/>
      <c r="L246" s="242"/>
      <c r="M246" s="242"/>
      <c r="N246" s="242"/>
      <c r="O246" s="242"/>
      <c r="P246" s="242"/>
      <c r="Q246" s="410"/>
      <c r="R246" s="242"/>
      <c r="S246" s="240"/>
      <c r="T246" s="134"/>
      <c r="U246" s="134"/>
      <c r="V246" s="134"/>
      <c r="W246" s="417"/>
      <c r="X246" s="417"/>
      <c r="Y246" s="49"/>
      <c r="Z246" s="134"/>
      <c r="AA246" s="240"/>
      <c r="AB246" s="159"/>
      <c r="AC246" s="159"/>
      <c r="AD246" s="159"/>
      <c r="AE246" s="134"/>
      <c r="AF246" s="240"/>
      <c r="AG246" s="134"/>
      <c r="AH246" s="134"/>
      <c r="AI246" s="134"/>
      <c r="AJ246" s="49"/>
      <c r="AK246" s="133"/>
      <c r="AL246" s="197"/>
    </row>
    <row r="247" spans="1:38" ht="19.5" thickBot="1" x14ac:dyDescent="0.35">
      <c r="A247" s="66" t="s">
        <v>101</v>
      </c>
      <c r="B247" s="396"/>
      <c r="C247" s="396"/>
      <c r="D247" s="396"/>
      <c r="E247" s="396"/>
      <c r="F247" s="396"/>
      <c r="G247" s="396"/>
      <c r="H247" s="396"/>
      <c r="I247" s="334"/>
      <c r="J247" s="396"/>
      <c r="K247" s="396"/>
      <c r="L247" s="396"/>
      <c r="M247" s="396"/>
      <c r="N247" s="396"/>
      <c r="O247" s="396"/>
      <c r="P247" s="396"/>
      <c r="Q247" s="334"/>
      <c r="R247" s="396"/>
      <c r="S247" s="396"/>
      <c r="T247" s="396"/>
      <c r="U247" s="396"/>
      <c r="V247" s="396"/>
      <c r="W247" s="420"/>
      <c r="X247" s="420"/>
      <c r="Y247" s="334"/>
      <c r="Z247" s="396"/>
      <c r="AA247" s="396"/>
      <c r="AB247" s="437"/>
      <c r="AC247" s="437"/>
      <c r="AD247" s="437"/>
      <c r="AE247" s="396"/>
      <c r="AF247" s="396"/>
      <c r="AG247" s="396"/>
      <c r="AH247" s="396"/>
      <c r="AI247" s="396"/>
      <c r="AJ247" s="334"/>
      <c r="AK247" s="397"/>
      <c r="AL247" s="228"/>
    </row>
    <row r="248" spans="1:38" ht="18.75" x14ac:dyDescent="0.3">
      <c r="A248" s="281" t="s">
        <v>2</v>
      </c>
      <c r="B248" s="241"/>
      <c r="C248" s="241"/>
      <c r="D248" s="241"/>
      <c r="E248" s="241"/>
      <c r="F248" s="241"/>
      <c r="G248" s="241"/>
      <c r="H248" s="241"/>
      <c r="I248" s="380"/>
      <c r="J248" s="241"/>
      <c r="K248" s="241"/>
      <c r="L248" s="241"/>
      <c r="M248" s="241"/>
      <c r="N248" s="241"/>
      <c r="O248" s="241"/>
      <c r="P248" s="241"/>
      <c r="Q248" s="377"/>
      <c r="R248" s="241"/>
      <c r="S248" s="241"/>
      <c r="T248" s="241"/>
      <c r="U248" s="241"/>
      <c r="V248" s="241"/>
      <c r="W248" s="413"/>
      <c r="X248" s="413"/>
      <c r="Y248" s="380"/>
      <c r="Z248" s="241"/>
      <c r="AA248" s="241"/>
      <c r="AB248" s="241"/>
      <c r="AC248" s="241"/>
      <c r="AD248" s="241"/>
      <c r="AE248" s="241"/>
      <c r="AF248" s="241"/>
      <c r="AG248" s="241"/>
      <c r="AH248" s="424"/>
      <c r="AI248" s="425"/>
      <c r="AJ248" s="360"/>
      <c r="AK248" s="266"/>
      <c r="AL248" s="284"/>
    </row>
    <row r="249" spans="1:38" ht="19.5" thickBot="1" x14ac:dyDescent="0.35">
      <c r="A249" s="272"/>
      <c r="B249" s="265"/>
      <c r="C249" s="265"/>
      <c r="D249" s="265"/>
      <c r="E249" s="265"/>
      <c r="F249" s="265"/>
      <c r="G249" s="265"/>
      <c r="H249" s="265"/>
      <c r="I249" s="334"/>
      <c r="J249" s="265"/>
      <c r="K249" s="265"/>
      <c r="L249" s="265"/>
      <c r="M249" s="265"/>
      <c r="N249" s="265"/>
      <c r="O249" s="265"/>
      <c r="P249" s="265"/>
      <c r="Q249" s="334"/>
      <c r="R249" s="265"/>
      <c r="S249" s="265"/>
      <c r="T249" s="265"/>
      <c r="U249" s="265"/>
      <c r="V249" s="265"/>
      <c r="W249" s="265"/>
      <c r="X249" s="265"/>
      <c r="Y249" s="334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334"/>
      <c r="AK249" s="273"/>
      <c r="AL249" s="228"/>
    </row>
    <row r="250" spans="1:38" ht="27" customHeight="1" thickBot="1" x14ac:dyDescent="0.4">
      <c r="A250" s="252" t="s">
        <v>219</v>
      </c>
      <c r="B250" s="258"/>
      <c r="C250" s="258"/>
      <c r="D250" s="258"/>
      <c r="E250" s="258"/>
      <c r="F250" s="258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  <c r="AD250" s="254"/>
      <c r="AE250" s="254"/>
      <c r="AF250" s="254"/>
      <c r="AG250" s="254"/>
      <c r="AH250" s="254"/>
      <c r="AI250" s="254"/>
      <c r="AJ250" s="260"/>
      <c r="AK250" s="261"/>
      <c r="AL250" s="260"/>
    </row>
    <row r="251" spans="1:38" ht="15" customHeight="1" thickBot="1" x14ac:dyDescent="0.3">
      <c r="A251" s="222" t="s">
        <v>2</v>
      </c>
      <c r="B251" s="53"/>
      <c r="C251" s="53"/>
      <c r="D251" s="53"/>
      <c r="E251" s="53"/>
      <c r="F251" s="53"/>
      <c r="G251" s="53"/>
      <c r="H251" s="53"/>
      <c r="I251" s="34"/>
      <c r="J251" s="53"/>
      <c r="K251" s="53"/>
      <c r="L251" s="53"/>
      <c r="M251" s="53"/>
      <c r="N251" s="53"/>
      <c r="O251" s="53"/>
      <c r="P251" s="53"/>
      <c r="Q251" s="34"/>
      <c r="R251" s="53"/>
      <c r="S251" s="53"/>
      <c r="T251" s="53"/>
      <c r="U251" s="53"/>
      <c r="V251" s="53"/>
      <c r="W251" s="53"/>
      <c r="X251" s="53"/>
      <c r="Y251" s="34"/>
      <c r="Z251" s="53"/>
      <c r="AA251" s="53"/>
      <c r="AB251" s="53"/>
      <c r="AC251" s="53"/>
      <c r="AD251" s="53"/>
      <c r="AE251" s="53"/>
      <c r="AF251" s="53"/>
      <c r="AG251" s="53"/>
      <c r="AH251" s="53"/>
      <c r="AI251" s="54"/>
      <c r="AJ251" s="49"/>
      <c r="AK251" s="346"/>
      <c r="AL251" s="105"/>
    </row>
    <row r="252" spans="1:38" ht="15" customHeight="1" x14ac:dyDescent="0.3">
      <c r="A252" s="64" t="s">
        <v>57</v>
      </c>
      <c r="B252" s="1"/>
      <c r="C252" s="1"/>
      <c r="D252" s="1"/>
      <c r="E252" s="1"/>
      <c r="F252" s="1"/>
      <c r="G252" s="1"/>
      <c r="H252" s="1"/>
      <c r="I252" s="36"/>
      <c r="J252" s="1"/>
      <c r="K252" s="1"/>
      <c r="L252" s="1"/>
      <c r="M252" s="1"/>
      <c r="N252" s="1"/>
      <c r="O252" s="1"/>
      <c r="P252" s="1"/>
      <c r="Q252" s="36"/>
      <c r="R252" s="1"/>
      <c r="S252" s="1"/>
      <c r="T252" s="57"/>
      <c r="U252" s="1"/>
      <c r="V252" s="1"/>
      <c r="W252" s="1"/>
      <c r="X252" s="1"/>
      <c r="Y252" s="36"/>
      <c r="Z252" s="1"/>
      <c r="AA252" s="1"/>
      <c r="AB252" s="1"/>
      <c r="AC252" s="1"/>
      <c r="AD252" s="1"/>
      <c r="AE252" s="1"/>
      <c r="AF252" s="1"/>
      <c r="AG252" s="1"/>
      <c r="AH252" s="1"/>
      <c r="AI252" s="55"/>
      <c r="AJ252" s="36"/>
      <c r="AK252" s="339"/>
      <c r="AL252" s="197"/>
    </row>
    <row r="253" spans="1:38" ht="18.75" x14ac:dyDescent="0.3">
      <c r="A253" s="11" t="s">
        <v>58</v>
      </c>
      <c r="B253" s="1"/>
      <c r="C253" s="1"/>
      <c r="D253" s="1"/>
      <c r="E253" s="1"/>
      <c r="F253" s="1"/>
      <c r="G253" s="1"/>
      <c r="H253" s="1"/>
      <c r="I253" s="37"/>
      <c r="J253" s="118"/>
      <c r="K253" s="1"/>
      <c r="L253" s="1"/>
      <c r="M253" s="1"/>
      <c r="N253" s="1"/>
      <c r="O253" s="1"/>
      <c r="P253" s="1"/>
      <c r="Q253" s="37"/>
      <c r="R253" s="1"/>
      <c r="S253" s="1"/>
      <c r="T253" s="57"/>
      <c r="U253" s="1"/>
      <c r="V253" s="1"/>
      <c r="W253" s="1"/>
      <c r="X253" s="1"/>
      <c r="Y253" s="37"/>
      <c r="Z253" s="1"/>
      <c r="AA253" s="1"/>
      <c r="AB253" s="118"/>
      <c r="AC253" s="1"/>
      <c r="AD253" s="118"/>
      <c r="AE253" s="1"/>
      <c r="AF253" s="1"/>
      <c r="AG253" s="336"/>
      <c r="AH253" s="2"/>
      <c r="AI253" s="52"/>
      <c r="AJ253" s="37"/>
      <c r="AK253" s="340"/>
      <c r="AL253" s="197"/>
    </row>
    <row r="254" spans="1:38" ht="18.75" x14ac:dyDescent="0.3">
      <c r="A254" s="62" t="s">
        <v>59</v>
      </c>
      <c r="B254" s="123"/>
      <c r="C254" s="123"/>
      <c r="D254" s="123"/>
      <c r="E254" s="123"/>
      <c r="F254" s="123"/>
      <c r="G254" s="123"/>
      <c r="H254" s="123"/>
      <c r="I254" s="43"/>
      <c r="J254" s="178"/>
      <c r="K254" s="123"/>
      <c r="L254" s="123"/>
      <c r="M254" s="123"/>
      <c r="N254" s="123"/>
      <c r="O254" s="123"/>
      <c r="P254" s="123"/>
      <c r="Q254" s="43"/>
      <c r="R254" s="123"/>
      <c r="S254" s="123"/>
      <c r="T254" s="178"/>
      <c r="U254" s="123"/>
      <c r="V254" s="123"/>
      <c r="W254" s="123"/>
      <c r="X254" s="123"/>
      <c r="Y254" s="43"/>
      <c r="Z254" s="123"/>
      <c r="AA254" s="123"/>
      <c r="AB254" s="123"/>
      <c r="AC254" s="123"/>
      <c r="AD254" s="119"/>
      <c r="AE254" s="123"/>
      <c r="AF254" s="123"/>
      <c r="AG254" s="366"/>
      <c r="AH254" s="42"/>
      <c r="AI254" s="243"/>
      <c r="AJ254" s="43"/>
      <c r="AK254" s="342"/>
      <c r="AL254" s="204"/>
    </row>
    <row r="255" spans="1:38" ht="19.5" thickBot="1" x14ac:dyDescent="0.35">
      <c r="A255" s="349"/>
      <c r="B255" s="274"/>
      <c r="C255" s="274"/>
      <c r="D255" s="274"/>
      <c r="E255" s="274"/>
      <c r="F255" s="274"/>
      <c r="G255" s="275"/>
      <c r="H255" s="275"/>
      <c r="I255" s="269"/>
      <c r="J255" s="270"/>
      <c r="K255" s="268"/>
      <c r="L255" s="275"/>
      <c r="M255" s="268"/>
      <c r="N255" s="275"/>
      <c r="O255" s="268"/>
      <c r="P255" s="275"/>
      <c r="Q255" s="269"/>
      <c r="R255" s="153"/>
      <c r="S255" s="275"/>
      <c r="T255" s="239"/>
      <c r="U255" s="268"/>
      <c r="V255" s="275"/>
      <c r="W255" s="275"/>
      <c r="X255" s="268"/>
      <c r="Y255" s="269"/>
      <c r="Z255" s="275"/>
      <c r="AA255" s="153"/>
      <c r="AB255" s="268"/>
      <c r="AC255" s="275"/>
      <c r="AD255" s="268"/>
      <c r="AE255" s="275"/>
      <c r="AF255" s="275"/>
      <c r="AG255" s="429"/>
      <c r="AH255" s="270"/>
      <c r="AI255" s="270"/>
      <c r="AJ255" s="269"/>
      <c r="AK255" s="271"/>
      <c r="AL255" s="204"/>
    </row>
    <row r="256" spans="1:38" ht="18.75" x14ac:dyDescent="0.3">
      <c r="A256" s="281" t="s">
        <v>2</v>
      </c>
      <c r="B256" s="307"/>
      <c r="C256" s="307"/>
      <c r="D256" s="307"/>
      <c r="E256" s="307"/>
      <c r="F256" s="307"/>
      <c r="G256" s="307"/>
      <c r="H256" s="307"/>
      <c r="I256" s="376"/>
      <c r="J256" s="307"/>
      <c r="K256" s="307"/>
      <c r="L256" s="307"/>
      <c r="M256" s="307"/>
      <c r="N256" s="307"/>
      <c r="O256" s="307"/>
      <c r="P256" s="307"/>
      <c r="Q256" s="376"/>
      <c r="R256" s="307"/>
      <c r="S256" s="307"/>
      <c r="T256" s="163"/>
      <c r="U256" s="307"/>
      <c r="V256" s="307"/>
      <c r="W256" s="307"/>
      <c r="X256" s="307"/>
      <c r="Y256" s="376"/>
      <c r="Z256" s="307"/>
      <c r="AA256" s="307"/>
      <c r="AB256" s="307"/>
      <c r="AC256" s="307"/>
      <c r="AD256" s="307"/>
      <c r="AE256" s="307"/>
      <c r="AF256" s="307"/>
      <c r="AG256" s="428"/>
      <c r="AH256" s="308"/>
      <c r="AI256" s="308"/>
      <c r="AJ256" s="310"/>
      <c r="AK256" s="308"/>
      <c r="AL256" s="284"/>
    </row>
    <row r="257" spans="1:38" ht="15.75" thickBot="1" x14ac:dyDescent="0.3">
      <c r="A257" s="264"/>
      <c r="B257" s="265"/>
      <c r="C257" s="265"/>
      <c r="D257" s="265"/>
      <c r="E257" s="265"/>
      <c r="F257" s="265"/>
      <c r="G257" s="265"/>
      <c r="H257" s="265"/>
      <c r="I257" s="361"/>
      <c r="J257" s="265"/>
      <c r="K257" s="265"/>
      <c r="L257" s="265"/>
      <c r="M257" s="265"/>
      <c r="N257" s="265"/>
      <c r="O257" s="265"/>
      <c r="P257" s="265"/>
      <c r="Q257" s="361"/>
      <c r="R257" s="265"/>
      <c r="S257" s="265"/>
      <c r="T257" s="265"/>
      <c r="U257" s="265"/>
      <c r="V257" s="265"/>
      <c r="W257" s="265"/>
      <c r="X257" s="265"/>
      <c r="Y257" s="361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361"/>
      <c r="AK257" s="362"/>
      <c r="AL257" s="363"/>
    </row>
    <row r="258" spans="1:38" ht="25.5" customHeight="1" thickBot="1" x14ac:dyDescent="0.4">
      <c r="A258" s="252" t="s">
        <v>220</v>
      </c>
      <c r="B258" s="258"/>
      <c r="C258" s="258"/>
      <c r="D258" s="258"/>
      <c r="E258" s="258"/>
      <c r="F258" s="258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  <c r="AD258" s="254"/>
      <c r="AE258" s="254"/>
      <c r="AF258" s="254"/>
      <c r="AG258" s="254"/>
      <c r="AH258" s="254"/>
      <c r="AI258" s="254"/>
      <c r="AJ258" s="260"/>
      <c r="AK258" s="261"/>
      <c r="AL258" s="260"/>
    </row>
    <row r="259" spans="1:38" ht="15" customHeight="1" x14ac:dyDescent="0.3">
      <c r="A259" s="11" t="s">
        <v>54</v>
      </c>
      <c r="B259" s="1"/>
      <c r="C259" s="1"/>
      <c r="D259" s="1"/>
      <c r="E259" s="1"/>
      <c r="F259" s="1"/>
      <c r="G259" s="1"/>
      <c r="H259" s="1"/>
      <c r="I259" s="37"/>
      <c r="J259" s="118"/>
      <c r="K259" s="118"/>
      <c r="L259" s="1"/>
      <c r="M259" s="118"/>
      <c r="N259" s="1"/>
      <c r="O259" s="118"/>
      <c r="P259" s="1"/>
      <c r="Q259" s="37"/>
      <c r="R259" s="118"/>
      <c r="S259" s="1"/>
      <c r="T259" s="118"/>
      <c r="U259" s="118"/>
      <c r="V259" s="118"/>
      <c r="W259" s="118"/>
      <c r="X259" s="118"/>
      <c r="Y259" s="37"/>
      <c r="Z259" s="118"/>
      <c r="AA259" s="1"/>
      <c r="AB259" s="1"/>
      <c r="AC259" s="1"/>
      <c r="AD259" s="1"/>
      <c r="AE259" s="118"/>
      <c r="AF259" s="118"/>
      <c r="AG259" s="2"/>
      <c r="AH259" s="2"/>
      <c r="AI259" s="52"/>
      <c r="AJ259" s="37"/>
      <c r="AK259" s="339"/>
      <c r="AL259" s="197"/>
    </row>
    <row r="260" spans="1:38" ht="18.75" x14ac:dyDescent="0.3">
      <c r="A260" s="11" t="s">
        <v>55</v>
      </c>
      <c r="B260" s="1"/>
      <c r="C260" s="1"/>
      <c r="D260" s="1"/>
      <c r="E260" s="1"/>
      <c r="F260" s="1"/>
      <c r="G260" s="1"/>
      <c r="H260" s="1"/>
      <c r="I260" s="37"/>
      <c r="J260" s="118"/>
      <c r="K260" s="118"/>
      <c r="L260" s="1"/>
      <c r="M260" s="118"/>
      <c r="N260" s="118"/>
      <c r="O260" s="1"/>
      <c r="P260" s="1"/>
      <c r="Q260" s="37"/>
      <c r="R260" s="118"/>
      <c r="S260" s="1"/>
      <c r="T260" s="118"/>
      <c r="U260" s="1"/>
      <c r="V260" s="118"/>
      <c r="W260" s="118"/>
      <c r="X260" s="118"/>
      <c r="Y260" s="37"/>
      <c r="Z260" s="118"/>
      <c r="AA260" s="1"/>
      <c r="AB260" s="1"/>
      <c r="AC260" s="1"/>
      <c r="AD260" s="1"/>
      <c r="AE260" s="118"/>
      <c r="AF260" s="118"/>
      <c r="AG260" s="2"/>
      <c r="AH260" s="2"/>
      <c r="AI260" s="52"/>
      <c r="AJ260" s="37"/>
      <c r="AK260" s="339"/>
      <c r="AL260" s="197"/>
    </row>
    <row r="261" spans="1:38" ht="18.75" x14ac:dyDescent="0.3">
      <c r="A261" s="62" t="s">
        <v>56</v>
      </c>
      <c r="B261" s="123"/>
      <c r="C261" s="123"/>
      <c r="D261" s="123"/>
      <c r="E261" s="123"/>
      <c r="F261" s="123"/>
      <c r="G261" s="123"/>
      <c r="H261" s="123"/>
      <c r="I261" s="43"/>
      <c r="J261" s="119"/>
      <c r="K261" s="119"/>
      <c r="L261" s="123"/>
      <c r="M261" s="119"/>
      <c r="N261" s="123"/>
      <c r="O261" s="119"/>
      <c r="P261" s="123"/>
      <c r="Q261" s="43"/>
      <c r="R261" s="123"/>
      <c r="S261" s="123"/>
      <c r="T261" s="119"/>
      <c r="U261" s="119"/>
      <c r="V261" s="119"/>
      <c r="W261" s="119"/>
      <c r="X261" s="119"/>
      <c r="Y261" s="43"/>
      <c r="Z261" s="119"/>
      <c r="AA261" s="123"/>
      <c r="AB261" s="123"/>
      <c r="AC261" s="123"/>
      <c r="AD261" s="123"/>
      <c r="AE261" s="119"/>
      <c r="AF261" s="119"/>
      <c r="AG261" s="42"/>
      <c r="AH261" s="42"/>
      <c r="AI261" s="243"/>
      <c r="AJ261" s="43"/>
      <c r="AK261" s="342"/>
      <c r="AL261" s="204"/>
    </row>
    <row r="262" spans="1:38" x14ac:dyDescent="0.25">
      <c r="A262" s="67"/>
      <c r="B262" s="124"/>
      <c r="C262" s="124"/>
      <c r="D262" s="124"/>
      <c r="E262" s="124"/>
      <c r="F262" s="124"/>
      <c r="G262" s="124"/>
      <c r="H262" s="124"/>
      <c r="I262" s="47"/>
      <c r="J262" s="124"/>
      <c r="K262" s="124"/>
      <c r="L262" s="124"/>
      <c r="M262" s="124"/>
      <c r="N262" s="124"/>
      <c r="O262" s="124"/>
      <c r="P262" s="124"/>
      <c r="Q262" s="47"/>
      <c r="R262" s="124"/>
      <c r="S262" s="124"/>
      <c r="T262" s="124"/>
      <c r="U262" s="124"/>
      <c r="V262" s="124"/>
      <c r="W262" s="124"/>
      <c r="X262" s="124"/>
      <c r="Y262" s="47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37"/>
      <c r="AK262" s="3"/>
      <c r="AL262" s="197"/>
    </row>
    <row r="263" spans="1:38" ht="18.75" x14ac:dyDescent="0.3">
      <c r="A263" s="402" t="s">
        <v>2</v>
      </c>
      <c r="B263" s="403"/>
      <c r="C263" s="403"/>
      <c r="D263" s="403"/>
      <c r="E263" s="403"/>
      <c r="F263" s="403"/>
      <c r="G263" s="403"/>
      <c r="H263" s="403"/>
      <c r="I263" s="404"/>
      <c r="J263" s="403"/>
      <c r="K263" s="405"/>
      <c r="L263" s="403"/>
      <c r="M263" s="403"/>
      <c r="N263" s="403"/>
      <c r="O263" s="405"/>
      <c r="P263" s="403"/>
      <c r="Q263" s="404"/>
      <c r="R263" s="403"/>
      <c r="S263" s="405"/>
      <c r="T263" s="405"/>
      <c r="U263" s="405"/>
      <c r="V263" s="405"/>
      <c r="W263" s="405"/>
      <c r="X263" s="405"/>
      <c r="Y263" s="404"/>
      <c r="Z263" s="405"/>
      <c r="AA263" s="403"/>
      <c r="AB263" s="403"/>
      <c r="AC263" s="403"/>
      <c r="AD263" s="403"/>
      <c r="AE263" s="405"/>
      <c r="AF263" s="403"/>
      <c r="AG263" s="430"/>
      <c r="AH263" s="406"/>
      <c r="AI263" s="406"/>
      <c r="AJ263" s="407"/>
      <c r="AK263" s="406"/>
      <c r="AL263" s="408"/>
    </row>
    <row r="264" spans="1:38" ht="15.75" thickBot="1" x14ac:dyDescent="0.3">
      <c r="A264" s="364"/>
      <c r="B264" s="265"/>
      <c r="C264" s="265"/>
      <c r="D264" s="265"/>
      <c r="E264" s="265"/>
      <c r="F264" s="265"/>
      <c r="G264" s="265"/>
      <c r="H264" s="265"/>
      <c r="I264" s="361"/>
      <c r="J264" s="265"/>
      <c r="K264" s="265"/>
      <c r="L264" s="265"/>
      <c r="M264" s="265"/>
      <c r="N264" s="265"/>
      <c r="O264" s="265"/>
      <c r="P264" s="265"/>
      <c r="Q264" s="361"/>
      <c r="R264" s="265"/>
      <c r="S264" s="265"/>
      <c r="T264" s="265"/>
      <c r="U264" s="265"/>
      <c r="V264" s="265"/>
      <c r="W264" s="265"/>
      <c r="X264" s="265"/>
      <c r="Y264" s="361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361"/>
      <c r="AK264" s="362"/>
      <c r="AL264" s="363"/>
    </row>
    <row r="265" spans="1:38" ht="24" customHeight="1" thickBot="1" x14ac:dyDescent="0.4">
      <c r="A265" s="276" t="s">
        <v>221</v>
      </c>
      <c r="B265" s="258"/>
      <c r="C265" s="258"/>
      <c r="D265" s="258"/>
      <c r="E265" s="258"/>
      <c r="F265" s="258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260"/>
      <c r="AK265" s="261"/>
      <c r="AL265" s="260"/>
    </row>
    <row r="266" spans="1:38" ht="16.5" thickBot="1" x14ac:dyDescent="0.3">
      <c r="A266" s="320" t="s">
        <v>24</v>
      </c>
      <c r="B266" s="53"/>
      <c r="C266" s="53"/>
      <c r="D266" s="53"/>
      <c r="E266" s="53"/>
      <c r="F266" s="53"/>
      <c r="G266" s="53"/>
      <c r="H266" s="53"/>
      <c r="I266" s="34"/>
      <c r="J266" s="53"/>
      <c r="K266" s="53"/>
      <c r="L266" s="53"/>
      <c r="M266" s="53"/>
      <c r="N266" s="53"/>
      <c r="O266" s="53"/>
      <c r="P266" s="53"/>
      <c r="Q266" s="34"/>
      <c r="R266" s="53"/>
      <c r="S266" s="53"/>
      <c r="T266" s="53"/>
      <c r="U266" s="53"/>
      <c r="V266" s="53"/>
      <c r="W266" s="53"/>
      <c r="X266" s="53"/>
      <c r="Y266" s="34"/>
      <c r="Z266" s="53"/>
      <c r="AA266" s="53"/>
      <c r="AB266" s="53"/>
      <c r="AC266" s="53"/>
      <c r="AD266" s="53"/>
      <c r="AE266" s="53"/>
      <c r="AF266" s="53"/>
      <c r="AG266" s="53"/>
      <c r="AH266" s="53"/>
      <c r="AI266" s="54"/>
      <c r="AJ266" s="49"/>
      <c r="AK266" s="346"/>
      <c r="AL266" s="197"/>
    </row>
    <row r="267" spans="1:38" x14ac:dyDescent="0.25">
      <c r="A267" s="64" t="s">
        <v>92</v>
      </c>
      <c r="B267" s="1"/>
      <c r="C267" s="1"/>
      <c r="D267" s="1"/>
      <c r="E267" s="1"/>
      <c r="F267" s="1"/>
      <c r="G267" s="1"/>
      <c r="H267" s="1"/>
      <c r="I267" s="36"/>
      <c r="J267" s="1"/>
      <c r="K267" s="1"/>
      <c r="L267" s="1"/>
      <c r="M267" s="1"/>
      <c r="N267" s="1"/>
      <c r="O267" s="1"/>
      <c r="P267" s="1"/>
      <c r="Q267" s="36"/>
      <c r="R267" s="1"/>
      <c r="S267" s="1"/>
      <c r="T267" s="1"/>
      <c r="U267" s="1"/>
      <c r="V267" s="57"/>
      <c r="W267" s="1"/>
      <c r="X267" s="1"/>
      <c r="Y267" s="36"/>
      <c r="Z267" s="57"/>
      <c r="AA267" s="57"/>
      <c r="AB267" s="57"/>
      <c r="AC267" s="57"/>
      <c r="AD267" s="57"/>
      <c r="AE267" s="57"/>
      <c r="AF267" s="57"/>
      <c r="AG267" s="57"/>
      <c r="AH267" s="57"/>
      <c r="AI267" s="58"/>
      <c r="AJ267" s="36"/>
      <c r="AK267" s="38"/>
      <c r="AL267" s="197"/>
    </row>
    <row r="268" spans="1:38" ht="18.75" x14ac:dyDescent="0.3">
      <c r="A268" s="11" t="s">
        <v>94</v>
      </c>
      <c r="B268" s="2"/>
      <c r="C268" s="2"/>
      <c r="D268" s="2"/>
      <c r="E268" s="2"/>
      <c r="F268" s="2"/>
      <c r="G268" s="2"/>
      <c r="H268" s="2"/>
      <c r="I268" s="37"/>
      <c r="J268" s="2"/>
      <c r="K268" s="2"/>
      <c r="L268" s="2"/>
      <c r="M268" s="2"/>
      <c r="N268" s="2"/>
      <c r="O268" s="2"/>
      <c r="P268" s="2"/>
      <c r="Q268" s="37"/>
      <c r="R268" s="2"/>
      <c r="S268" s="1"/>
      <c r="T268" s="57"/>
      <c r="U268" s="2"/>
      <c r="V268" s="161"/>
      <c r="W268" s="2"/>
      <c r="X268" s="2"/>
      <c r="Y268" s="37"/>
      <c r="Z268" s="59"/>
      <c r="AA268" s="59"/>
      <c r="AB268" s="59"/>
      <c r="AC268" s="59"/>
      <c r="AD268" s="59"/>
      <c r="AE268" s="59"/>
      <c r="AF268" s="59"/>
      <c r="AG268" s="59"/>
      <c r="AH268" s="59"/>
      <c r="AI268" s="60"/>
      <c r="AJ268" s="37"/>
      <c r="AK268" s="340"/>
      <c r="AL268" s="197"/>
    </row>
    <row r="269" spans="1:38" ht="18.75" x14ac:dyDescent="0.3">
      <c r="A269" s="11" t="s">
        <v>95</v>
      </c>
      <c r="B269" s="2"/>
      <c r="C269" s="2"/>
      <c r="D269" s="2"/>
      <c r="E269" s="2"/>
      <c r="F269" s="2"/>
      <c r="G269" s="2"/>
      <c r="H269" s="2"/>
      <c r="I269" s="37"/>
      <c r="J269" s="2"/>
      <c r="K269" s="2"/>
      <c r="L269" s="2"/>
      <c r="M269" s="2"/>
      <c r="N269" s="2"/>
      <c r="O269" s="2"/>
      <c r="P269" s="2"/>
      <c r="Q269" s="37"/>
      <c r="R269" s="2"/>
      <c r="S269" s="2"/>
      <c r="T269" s="2"/>
      <c r="U269" s="2"/>
      <c r="V269" s="57"/>
      <c r="W269" s="2"/>
      <c r="X269" s="2"/>
      <c r="Y269" s="37"/>
      <c r="Z269" s="59"/>
      <c r="AA269" s="59"/>
      <c r="AB269" s="59"/>
      <c r="AC269" s="59"/>
      <c r="AD269" s="59"/>
      <c r="AE269" s="59"/>
      <c r="AF269" s="59"/>
      <c r="AG269" s="59"/>
      <c r="AH269" s="59"/>
      <c r="AI269" s="60"/>
      <c r="AJ269" s="37"/>
      <c r="AK269" s="340"/>
      <c r="AL269" s="197"/>
    </row>
    <row r="270" spans="1:38" ht="18.75" x14ac:dyDescent="0.3">
      <c r="A270" s="11" t="s">
        <v>96</v>
      </c>
      <c r="B270" s="2"/>
      <c r="C270" s="2"/>
      <c r="D270" s="2"/>
      <c r="E270" s="2"/>
      <c r="F270" s="2"/>
      <c r="G270" s="2"/>
      <c r="H270" s="2"/>
      <c r="I270" s="37"/>
      <c r="J270" s="2"/>
      <c r="K270" s="2"/>
      <c r="L270" s="2"/>
      <c r="M270" s="2"/>
      <c r="N270" s="2"/>
      <c r="O270" s="2"/>
      <c r="P270" s="2"/>
      <c r="Q270" s="37"/>
      <c r="R270" s="2"/>
      <c r="S270" s="2"/>
      <c r="T270" s="2"/>
      <c r="U270" s="2"/>
      <c r="V270" s="161"/>
      <c r="W270" s="2"/>
      <c r="X270" s="2"/>
      <c r="Y270" s="37"/>
      <c r="Z270" s="59"/>
      <c r="AA270" s="59"/>
      <c r="AB270" s="59"/>
      <c r="AC270" s="59"/>
      <c r="AD270" s="59"/>
      <c r="AE270" s="59"/>
      <c r="AF270" s="59"/>
      <c r="AG270" s="59"/>
      <c r="AH270" s="59"/>
      <c r="AI270" s="60"/>
      <c r="AJ270" s="37"/>
      <c r="AK270" s="340"/>
      <c r="AL270" s="197"/>
    </row>
    <row r="271" spans="1:38" x14ac:dyDescent="0.25">
      <c r="A271" s="11" t="s">
        <v>97</v>
      </c>
      <c r="B271" s="124"/>
      <c r="C271" s="124"/>
      <c r="D271" s="124"/>
      <c r="E271" s="124"/>
      <c r="F271" s="124"/>
      <c r="G271" s="124"/>
      <c r="H271" s="124"/>
      <c r="I271" s="37"/>
      <c r="J271" s="124"/>
      <c r="K271" s="124"/>
      <c r="L271" s="124"/>
      <c r="M271" s="124"/>
      <c r="N271" s="124"/>
      <c r="O271" s="124"/>
      <c r="P271" s="124"/>
      <c r="Q271" s="37"/>
      <c r="R271" s="124"/>
      <c r="S271" s="124"/>
      <c r="T271" s="124"/>
      <c r="U271" s="124"/>
      <c r="V271" s="135"/>
      <c r="W271" s="124"/>
      <c r="X271" s="124"/>
      <c r="Y271" s="37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5"/>
      <c r="AJ271" s="37"/>
      <c r="AK271" s="38"/>
      <c r="AL271" s="197"/>
    </row>
    <row r="272" spans="1:38" ht="15.75" thickBot="1" x14ac:dyDescent="0.3">
      <c r="A272" s="11" t="s">
        <v>93</v>
      </c>
      <c r="B272" s="175"/>
      <c r="C272" s="175"/>
      <c r="D272" s="175"/>
      <c r="E272" s="175"/>
      <c r="F272" s="175"/>
      <c r="G272" s="175"/>
      <c r="H272" s="175"/>
      <c r="I272" s="43"/>
      <c r="J272" s="245"/>
      <c r="K272" s="245"/>
      <c r="L272" s="245"/>
      <c r="M272" s="245"/>
      <c r="N272" s="245"/>
      <c r="O272" s="245"/>
      <c r="P272" s="245"/>
      <c r="Q272" s="43"/>
      <c r="R272" s="245"/>
      <c r="S272" s="245"/>
      <c r="T272" s="245"/>
      <c r="U272" s="245"/>
      <c r="V272" s="175"/>
      <c r="W272" s="245"/>
      <c r="X272" s="245"/>
      <c r="Y272" s="43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6"/>
      <c r="AJ272" s="43"/>
      <c r="AK272" s="44"/>
      <c r="AL272" s="204"/>
    </row>
    <row r="273" spans="1:41" ht="16.5" thickBot="1" x14ac:dyDescent="0.3">
      <c r="A273" s="11" t="s">
        <v>60</v>
      </c>
      <c r="B273" s="398"/>
      <c r="C273" s="398"/>
      <c r="D273" s="398"/>
      <c r="E273" s="398"/>
      <c r="F273" s="398"/>
      <c r="G273" s="398"/>
      <c r="H273" s="398"/>
      <c r="I273" s="375"/>
      <c r="J273" s="398"/>
      <c r="K273" s="398"/>
      <c r="L273" s="398"/>
      <c r="M273" s="398"/>
      <c r="N273" s="398"/>
      <c r="O273" s="398"/>
      <c r="P273" s="398"/>
      <c r="Q273" s="375"/>
      <c r="R273" s="398"/>
      <c r="S273" s="399"/>
      <c r="T273" s="399"/>
      <c r="U273" s="399"/>
      <c r="V273" s="398"/>
      <c r="W273" s="399"/>
      <c r="X273" s="399"/>
      <c r="Y273" s="278"/>
      <c r="Z273" s="399"/>
      <c r="AA273" s="399"/>
      <c r="AB273" s="399"/>
      <c r="AC273" s="399"/>
      <c r="AD273" s="399"/>
      <c r="AE273" s="399"/>
      <c r="AF273" s="399"/>
      <c r="AG273" s="399"/>
      <c r="AH273" s="399"/>
      <c r="AI273" s="400"/>
      <c r="AJ273" s="278"/>
      <c r="AK273" s="168"/>
      <c r="AL273" s="401"/>
    </row>
    <row r="274" spans="1:41" ht="19.5" thickBot="1" x14ac:dyDescent="0.35">
      <c r="A274" s="280" t="s">
        <v>2</v>
      </c>
      <c r="B274" s="277"/>
      <c r="C274" s="277"/>
      <c r="D274" s="277"/>
      <c r="E274" s="277"/>
      <c r="F274" s="277"/>
      <c r="G274" s="277"/>
      <c r="H274" s="277"/>
      <c r="I274" s="375"/>
      <c r="J274" s="277"/>
      <c r="K274" s="277"/>
      <c r="L274" s="277"/>
      <c r="M274" s="277"/>
      <c r="N274" s="277"/>
      <c r="O274" s="277"/>
      <c r="P274" s="277"/>
      <c r="Q274" s="375"/>
      <c r="R274" s="277"/>
      <c r="S274" s="277"/>
      <c r="T274" s="277"/>
      <c r="U274" s="277"/>
      <c r="V274" s="277"/>
      <c r="W274" s="277"/>
      <c r="X274" s="277"/>
      <c r="Y274" s="375"/>
      <c r="Z274" s="277"/>
      <c r="AA274" s="277"/>
      <c r="AB274" s="277"/>
      <c r="AC274" s="277"/>
      <c r="AD274" s="277"/>
      <c r="AE274" s="277"/>
      <c r="AF274" s="277"/>
      <c r="AG274" s="277"/>
      <c r="AH274" s="277"/>
      <c r="AI274" s="423"/>
      <c r="AJ274" s="278"/>
      <c r="AK274" s="279"/>
      <c r="AL274" s="283"/>
    </row>
    <row r="275" spans="1:41" ht="27" thickBot="1" x14ac:dyDescent="0.45">
      <c r="A275" s="311" t="s">
        <v>222</v>
      </c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312"/>
    </row>
    <row r="276" spans="1:41" ht="16.5" thickBot="1" x14ac:dyDescent="0.3">
      <c r="A276" s="319" t="s">
        <v>8</v>
      </c>
      <c r="B276" s="316"/>
      <c r="C276" s="316"/>
      <c r="D276" s="316"/>
      <c r="E276" s="316"/>
      <c r="F276" s="316"/>
      <c r="G276" s="316"/>
      <c r="H276" s="316"/>
      <c r="I276" s="306"/>
      <c r="J276" s="316"/>
      <c r="K276" s="316"/>
      <c r="L276" s="316"/>
      <c r="M276" s="316"/>
      <c r="N276" s="316"/>
      <c r="O276" s="316"/>
      <c r="P276" s="316"/>
      <c r="Q276" s="306"/>
      <c r="R276" s="316"/>
      <c r="S276" s="316"/>
      <c r="T276" s="316"/>
      <c r="U276" s="316"/>
      <c r="V276" s="316"/>
      <c r="W276" s="316"/>
      <c r="X276" s="316"/>
      <c r="Y276" s="306"/>
      <c r="Z276" s="316"/>
      <c r="AA276" s="316"/>
      <c r="AB276" s="316"/>
      <c r="AC276" s="316"/>
      <c r="AD276" s="316"/>
      <c r="AE276" s="316"/>
      <c r="AF276" s="316"/>
      <c r="AG276" s="316"/>
      <c r="AH276" s="316"/>
      <c r="AI276" s="316"/>
      <c r="AJ276" s="306"/>
      <c r="AK276" s="317"/>
      <c r="AL276" s="318"/>
    </row>
    <row r="277" spans="1:41" x14ac:dyDescent="0.25">
      <c r="A277" s="61" t="s">
        <v>25</v>
      </c>
      <c r="B277" s="303"/>
      <c r="C277" s="303"/>
      <c r="D277" s="303"/>
      <c r="E277" s="303"/>
      <c r="F277" s="303"/>
      <c r="G277" s="303"/>
      <c r="H277" s="313"/>
      <c r="I277" s="304"/>
      <c r="J277" s="303"/>
      <c r="K277" s="303"/>
      <c r="L277" s="303"/>
      <c r="M277" s="303"/>
      <c r="N277" s="303"/>
      <c r="O277" s="303"/>
      <c r="P277" s="303"/>
      <c r="Q277" s="305"/>
      <c r="R277" s="303"/>
      <c r="S277" s="303"/>
      <c r="T277" s="303"/>
      <c r="U277" s="303"/>
      <c r="V277" s="303"/>
      <c r="W277" s="303"/>
      <c r="X277" s="303"/>
      <c r="Y277" s="305"/>
      <c r="Z277" s="303"/>
      <c r="AA277" s="303"/>
      <c r="AB277" s="303"/>
      <c r="AC277" s="303"/>
      <c r="AD277" s="303"/>
      <c r="AE277" s="303"/>
      <c r="AF277" s="303"/>
      <c r="AG277" s="303"/>
      <c r="AH277" s="303"/>
      <c r="AI277" s="303"/>
      <c r="AJ277" s="305"/>
      <c r="AK277" s="314"/>
      <c r="AL277" s="315"/>
    </row>
    <row r="278" spans="1:41" ht="15.75" x14ac:dyDescent="0.25">
      <c r="A278" s="11" t="s">
        <v>36</v>
      </c>
      <c r="B278" s="1"/>
      <c r="C278" s="1"/>
      <c r="D278" s="1"/>
      <c r="E278" s="1"/>
      <c r="F278" s="1"/>
      <c r="G278" s="118"/>
      <c r="H278" s="173"/>
      <c r="I278" s="36"/>
      <c r="J278" s="173"/>
      <c r="K278" s="1"/>
      <c r="L278" s="1"/>
      <c r="M278" s="1"/>
      <c r="N278" s="1"/>
      <c r="O278" s="1"/>
      <c r="P278" s="1"/>
      <c r="Q278" s="37"/>
      <c r="R278" s="1"/>
      <c r="S278" s="1"/>
      <c r="T278" s="1"/>
      <c r="U278" s="1"/>
      <c r="V278" s="118"/>
      <c r="W278" s="1"/>
      <c r="X278" s="1"/>
      <c r="Y278" s="37"/>
      <c r="Z278" s="1"/>
      <c r="AA278" s="1"/>
      <c r="AB278" s="1"/>
      <c r="AC278" s="1"/>
      <c r="AD278" s="1"/>
      <c r="AE278" s="1"/>
      <c r="AF278" s="118"/>
      <c r="AG278" s="1"/>
      <c r="AH278" s="1"/>
      <c r="AI278" s="1"/>
      <c r="AJ278" s="37"/>
      <c r="AK278" s="236"/>
      <c r="AL278" s="223"/>
      <c r="AN278" s="167"/>
      <c r="AO278" s="180"/>
    </row>
    <row r="279" spans="1:41" ht="15.75" x14ac:dyDescent="0.25">
      <c r="A279" s="11" t="s">
        <v>46</v>
      </c>
      <c r="B279" s="1"/>
      <c r="C279" s="1"/>
      <c r="D279" s="1"/>
      <c r="E279" s="1"/>
      <c r="F279" s="118"/>
      <c r="G279" s="1"/>
      <c r="H279" s="211"/>
      <c r="I279" s="36"/>
      <c r="J279" s="1"/>
      <c r="K279" s="1"/>
      <c r="L279" s="1"/>
      <c r="M279" s="1"/>
      <c r="N279" s="1"/>
      <c r="O279" s="1"/>
      <c r="P279" s="118"/>
      <c r="Q279" s="37"/>
      <c r="R279" s="1"/>
      <c r="S279" s="1"/>
      <c r="T279" s="1"/>
      <c r="U279" s="1"/>
      <c r="V279" s="1"/>
      <c r="W279" s="1"/>
      <c r="X279" s="1"/>
      <c r="Y279" s="37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37"/>
      <c r="AK279" s="237"/>
      <c r="AL279" s="223"/>
      <c r="AN279" s="167"/>
      <c r="AO279" s="180"/>
    </row>
    <row r="280" spans="1:41" ht="18.75" x14ac:dyDescent="0.3">
      <c r="A280" s="11" t="s">
        <v>47</v>
      </c>
      <c r="B280" s="1"/>
      <c r="C280" s="1"/>
      <c r="D280" s="1"/>
      <c r="E280" s="1"/>
      <c r="F280" s="118"/>
      <c r="G280" s="1"/>
      <c r="H280" s="173"/>
      <c r="I280" s="36"/>
      <c r="J280" s="1"/>
      <c r="K280" s="1"/>
      <c r="L280" s="1"/>
      <c r="M280" s="1"/>
      <c r="N280" s="1"/>
      <c r="O280" s="1"/>
      <c r="P280" s="118"/>
      <c r="Q280" s="37"/>
      <c r="R280" s="1"/>
      <c r="S280" s="1"/>
      <c r="T280" s="1"/>
      <c r="U280" s="1"/>
      <c r="V280" s="1"/>
      <c r="W280" s="1"/>
      <c r="X280" s="1"/>
      <c r="Y280" s="37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37"/>
      <c r="AK280" s="238"/>
      <c r="AL280" s="223"/>
      <c r="AN280" s="180"/>
      <c r="AO280" s="180"/>
    </row>
    <row r="281" spans="1:41" ht="18.75" x14ac:dyDescent="0.3">
      <c r="A281" s="11" t="s">
        <v>48</v>
      </c>
      <c r="B281" s="1"/>
      <c r="C281" s="1"/>
      <c r="D281" s="1"/>
      <c r="E281" s="1"/>
      <c r="F281" s="1"/>
      <c r="G281" s="1"/>
      <c r="H281" s="173"/>
      <c r="I281" s="36"/>
      <c r="J281" s="1"/>
      <c r="K281" s="1"/>
      <c r="L281" s="1"/>
      <c r="M281" s="1"/>
      <c r="N281" s="1"/>
      <c r="O281" s="1"/>
      <c r="P281" s="118"/>
      <c r="Q281" s="37"/>
      <c r="R281" s="1"/>
      <c r="S281" s="1"/>
      <c r="T281" s="1"/>
      <c r="U281" s="1"/>
      <c r="V281" s="1"/>
      <c r="W281" s="1"/>
      <c r="X281" s="1"/>
      <c r="Y281" s="37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37"/>
      <c r="AK281" s="238"/>
      <c r="AL281" s="223"/>
      <c r="AN281" s="180"/>
      <c r="AO281" s="180"/>
    </row>
    <row r="282" spans="1:41" ht="18.75" x14ac:dyDescent="0.3">
      <c r="A282" s="11" t="s">
        <v>37</v>
      </c>
      <c r="B282" s="1"/>
      <c r="C282" s="1"/>
      <c r="D282" s="1"/>
      <c r="E282" s="1"/>
      <c r="F282" s="118"/>
      <c r="G282" s="1"/>
      <c r="H282" s="173"/>
      <c r="I282" s="36"/>
      <c r="J282" s="1"/>
      <c r="K282" s="1"/>
      <c r="L282" s="1"/>
      <c r="M282" s="1"/>
      <c r="N282" s="1"/>
      <c r="O282" s="1"/>
      <c r="P282" s="118"/>
      <c r="Q282" s="37"/>
      <c r="R282" s="1"/>
      <c r="S282" s="1"/>
      <c r="T282" s="1"/>
      <c r="U282" s="1"/>
      <c r="V282" s="1"/>
      <c r="W282" s="1"/>
      <c r="X282" s="1"/>
      <c r="Y282" s="37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37"/>
      <c r="AK282" s="238"/>
      <c r="AL282" s="223"/>
      <c r="AN282" s="166"/>
      <c r="AO282" s="180"/>
    </row>
    <row r="283" spans="1:41" ht="18.75" x14ac:dyDescent="0.3">
      <c r="A283" s="11" t="s">
        <v>26</v>
      </c>
      <c r="B283" s="1"/>
      <c r="C283" s="1"/>
      <c r="D283" s="1"/>
      <c r="E283" s="1"/>
      <c r="F283" s="1"/>
      <c r="G283" s="118"/>
      <c r="H283" s="173"/>
      <c r="I283" s="36"/>
      <c r="J283" s="1"/>
      <c r="K283" s="1"/>
      <c r="L283" s="1"/>
      <c r="M283" s="1"/>
      <c r="N283" s="1"/>
      <c r="O283" s="1"/>
      <c r="P283" s="1"/>
      <c r="Q283" s="37"/>
      <c r="R283" s="1"/>
      <c r="S283" s="1"/>
      <c r="T283" s="1"/>
      <c r="U283" s="1"/>
      <c r="V283" s="1"/>
      <c r="W283" s="1"/>
      <c r="X283" s="1"/>
      <c r="Y283" s="37"/>
      <c r="Z283" s="118"/>
      <c r="AA283" s="1"/>
      <c r="AB283" s="1"/>
      <c r="AC283" s="1"/>
      <c r="AD283" s="1"/>
      <c r="AE283" s="1"/>
      <c r="AF283" s="1"/>
      <c r="AG283" s="1"/>
      <c r="AH283" s="1"/>
      <c r="AI283" s="1"/>
      <c r="AJ283" s="37"/>
      <c r="AK283" s="341"/>
      <c r="AL283" s="223"/>
      <c r="AN283" s="167"/>
      <c r="AO283" s="180"/>
    </row>
    <row r="284" spans="1:41" ht="18.75" x14ac:dyDescent="0.3">
      <c r="A284" s="11" t="s">
        <v>27</v>
      </c>
      <c r="B284" s="1"/>
      <c r="C284" s="1"/>
      <c r="D284" s="1"/>
      <c r="E284" s="1"/>
      <c r="F284" s="1"/>
      <c r="G284" s="118"/>
      <c r="H284" s="211"/>
      <c r="I284" s="36"/>
      <c r="J284" s="1"/>
      <c r="K284" s="1"/>
      <c r="L284" s="1"/>
      <c r="M284" s="1"/>
      <c r="N284" s="1"/>
      <c r="O284" s="1"/>
      <c r="P284" s="1"/>
      <c r="Q284" s="37"/>
      <c r="R284" s="118"/>
      <c r="S284" s="1"/>
      <c r="T284" s="118"/>
      <c r="U284" s="1"/>
      <c r="V284" s="1"/>
      <c r="W284" s="1"/>
      <c r="X284" s="1"/>
      <c r="Y284" s="37"/>
      <c r="Z284" s="1"/>
      <c r="AA284" s="1"/>
      <c r="AB284" s="1"/>
      <c r="AC284" s="1"/>
      <c r="AD284" s="1"/>
      <c r="AE284" s="118"/>
      <c r="AF284" s="1"/>
      <c r="AG284" s="1"/>
      <c r="AH284" s="1"/>
      <c r="AI284" s="1"/>
      <c r="AJ284" s="37"/>
      <c r="AK284" s="341"/>
      <c r="AL284" s="223"/>
      <c r="AN284" s="167"/>
      <c r="AO284" s="180"/>
    </row>
    <row r="285" spans="1:41" ht="18.75" x14ac:dyDescent="0.3">
      <c r="A285" s="62" t="s">
        <v>89</v>
      </c>
      <c r="B285" s="123"/>
      <c r="C285" s="123"/>
      <c r="D285" s="123"/>
      <c r="E285" s="123"/>
      <c r="F285" s="123"/>
      <c r="G285" s="123"/>
      <c r="H285" s="213"/>
      <c r="I285" s="126"/>
      <c r="J285" s="123"/>
      <c r="K285" s="123"/>
      <c r="L285" s="123"/>
      <c r="M285" s="123"/>
      <c r="N285" s="123"/>
      <c r="O285" s="123"/>
      <c r="P285" s="123"/>
      <c r="Q285" s="43"/>
      <c r="R285" s="123"/>
      <c r="S285" s="123"/>
      <c r="T285" s="123"/>
      <c r="U285" s="123"/>
      <c r="V285" s="123"/>
      <c r="W285" s="123"/>
      <c r="X285" s="123"/>
      <c r="Y285" s="4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43"/>
      <c r="AK285" s="421"/>
      <c r="AL285" s="229"/>
    </row>
    <row r="286" spans="1:41" ht="19.5" thickBot="1" x14ac:dyDescent="0.35">
      <c r="A286" s="62" t="s">
        <v>28</v>
      </c>
      <c r="B286" s="123"/>
      <c r="C286" s="123"/>
      <c r="D286" s="123"/>
      <c r="E286" s="123"/>
      <c r="F286" s="123"/>
      <c r="G286" s="123"/>
      <c r="H286" s="213"/>
      <c r="I286" s="126"/>
      <c r="J286" s="123"/>
      <c r="K286" s="123"/>
      <c r="L286" s="123"/>
      <c r="M286" s="123"/>
      <c r="N286" s="123"/>
      <c r="O286" s="123"/>
      <c r="P286" s="123"/>
      <c r="Q286" s="43"/>
      <c r="R286" s="123"/>
      <c r="S286" s="123"/>
      <c r="T286" s="123"/>
      <c r="U286" s="123"/>
      <c r="V286" s="123"/>
      <c r="W286" s="123"/>
      <c r="X286" s="123"/>
      <c r="Y286" s="4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43"/>
      <c r="AK286" s="239"/>
      <c r="AL286" s="229"/>
    </row>
    <row r="287" spans="1:41" ht="18.75" x14ac:dyDescent="0.3">
      <c r="A287" s="230" t="s">
        <v>2</v>
      </c>
      <c r="B287" s="232"/>
      <c r="C287" s="232"/>
      <c r="D287" s="232"/>
      <c r="E287" s="232"/>
      <c r="F287" s="232"/>
      <c r="G287" s="232"/>
      <c r="H287" s="248"/>
      <c r="I287" s="249"/>
      <c r="J287" s="231"/>
      <c r="K287" s="231"/>
      <c r="L287" s="231"/>
      <c r="M287" s="231"/>
      <c r="N287" s="231"/>
      <c r="O287" s="231"/>
      <c r="P287" s="231"/>
      <c r="Q287" s="249"/>
      <c r="R287" s="233"/>
      <c r="S287" s="233"/>
      <c r="T287" s="233"/>
      <c r="U287" s="233"/>
      <c r="V287" s="233"/>
      <c r="W287" s="233"/>
      <c r="X287" s="233"/>
      <c r="Y287" s="249"/>
      <c r="Z287" s="233"/>
      <c r="AA287" s="233"/>
      <c r="AB287" s="233"/>
      <c r="AC287" s="233"/>
      <c r="AD287" s="233"/>
      <c r="AE287" s="233"/>
      <c r="AF287" s="233"/>
      <c r="AG287" s="233"/>
      <c r="AH287" s="233"/>
      <c r="AI287" s="233"/>
      <c r="AJ287" s="249"/>
      <c r="AK287" s="234"/>
      <c r="AL287" s="235"/>
    </row>
    <row r="288" spans="1:41" ht="15.75" thickBot="1" x14ac:dyDescent="0.3">
      <c r="A288" s="224"/>
      <c r="B288" s="335"/>
      <c r="C288" s="225"/>
      <c r="D288" s="225"/>
      <c r="E288" s="225"/>
      <c r="F288" s="225"/>
      <c r="G288" s="225"/>
      <c r="H288" s="225"/>
      <c r="I288" s="56"/>
      <c r="J288" s="225"/>
      <c r="K288" s="225"/>
      <c r="L288" s="225"/>
      <c r="M288" s="225"/>
      <c r="N288" s="225"/>
      <c r="O288" s="225"/>
      <c r="P288" s="225"/>
      <c r="Q288" s="56"/>
      <c r="R288" s="225"/>
      <c r="S288" s="225"/>
      <c r="T288" s="225"/>
      <c r="U288" s="225"/>
      <c r="V288" s="225"/>
      <c r="W288" s="225"/>
      <c r="X288" s="225"/>
      <c r="Y288" s="56"/>
      <c r="Z288" s="226"/>
      <c r="AA288" s="225"/>
      <c r="AB288" s="227"/>
      <c r="AC288" s="225"/>
      <c r="AD288" s="225"/>
      <c r="AE288" s="225"/>
      <c r="AF288" s="225"/>
      <c r="AG288" s="225"/>
      <c r="AH288" s="225"/>
      <c r="AI288" s="225"/>
      <c r="AJ288" s="56"/>
      <c r="AK288" s="225"/>
      <c r="AL288" s="228"/>
    </row>
    <row r="289" spans="22:37" x14ac:dyDescent="0.25">
      <c r="V289" s="167"/>
      <c r="W289" s="180"/>
      <c r="Z289" s="180"/>
    </row>
    <row r="290" spans="22:37" x14ac:dyDescent="0.25">
      <c r="V290" s="167"/>
      <c r="W290" s="180"/>
      <c r="Z290" s="181"/>
    </row>
    <row r="291" spans="22:37" x14ac:dyDescent="0.25">
      <c r="V291" s="167"/>
      <c r="W291" s="180"/>
      <c r="Z291" s="180"/>
    </row>
    <row r="292" spans="22:37" x14ac:dyDescent="0.25">
      <c r="V292" s="167"/>
      <c r="W292" s="180"/>
      <c r="Z292" s="180"/>
      <c r="AK292" s="13"/>
    </row>
    <row r="293" spans="22:37" x14ac:dyDescent="0.25">
      <c r="V293" s="167"/>
      <c r="W293" s="180"/>
      <c r="Z293" s="166"/>
      <c r="AK293" s="189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7"/>
  <sheetViews>
    <sheetView topLeftCell="A208" workbookViewId="0">
      <selection activeCell="A276" sqref="A276"/>
    </sheetView>
  </sheetViews>
  <sheetFormatPr defaultRowHeight="15" x14ac:dyDescent="0.25"/>
  <cols>
    <col min="1" max="1" width="18.5703125" customWidth="1"/>
    <col min="2" max="2" width="1.28515625" customWidth="1"/>
    <col min="3" max="4" width="1.5703125" customWidth="1"/>
    <col min="5" max="5" width="1.42578125" customWidth="1"/>
    <col min="6" max="8" width="1.5703125" customWidth="1"/>
    <col min="9" max="9" width="10.7109375" customWidth="1"/>
    <col min="10" max="10" width="1.42578125" customWidth="1"/>
    <col min="11" max="11" width="1.5703125" customWidth="1"/>
    <col min="12" max="13" width="1.28515625" customWidth="1"/>
    <col min="14" max="15" width="1.42578125" customWidth="1"/>
    <col min="16" max="16" width="1.28515625" customWidth="1"/>
    <col min="17" max="17" width="10.7109375" customWidth="1"/>
    <col min="18" max="18" width="1.85546875" customWidth="1"/>
    <col min="19" max="19" width="1.28515625" customWidth="1"/>
    <col min="20" max="20" width="1" customWidth="1"/>
    <col min="21" max="21" width="1.28515625" customWidth="1"/>
    <col min="22" max="22" width="1" customWidth="1"/>
    <col min="23" max="23" width="0.7109375" customWidth="1"/>
    <col min="24" max="24" width="6.7109375" customWidth="1"/>
    <col min="25" max="25" width="10.7109375" customWidth="1"/>
    <col min="26" max="35" width="9.28515625" customWidth="1"/>
    <col min="36" max="36" width="10.7109375" customWidth="1"/>
    <col min="37" max="37" width="13.85546875" customWidth="1"/>
    <col min="38" max="38" width="20.42578125" customWidth="1"/>
  </cols>
  <sheetData>
    <row r="1" spans="1:38" ht="24" thickBot="1" x14ac:dyDescent="0.4">
      <c r="A1" s="256" t="s">
        <v>223</v>
      </c>
      <c r="B1" s="257"/>
      <c r="C1" s="257"/>
      <c r="D1" s="257"/>
      <c r="E1" s="257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1"/>
    </row>
    <row r="2" spans="1:38" ht="15.75" x14ac:dyDescent="0.25">
      <c r="A2" s="321" t="s">
        <v>3</v>
      </c>
      <c r="B2" s="322">
        <v>1</v>
      </c>
      <c r="C2" s="322">
        <v>2</v>
      </c>
      <c r="D2" s="322">
        <v>3</v>
      </c>
      <c r="E2" s="322">
        <v>4</v>
      </c>
      <c r="F2" s="322">
        <v>5</v>
      </c>
      <c r="G2" s="322">
        <v>6</v>
      </c>
      <c r="H2" s="322">
        <v>7</v>
      </c>
      <c r="I2" s="323" t="s">
        <v>6</v>
      </c>
      <c r="J2" s="322">
        <v>8</v>
      </c>
      <c r="K2" s="322">
        <v>9</v>
      </c>
      <c r="L2" s="322">
        <v>10</v>
      </c>
      <c r="M2" s="322">
        <v>11</v>
      </c>
      <c r="N2" s="322">
        <v>12</v>
      </c>
      <c r="O2" s="322">
        <v>13</v>
      </c>
      <c r="P2" s="322">
        <v>14</v>
      </c>
      <c r="Q2" s="323" t="s">
        <v>6</v>
      </c>
      <c r="R2" s="322">
        <v>15</v>
      </c>
      <c r="S2" s="322">
        <v>16</v>
      </c>
      <c r="T2" s="322">
        <v>17</v>
      </c>
      <c r="U2" s="322">
        <v>18</v>
      </c>
      <c r="V2" s="322">
        <v>19</v>
      </c>
      <c r="W2" s="322">
        <v>20</v>
      </c>
      <c r="X2" s="322">
        <v>21</v>
      </c>
      <c r="Y2" s="323" t="s">
        <v>6</v>
      </c>
      <c r="Z2" s="322">
        <v>22</v>
      </c>
      <c r="AA2" s="322">
        <v>23</v>
      </c>
      <c r="AB2" s="322">
        <v>24</v>
      </c>
      <c r="AC2" s="322">
        <v>25</v>
      </c>
      <c r="AD2" s="322">
        <v>26</v>
      </c>
      <c r="AE2" s="322">
        <v>27</v>
      </c>
      <c r="AF2" s="322">
        <v>28</v>
      </c>
      <c r="AG2" s="322">
        <v>29</v>
      </c>
      <c r="AH2" s="322">
        <v>30</v>
      </c>
      <c r="AI2" s="322">
        <v>31</v>
      </c>
      <c r="AJ2" s="324" t="s">
        <v>6</v>
      </c>
      <c r="AK2" s="325" t="s">
        <v>0</v>
      </c>
      <c r="AL2" s="395" t="s">
        <v>42</v>
      </c>
    </row>
    <row r="3" spans="1:38" x14ac:dyDescent="0.25">
      <c r="A3" s="11">
        <v>1</v>
      </c>
      <c r="B3" s="106"/>
      <c r="C3" s="106"/>
      <c r="D3" s="106"/>
      <c r="E3" s="106"/>
      <c r="F3" s="106"/>
      <c r="G3" s="106"/>
      <c r="H3" s="106"/>
      <c r="I3" s="157"/>
      <c r="J3" s="106"/>
      <c r="K3" s="106"/>
      <c r="L3" s="106"/>
      <c r="M3" s="106"/>
      <c r="N3" s="106"/>
      <c r="O3" s="106"/>
      <c r="P3" s="106"/>
      <c r="Q3" s="35"/>
      <c r="R3" s="106"/>
      <c r="S3" s="106"/>
      <c r="T3" s="106"/>
      <c r="U3" s="106"/>
      <c r="V3" s="106"/>
      <c r="W3" s="106"/>
      <c r="X3" s="106"/>
      <c r="Y3" s="3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36"/>
      <c r="AK3" s="14"/>
      <c r="AL3" s="203"/>
    </row>
    <row r="4" spans="1:38" x14ac:dyDescent="0.25">
      <c r="A4" s="11">
        <v>2</v>
      </c>
      <c r="B4" s="106"/>
      <c r="C4" s="106"/>
      <c r="D4" s="106"/>
      <c r="E4" s="106"/>
      <c r="F4" s="106"/>
      <c r="G4" s="106"/>
      <c r="H4" s="106"/>
      <c r="I4" s="37"/>
      <c r="J4" s="106"/>
      <c r="K4" s="106"/>
      <c r="L4" s="106"/>
      <c r="M4" s="106"/>
      <c r="N4" s="106"/>
      <c r="O4" s="106"/>
      <c r="P4" s="106"/>
      <c r="Q4" s="37"/>
      <c r="R4" s="106"/>
      <c r="S4" s="106"/>
      <c r="T4" s="106"/>
      <c r="U4" s="106"/>
      <c r="V4" s="106"/>
      <c r="W4" s="106"/>
      <c r="X4" s="106"/>
      <c r="Y4" s="37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37"/>
      <c r="AK4" s="38"/>
      <c r="AL4" s="154"/>
    </row>
    <row r="5" spans="1:38" x14ac:dyDescent="0.25">
      <c r="A5" s="11">
        <v>3</v>
      </c>
      <c r="B5" s="106"/>
      <c r="C5" s="106"/>
      <c r="D5" s="106"/>
      <c r="E5" s="106"/>
      <c r="F5" s="106"/>
      <c r="G5" s="106"/>
      <c r="H5" s="106"/>
      <c r="I5" s="37"/>
      <c r="J5" s="106"/>
      <c r="K5" s="106"/>
      <c r="L5" s="106"/>
      <c r="M5" s="106"/>
      <c r="N5" s="106"/>
      <c r="O5" s="106"/>
      <c r="P5" s="106"/>
      <c r="Q5" s="37"/>
      <c r="R5" s="106"/>
      <c r="S5" s="106"/>
      <c r="T5" s="106"/>
      <c r="U5" s="106"/>
      <c r="V5" s="106"/>
      <c r="W5" s="106"/>
      <c r="X5" s="106"/>
      <c r="Y5" s="37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37"/>
      <c r="AK5" s="38"/>
      <c r="AL5" s="176"/>
    </row>
    <row r="6" spans="1:38" x14ac:dyDescent="0.25">
      <c r="A6" s="11">
        <v>4</v>
      </c>
      <c r="B6" s="106"/>
      <c r="C6" s="106"/>
      <c r="D6" s="106"/>
      <c r="E6" s="106"/>
      <c r="F6" s="106"/>
      <c r="G6" s="106"/>
      <c r="H6" s="106"/>
      <c r="I6" s="37"/>
      <c r="J6" s="106"/>
      <c r="K6" s="106"/>
      <c r="L6" s="106"/>
      <c r="M6" s="106"/>
      <c r="N6" s="106"/>
      <c r="O6" s="106"/>
      <c r="P6" s="106"/>
      <c r="Q6" s="37"/>
      <c r="R6" s="106"/>
      <c r="S6" s="106"/>
      <c r="T6" s="106"/>
      <c r="U6" s="106"/>
      <c r="V6" s="106"/>
      <c r="W6" s="106"/>
      <c r="X6" s="106"/>
      <c r="Y6" s="37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37"/>
      <c r="AK6" s="38"/>
      <c r="AL6" s="176"/>
    </row>
    <row r="7" spans="1:38" x14ac:dyDescent="0.25">
      <c r="A7" s="11">
        <v>5</v>
      </c>
      <c r="B7" s="106"/>
      <c r="C7" s="106"/>
      <c r="D7" s="106"/>
      <c r="E7" s="106"/>
      <c r="F7" s="106"/>
      <c r="G7" s="106"/>
      <c r="H7" s="106"/>
      <c r="I7" s="37"/>
      <c r="J7" s="106"/>
      <c r="K7" s="106"/>
      <c r="L7" s="106"/>
      <c r="M7" s="106"/>
      <c r="N7" s="106"/>
      <c r="O7" s="106"/>
      <c r="P7" s="106"/>
      <c r="Q7" s="37"/>
      <c r="R7" s="106"/>
      <c r="S7" s="106"/>
      <c r="T7" s="106"/>
      <c r="U7" s="106"/>
      <c r="V7" s="106"/>
      <c r="W7" s="106"/>
      <c r="X7" s="106"/>
      <c r="Y7" s="37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37"/>
      <c r="AK7" s="38"/>
      <c r="AL7" s="176"/>
    </row>
    <row r="8" spans="1:38" x14ac:dyDescent="0.25">
      <c r="A8" s="11">
        <v>6</v>
      </c>
      <c r="B8" s="106"/>
      <c r="C8" s="106"/>
      <c r="D8" s="106"/>
      <c r="E8" s="106"/>
      <c r="F8" s="106"/>
      <c r="G8" s="106"/>
      <c r="H8" s="106"/>
      <c r="I8" s="37"/>
      <c r="J8" s="106"/>
      <c r="K8" s="106"/>
      <c r="L8" s="106"/>
      <c r="M8" s="106"/>
      <c r="N8" s="106"/>
      <c r="O8" s="106"/>
      <c r="P8" s="106"/>
      <c r="Q8" s="37"/>
      <c r="R8" s="106"/>
      <c r="S8" s="106"/>
      <c r="T8" s="106"/>
      <c r="U8" s="106"/>
      <c r="V8" s="106"/>
      <c r="W8" s="106"/>
      <c r="X8" s="106"/>
      <c r="Y8" s="37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37"/>
      <c r="AK8" s="38"/>
      <c r="AL8" s="176"/>
    </row>
    <row r="9" spans="1:38" x14ac:dyDescent="0.25">
      <c r="A9" s="11">
        <v>7</v>
      </c>
      <c r="B9" s="108"/>
      <c r="C9" s="108"/>
      <c r="D9" s="108"/>
      <c r="E9" s="108"/>
      <c r="F9" s="108"/>
      <c r="G9" s="108"/>
      <c r="H9" s="108"/>
      <c r="I9" s="111"/>
      <c r="J9" s="108"/>
      <c r="K9" s="108"/>
      <c r="L9" s="108"/>
      <c r="M9" s="108"/>
      <c r="N9" s="108"/>
      <c r="O9" s="108"/>
      <c r="P9" s="108"/>
      <c r="Q9" s="111"/>
      <c r="R9" s="108"/>
      <c r="S9" s="108"/>
      <c r="T9" s="108"/>
      <c r="U9" s="108"/>
      <c r="V9" s="108"/>
      <c r="W9" s="108"/>
      <c r="X9" s="108"/>
      <c r="Y9" s="111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11"/>
      <c r="AK9" s="38"/>
      <c r="AL9" s="197"/>
    </row>
    <row r="10" spans="1:38" x14ac:dyDescent="0.25">
      <c r="A10" s="11">
        <v>8</v>
      </c>
      <c r="B10" s="106"/>
      <c r="C10" s="106"/>
      <c r="D10" s="106"/>
      <c r="E10" s="106"/>
      <c r="F10" s="106"/>
      <c r="G10" s="106"/>
      <c r="H10" s="106"/>
      <c r="I10" s="37"/>
      <c r="J10" s="106"/>
      <c r="K10" s="106"/>
      <c r="L10" s="106"/>
      <c r="M10" s="106"/>
      <c r="N10" s="106"/>
      <c r="O10" s="106"/>
      <c r="P10" s="106"/>
      <c r="Q10" s="37"/>
      <c r="R10" s="106"/>
      <c r="S10" s="106"/>
      <c r="T10" s="106"/>
      <c r="U10" s="106"/>
      <c r="V10" s="106"/>
      <c r="W10" s="106"/>
      <c r="X10" s="106"/>
      <c r="Y10" s="37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37"/>
      <c r="AK10" s="38"/>
      <c r="AL10" s="176"/>
    </row>
    <row r="11" spans="1:38" x14ac:dyDescent="0.25">
      <c r="A11" s="11">
        <v>9</v>
      </c>
      <c r="B11" s="106"/>
      <c r="C11" s="106"/>
      <c r="D11" s="106"/>
      <c r="E11" s="106"/>
      <c r="F11" s="106"/>
      <c r="G11" s="106"/>
      <c r="H11" s="106"/>
      <c r="I11" s="37"/>
      <c r="J11" s="106"/>
      <c r="K11" s="106"/>
      <c r="L11" s="106"/>
      <c r="M11" s="106"/>
      <c r="N11" s="106"/>
      <c r="O11" s="106"/>
      <c r="P11" s="106"/>
      <c r="Q11" s="37"/>
      <c r="R11" s="106"/>
      <c r="S11" s="106"/>
      <c r="T11" s="106"/>
      <c r="U11" s="106"/>
      <c r="V11" s="106"/>
      <c r="W11" s="106"/>
      <c r="X11" s="106"/>
      <c r="Y11" s="37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37"/>
      <c r="AK11" s="38"/>
      <c r="AL11" s="176"/>
    </row>
    <row r="12" spans="1:38" x14ac:dyDescent="0.25">
      <c r="A12" s="11">
        <v>10</v>
      </c>
      <c r="B12" s="106"/>
      <c r="C12" s="106"/>
      <c r="D12" s="106"/>
      <c r="E12" s="106"/>
      <c r="F12" s="106"/>
      <c r="G12" s="106"/>
      <c r="H12" s="106"/>
      <c r="I12" s="37"/>
      <c r="J12" s="106"/>
      <c r="K12" s="106"/>
      <c r="L12" s="106"/>
      <c r="M12" s="106"/>
      <c r="N12" s="106"/>
      <c r="O12" s="106"/>
      <c r="P12" s="106"/>
      <c r="Q12" s="37"/>
      <c r="R12" s="106"/>
      <c r="S12" s="106"/>
      <c r="T12" s="106"/>
      <c r="U12" s="106"/>
      <c r="V12" s="106"/>
      <c r="W12" s="106"/>
      <c r="X12" s="106"/>
      <c r="Y12" s="37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37"/>
      <c r="AK12" s="38"/>
      <c r="AL12" s="176"/>
    </row>
    <row r="13" spans="1:38" x14ac:dyDescent="0.25">
      <c r="A13" s="11">
        <v>11</v>
      </c>
      <c r="B13" s="106"/>
      <c r="C13" s="106"/>
      <c r="D13" s="106"/>
      <c r="E13" s="106"/>
      <c r="F13" s="106"/>
      <c r="G13" s="106"/>
      <c r="H13" s="106"/>
      <c r="I13" s="37"/>
      <c r="J13" s="106"/>
      <c r="K13" s="106"/>
      <c r="L13" s="106"/>
      <c r="M13" s="106"/>
      <c r="N13" s="106"/>
      <c r="O13" s="106"/>
      <c r="P13" s="106"/>
      <c r="Q13" s="37"/>
      <c r="R13" s="106"/>
      <c r="S13" s="106"/>
      <c r="T13" s="106"/>
      <c r="U13" s="106"/>
      <c r="V13" s="106"/>
      <c r="W13" s="106"/>
      <c r="X13" s="106"/>
      <c r="Y13" s="37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37"/>
      <c r="AK13" s="38"/>
      <c r="AL13" s="197"/>
    </row>
    <row r="14" spans="1:38" x14ac:dyDescent="0.25">
      <c r="A14" s="11">
        <v>12</v>
      </c>
      <c r="B14" s="106"/>
      <c r="C14" s="106"/>
      <c r="D14" s="106"/>
      <c r="E14" s="106"/>
      <c r="F14" s="106"/>
      <c r="G14" s="106"/>
      <c r="H14" s="106"/>
      <c r="I14" s="37"/>
      <c r="J14" s="106"/>
      <c r="K14" s="106"/>
      <c r="L14" s="106"/>
      <c r="M14" s="106"/>
      <c r="N14" s="106"/>
      <c r="O14" s="106"/>
      <c r="P14" s="106"/>
      <c r="Q14" s="37"/>
      <c r="R14" s="106"/>
      <c r="S14" s="106"/>
      <c r="T14" s="106"/>
      <c r="U14" s="106"/>
      <c r="V14" s="106"/>
      <c r="W14" s="106"/>
      <c r="X14" s="106"/>
      <c r="Y14" s="37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37"/>
      <c r="AK14" s="38"/>
      <c r="AL14" s="197"/>
    </row>
    <row r="15" spans="1:38" x14ac:dyDescent="0.25">
      <c r="A15" s="11">
        <v>13</v>
      </c>
      <c r="B15" s="106"/>
      <c r="C15" s="106"/>
      <c r="D15" s="106"/>
      <c r="E15" s="106"/>
      <c r="F15" s="106"/>
      <c r="G15" s="106"/>
      <c r="H15" s="106"/>
      <c r="I15" s="37"/>
      <c r="J15" s="106"/>
      <c r="K15" s="106"/>
      <c r="L15" s="106"/>
      <c r="M15" s="106"/>
      <c r="N15" s="106"/>
      <c r="O15" s="106"/>
      <c r="P15" s="106"/>
      <c r="Q15" s="37"/>
      <c r="R15" s="106"/>
      <c r="S15" s="106"/>
      <c r="T15" s="106"/>
      <c r="U15" s="106"/>
      <c r="V15" s="106"/>
      <c r="W15" s="106"/>
      <c r="X15" s="106"/>
      <c r="Y15" s="37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37"/>
      <c r="AK15" s="38"/>
      <c r="AL15" s="197"/>
    </row>
    <row r="16" spans="1:38" x14ac:dyDescent="0.25">
      <c r="A16" s="11">
        <v>14</v>
      </c>
      <c r="B16" s="106"/>
      <c r="C16" s="106"/>
      <c r="D16" s="106"/>
      <c r="E16" s="106"/>
      <c r="F16" s="106"/>
      <c r="G16" s="106"/>
      <c r="H16" s="106"/>
      <c r="I16" s="37"/>
      <c r="J16" s="106"/>
      <c r="K16" s="106"/>
      <c r="L16" s="106"/>
      <c r="M16" s="106"/>
      <c r="N16" s="106"/>
      <c r="O16" s="106"/>
      <c r="P16" s="106"/>
      <c r="Q16" s="37"/>
      <c r="R16" s="106"/>
      <c r="S16" s="106"/>
      <c r="T16" s="106"/>
      <c r="U16" s="106"/>
      <c r="V16" s="106"/>
      <c r="W16" s="106"/>
      <c r="X16" s="106"/>
      <c r="Y16" s="37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37"/>
      <c r="AK16" s="38"/>
      <c r="AL16" s="197"/>
    </row>
    <row r="17" spans="1:38" x14ac:dyDescent="0.25">
      <c r="A17" s="11">
        <v>15</v>
      </c>
      <c r="B17" s="106"/>
      <c r="C17" s="106"/>
      <c r="D17" s="106"/>
      <c r="E17" s="106"/>
      <c r="F17" s="106"/>
      <c r="G17" s="106"/>
      <c r="H17" s="106"/>
      <c r="I17" s="37"/>
      <c r="J17" s="106"/>
      <c r="K17" s="106"/>
      <c r="L17" s="106"/>
      <c r="M17" s="106"/>
      <c r="N17" s="106"/>
      <c r="O17" s="106"/>
      <c r="P17" s="106"/>
      <c r="Q17" s="37"/>
      <c r="R17" s="106"/>
      <c r="S17" s="106"/>
      <c r="T17" s="106"/>
      <c r="U17" s="106"/>
      <c r="V17" s="106"/>
      <c r="W17" s="106"/>
      <c r="X17" s="106"/>
      <c r="Y17" s="37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37"/>
      <c r="AK17" s="38"/>
      <c r="AL17" s="197"/>
    </row>
    <row r="18" spans="1:38" x14ac:dyDescent="0.25">
      <c r="A18" s="11">
        <v>16</v>
      </c>
      <c r="B18" s="109"/>
      <c r="C18" s="109"/>
      <c r="D18" s="109"/>
      <c r="E18" s="109"/>
      <c r="F18" s="109"/>
      <c r="G18" s="109"/>
      <c r="H18" s="109"/>
      <c r="I18" s="39"/>
      <c r="J18" s="109"/>
      <c r="K18" s="109"/>
      <c r="L18" s="109"/>
      <c r="M18" s="109"/>
      <c r="N18" s="109"/>
      <c r="O18" s="109"/>
      <c r="P18" s="109"/>
      <c r="Q18" s="39"/>
      <c r="R18" s="109"/>
      <c r="S18" s="109"/>
      <c r="T18" s="109"/>
      <c r="U18" s="109"/>
      <c r="V18" s="109"/>
      <c r="W18" s="109"/>
      <c r="X18" s="109"/>
      <c r="Y18" s="3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39"/>
      <c r="AK18" s="41"/>
      <c r="AL18" s="202"/>
    </row>
    <row r="19" spans="1:38" x14ac:dyDescent="0.25">
      <c r="A19" s="11">
        <v>17</v>
      </c>
      <c r="B19" s="106"/>
      <c r="C19" s="106"/>
      <c r="D19" s="106"/>
      <c r="E19" s="106"/>
      <c r="F19" s="106"/>
      <c r="G19" s="106"/>
      <c r="H19" s="106"/>
      <c r="I19" s="37"/>
      <c r="J19" s="106"/>
      <c r="K19" s="106"/>
      <c r="L19" s="106"/>
      <c r="M19" s="106"/>
      <c r="N19" s="106"/>
      <c r="O19" s="106"/>
      <c r="P19" s="106"/>
      <c r="Q19" s="37"/>
      <c r="R19" s="106"/>
      <c r="S19" s="106"/>
      <c r="T19" s="106"/>
      <c r="U19" s="106"/>
      <c r="V19" s="106"/>
      <c r="W19" s="106"/>
      <c r="X19" s="106"/>
      <c r="Y19" s="37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37"/>
      <c r="AK19" s="38"/>
      <c r="AL19" s="197"/>
    </row>
    <row r="20" spans="1:38" x14ac:dyDescent="0.25">
      <c r="A20" s="11">
        <v>18</v>
      </c>
      <c r="B20" s="106"/>
      <c r="C20" s="106"/>
      <c r="D20" s="106"/>
      <c r="E20" s="106"/>
      <c r="F20" s="106"/>
      <c r="G20" s="106"/>
      <c r="H20" s="106"/>
      <c r="I20" s="37"/>
      <c r="J20" s="106"/>
      <c r="K20" s="106"/>
      <c r="L20" s="106"/>
      <c r="M20" s="106"/>
      <c r="N20" s="106"/>
      <c r="O20" s="106"/>
      <c r="P20" s="106"/>
      <c r="Q20" s="37"/>
      <c r="R20" s="106"/>
      <c r="S20" s="106"/>
      <c r="T20" s="106"/>
      <c r="U20" s="106"/>
      <c r="V20" s="106"/>
      <c r="W20" s="106"/>
      <c r="X20" s="106"/>
      <c r="Y20" s="37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37"/>
      <c r="AK20" s="38"/>
      <c r="AL20" s="197"/>
    </row>
    <row r="21" spans="1:38" x14ac:dyDescent="0.25">
      <c r="A21" s="11">
        <v>19</v>
      </c>
      <c r="B21" s="106"/>
      <c r="C21" s="106"/>
      <c r="D21" s="106"/>
      <c r="E21" s="106"/>
      <c r="F21" s="106"/>
      <c r="G21" s="106"/>
      <c r="H21" s="106"/>
      <c r="I21" s="37"/>
      <c r="J21" s="106"/>
      <c r="K21" s="106"/>
      <c r="L21" s="106"/>
      <c r="M21" s="106"/>
      <c r="N21" s="106"/>
      <c r="O21" s="106"/>
      <c r="P21" s="106"/>
      <c r="Q21" s="37"/>
      <c r="R21" s="106"/>
      <c r="S21" s="106"/>
      <c r="T21" s="106"/>
      <c r="U21" s="106"/>
      <c r="V21" s="106"/>
      <c r="W21" s="106"/>
      <c r="X21" s="106"/>
      <c r="Y21" s="37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37"/>
      <c r="AK21" s="38"/>
      <c r="AL21" s="197"/>
    </row>
    <row r="22" spans="1:38" x14ac:dyDescent="0.25">
      <c r="A22" s="11">
        <v>20</v>
      </c>
      <c r="B22" s="106"/>
      <c r="C22" s="106"/>
      <c r="D22" s="106"/>
      <c r="E22" s="106"/>
      <c r="F22" s="106"/>
      <c r="G22" s="106"/>
      <c r="H22" s="106"/>
      <c r="I22" s="37"/>
      <c r="J22" s="106"/>
      <c r="K22" s="106"/>
      <c r="L22" s="106"/>
      <c r="M22" s="106"/>
      <c r="N22" s="106"/>
      <c r="O22" s="106"/>
      <c r="P22" s="106"/>
      <c r="Q22" s="37"/>
      <c r="R22" s="106"/>
      <c r="S22" s="106"/>
      <c r="T22" s="106"/>
      <c r="U22" s="106"/>
      <c r="V22" s="106"/>
      <c r="W22" s="106"/>
      <c r="X22" s="106"/>
      <c r="Y22" s="37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37"/>
      <c r="AK22" s="38"/>
      <c r="AL22" s="197"/>
    </row>
    <row r="23" spans="1:38" x14ac:dyDescent="0.25">
      <c r="A23" s="11">
        <v>21</v>
      </c>
      <c r="B23" s="174"/>
      <c r="C23" s="174"/>
      <c r="D23" s="174"/>
      <c r="E23" s="174"/>
      <c r="F23" s="174"/>
      <c r="G23" s="174"/>
      <c r="H23" s="174"/>
      <c r="I23" s="111"/>
      <c r="J23" s="174"/>
      <c r="K23" s="174"/>
      <c r="L23" s="174"/>
      <c r="M23" s="174"/>
      <c r="N23" s="174"/>
      <c r="O23" s="174"/>
      <c r="P23" s="174"/>
      <c r="Q23" s="111"/>
      <c r="R23" s="174"/>
      <c r="S23" s="174"/>
      <c r="T23" s="174"/>
      <c r="U23" s="174"/>
      <c r="V23" s="174"/>
      <c r="W23" s="174"/>
      <c r="X23" s="174"/>
      <c r="Y23" s="111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11"/>
      <c r="AK23" s="38"/>
      <c r="AL23" s="197"/>
    </row>
    <row r="24" spans="1:38" x14ac:dyDescent="0.25">
      <c r="A24" s="11">
        <v>22</v>
      </c>
      <c r="B24" s="106"/>
      <c r="C24" s="106"/>
      <c r="D24" s="106"/>
      <c r="E24" s="106"/>
      <c r="F24" s="106"/>
      <c r="G24" s="106"/>
      <c r="H24" s="106"/>
      <c r="I24" s="37"/>
      <c r="J24" s="106"/>
      <c r="K24" s="106"/>
      <c r="L24" s="106"/>
      <c r="M24" s="106"/>
      <c r="N24" s="106"/>
      <c r="O24" s="106"/>
      <c r="P24" s="106"/>
      <c r="Q24" s="37"/>
      <c r="R24" s="106"/>
      <c r="S24" s="106"/>
      <c r="T24" s="106"/>
      <c r="U24" s="106"/>
      <c r="V24" s="106"/>
      <c r="W24" s="106"/>
      <c r="X24" s="106"/>
      <c r="Y24" s="37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37"/>
      <c r="AK24" s="38"/>
      <c r="AL24" s="197"/>
    </row>
    <row r="25" spans="1:38" x14ac:dyDescent="0.25">
      <c r="A25" s="11">
        <v>23</v>
      </c>
      <c r="B25" s="174"/>
      <c r="C25" s="174"/>
      <c r="D25" s="174"/>
      <c r="E25" s="174"/>
      <c r="F25" s="174"/>
      <c r="G25" s="174"/>
      <c r="H25" s="174"/>
      <c r="I25" s="111"/>
      <c r="J25" s="174"/>
      <c r="K25" s="174"/>
      <c r="L25" s="174"/>
      <c r="M25" s="174"/>
      <c r="N25" s="174"/>
      <c r="O25" s="174"/>
      <c r="P25" s="174"/>
      <c r="Q25" s="111"/>
      <c r="R25" s="174"/>
      <c r="S25" s="174"/>
      <c r="T25" s="174"/>
      <c r="U25" s="174"/>
      <c r="V25" s="174"/>
      <c r="W25" s="174"/>
      <c r="X25" s="174"/>
      <c r="Y25" s="111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11"/>
      <c r="AK25" s="38"/>
      <c r="AL25" s="197"/>
    </row>
    <row r="26" spans="1:38" x14ac:dyDescent="0.25">
      <c r="A26" s="11">
        <v>24</v>
      </c>
      <c r="B26" s="174"/>
      <c r="C26" s="174"/>
      <c r="D26" s="174"/>
      <c r="E26" s="174"/>
      <c r="F26" s="174"/>
      <c r="G26" s="174"/>
      <c r="H26" s="174"/>
      <c r="I26" s="111"/>
      <c r="J26" s="174"/>
      <c r="K26" s="174"/>
      <c r="L26" s="174"/>
      <c r="M26" s="174"/>
      <c r="N26" s="174"/>
      <c r="O26" s="174"/>
      <c r="P26" s="174"/>
      <c r="Q26" s="111"/>
      <c r="R26" s="174"/>
      <c r="S26" s="174"/>
      <c r="T26" s="174"/>
      <c r="U26" s="174"/>
      <c r="V26" s="174"/>
      <c r="W26" s="174"/>
      <c r="X26" s="174"/>
      <c r="Y26" s="111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11"/>
      <c r="AK26" s="38"/>
      <c r="AL26" s="197"/>
    </row>
    <row r="27" spans="1:38" x14ac:dyDescent="0.25">
      <c r="A27" s="11">
        <v>25</v>
      </c>
      <c r="B27" s="174"/>
      <c r="C27" s="174"/>
      <c r="D27" s="174"/>
      <c r="E27" s="174"/>
      <c r="F27" s="174"/>
      <c r="G27" s="174"/>
      <c r="H27" s="174"/>
      <c r="I27" s="111"/>
      <c r="J27" s="174"/>
      <c r="K27" s="174"/>
      <c r="L27" s="174"/>
      <c r="M27" s="174"/>
      <c r="N27" s="174"/>
      <c r="O27" s="174"/>
      <c r="P27" s="174"/>
      <c r="Q27" s="111"/>
      <c r="R27" s="174"/>
      <c r="S27" s="174"/>
      <c r="T27" s="174"/>
      <c r="U27" s="174"/>
      <c r="V27" s="174"/>
      <c r="W27" s="174"/>
      <c r="X27" s="174"/>
      <c r="Y27" s="111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11"/>
      <c r="AK27" s="38"/>
      <c r="AL27" s="197"/>
    </row>
    <row r="28" spans="1:38" x14ac:dyDescent="0.25">
      <c r="A28" s="11">
        <v>26</v>
      </c>
      <c r="B28" s="149"/>
      <c r="C28" s="149"/>
      <c r="D28" s="149"/>
      <c r="E28" s="149"/>
      <c r="F28" s="149"/>
      <c r="G28" s="149"/>
      <c r="H28" s="149"/>
      <c r="I28" s="111"/>
      <c r="J28" s="149"/>
      <c r="K28" s="149"/>
      <c r="L28" s="149"/>
      <c r="M28" s="149"/>
      <c r="N28" s="149"/>
      <c r="O28" s="149"/>
      <c r="P28" s="149"/>
      <c r="Q28" s="111"/>
      <c r="R28" s="149"/>
      <c r="S28" s="149"/>
      <c r="T28" s="149"/>
      <c r="U28" s="149"/>
      <c r="V28" s="149"/>
      <c r="W28" s="149"/>
      <c r="X28" s="149"/>
      <c r="Y28" s="111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11"/>
      <c r="AK28" s="38"/>
      <c r="AL28" s="197"/>
    </row>
    <row r="29" spans="1:38" x14ac:dyDescent="0.25">
      <c r="A29" s="11">
        <v>27</v>
      </c>
      <c r="B29" s="106"/>
      <c r="C29" s="106"/>
      <c r="D29" s="106"/>
      <c r="E29" s="106"/>
      <c r="F29" s="106"/>
      <c r="G29" s="106"/>
      <c r="H29" s="106"/>
      <c r="I29" s="37"/>
      <c r="J29" s="106"/>
      <c r="K29" s="106"/>
      <c r="L29" s="106"/>
      <c r="M29" s="106"/>
      <c r="N29" s="106"/>
      <c r="O29" s="106"/>
      <c r="P29" s="106"/>
      <c r="Q29" s="37"/>
      <c r="R29" s="106"/>
      <c r="S29" s="106"/>
      <c r="T29" s="106"/>
      <c r="U29" s="106"/>
      <c r="V29" s="106"/>
      <c r="W29" s="106"/>
      <c r="X29" s="106"/>
      <c r="Y29" s="37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37"/>
      <c r="AK29" s="38"/>
      <c r="AL29" s="197"/>
    </row>
    <row r="30" spans="1:38" x14ac:dyDescent="0.25">
      <c r="A30" s="11">
        <v>28</v>
      </c>
      <c r="B30" s="106"/>
      <c r="C30" s="106"/>
      <c r="D30" s="106"/>
      <c r="E30" s="106"/>
      <c r="F30" s="106"/>
      <c r="G30" s="106"/>
      <c r="H30" s="106"/>
      <c r="I30" s="37"/>
      <c r="J30" s="106"/>
      <c r="K30" s="106"/>
      <c r="L30" s="106"/>
      <c r="M30" s="106"/>
      <c r="N30" s="106"/>
      <c r="O30" s="106"/>
      <c r="P30" s="106"/>
      <c r="Q30" s="37"/>
      <c r="R30" s="106"/>
      <c r="S30" s="106"/>
      <c r="T30" s="106"/>
      <c r="U30" s="106"/>
      <c r="V30" s="106"/>
      <c r="W30" s="106"/>
      <c r="X30" s="106"/>
      <c r="Y30" s="37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37"/>
      <c r="AK30" s="38"/>
      <c r="AL30" s="197"/>
    </row>
    <row r="31" spans="1:38" x14ac:dyDescent="0.25">
      <c r="A31" s="11">
        <v>29</v>
      </c>
      <c r="B31" s="108"/>
      <c r="C31" s="108"/>
      <c r="D31" s="108"/>
      <c r="E31" s="108"/>
      <c r="F31" s="108"/>
      <c r="G31" s="108"/>
      <c r="H31" s="108"/>
      <c r="I31" s="111"/>
      <c r="J31" s="108"/>
      <c r="K31" s="108"/>
      <c r="L31" s="108"/>
      <c r="M31" s="108"/>
      <c r="N31" s="108"/>
      <c r="O31" s="108"/>
      <c r="P31" s="108"/>
      <c r="Q31" s="111"/>
      <c r="R31" s="108"/>
      <c r="S31" s="108"/>
      <c r="T31" s="108"/>
      <c r="U31" s="108"/>
      <c r="V31" s="108"/>
      <c r="W31" s="108"/>
      <c r="X31" s="108"/>
      <c r="Y31" s="111"/>
      <c r="Z31" s="108"/>
      <c r="AA31" s="108"/>
      <c r="AB31" s="108"/>
      <c r="AC31" s="108"/>
      <c r="AD31" s="108"/>
      <c r="AE31" s="108"/>
      <c r="AF31" s="108"/>
      <c r="AG31" s="107"/>
      <c r="AH31" s="107"/>
      <c r="AI31" s="107"/>
      <c r="AJ31" s="111"/>
      <c r="AK31" s="38"/>
      <c r="AL31" s="197"/>
    </row>
    <row r="32" spans="1:38" x14ac:dyDescent="0.25">
      <c r="A32" s="11">
        <v>30</v>
      </c>
      <c r="B32" s="106"/>
      <c r="C32" s="106"/>
      <c r="D32" s="106"/>
      <c r="E32" s="106"/>
      <c r="F32" s="106"/>
      <c r="G32" s="106"/>
      <c r="H32" s="106"/>
      <c r="I32" s="37"/>
      <c r="J32" s="106"/>
      <c r="K32" s="106"/>
      <c r="L32" s="106"/>
      <c r="M32" s="106"/>
      <c r="N32" s="106"/>
      <c r="O32" s="106"/>
      <c r="P32" s="106"/>
      <c r="Q32" s="37"/>
      <c r="R32" s="106"/>
      <c r="S32" s="106"/>
      <c r="T32" s="106"/>
      <c r="U32" s="106"/>
      <c r="V32" s="106"/>
      <c r="W32" s="106"/>
      <c r="X32" s="106"/>
      <c r="Y32" s="37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37"/>
      <c r="AK32" s="38"/>
      <c r="AL32" s="197"/>
    </row>
    <row r="33" spans="1:38" x14ac:dyDescent="0.25">
      <c r="A33" s="11">
        <v>31</v>
      </c>
      <c r="B33" s="106"/>
      <c r="C33" s="106"/>
      <c r="D33" s="106"/>
      <c r="E33" s="106"/>
      <c r="F33" s="106"/>
      <c r="G33" s="106"/>
      <c r="H33" s="106"/>
      <c r="I33" s="37"/>
      <c r="J33" s="106"/>
      <c r="K33" s="106"/>
      <c r="L33" s="106"/>
      <c r="M33" s="106"/>
      <c r="N33" s="106"/>
      <c r="O33" s="106"/>
      <c r="P33" s="106"/>
      <c r="Q33" s="37"/>
      <c r="R33" s="106"/>
      <c r="S33" s="106"/>
      <c r="T33" s="106"/>
      <c r="U33" s="106"/>
      <c r="V33" s="106"/>
      <c r="W33" s="106"/>
      <c r="X33" s="106"/>
      <c r="Y33" s="37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37"/>
      <c r="AK33" s="38"/>
      <c r="AL33" s="197"/>
    </row>
    <row r="34" spans="1:38" x14ac:dyDescent="0.25">
      <c r="A34" s="11">
        <v>32</v>
      </c>
      <c r="B34" s="106"/>
      <c r="C34" s="106"/>
      <c r="D34" s="106"/>
      <c r="E34" s="106"/>
      <c r="F34" s="106"/>
      <c r="G34" s="106"/>
      <c r="H34" s="106"/>
      <c r="I34" s="37"/>
      <c r="J34" s="106"/>
      <c r="K34" s="106"/>
      <c r="L34" s="106"/>
      <c r="M34" s="106"/>
      <c r="N34" s="106"/>
      <c r="O34" s="106"/>
      <c r="P34" s="106"/>
      <c r="Q34" s="37"/>
      <c r="R34" s="106"/>
      <c r="S34" s="106"/>
      <c r="T34" s="106"/>
      <c r="U34" s="106"/>
      <c r="V34" s="106"/>
      <c r="W34" s="106"/>
      <c r="X34" s="106"/>
      <c r="Y34" s="37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37"/>
      <c r="AK34" s="38"/>
      <c r="AL34" s="197"/>
    </row>
    <row r="35" spans="1:38" x14ac:dyDescent="0.25">
      <c r="A35" s="11">
        <v>33</v>
      </c>
      <c r="B35" s="106"/>
      <c r="C35" s="106"/>
      <c r="D35" s="106"/>
      <c r="E35" s="106"/>
      <c r="F35" s="106"/>
      <c r="G35" s="106"/>
      <c r="H35" s="106"/>
      <c r="I35" s="37"/>
      <c r="J35" s="106"/>
      <c r="K35" s="106"/>
      <c r="L35" s="106"/>
      <c r="M35" s="106"/>
      <c r="N35" s="106"/>
      <c r="O35" s="106"/>
      <c r="P35" s="106"/>
      <c r="Q35" s="37"/>
      <c r="R35" s="106"/>
      <c r="S35" s="106"/>
      <c r="T35" s="106"/>
      <c r="U35" s="106"/>
      <c r="V35" s="106"/>
      <c r="W35" s="106"/>
      <c r="X35" s="106"/>
      <c r="Y35" s="37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37"/>
      <c r="AK35" s="38"/>
      <c r="AL35" s="197"/>
    </row>
    <row r="36" spans="1:38" x14ac:dyDescent="0.25">
      <c r="A36" s="11">
        <v>34</v>
      </c>
      <c r="B36" s="106"/>
      <c r="C36" s="106"/>
      <c r="D36" s="106"/>
      <c r="E36" s="106"/>
      <c r="F36" s="106"/>
      <c r="G36" s="106"/>
      <c r="H36" s="106"/>
      <c r="I36" s="37"/>
      <c r="J36" s="106"/>
      <c r="K36" s="106"/>
      <c r="L36" s="106"/>
      <c r="M36" s="106"/>
      <c r="N36" s="106"/>
      <c r="O36" s="106"/>
      <c r="P36" s="106"/>
      <c r="Q36" s="37"/>
      <c r="R36" s="106"/>
      <c r="S36" s="106"/>
      <c r="T36" s="106"/>
      <c r="U36" s="106"/>
      <c r="V36" s="106"/>
      <c r="W36" s="106"/>
      <c r="X36" s="106"/>
      <c r="Y36" s="37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37"/>
      <c r="AK36" s="38"/>
      <c r="AL36" s="197"/>
    </row>
    <row r="37" spans="1:38" x14ac:dyDescent="0.25">
      <c r="A37" s="11">
        <v>35</v>
      </c>
      <c r="B37" s="106"/>
      <c r="C37" s="106"/>
      <c r="D37" s="106"/>
      <c r="E37" s="106"/>
      <c r="F37" s="106"/>
      <c r="G37" s="106"/>
      <c r="H37" s="106"/>
      <c r="I37" s="37"/>
      <c r="J37" s="106"/>
      <c r="K37" s="106"/>
      <c r="L37" s="106"/>
      <c r="M37" s="106"/>
      <c r="N37" s="106"/>
      <c r="O37" s="106"/>
      <c r="P37" s="106"/>
      <c r="Q37" s="37"/>
      <c r="R37" s="106"/>
      <c r="S37" s="106"/>
      <c r="T37" s="106"/>
      <c r="U37" s="106"/>
      <c r="V37" s="106"/>
      <c r="W37" s="106"/>
      <c r="X37" s="106"/>
      <c r="Y37" s="37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37"/>
      <c r="AK37" s="38"/>
      <c r="AL37" s="197"/>
    </row>
    <row r="38" spans="1:38" x14ac:dyDescent="0.25">
      <c r="A38" s="11">
        <v>36</v>
      </c>
      <c r="B38" s="108"/>
      <c r="C38" s="108"/>
      <c r="D38" s="108"/>
      <c r="E38" s="108"/>
      <c r="F38" s="108"/>
      <c r="G38" s="108"/>
      <c r="H38" s="108"/>
      <c r="I38" s="111"/>
      <c r="J38" s="108"/>
      <c r="K38" s="108"/>
      <c r="L38" s="108"/>
      <c r="M38" s="108"/>
      <c r="N38" s="108"/>
      <c r="O38" s="108"/>
      <c r="P38" s="108"/>
      <c r="Q38" s="111"/>
      <c r="R38" s="108"/>
      <c r="S38" s="108"/>
      <c r="T38" s="108"/>
      <c r="U38" s="108"/>
      <c r="V38" s="108"/>
      <c r="W38" s="108"/>
      <c r="X38" s="108"/>
      <c r="Y38" s="111"/>
      <c r="Z38" s="108"/>
      <c r="AA38" s="108"/>
      <c r="AB38" s="108"/>
      <c r="AC38" s="108"/>
      <c r="AD38" s="108"/>
      <c r="AE38" s="108"/>
      <c r="AF38" s="108"/>
      <c r="AG38" s="107"/>
      <c r="AH38" s="107"/>
      <c r="AI38" s="107"/>
      <c r="AJ38" s="111"/>
      <c r="AK38" s="38"/>
      <c r="AL38" s="197"/>
    </row>
    <row r="39" spans="1:38" x14ac:dyDescent="0.25">
      <c r="A39" s="11">
        <v>37</v>
      </c>
      <c r="B39" s="106"/>
      <c r="C39" s="106"/>
      <c r="D39" s="106"/>
      <c r="E39" s="106"/>
      <c r="F39" s="106"/>
      <c r="G39" s="106"/>
      <c r="H39" s="106"/>
      <c r="I39" s="37"/>
      <c r="J39" s="106"/>
      <c r="K39" s="106"/>
      <c r="L39" s="106"/>
      <c r="M39" s="106"/>
      <c r="N39" s="106"/>
      <c r="O39" s="106"/>
      <c r="P39" s="106"/>
      <c r="Q39" s="37"/>
      <c r="R39" s="106"/>
      <c r="S39" s="106"/>
      <c r="T39" s="106"/>
      <c r="U39" s="106"/>
      <c r="V39" s="106"/>
      <c r="W39" s="106"/>
      <c r="X39" s="106"/>
      <c r="Y39" s="37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37"/>
      <c r="AK39" s="38"/>
      <c r="AL39" s="197"/>
    </row>
    <row r="40" spans="1:38" x14ac:dyDescent="0.25">
      <c r="A40" s="11">
        <v>38</v>
      </c>
      <c r="B40" s="106"/>
      <c r="C40" s="106"/>
      <c r="D40" s="106"/>
      <c r="E40" s="106"/>
      <c r="F40" s="106"/>
      <c r="G40" s="106"/>
      <c r="H40" s="106"/>
      <c r="I40" s="37"/>
      <c r="J40" s="106"/>
      <c r="K40" s="106"/>
      <c r="L40" s="106"/>
      <c r="M40" s="106"/>
      <c r="N40" s="106"/>
      <c r="O40" s="106"/>
      <c r="P40" s="106"/>
      <c r="Q40" s="37"/>
      <c r="R40" s="106"/>
      <c r="S40" s="106"/>
      <c r="T40" s="106"/>
      <c r="U40" s="106"/>
      <c r="V40" s="106"/>
      <c r="W40" s="106"/>
      <c r="X40" s="106"/>
      <c r="Y40" s="37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37"/>
      <c r="AK40" s="38"/>
      <c r="AL40" s="197"/>
    </row>
    <row r="41" spans="1:38" x14ac:dyDescent="0.25">
      <c r="A41" s="11">
        <v>39</v>
      </c>
      <c r="B41" s="106"/>
      <c r="C41" s="106"/>
      <c r="D41" s="106"/>
      <c r="E41" s="106"/>
      <c r="F41" s="106"/>
      <c r="G41" s="106"/>
      <c r="H41" s="106"/>
      <c r="I41" s="37"/>
      <c r="J41" s="108"/>
      <c r="K41" s="116"/>
      <c r="L41" s="106"/>
      <c r="M41" s="106"/>
      <c r="N41" s="106"/>
      <c r="O41" s="106"/>
      <c r="P41" s="106"/>
      <c r="Q41" s="37"/>
      <c r="R41" s="106"/>
      <c r="S41" s="106"/>
      <c r="T41" s="106"/>
      <c r="U41" s="106"/>
      <c r="V41" s="106"/>
      <c r="W41" s="106"/>
      <c r="X41" s="106"/>
      <c r="Y41" s="37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37"/>
      <c r="AK41" s="38"/>
      <c r="AL41" s="197"/>
    </row>
    <row r="42" spans="1:38" x14ac:dyDescent="0.25">
      <c r="A42" s="11">
        <v>40</v>
      </c>
      <c r="B42" s="106"/>
      <c r="C42" s="106"/>
      <c r="D42" s="106"/>
      <c r="E42" s="106"/>
      <c r="F42" s="106"/>
      <c r="G42" s="106"/>
      <c r="H42" s="106"/>
      <c r="I42" s="37"/>
      <c r="J42" s="106"/>
      <c r="K42" s="106"/>
      <c r="L42" s="106"/>
      <c r="M42" s="106"/>
      <c r="N42" s="106"/>
      <c r="O42" s="106"/>
      <c r="P42" s="106"/>
      <c r="Q42" s="37"/>
      <c r="R42" s="106"/>
      <c r="S42" s="106"/>
      <c r="T42" s="106"/>
      <c r="U42" s="106"/>
      <c r="V42" s="106"/>
      <c r="W42" s="106"/>
      <c r="X42" s="106"/>
      <c r="Y42" s="37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37"/>
      <c r="AK42" s="38"/>
      <c r="AL42" s="197"/>
    </row>
    <row r="43" spans="1:38" x14ac:dyDescent="0.25">
      <c r="A43" s="11">
        <v>41</v>
      </c>
      <c r="B43" s="106"/>
      <c r="C43" s="106"/>
      <c r="D43" s="106"/>
      <c r="E43" s="106"/>
      <c r="F43" s="106"/>
      <c r="G43" s="106"/>
      <c r="H43" s="106"/>
      <c r="I43" s="37"/>
      <c r="J43" s="106"/>
      <c r="K43" s="106"/>
      <c r="L43" s="106"/>
      <c r="M43" s="106"/>
      <c r="N43" s="106"/>
      <c r="O43" s="106"/>
      <c r="P43" s="106"/>
      <c r="Q43" s="37"/>
      <c r="R43" s="106"/>
      <c r="S43" s="106"/>
      <c r="T43" s="106"/>
      <c r="U43" s="106"/>
      <c r="V43" s="106"/>
      <c r="W43" s="106"/>
      <c r="X43" s="106"/>
      <c r="Y43" s="37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37"/>
      <c r="AK43" s="38"/>
      <c r="AL43" s="197"/>
    </row>
    <row r="44" spans="1:38" x14ac:dyDescent="0.25">
      <c r="A44" s="11">
        <v>42</v>
      </c>
      <c r="B44" s="108"/>
      <c r="C44" s="108"/>
      <c r="D44" s="108"/>
      <c r="E44" s="108"/>
      <c r="F44" s="108"/>
      <c r="G44" s="108"/>
      <c r="H44" s="108"/>
      <c r="I44" s="111"/>
      <c r="J44" s="108"/>
      <c r="K44" s="108"/>
      <c r="L44" s="108"/>
      <c r="M44" s="108"/>
      <c r="N44" s="108"/>
      <c r="O44" s="108"/>
      <c r="P44" s="108"/>
      <c r="Q44" s="111"/>
      <c r="R44" s="108"/>
      <c r="S44" s="108"/>
      <c r="T44" s="108"/>
      <c r="U44" s="108"/>
      <c r="V44" s="108"/>
      <c r="W44" s="108"/>
      <c r="X44" s="108"/>
      <c r="Y44" s="111"/>
      <c r="Z44" s="108"/>
      <c r="AA44" s="108"/>
      <c r="AB44" s="108"/>
      <c r="AC44" s="108"/>
      <c r="AD44" s="108"/>
      <c r="AE44" s="108"/>
      <c r="AF44" s="108"/>
      <c r="AG44" s="107"/>
      <c r="AH44" s="107"/>
      <c r="AI44" s="107"/>
      <c r="AJ44" s="111"/>
      <c r="AK44" s="38"/>
      <c r="AL44" s="197"/>
    </row>
    <row r="45" spans="1:38" x14ac:dyDescent="0.25">
      <c r="A45" s="11">
        <v>43</v>
      </c>
      <c r="B45" s="106"/>
      <c r="C45" s="106"/>
      <c r="D45" s="106"/>
      <c r="E45" s="106"/>
      <c r="F45" s="106"/>
      <c r="G45" s="106"/>
      <c r="H45" s="106"/>
      <c r="I45" s="37"/>
      <c r="J45" s="106"/>
      <c r="K45" s="106"/>
      <c r="L45" s="106"/>
      <c r="M45" s="106"/>
      <c r="N45" s="106"/>
      <c r="O45" s="106"/>
      <c r="P45" s="106"/>
      <c r="Q45" s="37"/>
      <c r="R45" s="106"/>
      <c r="S45" s="106"/>
      <c r="T45" s="106"/>
      <c r="U45" s="106"/>
      <c r="V45" s="106"/>
      <c r="W45" s="106"/>
      <c r="X45" s="106"/>
      <c r="Y45" s="37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37"/>
      <c r="AK45" s="38"/>
      <c r="AL45" s="197"/>
    </row>
    <row r="46" spans="1:38" x14ac:dyDescent="0.25">
      <c r="A46" s="11">
        <v>44</v>
      </c>
      <c r="B46" s="106"/>
      <c r="C46" s="106"/>
      <c r="D46" s="106"/>
      <c r="E46" s="106"/>
      <c r="F46" s="106"/>
      <c r="G46" s="106"/>
      <c r="H46" s="106"/>
      <c r="I46" s="37"/>
      <c r="J46" s="106"/>
      <c r="K46" s="106"/>
      <c r="L46" s="106"/>
      <c r="M46" s="106"/>
      <c r="N46" s="106"/>
      <c r="O46" s="106"/>
      <c r="P46" s="106"/>
      <c r="Q46" s="37"/>
      <c r="R46" s="106"/>
      <c r="S46" s="106"/>
      <c r="T46" s="106"/>
      <c r="U46" s="106"/>
      <c r="V46" s="106"/>
      <c r="W46" s="106"/>
      <c r="X46" s="106"/>
      <c r="Y46" s="37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37"/>
      <c r="AK46" s="38"/>
      <c r="AL46" s="197"/>
    </row>
    <row r="47" spans="1:38" x14ac:dyDescent="0.25">
      <c r="A47" s="11">
        <v>45</v>
      </c>
      <c r="B47" s="106"/>
      <c r="C47" s="106"/>
      <c r="D47" s="106"/>
      <c r="E47" s="106"/>
      <c r="F47" s="106"/>
      <c r="G47" s="106"/>
      <c r="H47" s="106"/>
      <c r="I47" s="37"/>
      <c r="J47" s="106"/>
      <c r="K47" s="106"/>
      <c r="L47" s="106"/>
      <c r="M47" s="106"/>
      <c r="N47" s="106"/>
      <c r="O47" s="106"/>
      <c r="P47" s="106"/>
      <c r="Q47" s="37"/>
      <c r="R47" s="106"/>
      <c r="S47" s="106"/>
      <c r="T47" s="106"/>
      <c r="U47" s="106"/>
      <c r="V47" s="106"/>
      <c r="W47" s="106"/>
      <c r="X47" s="106"/>
      <c r="Y47" s="37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37"/>
      <c r="AK47" s="38"/>
      <c r="AL47" s="197"/>
    </row>
    <row r="48" spans="1:38" x14ac:dyDescent="0.25">
      <c r="A48" s="11">
        <v>46</v>
      </c>
      <c r="B48" s="106"/>
      <c r="C48" s="106"/>
      <c r="D48" s="106"/>
      <c r="E48" s="106"/>
      <c r="F48" s="106"/>
      <c r="G48" s="106"/>
      <c r="H48" s="106"/>
      <c r="I48" s="37"/>
      <c r="J48" s="106"/>
      <c r="K48" s="106"/>
      <c r="L48" s="106"/>
      <c r="M48" s="106"/>
      <c r="N48" s="106"/>
      <c r="O48" s="106"/>
      <c r="P48" s="106"/>
      <c r="Q48" s="37"/>
      <c r="R48" s="106"/>
      <c r="S48" s="106"/>
      <c r="T48" s="106"/>
      <c r="U48" s="106"/>
      <c r="V48" s="106"/>
      <c r="W48" s="106"/>
      <c r="X48" s="106"/>
      <c r="Y48" s="37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37"/>
      <c r="AK48" s="38"/>
      <c r="AL48" s="197"/>
    </row>
    <row r="49" spans="1:38" x14ac:dyDescent="0.25">
      <c r="A49" s="11">
        <v>47</v>
      </c>
      <c r="B49" s="106"/>
      <c r="C49" s="106"/>
      <c r="D49" s="106"/>
      <c r="E49" s="106"/>
      <c r="F49" s="106"/>
      <c r="G49" s="106"/>
      <c r="H49" s="106"/>
      <c r="I49" s="37"/>
      <c r="J49" s="106"/>
      <c r="K49" s="106"/>
      <c r="L49" s="106"/>
      <c r="M49" s="106"/>
      <c r="N49" s="106"/>
      <c r="O49" s="106"/>
      <c r="P49" s="106"/>
      <c r="Q49" s="37"/>
      <c r="R49" s="106"/>
      <c r="S49" s="106"/>
      <c r="T49" s="106"/>
      <c r="U49" s="106"/>
      <c r="V49" s="106"/>
      <c r="W49" s="106"/>
      <c r="X49" s="106"/>
      <c r="Y49" s="37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37"/>
      <c r="AK49" s="38"/>
      <c r="AL49" s="197"/>
    </row>
    <row r="50" spans="1:38" x14ac:dyDescent="0.25">
      <c r="A50" s="11">
        <v>48</v>
      </c>
      <c r="B50" s="106"/>
      <c r="C50" s="106"/>
      <c r="D50" s="106"/>
      <c r="E50" s="106"/>
      <c r="F50" s="106"/>
      <c r="G50" s="106"/>
      <c r="H50" s="106"/>
      <c r="I50" s="37"/>
      <c r="J50" s="106"/>
      <c r="K50" s="106"/>
      <c r="L50" s="106"/>
      <c r="M50" s="106"/>
      <c r="N50" s="106"/>
      <c r="O50" s="106"/>
      <c r="P50" s="106"/>
      <c r="Q50" s="37"/>
      <c r="R50" s="106"/>
      <c r="S50" s="106"/>
      <c r="T50" s="106"/>
      <c r="U50" s="106"/>
      <c r="V50" s="106"/>
      <c r="W50" s="106"/>
      <c r="X50" s="106"/>
      <c r="Y50" s="37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37"/>
      <c r="AK50" s="38"/>
      <c r="AL50" s="197"/>
    </row>
    <row r="51" spans="1:38" x14ac:dyDescent="0.25">
      <c r="A51" s="11">
        <v>49</v>
      </c>
      <c r="B51" s="106"/>
      <c r="C51" s="106"/>
      <c r="D51" s="106"/>
      <c r="E51" s="106"/>
      <c r="F51" s="106"/>
      <c r="G51" s="106"/>
      <c r="H51" s="106"/>
      <c r="I51" s="37"/>
      <c r="J51" s="106"/>
      <c r="K51" s="106"/>
      <c r="L51" s="106"/>
      <c r="M51" s="106"/>
      <c r="N51" s="106"/>
      <c r="O51" s="106"/>
      <c r="P51" s="106"/>
      <c r="Q51" s="37"/>
      <c r="R51" s="106"/>
      <c r="S51" s="106"/>
      <c r="T51" s="106"/>
      <c r="U51" s="106"/>
      <c r="V51" s="106"/>
      <c r="W51" s="106"/>
      <c r="X51" s="106"/>
      <c r="Y51" s="37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37"/>
      <c r="AK51" s="38"/>
      <c r="AL51" s="197"/>
    </row>
    <row r="52" spans="1:38" x14ac:dyDescent="0.25">
      <c r="A52" s="11">
        <v>50</v>
      </c>
      <c r="B52" s="106"/>
      <c r="C52" s="106"/>
      <c r="D52" s="106"/>
      <c r="E52" s="106"/>
      <c r="F52" s="106"/>
      <c r="G52" s="106"/>
      <c r="H52" s="106"/>
      <c r="I52" s="37"/>
      <c r="J52" s="106"/>
      <c r="K52" s="106"/>
      <c r="L52" s="106"/>
      <c r="M52" s="106"/>
      <c r="N52" s="106"/>
      <c r="O52" s="106"/>
      <c r="P52" s="106"/>
      <c r="Q52" s="37"/>
      <c r="R52" s="106"/>
      <c r="S52" s="106"/>
      <c r="T52" s="106"/>
      <c r="U52" s="106"/>
      <c r="V52" s="106"/>
      <c r="W52" s="106"/>
      <c r="X52" s="106"/>
      <c r="Y52" s="37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37"/>
      <c r="AK52" s="38"/>
      <c r="AL52" s="197"/>
    </row>
    <row r="53" spans="1:38" x14ac:dyDescent="0.25">
      <c r="A53" s="11">
        <v>51</v>
      </c>
      <c r="B53" s="106"/>
      <c r="C53" s="106"/>
      <c r="D53" s="106"/>
      <c r="E53" s="106"/>
      <c r="F53" s="106"/>
      <c r="G53" s="106"/>
      <c r="H53" s="106"/>
      <c r="I53" s="37"/>
      <c r="J53" s="106"/>
      <c r="K53" s="106"/>
      <c r="L53" s="106"/>
      <c r="M53" s="106"/>
      <c r="N53" s="106"/>
      <c r="O53" s="106"/>
      <c r="P53" s="106"/>
      <c r="Q53" s="37"/>
      <c r="R53" s="106"/>
      <c r="S53" s="106"/>
      <c r="T53" s="106"/>
      <c r="U53" s="106"/>
      <c r="V53" s="106"/>
      <c r="W53" s="106"/>
      <c r="X53" s="106"/>
      <c r="Y53" s="37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37"/>
      <c r="AK53" s="38"/>
      <c r="AL53" s="197"/>
    </row>
    <row r="54" spans="1:38" x14ac:dyDescent="0.25">
      <c r="A54" s="11">
        <v>52</v>
      </c>
      <c r="B54" s="106"/>
      <c r="C54" s="106"/>
      <c r="D54" s="106"/>
      <c r="E54" s="106"/>
      <c r="F54" s="108"/>
      <c r="G54" s="108"/>
      <c r="H54" s="108"/>
      <c r="I54" s="37"/>
      <c r="J54" s="108"/>
      <c r="K54" s="106"/>
      <c r="L54" s="106"/>
      <c r="M54" s="106"/>
      <c r="N54" s="106"/>
      <c r="O54" s="106"/>
      <c r="P54" s="106"/>
      <c r="Q54" s="37"/>
      <c r="R54" s="106"/>
      <c r="S54" s="106"/>
      <c r="T54" s="106"/>
      <c r="U54" s="106"/>
      <c r="V54" s="106"/>
      <c r="W54" s="106"/>
      <c r="X54" s="106"/>
      <c r="Y54" s="37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37"/>
      <c r="AK54" s="38"/>
      <c r="AL54" s="197"/>
    </row>
    <row r="55" spans="1:38" x14ac:dyDescent="0.25">
      <c r="A55" s="11">
        <v>53</v>
      </c>
      <c r="B55" s="106"/>
      <c r="C55" s="106"/>
      <c r="D55" s="106"/>
      <c r="E55" s="106"/>
      <c r="F55" s="106"/>
      <c r="G55" s="106"/>
      <c r="H55" s="106"/>
      <c r="I55" s="37"/>
      <c r="J55" s="106"/>
      <c r="K55" s="106"/>
      <c r="L55" s="106"/>
      <c r="M55" s="106"/>
      <c r="N55" s="106"/>
      <c r="O55" s="106"/>
      <c r="P55" s="106"/>
      <c r="Q55" s="37"/>
      <c r="R55" s="106"/>
      <c r="S55" s="106"/>
      <c r="T55" s="106"/>
      <c r="U55" s="106"/>
      <c r="V55" s="106"/>
      <c r="W55" s="106"/>
      <c r="X55" s="106"/>
      <c r="Y55" s="37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37"/>
      <c r="AK55" s="38"/>
      <c r="AL55" s="197"/>
    </row>
    <row r="56" spans="1:38" x14ac:dyDescent="0.25">
      <c r="A56" s="11">
        <v>54</v>
      </c>
      <c r="B56" s="106"/>
      <c r="C56" s="106"/>
      <c r="D56" s="106"/>
      <c r="E56" s="106"/>
      <c r="F56" s="106"/>
      <c r="G56" s="106"/>
      <c r="H56" s="106"/>
      <c r="I56" s="37"/>
      <c r="J56" s="106"/>
      <c r="K56" s="106"/>
      <c r="L56" s="106"/>
      <c r="M56" s="106"/>
      <c r="N56" s="106"/>
      <c r="O56" s="106"/>
      <c r="P56" s="106"/>
      <c r="Q56" s="37"/>
      <c r="R56" s="106"/>
      <c r="S56" s="106"/>
      <c r="T56" s="106"/>
      <c r="U56" s="106"/>
      <c r="V56" s="106"/>
      <c r="W56" s="106"/>
      <c r="X56" s="106"/>
      <c r="Y56" s="37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37"/>
      <c r="AK56" s="38"/>
      <c r="AL56" s="197"/>
    </row>
    <row r="57" spans="1:38" x14ac:dyDescent="0.25">
      <c r="A57" s="11">
        <v>55</v>
      </c>
      <c r="B57" s="106"/>
      <c r="C57" s="106"/>
      <c r="D57" s="106"/>
      <c r="E57" s="106"/>
      <c r="F57" s="106"/>
      <c r="G57" s="106"/>
      <c r="H57" s="106"/>
      <c r="I57" s="37"/>
      <c r="J57" s="106"/>
      <c r="K57" s="106"/>
      <c r="L57" s="106"/>
      <c r="M57" s="106"/>
      <c r="N57" s="106"/>
      <c r="O57" s="106"/>
      <c r="P57" s="106"/>
      <c r="Q57" s="37"/>
      <c r="R57" s="106"/>
      <c r="S57" s="106"/>
      <c r="T57" s="106"/>
      <c r="U57" s="106"/>
      <c r="V57" s="106"/>
      <c r="W57" s="106"/>
      <c r="X57" s="106"/>
      <c r="Y57" s="37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37"/>
      <c r="AK57" s="38"/>
      <c r="AL57" s="197"/>
    </row>
    <row r="58" spans="1:38" x14ac:dyDescent="0.25">
      <c r="A58" s="11">
        <v>56</v>
      </c>
      <c r="B58" s="106"/>
      <c r="C58" s="106"/>
      <c r="D58" s="106"/>
      <c r="E58" s="106"/>
      <c r="F58" s="106"/>
      <c r="G58" s="106"/>
      <c r="H58" s="106"/>
      <c r="I58" s="37"/>
      <c r="J58" s="106"/>
      <c r="K58" s="106"/>
      <c r="L58" s="106"/>
      <c r="M58" s="106"/>
      <c r="N58" s="106"/>
      <c r="O58" s="106"/>
      <c r="P58" s="106"/>
      <c r="Q58" s="37"/>
      <c r="R58" s="106"/>
      <c r="S58" s="106"/>
      <c r="T58" s="106"/>
      <c r="U58" s="106"/>
      <c r="V58" s="106"/>
      <c r="W58" s="106"/>
      <c r="X58" s="106"/>
      <c r="Y58" s="37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37"/>
      <c r="AK58" s="38"/>
      <c r="AL58" s="197"/>
    </row>
    <row r="59" spans="1:38" x14ac:dyDescent="0.25">
      <c r="A59" s="11">
        <v>57</v>
      </c>
      <c r="B59" s="106"/>
      <c r="C59" s="106"/>
      <c r="D59" s="106"/>
      <c r="E59" s="106"/>
      <c r="F59" s="106"/>
      <c r="G59" s="106"/>
      <c r="H59" s="106"/>
      <c r="I59" s="37"/>
      <c r="J59" s="106"/>
      <c r="K59" s="106"/>
      <c r="L59" s="106"/>
      <c r="M59" s="106"/>
      <c r="N59" s="106"/>
      <c r="O59" s="106"/>
      <c r="P59" s="106"/>
      <c r="Q59" s="37"/>
      <c r="R59" s="106"/>
      <c r="S59" s="106"/>
      <c r="T59" s="106"/>
      <c r="U59" s="106"/>
      <c r="V59" s="106"/>
      <c r="W59" s="106"/>
      <c r="X59" s="106"/>
      <c r="Y59" s="37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37"/>
      <c r="AK59" s="38"/>
      <c r="AL59" s="197"/>
    </row>
    <row r="60" spans="1:38" x14ac:dyDescent="0.25">
      <c r="A60" s="11">
        <v>58</v>
      </c>
      <c r="B60" s="106"/>
      <c r="C60" s="106"/>
      <c r="D60" s="106"/>
      <c r="E60" s="106"/>
      <c r="F60" s="106"/>
      <c r="G60" s="106"/>
      <c r="H60" s="106"/>
      <c r="I60" s="37"/>
      <c r="J60" s="106"/>
      <c r="K60" s="106"/>
      <c r="L60" s="106"/>
      <c r="M60" s="106"/>
      <c r="N60" s="106"/>
      <c r="O60" s="106"/>
      <c r="P60" s="106"/>
      <c r="Q60" s="37"/>
      <c r="R60" s="106"/>
      <c r="S60" s="106"/>
      <c r="T60" s="106"/>
      <c r="U60" s="106"/>
      <c r="V60" s="106"/>
      <c r="W60" s="106"/>
      <c r="X60" s="106"/>
      <c r="Y60" s="37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37"/>
      <c r="AK60" s="38"/>
      <c r="AL60" s="197"/>
    </row>
    <row r="61" spans="1:38" ht="18.75" x14ac:dyDescent="0.3">
      <c r="A61" s="11">
        <v>59</v>
      </c>
      <c r="B61" s="106"/>
      <c r="C61" s="106"/>
      <c r="D61" s="106"/>
      <c r="E61" s="106"/>
      <c r="F61" s="106"/>
      <c r="G61" s="106"/>
      <c r="H61" s="106"/>
      <c r="I61" s="37"/>
      <c r="J61" s="106"/>
      <c r="K61" s="106"/>
      <c r="L61" s="106"/>
      <c r="M61" s="106"/>
      <c r="N61" s="106"/>
      <c r="O61" s="106"/>
      <c r="P61" s="106"/>
      <c r="Q61" s="37"/>
      <c r="R61" s="106"/>
      <c r="S61" s="106"/>
      <c r="T61" s="106"/>
      <c r="U61" s="106"/>
      <c r="V61" s="106"/>
      <c r="W61" s="106"/>
      <c r="X61" s="106"/>
      <c r="Y61" s="37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37"/>
      <c r="AK61" s="340"/>
      <c r="AL61" s="197"/>
    </row>
    <row r="62" spans="1:38" ht="18.75" x14ac:dyDescent="0.3">
      <c r="A62" s="11">
        <v>60</v>
      </c>
      <c r="B62" s="106"/>
      <c r="C62" s="106"/>
      <c r="D62" s="106"/>
      <c r="E62" s="106"/>
      <c r="F62" s="106"/>
      <c r="G62" s="106"/>
      <c r="H62" s="106"/>
      <c r="I62" s="37"/>
      <c r="J62" s="106"/>
      <c r="K62" s="106"/>
      <c r="L62" s="106"/>
      <c r="M62" s="106"/>
      <c r="N62" s="106"/>
      <c r="O62" s="106"/>
      <c r="P62" s="106"/>
      <c r="Q62" s="37"/>
      <c r="R62" s="106"/>
      <c r="S62" s="106"/>
      <c r="T62" s="106"/>
      <c r="U62" s="106"/>
      <c r="V62" s="106"/>
      <c r="W62" s="106"/>
      <c r="X62" s="106"/>
      <c r="Y62" s="37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37"/>
      <c r="AK62" s="340"/>
      <c r="AL62" s="197"/>
    </row>
    <row r="63" spans="1:38" ht="18.75" x14ac:dyDescent="0.3">
      <c r="A63" s="11">
        <v>61</v>
      </c>
      <c r="B63" s="106"/>
      <c r="C63" s="106"/>
      <c r="D63" s="106"/>
      <c r="E63" s="106"/>
      <c r="F63" s="106"/>
      <c r="G63" s="106"/>
      <c r="H63" s="106"/>
      <c r="I63" s="37"/>
      <c r="J63" s="106"/>
      <c r="K63" s="106"/>
      <c r="L63" s="106"/>
      <c r="M63" s="106"/>
      <c r="N63" s="106"/>
      <c r="O63" s="106"/>
      <c r="P63" s="106"/>
      <c r="Q63" s="37"/>
      <c r="R63" s="106"/>
      <c r="S63" s="106"/>
      <c r="T63" s="106"/>
      <c r="U63" s="106"/>
      <c r="V63" s="106"/>
      <c r="W63" s="106"/>
      <c r="X63" s="106"/>
      <c r="Y63" s="37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37"/>
      <c r="AK63" s="340"/>
      <c r="AL63" s="197"/>
    </row>
    <row r="64" spans="1:38" x14ac:dyDescent="0.25">
      <c r="A64" s="11">
        <v>62</v>
      </c>
      <c r="B64" s="106"/>
      <c r="C64" s="106"/>
      <c r="D64" s="106"/>
      <c r="E64" s="106"/>
      <c r="F64" s="106"/>
      <c r="G64" s="106"/>
      <c r="H64" s="106"/>
      <c r="I64" s="37"/>
      <c r="J64" s="106"/>
      <c r="K64" s="106"/>
      <c r="L64" s="106"/>
      <c r="M64" s="106"/>
      <c r="N64" s="106"/>
      <c r="O64" s="106"/>
      <c r="P64" s="106"/>
      <c r="Q64" s="37"/>
      <c r="R64" s="106"/>
      <c r="S64" s="106"/>
      <c r="T64" s="106"/>
      <c r="U64" s="106"/>
      <c r="V64" s="106"/>
      <c r="W64" s="106"/>
      <c r="X64" s="106"/>
      <c r="Y64" s="37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37"/>
      <c r="AK64" s="38"/>
      <c r="AL64" s="197"/>
    </row>
    <row r="65" spans="1:38" ht="15.75" thickBot="1" x14ac:dyDescent="0.3">
      <c r="A65" s="62">
        <v>63</v>
      </c>
      <c r="B65" s="107"/>
      <c r="C65" s="107"/>
      <c r="D65" s="107"/>
      <c r="E65" s="107"/>
      <c r="F65" s="107"/>
      <c r="G65" s="107"/>
      <c r="H65" s="107"/>
      <c r="I65" s="110"/>
      <c r="J65" s="107"/>
      <c r="K65" s="107"/>
      <c r="L65" s="107"/>
      <c r="M65" s="107"/>
      <c r="N65" s="107"/>
      <c r="O65" s="107"/>
      <c r="P65" s="107"/>
      <c r="Q65" s="110"/>
      <c r="R65" s="107"/>
      <c r="S65" s="107"/>
      <c r="T65" s="107"/>
      <c r="U65" s="107"/>
      <c r="V65" s="107"/>
      <c r="W65" s="107"/>
      <c r="X65" s="107"/>
      <c r="Y65" s="114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14"/>
      <c r="AK65" s="44"/>
      <c r="AL65" s="204"/>
    </row>
    <row r="66" spans="1:38" ht="18.75" x14ac:dyDescent="0.3">
      <c r="A66" s="281" t="s">
        <v>2</v>
      </c>
      <c r="B66" s="163"/>
      <c r="C66" s="163"/>
      <c r="D66" s="163"/>
      <c r="E66" s="163"/>
      <c r="F66" s="163"/>
      <c r="G66" s="163"/>
      <c r="H66" s="163"/>
      <c r="I66" s="158"/>
      <c r="J66" s="163"/>
      <c r="K66" s="163"/>
      <c r="L66" s="163"/>
      <c r="M66" s="163"/>
      <c r="N66" s="163"/>
      <c r="O66" s="163"/>
      <c r="P66" s="163"/>
      <c r="Q66" s="221"/>
      <c r="R66" s="163"/>
      <c r="S66" s="163"/>
      <c r="T66" s="163"/>
      <c r="U66" s="163"/>
      <c r="V66" s="163"/>
      <c r="W66" s="163"/>
      <c r="X66" s="163"/>
      <c r="Y66" s="221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51"/>
      <c r="AK66" s="266"/>
      <c r="AL66" s="285"/>
    </row>
    <row r="67" spans="1:38" ht="15.75" thickBot="1" x14ac:dyDescent="0.3">
      <c r="A67" s="264"/>
      <c r="B67" s="265"/>
      <c r="C67" s="265"/>
      <c r="D67" s="265"/>
      <c r="E67" s="265"/>
      <c r="F67" s="265"/>
      <c r="G67" s="265"/>
      <c r="H67" s="265"/>
      <c r="I67" s="56"/>
      <c r="J67" s="265"/>
      <c r="K67" s="265"/>
      <c r="L67" s="265"/>
      <c r="M67" s="265"/>
      <c r="N67" s="265"/>
      <c r="O67" s="265"/>
      <c r="P67" s="265"/>
      <c r="Q67" s="56"/>
      <c r="R67" s="265"/>
      <c r="S67" s="265"/>
      <c r="T67" s="265"/>
      <c r="U67" s="265"/>
      <c r="V67" s="265"/>
      <c r="W67" s="265"/>
      <c r="X67" s="265"/>
      <c r="Y67" s="56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56"/>
      <c r="AK67" s="225"/>
      <c r="AL67" s="228"/>
    </row>
    <row r="68" spans="1:38" ht="24" thickBot="1" x14ac:dyDescent="0.4">
      <c r="A68" s="252" t="s">
        <v>224</v>
      </c>
      <c r="B68" s="253"/>
      <c r="C68" s="253"/>
      <c r="D68" s="253"/>
      <c r="E68" s="253"/>
      <c r="F68" s="253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60"/>
    </row>
    <row r="69" spans="1:38" ht="16.5" thickBot="1" x14ac:dyDescent="0.3">
      <c r="A69" s="321" t="s">
        <v>7</v>
      </c>
      <c r="B69" s="322"/>
      <c r="C69" s="322"/>
      <c r="D69" s="322"/>
      <c r="E69" s="322"/>
      <c r="F69" s="322"/>
      <c r="G69" s="322"/>
      <c r="H69" s="322"/>
      <c r="I69" s="323"/>
      <c r="J69" s="322"/>
      <c r="K69" s="322"/>
      <c r="L69" s="322"/>
      <c r="M69" s="322"/>
      <c r="N69" s="322"/>
      <c r="O69" s="322"/>
      <c r="P69" s="322"/>
      <c r="Q69" s="323"/>
      <c r="R69" s="322"/>
      <c r="S69" s="322"/>
      <c r="T69" s="322"/>
      <c r="U69" s="322"/>
      <c r="V69" s="322"/>
      <c r="W69" s="322"/>
      <c r="X69" s="322"/>
      <c r="Y69" s="323"/>
      <c r="Z69" s="322"/>
      <c r="AA69" s="322"/>
      <c r="AB69" s="322"/>
      <c r="AC69" s="322"/>
      <c r="AD69" s="322"/>
      <c r="AE69" s="322"/>
      <c r="AF69" s="322"/>
      <c r="AG69" s="322"/>
      <c r="AH69" s="322"/>
      <c r="AI69" s="322"/>
      <c r="AJ69" s="324"/>
      <c r="AK69" s="325"/>
      <c r="AL69" s="169"/>
    </row>
    <row r="70" spans="1:38" x14ac:dyDescent="0.25">
      <c r="A70" s="394">
        <v>23</v>
      </c>
      <c r="B70" s="386"/>
      <c r="C70" s="386"/>
      <c r="D70" s="386"/>
      <c r="E70" s="386"/>
      <c r="F70" s="386"/>
      <c r="G70" s="386"/>
      <c r="H70" s="386"/>
      <c r="I70" s="160"/>
      <c r="J70" s="386"/>
      <c r="K70" s="386"/>
      <c r="L70" s="386"/>
      <c r="M70" s="386"/>
      <c r="N70" s="386"/>
      <c r="O70" s="386"/>
      <c r="P70" s="387"/>
      <c r="Q70" s="160"/>
      <c r="R70" s="387"/>
      <c r="S70" s="386"/>
      <c r="T70" s="386"/>
      <c r="U70" s="386"/>
      <c r="V70" s="386"/>
      <c r="W70" s="386"/>
      <c r="X70" s="386"/>
      <c r="Y70" s="160"/>
      <c r="Z70" s="387"/>
      <c r="AA70" s="387"/>
      <c r="AB70" s="387"/>
      <c r="AC70" s="387"/>
      <c r="AD70" s="387"/>
      <c r="AE70" s="387"/>
      <c r="AF70" s="387"/>
      <c r="AG70" s="387"/>
      <c r="AH70" s="387"/>
      <c r="AI70" s="387"/>
      <c r="AJ70" s="160"/>
      <c r="AK70" s="14"/>
      <c r="AL70" s="172"/>
    </row>
    <row r="71" spans="1:38" x14ac:dyDescent="0.25">
      <c r="A71" s="381">
        <v>83</v>
      </c>
      <c r="B71" s="135"/>
      <c r="C71" s="121"/>
      <c r="D71" s="121"/>
      <c r="E71" s="1"/>
      <c r="F71" s="121"/>
      <c r="G71" s="121"/>
      <c r="H71" s="121"/>
      <c r="I71" s="37"/>
      <c r="J71" s="121"/>
      <c r="K71" s="121"/>
      <c r="L71" s="121"/>
      <c r="M71" s="121"/>
      <c r="N71" s="121"/>
      <c r="O71" s="120"/>
      <c r="P71" s="172"/>
      <c r="Q71" s="37"/>
      <c r="R71" s="135"/>
      <c r="S71" s="118"/>
      <c r="T71" s="118"/>
      <c r="U71" s="1"/>
      <c r="V71" s="118"/>
      <c r="W71" s="57"/>
      <c r="X71" s="57"/>
      <c r="Y71" s="37"/>
      <c r="Z71" s="1"/>
      <c r="AA71" s="118"/>
      <c r="AB71" s="1"/>
      <c r="AC71" s="1"/>
      <c r="AD71" s="1"/>
      <c r="AE71" s="118"/>
      <c r="AF71" s="118"/>
      <c r="AG71" s="118"/>
      <c r="AH71" s="118"/>
      <c r="AI71" s="118"/>
      <c r="AJ71" s="37"/>
      <c r="AK71" s="38"/>
      <c r="AL71" s="176"/>
    </row>
    <row r="72" spans="1:38" x14ac:dyDescent="0.25">
      <c r="A72" s="381">
        <v>90</v>
      </c>
      <c r="B72" s="135"/>
      <c r="C72" s="388"/>
      <c r="D72" s="388"/>
      <c r="E72" s="389"/>
      <c r="F72" s="389"/>
      <c r="G72" s="389"/>
      <c r="H72" s="389"/>
      <c r="I72" s="37"/>
      <c r="J72" s="390"/>
      <c r="K72" s="389"/>
      <c r="L72" s="390"/>
      <c r="M72" s="390"/>
      <c r="N72" s="390"/>
      <c r="O72" s="390"/>
      <c r="P72" s="391"/>
      <c r="Q72" s="111"/>
      <c r="R72" s="391"/>
      <c r="S72" s="390"/>
      <c r="T72" s="390"/>
      <c r="U72" s="390"/>
      <c r="V72" s="389"/>
      <c r="W72" s="387"/>
      <c r="X72" s="387"/>
      <c r="Y72" s="111"/>
      <c r="Z72" s="387"/>
      <c r="AA72" s="387"/>
      <c r="AB72" s="387"/>
      <c r="AC72" s="387"/>
      <c r="AD72" s="387"/>
      <c r="AE72" s="387"/>
      <c r="AF72" s="387"/>
      <c r="AG72" s="387"/>
      <c r="AH72" s="387"/>
      <c r="AI72" s="387"/>
      <c r="AJ72" s="111"/>
      <c r="AK72" s="38"/>
      <c r="AL72" s="176"/>
    </row>
    <row r="73" spans="1:38" x14ac:dyDescent="0.25">
      <c r="A73" s="381">
        <v>93</v>
      </c>
      <c r="B73" s="389"/>
      <c r="C73" s="118"/>
      <c r="D73" s="118"/>
      <c r="E73" s="118"/>
      <c r="F73" s="118"/>
      <c r="G73" s="389"/>
      <c r="H73" s="118"/>
      <c r="I73" s="37"/>
      <c r="J73" s="121"/>
      <c r="K73" s="121"/>
      <c r="L73" s="121"/>
      <c r="M73" s="131"/>
      <c r="N73" s="118"/>
      <c r="O73" s="120"/>
      <c r="P73" s="391"/>
      <c r="Q73" s="37"/>
      <c r="R73" s="205"/>
      <c r="S73" s="118"/>
      <c r="T73" s="118"/>
      <c r="U73" s="1"/>
      <c r="V73" s="1"/>
      <c r="W73" s="57"/>
      <c r="X73" s="57"/>
      <c r="Y73" s="37"/>
      <c r="Z73" s="118"/>
      <c r="AA73" s="387"/>
      <c r="AB73" s="1"/>
      <c r="AC73" s="387"/>
      <c r="AD73" s="1"/>
      <c r="AE73" s="118"/>
      <c r="AF73" s="387"/>
      <c r="AG73" s="118"/>
      <c r="AH73" s="118"/>
      <c r="AI73" s="118"/>
      <c r="AJ73" s="37"/>
      <c r="AK73" s="38"/>
      <c r="AL73" s="202"/>
    </row>
    <row r="74" spans="1:38" x14ac:dyDescent="0.25">
      <c r="A74" s="381">
        <v>95</v>
      </c>
      <c r="B74" s="389"/>
      <c r="C74" s="121"/>
      <c r="D74" s="121"/>
      <c r="E74" s="121"/>
      <c r="F74" s="121"/>
      <c r="G74" s="121"/>
      <c r="H74" s="121"/>
      <c r="I74" s="37"/>
      <c r="J74" s="121"/>
      <c r="K74" s="371"/>
      <c r="L74" s="390"/>
      <c r="M74" s="121"/>
      <c r="N74" s="121"/>
      <c r="O74" s="121"/>
      <c r="P74" s="172"/>
      <c r="Q74" s="37"/>
      <c r="R74" s="131"/>
      <c r="S74" s="118"/>
      <c r="T74" s="118"/>
      <c r="U74" s="1"/>
      <c r="V74" s="118"/>
      <c r="W74" s="57"/>
      <c r="X74" s="57"/>
      <c r="Y74" s="37"/>
      <c r="Z74" s="118"/>
      <c r="AA74" s="118"/>
      <c r="AB74" s="1"/>
      <c r="AC74" s="1"/>
      <c r="AD74" s="1"/>
      <c r="AE74" s="118"/>
      <c r="AF74" s="118"/>
      <c r="AG74" s="118"/>
      <c r="AH74" s="118"/>
      <c r="AI74" s="118"/>
      <c r="AJ74" s="37"/>
      <c r="AK74" s="38"/>
      <c r="AL74" s="176"/>
    </row>
    <row r="75" spans="1:38" x14ac:dyDescent="0.25">
      <c r="A75" s="381">
        <v>98</v>
      </c>
      <c r="B75" s="389"/>
      <c r="C75" s="389"/>
      <c r="D75" s="389"/>
      <c r="E75" s="389"/>
      <c r="F75" s="389"/>
      <c r="G75" s="389"/>
      <c r="H75" s="389"/>
      <c r="I75" s="111"/>
      <c r="J75" s="390"/>
      <c r="K75" s="389"/>
      <c r="L75" s="390"/>
      <c r="M75" s="390"/>
      <c r="N75" s="390"/>
      <c r="O75" s="390"/>
      <c r="P75" s="391"/>
      <c r="Q75" s="111"/>
      <c r="R75" s="391"/>
      <c r="S75" s="390"/>
      <c r="T75" s="390"/>
      <c r="U75" s="390"/>
      <c r="V75" s="389"/>
      <c r="W75" s="387"/>
      <c r="X75" s="387"/>
      <c r="Y75" s="111"/>
      <c r="Z75" s="387"/>
      <c r="AA75" s="387"/>
      <c r="AB75" s="387"/>
      <c r="AC75" s="387"/>
      <c r="AD75" s="387"/>
      <c r="AE75" s="387"/>
      <c r="AF75" s="387"/>
      <c r="AG75" s="387"/>
      <c r="AH75" s="387"/>
      <c r="AI75" s="387"/>
      <c r="AJ75" s="111"/>
      <c r="AK75" s="38"/>
      <c r="AL75" s="176"/>
    </row>
    <row r="76" spans="1:38" x14ac:dyDescent="0.25">
      <c r="A76" s="381">
        <v>104</v>
      </c>
      <c r="B76" s="131"/>
      <c r="C76" s="121"/>
      <c r="D76" s="121"/>
      <c r="E76" s="121"/>
      <c r="F76" s="121"/>
      <c r="G76" s="121"/>
      <c r="H76" s="121"/>
      <c r="I76" s="37"/>
      <c r="J76" s="121"/>
      <c r="K76" s="121"/>
      <c r="L76" s="371"/>
      <c r="M76" s="121"/>
      <c r="N76" s="372"/>
      <c r="O76" s="121"/>
      <c r="P76" s="172"/>
      <c r="Q76" s="37"/>
      <c r="R76" s="135"/>
      <c r="S76" s="118"/>
      <c r="T76" s="118"/>
      <c r="U76" s="1"/>
      <c r="V76" s="118"/>
      <c r="W76" s="57"/>
      <c r="X76" s="57"/>
      <c r="Y76" s="37"/>
      <c r="Z76" s="1"/>
      <c r="AA76" s="118"/>
      <c r="AB76" s="1"/>
      <c r="AC76" s="1"/>
      <c r="AD76" s="1"/>
      <c r="AE76" s="387"/>
      <c r="AF76" s="193"/>
      <c r="AG76" s="118"/>
      <c r="AH76" s="118"/>
      <c r="AI76" s="118"/>
      <c r="AJ76" s="37"/>
      <c r="AK76" s="38"/>
      <c r="AL76" s="176"/>
    </row>
    <row r="77" spans="1:38" x14ac:dyDescent="0.25">
      <c r="A77" s="393">
        <v>118</v>
      </c>
      <c r="B77" s="389"/>
      <c r="C77" s="389"/>
      <c r="D77" s="389"/>
      <c r="E77" s="389"/>
      <c r="F77" s="389"/>
      <c r="G77" s="389"/>
      <c r="H77" s="389"/>
      <c r="I77" s="111"/>
      <c r="J77" s="390"/>
      <c r="K77" s="389"/>
      <c r="L77" s="390"/>
      <c r="M77" s="390"/>
      <c r="N77" s="390"/>
      <c r="O77" s="390"/>
      <c r="P77" s="391"/>
      <c r="Q77" s="111"/>
      <c r="R77" s="391"/>
      <c r="S77" s="390"/>
      <c r="T77" s="176"/>
      <c r="U77" s="390"/>
      <c r="V77" s="390"/>
      <c r="W77" s="390"/>
      <c r="X77" s="390"/>
      <c r="Y77" s="37"/>
      <c r="Z77" s="387"/>
      <c r="AA77" s="387"/>
      <c r="AB77" s="387"/>
      <c r="AC77" s="387"/>
      <c r="AD77" s="387"/>
      <c r="AE77" s="387"/>
      <c r="AF77" s="387"/>
      <c r="AG77" s="118"/>
      <c r="AH77" s="118"/>
      <c r="AI77" s="118"/>
      <c r="AJ77" s="37"/>
      <c r="AK77" s="38"/>
      <c r="AL77" s="154"/>
    </row>
    <row r="78" spans="1:38" x14ac:dyDescent="0.25">
      <c r="A78" s="382">
        <v>128</v>
      </c>
      <c r="B78" s="118"/>
      <c r="C78" s="1"/>
      <c r="D78" s="121"/>
      <c r="E78" s="121"/>
      <c r="F78" s="121"/>
      <c r="G78" s="121"/>
      <c r="H78" s="118"/>
      <c r="I78" s="37"/>
      <c r="J78" s="118"/>
      <c r="K78" s="121"/>
      <c r="L78" s="121"/>
      <c r="M78" s="121"/>
      <c r="N78" s="121"/>
      <c r="O78" s="120"/>
      <c r="P78" s="172"/>
      <c r="Q78" s="37"/>
      <c r="R78" s="131"/>
      <c r="S78" s="118"/>
      <c r="T78" s="118"/>
      <c r="U78" s="1"/>
      <c r="V78" s="118"/>
      <c r="W78" s="57"/>
      <c r="X78" s="57"/>
      <c r="Y78" s="37"/>
      <c r="Z78" s="1"/>
      <c r="AA78" s="118"/>
      <c r="AB78" s="1"/>
      <c r="AC78" s="1"/>
      <c r="AD78" s="1"/>
      <c r="AE78" s="118"/>
      <c r="AF78" s="118"/>
      <c r="AG78" s="118"/>
      <c r="AH78" s="118"/>
      <c r="AI78" s="118"/>
      <c r="AJ78" s="37"/>
      <c r="AK78" s="38"/>
      <c r="AL78" s="176"/>
    </row>
    <row r="79" spans="1:38" x14ac:dyDescent="0.25">
      <c r="A79" s="382">
        <v>131</v>
      </c>
      <c r="B79" s="155"/>
      <c r="C79" s="135"/>
      <c r="D79" s="121"/>
      <c r="E79" s="121"/>
      <c r="F79" s="389"/>
      <c r="G79" s="121"/>
      <c r="H79" s="118"/>
      <c r="I79" s="37"/>
      <c r="J79" s="121"/>
      <c r="K79" s="118"/>
      <c r="L79" s="121"/>
      <c r="M79" s="121"/>
      <c r="N79" s="121"/>
      <c r="O79" s="121"/>
      <c r="P79" s="172"/>
      <c r="Q79" s="37"/>
      <c r="R79" s="131"/>
      <c r="S79" s="118"/>
      <c r="T79" s="390"/>
      <c r="U79" s="1"/>
      <c r="V79" s="118"/>
      <c r="W79" s="57"/>
      <c r="X79" s="57"/>
      <c r="Y79" s="37"/>
      <c r="Z79" s="118"/>
      <c r="AA79" s="118"/>
      <c r="AB79" s="1"/>
      <c r="AC79" s="1"/>
      <c r="AD79" s="387"/>
      <c r="AE79" s="193"/>
      <c r="AF79" s="118"/>
      <c r="AG79" s="118"/>
      <c r="AH79" s="118"/>
      <c r="AI79" s="118"/>
      <c r="AJ79" s="37"/>
      <c r="AK79" s="38"/>
      <c r="AL79" s="176"/>
    </row>
    <row r="80" spans="1:38" x14ac:dyDescent="0.25">
      <c r="A80" s="382">
        <v>132</v>
      </c>
      <c r="B80" s="12"/>
      <c r="C80" s="121"/>
      <c r="D80" s="121"/>
      <c r="E80" s="118"/>
      <c r="F80" s="121"/>
      <c r="G80" s="121"/>
      <c r="H80" s="121"/>
      <c r="I80" s="37"/>
      <c r="J80" s="390"/>
      <c r="K80" s="121"/>
      <c r="L80" s="121"/>
      <c r="M80" s="121"/>
      <c r="N80" s="121"/>
      <c r="O80" s="121"/>
      <c r="P80" s="172"/>
      <c r="Q80" s="37"/>
      <c r="R80" s="131"/>
      <c r="S80" s="118"/>
      <c r="T80" s="118"/>
      <c r="U80" s="1"/>
      <c r="V80" s="1"/>
      <c r="W80" s="57"/>
      <c r="X80" s="57"/>
      <c r="Y80" s="37"/>
      <c r="Z80" s="118"/>
      <c r="AA80" s="1"/>
      <c r="AB80" s="1"/>
      <c r="AC80" s="1"/>
      <c r="AD80" s="387"/>
      <c r="AE80" s="135"/>
      <c r="AF80" s="118"/>
      <c r="AG80" s="118"/>
      <c r="AH80" s="118"/>
      <c r="AI80" s="118"/>
      <c r="AJ80" s="37"/>
      <c r="AK80" s="38"/>
      <c r="AL80" s="176"/>
    </row>
    <row r="81" spans="1:38" x14ac:dyDescent="0.25">
      <c r="A81" s="382">
        <v>133</v>
      </c>
      <c r="B81" s="131"/>
      <c r="C81" s="131"/>
      <c r="D81" s="121"/>
      <c r="E81" s="121"/>
      <c r="F81" s="118"/>
      <c r="G81" s="118"/>
      <c r="H81" s="1"/>
      <c r="I81" s="37"/>
      <c r="J81" s="121"/>
      <c r="K81" s="118"/>
      <c r="L81" s="1"/>
      <c r="M81" s="121"/>
      <c r="N81" s="120"/>
      <c r="O81" s="120"/>
      <c r="P81" s="205"/>
      <c r="Q81" s="37"/>
      <c r="R81" s="131"/>
      <c r="S81" s="118"/>
      <c r="T81" s="118"/>
      <c r="U81" s="1"/>
      <c r="V81" s="118"/>
      <c r="W81" s="57"/>
      <c r="X81" s="57"/>
      <c r="Y81" s="37"/>
      <c r="Z81" s="118"/>
      <c r="AA81" s="118"/>
      <c r="AB81" s="1"/>
      <c r="AC81" s="1"/>
      <c r="AD81" s="1"/>
      <c r="AE81" s="387"/>
      <c r="AF81" s="193"/>
      <c r="AG81" s="118"/>
      <c r="AH81" s="118"/>
      <c r="AI81" s="118"/>
      <c r="AJ81" s="37"/>
      <c r="AK81" s="38"/>
      <c r="AL81" s="154"/>
    </row>
    <row r="82" spans="1:38" x14ac:dyDescent="0.25">
      <c r="A82" s="382">
        <v>134</v>
      </c>
      <c r="B82" s="155"/>
      <c r="C82" s="131"/>
      <c r="D82" s="12"/>
      <c r="E82" s="121"/>
      <c r="F82" s="118"/>
      <c r="G82" s="344"/>
      <c r="H82" s="118"/>
      <c r="I82" s="37"/>
      <c r="J82" s="118"/>
      <c r="K82" s="118"/>
      <c r="L82" s="121"/>
      <c r="M82" s="121"/>
      <c r="N82" s="118"/>
      <c r="O82" s="118"/>
      <c r="P82" s="172"/>
      <c r="Q82" s="37"/>
      <c r="R82" s="131"/>
      <c r="S82" s="118"/>
      <c r="T82" s="118"/>
      <c r="U82" s="1"/>
      <c r="V82" s="118"/>
      <c r="W82" s="57"/>
      <c r="X82" s="57"/>
      <c r="Y82" s="37"/>
      <c r="Z82" s="118"/>
      <c r="AA82" s="118"/>
      <c r="AB82" s="1"/>
      <c r="AC82" s="1"/>
      <c r="AD82" s="1"/>
      <c r="AE82" s="118"/>
      <c r="AF82" s="118"/>
      <c r="AG82" s="118"/>
      <c r="AH82" s="118"/>
      <c r="AI82" s="118"/>
      <c r="AJ82" s="37"/>
      <c r="AK82" s="38"/>
      <c r="AL82" s="176"/>
    </row>
    <row r="83" spans="1:38" x14ac:dyDescent="0.25">
      <c r="A83" s="382">
        <v>135</v>
      </c>
      <c r="B83" s="389"/>
      <c r="C83" s="155"/>
      <c r="D83" s="121"/>
      <c r="E83" s="1"/>
      <c r="F83" s="118"/>
      <c r="G83" s="121"/>
      <c r="H83" s="121"/>
      <c r="I83" s="37"/>
      <c r="J83" s="121"/>
      <c r="K83" s="121"/>
      <c r="L83" s="121"/>
      <c r="M83" s="121"/>
      <c r="N83" s="121"/>
      <c r="O83" s="121"/>
      <c r="P83" s="205"/>
      <c r="Q83" s="37"/>
      <c r="R83" s="131"/>
      <c r="S83" s="118"/>
      <c r="T83" s="118"/>
      <c r="U83" s="1"/>
      <c r="V83" s="118"/>
      <c r="W83" s="57"/>
      <c r="X83" s="57"/>
      <c r="Y83" s="37"/>
      <c r="Z83" s="118"/>
      <c r="AA83" s="118"/>
      <c r="AB83" s="1"/>
      <c r="AC83" s="1"/>
      <c r="AD83" s="1"/>
      <c r="AE83" s="173"/>
      <c r="AF83" s="118"/>
      <c r="AG83" s="118"/>
      <c r="AH83" s="118"/>
      <c r="AI83" s="118"/>
      <c r="AJ83" s="37"/>
      <c r="AK83" s="38"/>
      <c r="AL83" s="176"/>
    </row>
    <row r="84" spans="1:38" x14ac:dyDescent="0.25">
      <c r="A84" s="382">
        <v>136</v>
      </c>
      <c r="B84" s="131"/>
      <c r="C84" s="135"/>
      <c r="D84" s="131"/>
      <c r="E84" s="1"/>
      <c r="F84" s="389"/>
      <c r="G84" s="121"/>
      <c r="H84" s="121"/>
      <c r="I84" s="37"/>
      <c r="J84" s="121"/>
      <c r="K84" s="121"/>
      <c r="L84" s="390"/>
      <c r="M84" s="118"/>
      <c r="N84" s="118"/>
      <c r="O84" s="118"/>
      <c r="P84" s="172"/>
      <c r="Q84" s="37"/>
      <c r="R84" s="131"/>
      <c r="S84" s="118"/>
      <c r="T84" s="1"/>
      <c r="U84" s="1"/>
      <c r="V84" s="118"/>
      <c r="W84" s="57"/>
      <c r="X84" s="57"/>
      <c r="Y84" s="37"/>
      <c r="Z84" s="1"/>
      <c r="AA84" s="387"/>
      <c r="AB84" s="1"/>
      <c r="AC84" s="1"/>
      <c r="AD84" s="1"/>
      <c r="AE84" s="118"/>
      <c r="AF84" s="173"/>
      <c r="AG84" s="118"/>
      <c r="AH84" s="118"/>
      <c r="AI84" s="118"/>
      <c r="AJ84" s="37"/>
      <c r="AK84" s="38"/>
      <c r="AL84" s="176"/>
    </row>
    <row r="85" spans="1:38" x14ac:dyDescent="0.25">
      <c r="A85" s="382">
        <v>137</v>
      </c>
      <c r="B85" s="131"/>
      <c r="C85" s="392"/>
      <c r="D85" s="392"/>
      <c r="E85" s="121"/>
      <c r="F85" s="121"/>
      <c r="G85" s="121"/>
      <c r="H85" s="121"/>
      <c r="I85" s="37"/>
      <c r="J85" s="121"/>
      <c r="K85" s="118"/>
      <c r="L85" s="121"/>
      <c r="M85" s="121"/>
      <c r="N85" s="121"/>
      <c r="O85" s="118"/>
      <c r="P85" s="172"/>
      <c r="Q85" s="37"/>
      <c r="R85" s="155"/>
      <c r="S85" s="1"/>
      <c r="T85" s="1"/>
      <c r="U85" s="1"/>
      <c r="V85" s="118"/>
      <c r="W85" s="57"/>
      <c r="X85" s="390"/>
      <c r="Y85" s="37"/>
      <c r="Z85" s="118"/>
      <c r="AA85" s="1"/>
      <c r="AB85" s="1"/>
      <c r="AC85" s="1"/>
      <c r="AD85" s="1"/>
      <c r="AE85" s="118"/>
      <c r="AF85" s="1"/>
      <c r="AG85" s="118"/>
      <c r="AH85" s="118"/>
      <c r="AI85" s="118"/>
      <c r="AJ85" s="37"/>
      <c r="AK85" s="38"/>
      <c r="AL85" s="176"/>
    </row>
    <row r="86" spans="1:38" x14ac:dyDescent="0.25">
      <c r="A86" s="382">
        <v>138</v>
      </c>
      <c r="B86" s="131"/>
      <c r="C86" s="135"/>
      <c r="D86" s="121"/>
      <c r="E86" s="118"/>
      <c r="F86" s="118"/>
      <c r="G86" s="121"/>
      <c r="H86" s="1"/>
      <c r="I86" s="37"/>
      <c r="J86" s="121"/>
      <c r="K86" s="121"/>
      <c r="L86" s="121"/>
      <c r="M86" s="121"/>
      <c r="N86" s="121"/>
      <c r="O86" s="390"/>
      <c r="P86" s="391"/>
      <c r="Q86" s="37"/>
      <c r="R86" s="391"/>
      <c r="S86" s="390"/>
      <c r="T86" s="390"/>
      <c r="U86" s="390"/>
      <c r="V86" s="390"/>
      <c r="W86" s="390"/>
      <c r="X86" s="390"/>
      <c r="Y86" s="111"/>
      <c r="Z86" s="205"/>
      <c r="AA86" s="135"/>
      <c r="AB86" s="135"/>
      <c r="AC86" s="135"/>
      <c r="AD86" s="135"/>
      <c r="AE86" s="387"/>
      <c r="AF86" s="135"/>
      <c r="AG86" s="135"/>
      <c r="AH86" s="135"/>
      <c r="AI86" s="135"/>
      <c r="AJ86" s="37"/>
      <c r="AK86" s="38"/>
      <c r="AL86" s="176"/>
    </row>
    <row r="87" spans="1:38" x14ac:dyDescent="0.25">
      <c r="A87" s="382">
        <v>139</v>
      </c>
      <c r="B87" s="131"/>
      <c r="C87" s="135"/>
      <c r="D87" s="155"/>
      <c r="E87" s="118"/>
      <c r="F87" s="118"/>
      <c r="G87" s="121"/>
      <c r="H87" s="118"/>
      <c r="I87" s="37"/>
      <c r="J87" s="118"/>
      <c r="K87" s="118"/>
      <c r="L87" s="121"/>
      <c r="M87" s="121"/>
      <c r="N87" s="121"/>
      <c r="O87" s="118"/>
      <c r="P87" s="172"/>
      <c r="Q87" s="37"/>
      <c r="R87" s="131"/>
      <c r="S87" s="118"/>
      <c r="T87" s="118"/>
      <c r="U87" s="1"/>
      <c r="V87" s="118"/>
      <c r="W87" s="57"/>
      <c r="X87" s="57"/>
      <c r="Y87" s="37"/>
      <c r="Z87" s="118"/>
      <c r="AA87" s="118"/>
      <c r="AB87" s="1"/>
      <c r="AC87" s="1"/>
      <c r="AD87" s="1"/>
      <c r="AE87" s="118"/>
      <c r="AF87" s="1"/>
      <c r="AG87" s="118"/>
      <c r="AH87" s="118"/>
      <c r="AI87" s="118"/>
      <c r="AJ87" s="37"/>
      <c r="AK87" s="38"/>
      <c r="AL87" s="176"/>
    </row>
    <row r="88" spans="1:38" x14ac:dyDescent="0.25">
      <c r="A88" s="382">
        <v>140</v>
      </c>
      <c r="B88" s="155"/>
      <c r="C88" s="131"/>
      <c r="D88" s="121"/>
      <c r="E88" s="118"/>
      <c r="F88" s="121"/>
      <c r="G88" s="121"/>
      <c r="H88" s="118"/>
      <c r="I88" s="37"/>
      <c r="J88" s="118"/>
      <c r="K88" s="118"/>
      <c r="L88" s="118"/>
      <c r="M88" s="118"/>
      <c r="N88" s="118"/>
      <c r="O88" s="118"/>
      <c r="P88" s="172"/>
      <c r="Q88" s="37"/>
      <c r="R88" s="131"/>
      <c r="S88" s="118"/>
      <c r="T88" s="118"/>
      <c r="U88" s="1"/>
      <c r="V88" s="1"/>
      <c r="W88" s="57"/>
      <c r="X88" s="57"/>
      <c r="Y88" s="37"/>
      <c r="Z88" s="118"/>
      <c r="AA88" s="118"/>
      <c r="AB88" s="1"/>
      <c r="AC88" s="1"/>
      <c r="AD88" s="1"/>
      <c r="AE88" s="118"/>
      <c r="AF88" s="1"/>
      <c r="AG88" s="118"/>
      <c r="AH88" s="118"/>
      <c r="AI88" s="118"/>
      <c r="AJ88" s="37"/>
      <c r="AK88" s="38"/>
      <c r="AL88" s="172"/>
    </row>
    <row r="89" spans="1:38" x14ac:dyDescent="0.25">
      <c r="A89" s="382">
        <v>141</v>
      </c>
      <c r="B89" s="155"/>
      <c r="C89" s="392"/>
      <c r="D89" s="155"/>
      <c r="E89" s="121"/>
      <c r="F89" s="121"/>
      <c r="G89" s="121"/>
      <c r="H89" s="121"/>
      <c r="I89" s="37"/>
      <c r="J89" s="121"/>
      <c r="K89" s="121"/>
      <c r="L89" s="121"/>
      <c r="M89" s="121"/>
      <c r="N89" s="121"/>
      <c r="O89" s="121"/>
      <c r="P89" s="172"/>
      <c r="Q89" s="37"/>
      <c r="R89" s="131"/>
      <c r="S89" s="118"/>
      <c r="T89" s="118"/>
      <c r="U89" s="1"/>
      <c r="V89" s="1"/>
      <c r="W89" s="57"/>
      <c r="X89" s="57"/>
      <c r="Y89" s="37"/>
      <c r="Z89" s="1"/>
      <c r="AA89" s="118"/>
      <c r="AB89" s="1"/>
      <c r="AC89" s="1"/>
      <c r="AD89" s="1"/>
      <c r="AE89" s="118"/>
      <c r="AF89" s="118"/>
      <c r="AG89" s="118"/>
      <c r="AH89" s="118"/>
      <c r="AI89" s="118"/>
      <c r="AJ89" s="37"/>
      <c r="AK89" s="38"/>
      <c r="AL89" s="176"/>
    </row>
    <row r="90" spans="1:38" x14ac:dyDescent="0.25">
      <c r="A90" s="382">
        <v>142</v>
      </c>
      <c r="B90" s="131"/>
      <c r="C90" s="131"/>
      <c r="D90" s="121"/>
      <c r="E90" s="118"/>
      <c r="F90" s="118"/>
      <c r="G90" s="121"/>
      <c r="H90" s="1"/>
      <c r="I90" s="37"/>
      <c r="J90" s="121"/>
      <c r="K90" s="118"/>
      <c r="L90" s="118"/>
      <c r="M90" s="121"/>
      <c r="N90" s="118"/>
      <c r="O90" s="118"/>
      <c r="P90" s="172"/>
      <c r="Q90" s="37"/>
      <c r="R90" s="131"/>
      <c r="S90" s="118"/>
      <c r="T90" s="118"/>
      <c r="U90" s="1"/>
      <c r="V90" s="118"/>
      <c r="W90" s="57"/>
      <c r="X90" s="57"/>
      <c r="Y90" s="37"/>
      <c r="Z90" s="118"/>
      <c r="AA90" s="118"/>
      <c r="AB90" s="1"/>
      <c r="AC90" s="1"/>
      <c r="AD90" s="1"/>
      <c r="AE90" s="118"/>
      <c r="AF90" s="118"/>
      <c r="AG90" s="118"/>
      <c r="AH90" s="118"/>
      <c r="AI90" s="118"/>
      <c r="AJ90" s="37"/>
      <c r="AK90" s="38"/>
      <c r="AL90" s="154"/>
    </row>
    <row r="91" spans="1:38" x14ac:dyDescent="0.25">
      <c r="A91" s="382">
        <v>143</v>
      </c>
      <c r="B91" s="155"/>
      <c r="C91" s="155"/>
      <c r="D91" s="121"/>
      <c r="E91" s="121"/>
      <c r="F91" s="121"/>
      <c r="G91" s="121"/>
      <c r="H91" s="118"/>
      <c r="I91" s="37"/>
      <c r="J91" s="121"/>
      <c r="K91" s="121"/>
      <c r="L91" s="121"/>
      <c r="M91" s="121"/>
      <c r="N91" s="121"/>
      <c r="O91" s="121"/>
      <c r="P91" s="205"/>
      <c r="Q91" s="37"/>
      <c r="R91" s="131"/>
      <c r="S91" s="118"/>
      <c r="T91" s="118"/>
      <c r="U91" s="1"/>
      <c r="V91" s="1"/>
      <c r="W91" s="57"/>
      <c r="X91" s="57"/>
      <c r="Y91" s="37"/>
      <c r="Z91" s="118"/>
      <c r="AA91" s="118"/>
      <c r="AB91" s="1"/>
      <c r="AC91" s="1"/>
      <c r="AD91" s="1"/>
      <c r="AE91" s="118"/>
      <c r="AF91" s="118"/>
      <c r="AG91" s="118"/>
      <c r="AH91" s="118"/>
      <c r="AI91" s="118"/>
      <c r="AJ91" s="37"/>
      <c r="AK91" s="38"/>
      <c r="AL91" s="154"/>
    </row>
    <row r="92" spans="1:38" x14ac:dyDescent="0.25">
      <c r="A92" s="382">
        <v>144</v>
      </c>
      <c r="B92" s="12"/>
      <c r="C92" s="389"/>
      <c r="D92" s="121"/>
      <c r="E92" s="121"/>
      <c r="F92" s="118"/>
      <c r="G92" s="121"/>
      <c r="H92" s="121"/>
      <c r="I92" s="37"/>
      <c r="J92" s="121"/>
      <c r="K92" s="118"/>
      <c r="L92" s="121"/>
      <c r="M92" s="121"/>
      <c r="N92" s="121"/>
      <c r="O92" s="120"/>
      <c r="P92" s="172"/>
      <c r="Q92" s="37"/>
      <c r="R92" s="131"/>
      <c r="S92" s="118"/>
      <c r="T92" s="118"/>
      <c r="U92" s="1"/>
      <c r="V92" s="118"/>
      <c r="W92" s="57"/>
      <c r="X92" s="57"/>
      <c r="Y92" s="37"/>
      <c r="Z92" s="1"/>
      <c r="AA92" s="118"/>
      <c r="AB92" s="1"/>
      <c r="AC92" s="1"/>
      <c r="AD92" s="1"/>
      <c r="AE92" s="118"/>
      <c r="AF92" s="118"/>
      <c r="AG92" s="118"/>
      <c r="AH92" s="118"/>
      <c r="AI92" s="118"/>
      <c r="AJ92" s="37"/>
      <c r="AK92" s="38"/>
      <c r="AL92" s="176"/>
    </row>
    <row r="93" spans="1:38" x14ac:dyDescent="0.25">
      <c r="A93" s="382">
        <v>145</v>
      </c>
      <c r="B93" s="389"/>
      <c r="C93" s="155"/>
      <c r="D93" s="121"/>
      <c r="E93" s="121"/>
      <c r="F93" s="118"/>
      <c r="G93" s="121"/>
      <c r="H93" s="121"/>
      <c r="I93" s="37"/>
      <c r="J93" s="121"/>
      <c r="K93" s="121"/>
      <c r="L93" s="121"/>
      <c r="M93" s="121"/>
      <c r="N93" s="121"/>
      <c r="O93" s="121"/>
      <c r="P93" s="172"/>
      <c r="Q93" s="37"/>
      <c r="R93" s="131"/>
      <c r="S93" s="118"/>
      <c r="T93" s="118"/>
      <c r="U93" s="1"/>
      <c r="V93" s="161"/>
      <c r="W93" s="57"/>
      <c r="X93" s="57"/>
      <c r="Y93" s="37"/>
      <c r="Z93" s="118"/>
      <c r="AA93" s="1"/>
      <c r="AB93" s="1"/>
      <c r="AC93" s="1"/>
      <c r="AD93" s="1"/>
      <c r="AE93" s="118"/>
      <c r="AF93" s="118"/>
      <c r="AG93" s="118"/>
      <c r="AH93" s="118"/>
      <c r="AI93" s="118"/>
      <c r="AJ93" s="37"/>
      <c r="AK93" s="38"/>
      <c r="AL93" s="197"/>
    </row>
    <row r="94" spans="1:38" x14ac:dyDescent="0.25">
      <c r="A94" s="382">
        <v>147</v>
      </c>
      <c r="B94" s="121"/>
      <c r="C94" s="121"/>
      <c r="D94" s="121"/>
      <c r="E94" s="389"/>
      <c r="F94" s="121"/>
      <c r="G94" s="121"/>
      <c r="H94" s="121"/>
      <c r="I94" s="37"/>
      <c r="J94" s="121"/>
      <c r="K94" s="121"/>
      <c r="L94" s="121"/>
      <c r="M94" s="121"/>
      <c r="N94" s="121"/>
      <c r="O94" s="390"/>
      <c r="P94" s="391"/>
      <c r="Q94" s="37"/>
      <c r="R94" s="172"/>
      <c r="S94" s="118"/>
      <c r="T94" s="118"/>
      <c r="U94" s="1"/>
      <c r="V94" s="118"/>
      <c r="W94" s="57"/>
      <c r="X94" s="57"/>
      <c r="Y94" s="37"/>
      <c r="Z94" s="118"/>
      <c r="AA94" s="118"/>
      <c r="AB94" s="1"/>
      <c r="AC94" s="1"/>
      <c r="AD94" s="1"/>
      <c r="AE94" s="1"/>
      <c r="AF94" s="118"/>
      <c r="AG94" s="118"/>
      <c r="AH94" s="118"/>
      <c r="AI94" s="118"/>
      <c r="AJ94" s="37"/>
      <c r="AK94" s="38"/>
      <c r="AL94" s="197"/>
    </row>
    <row r="95" spans="1:38" x14ac:dyDescent="0.25">
      <c r="A95" s="382">
        <v>148</v>
      </c>
      <c r="B95" s="135"/>
      <c r="C95" s="131"/>
      <c r="D95" s="131"/>
      <c r="E95" s="121"/>
      <c r="F95" s="121"/>
      <c r="G95" s="121"/>
      <c r="H95" s="121"/>
      <c r="I95" s="37"/>
      <c r="J95" s="121"/>
      <c r="K95" s="121"/>
      <c r="L95" s="121"/>
      <c r="M95" s="390"/>
      <c r="N95" s="121"/>
      <c r="O95" s="121"/>
      <c r="P95" s="172"/>
      <c r="Q95" s="37"/>
      <c r="R95" s="131"/>
      <c r="S95" s="118"/>
      <c r="T95" s="118"/>
      <c r="U95" s="1"/>
      <c r="V95" s="118"/>
      <c r="W95" s="57"/>
      <c r="X95" s="57"/>
      <c r="Y95" s="37"/>
      <c r="Z95" s="118"/>
      <c r="AA95" s="118"/>
      <c r="AB95" s="1"/>
      <c r="AC95" s="1"/>
      <c r="AD95" s="1"/>
      <c r="AE95" s="118"/>
      <c r="AF95" s="118"/>
      <c r="AG95" s="118"/>
      <c r="AH95" s="118"/>
      <c r="AI95" s="118"/>
      <c r="AJ95" s="37"/>
      <c r="AK95" s="38"/>
      <c r="AL95" s="197"/>
    </row>
    <row r="96" spans="1:38" x14ac:dyDescent="0.25">
      <c r="A96" s="382">
        <v>149</v>
      </c>
      <c r="B96" s="155"/>
      <c r="C96" s="121"/>
      <c r="D96" s="121"/>
      <c r="E96" s="121"/>
      <c r="F96" s="1"/>
      <c r="G96" s="121"/>
      <c r="H96" s="121"/>
      <c r="I96" s="37"/>
      <c r="J96" s="121"/>
      <c r="K96" s="121"/>
      <c r="L96" s="121"/>
      <c r="M96" s="121"/>
      <c r="N96" s="121"/>
      <c r="O96" s="121"/>
      <c r="P96" s="172"/>
      <c r="Q96" s="37"/>
      <c r="R96" s="131"/>
      <c r="S96" s="1"/>
      <c r="T96" s="118"/>
      <c r="U96" s="1"/>
      <c r="V96" s="118"/>
      <c r="W96" s="57"/>
      <c r="X96" s="57"/>
      <c r="Y96" s="37"/>
      <c r="Z96" s="118"/>
      <c r="AA96" s="118"/>
      <c r="AB96" s="1"/>
      <c r="AC96" s="1"/>
      <c r="AD96" s="1"/>
      <c r="AE96" s="118"/>
      <c r="AF96" s="118"/>
      <c r="AG96" s="118"/>
      <c r="AH96" s="118"/>
      <c r="AI96" s="118"/>
      <c r="AJ96" s="37"/>
      <c r="AK96" s="38"/>
      <c r="AL96" s="197"/>
    </row>
    <row r="97" spans="1:38" x14ac:dyDescent="0.25">
      <c r="A97" s="382">
        <v>150</v>
      </c>
      <c r="B97" s="131"/>
      <c r="C97" s="135"/>
      <c r="D97" s="121"/>
      <c r="E97" s="121"/>
      <c r="F97" s="121"/>
      <c r="G97" s="121"/>
      <c r="H97" s="121"/>
      <c r="I97" s="37"/>
      <c r="J97" s="121"/>
      <c r="K97" s="121"/>
      <c r="L97" s="121"/>
      <c r="M97" s="118"/>
      <c r="N97" s="121"/>
      <c r="O97" s="121"/>
      <c r="P97" s="172"/>
      <c r="Q97" s="37"/>
      <c r="R97" s="131"/>
      <c r="S97" s="118"/>
      <c r="T97" s="118"/>
      <c r="U97" s="1"/>
      <c r="V97" s="118"/>
      <c r="W97" s="57"/>
      <c r="X97" s="57"/>
      <c r="Y97" s="37"/>
      <c r="Z97" s="118"/>
      <c r="AA97" s="118"/>
      <c r="AB97" s="1"/>
      <c r="AC97" s="1"/>
      <c r="AD97" s="387"/>
      <c r="AE97" s="193"/>
      <c r="AF97" s="118"/>
      <c r="AG97" s="118"/>
      <c r="AH97" s="118"/>
      <c r="AI97" s="118"/>
      <c r="AJ97" s="37"/>
      <c r="AK97" s="38"/>
      <c r="AL97" s="197"/>
    </row>
    <row r="98" spans="1:38" x14ac:dyDescent="0.25">
      <c r="A98" s="382">
        <v>151</v>
      </c>
      <c r="B98" s="135"/>
      <c r="C98" s="155"/>
      <c r="D98" s="121"/>
      <c r="E98" s="121"/>
      <c r="F98" s="121"/>
      <c r="G98" s="121"/>
      <c r="H98" s="121"/>
      <c r="I98" s="37"/>
      <c r="J98" s="121"/>
      <c r="K98" s="386"/>
      <c r="L98" s="121"/>
      <c r="M98" s="121"/>
      <c r="N98" s="121"/>
      <c r="O98" s="121"/>
      <c r="P98" s="172"/>
      <c r="Q98" s="37"/>
      <c r="R98" s="391"/>
      <c r="S98" s="155"/>
      <c r="T98" s="1"/>
      <c r="U98" s="1"/>
      <c r="V98" s="118"/>
      <c r="W98" s="57"/>
      <c r="X98" s="57"/>
      <c r="Y98" s="37"/>
      <c r="Z98" s="1"/>
      <c r="AA98" s="118"/>
      <c r="AB98" s="1"/>
      <c r="AC98" s="1"/>
      <c r="AD98" s="1"/>
      <c r="AE98" s="1"/>
      <c r="AF98" s="118"/>
      <c r="AG98" s="118"/>
      <c r="AH98" s="118"/>
      <c r="AI98" s="118"/>
      <c r="AJ98" s="37"/>
      <c r="AK98" s="38"/>
      <c r="AL98" s="197"/>
    </row>
    <row r="99" spans="1:38" x14ac:dyDescent="0.25">
      <c r="A99" s="382">
        <v>152</v>
      </c>
      <c r="B99" s="389"/>
      <c r="C99" s="389"/>
      <c r="D99" s="389"/>
      <c r="E99" s="389"/>
      <c r="F99" s="389"/>
      <c r="G99" s="389"/>
      <c r="H99" s="389"/>
      <c r="I99" s="111"/>
      <c r="J99" s="390"/>
      <c r="K99" s="386"/>
      <c r="L99" s="390"/>
      <c r="M99" s="390"/>
      <c r="N99" s="390"/>
      <c r="O99" s="390"/>
      <c r="P99" s="391"/>
      <c r="Q99" s="111"/>
      <c r="R99" s="391"/>
      <c r="S99" s="390"/>
      <c r="T99" s="390"/>
      <c r="U99" s="390"/>
      <c r="V99" s="389"/>
      <c r="W99" s="387"/>
      <c r="X99" s="387"/>
      <c r="Y99" s="111"/>
      <c r="Z99" s="387"/>
      <c r="AA99" s="387"/>
      <c r="AB99" s="387"/>
      <c r="AC99" s="387"/>
      <c r="AD99" s="387"/>
      <c r="AE99" s="387"/>
      <c r="AF99" s="387"/>
      <c r="AG99" s="387"/>
      <c r="AH99" s="387"/>
      <c r="AI99" s="387"/>
      <c r="AJ99" s="111"/>
      <c r="AK99" s="38"/>
      <c r="AL99" s="197"/>
    </row>
    <row r="100" spans="1:38" x14ac:dyDescent="0.25">
      <c r="A100" s="382">
        <v>153</v>
      </c>
      <c r="B100" s="12"/>
      <c r="C100" s="135"/>
      <c r="D100" s="131"/>
      <c r="E100" s="1"/>
      <c r="F100" s="118"/>
      <c r="G100" s="121"/>
      <c r="H100" s="1"/>
      <c r="I100" s="37"/>
      <c r="J100" s="1"/>
      <c r="K100" s="1"/>
      <c r="L100" s="121"/>
      <c r="M100" s="118"/>
      <c r="N100" s="118"/>
      <c r="O100" s="121"/>
      <c r="P100" s="172"/>
      <c r="Q100" s="37"/>
      <c r="R100" s="131"/>
      <c r="S100" s="118"/>
      <c r="T100" s="118"/>
      <c r="U100" s="1"/>
      <c r="V100" s="118"/>
      <c r="W100" s="57"/>
      <c r="X100" s="57"/>
      <c r="Y100" s="37"/>
      <c r="Z100" s="118"/>
      <c r="AA100" s="118"/>
      <c r="AB100" s="1"/>
      <c r="AC100" s="1"/>
      <c r="AD100" s="1"/>
      <c r="AE100" s="118"/>
      <c r="AF100" s="118"/>
      <c r="AG100" s="118"/>
      <c r="AH100" s="118"/>
      <c r="AI100" s="118"/>
      <c r="AJ100" s="37"/>
      <c r="AK100" s="38"/>
      <c r="AL100" s="197"/>
    </row>
    <row r="101" spans="1:38" x14ac:dyDescent="0.25">
      <c r="A101" s="382">
        <v>154</v>
      </c>
      <c r="B101" s="131"/>
      <c r="C101" s="389"/>
      <c r="D101" s="121"/>
      <c r="E101" s="121"/>
      <c r="F101" s="121"/>
      <c r="G101" s="121"/>
      <c r="H101" s="121"/>
      <c r="I101" s="37"/>
      <c r="J101" s="121"/>
      <c r="K101" s="121"/>
      <c r="L101" s="121"/>
      <c r="M101" s="121"/>
      <c r="N101" s="121"/>
      <c r="O101" s="121"/>
      <c r="P101" s="172"/>
      <c r="Q101" s="37"/>
      <c r="R101" s="131"/>
      <c r="S101" s="118"/>
      <c r="T101" s="118"/>
      <c r="U101" s="1"/>
      <c r="V101" s="118"/>
      <c r="W101" s="57"/>
      <c r="X101" s="57"/>
      <c r="Y101" s="37"/>
      <c r="Z101" s="118"/>
      <c r="AA101" s="118"/>
      <c r="AB101" s="1"/>
      <c r="AC101" s="1"/>
      <c r="AD101" s="1"/>
      <c r="AE101" s="118"/>
      <c r="AF101" s="118"/>
      <c r="AG101" s="118"/>
      <c r="AH101" s="118"/>
      <c r="AI101" s="118"/>
      <c r="AJ101" s="37"/>
      <c r="AK101" s="38"/>
      <c r="AL101" s="197"/>
    </row>
    <row r="102" spans="1:38" x14ac:dyDescent="0.25">
      <c r="A102" s="382">
        <v>155</v>
      </c>
      <c r="B102" s="131"/>
      <c r="C102" s="131"/>
      <c r="D102" s="121"/>
      <c r="E102" s="389"/>
      <c r="F102" s="121"/>
      <c r="G102" s="121"/>
      <c r="H102" s="121"/>
      <c r="I102" s="37"/>
      <c r="J102" s="121"/>
      <c r="K102" s="121"/>
      <c r="L102" s="121"/>
      <c r="M102" s="121"/>
      <c r="N102" s="121"/>
      <c r="O102" s="121"/>
      <c r="P102" s="172"/>
      <c r="Q102" s="37"/>
      <c r="R102" s="12"/>
      <c r="S102" s="118"/>
      <c r="T102" s="118"/>
      <c r="U102" s="1"/>
      <c r="V102" s="118"/>
      <c r="W102" s="57"/>
      <c r="X102" s="57"/>
      <c r="Y102" s="37"/>
      <c r="Z102" s="118"/>
      <c r="AA102" s="118"/>
      <c r="AB102" s="1"/>
      <c r="AC102" s="1"/>
      <c r="AD102" s="1"/>
      <c r="AE102" s="118"/>
      <c r="AF102" s="1"/>
      <c r="AG102" s="118"/>
      <c r="AH102" s="118"/>
      <c r="AI102" s="118"/>
      <c r="AJ102" s="37"/>
      <c r="AK102" s="38"/>
      <c r="AL102" s="197"/>
    </row>
    <row r="103" spans="1:38" x14ac:dyDescent="0.25">
      <c r="A103" s="382">
        <v>156</v>
      </c>
      <c r="B103" s="131"/>
      <c r="C103" s="121"/>
      <c r="D103" s="388"/>
      <c r="E103" s="118"/>
      <c r="F103" s="118"/>
      <c r="G103" s="121"/>
      <c r="H103" s="121"/>
      <c r="I103" s="37"/>
      <c r="J103" s="121"/>
      <c r="K103" s="121"/>
      <c r="L103" s="121"/>
      <c r="M103" s="121"/>
      <c r="N103" s="121"/>
      <c r="O103" s="121"/>
      <c r="P103" s="172"/>
      <c r="Q103" s="37"/>
      <c r="R103" s="155"/>
      <c r="S103" s="118"/>
      <c r="T103" s="1"/>
      <c r="U103" s="1"/>
      <c r="V103" s="118"/>
      <c r="W103" s="57"/>
      <c r="X103" s="57"/>
      <c r="Y103" s="37"/>
      <c r="Z103" s="118"/>
      <c r="AA103" s="118"/>
      <c r="AB103" s="1"/>
      <c r="AC103" s="1"/>
      <c r="AD103" s="1"/>
      <c r="AE103" s="118"/>
      <c r="AF103" s="118"/>
      <c r="AG103" s="118"/>
      <c r="AH103" s="118"/>
      <c r="AI103" s="118"/>
      <c r="AJ103" s="37"/>
      <c r="AK103" s="38"/>
      <c r="AL103" s="197"/>
    </row>
    <row r="104" spans="1:38" x14ac:dyDescent="0.25">
      <c r="A104" s="382">
        <v>157</v>
      </c>
      <c r="B104" s="131"/>
      <c r="C104" s="155"/>
      <c r="D104" s="131"/>
      <c r="E104" s="121"/>
      <c r="F104" s="118"/>
      <c r="G104" s="121"/>
      <c r="H104" s="1"/>
      <c r="I104" s="37"/>
      <c r="J104" s="118"/>
      <c r="K104" s="121"/>
      <c r="L104" s="118"/>
      <c r="M104" s="121"/>
      <c r="N104" s="118"/>
      <c r="O104" s="1"/>
      <c r="P104" s="172"/>
      <c r="Q104" s="37"/>
      <c r="R104" s="155"/>
      <c r="S104" s="118"/>
      <c r="T104" s="118"/>
      <c r="U104" s="390"/>
      <c r="V104" s="118"/>
      <c r="W104" s="57"/>
      <c r="X104" s="57"/>
      <c r="Y104" s="37"/>
      <c r="Z104" s="118"/>
      <c r="AA104" s="118"/>
      <c r="AB104" s="1"/>
      <c r="AC104" s="1"/>
      <c r="AD104" s="1"/>
      <c r="AE104" s="118"/>
      <c r="AF104" s="1"/>
      <c r="AG104" s="118"/>
      <c r="AH104" s="118"/>
      <c r="AI104" s="118"/>
      <c r="AJ104" s="37"/>
      <c r="AK104" s="38"/>
      <c r="AL104" s="197"/>
    </row>
    <row r="105" spans="1:38" x14ac:dyDescent="0.25">
      <c r="A105" s="382">
        <v>158</v>
      </c>
      <c r="B105" s="389"/>
      <c r="C105" s="392"/>
      <c r="D105" s="155"/>
      <c r="E105" s="1"/>
      <c r="F105" s="118"/>
      <c r="G105" s="121"/>
      <c r="H105" s="121"/>
      <c r="I105" s="37"/>
      <c r="J105" s="121"/>
      <c r="K105" s="121"/>
      <c r="L105" s="121"/>
      <c r="M105" s="121"/>
      <c r="N105" s="121"/>
      <c r="O105" s="120"/>
      <c r="P105" s="172"/>
      <c r="Q105" s="37"/>
      <c r="R105" s="131"/>
      <c r="S105" s="1"/>
      <c r="T105" s="118"/>
      <c r="U105" s="1"/>
      <c r="V105" s="118"/>
      <c r="W105" s="57"/>
      <c r="X105" s="57"/>
      <c r="Y105" s="37"/>
      <c r="Z105" s="118"/>
      <c r="AA105" s="387"/>
      <c r="AB105" s="1"/>
      <c r="AC105" s="1"/>
      <c r="AD105" s="1"/>
      <c r="AE105" s="118"/>
      <c r="AF105" s="118"/>
      <c r="AG105" s="118"/>
      <c r="AH105" s="118"/>
      <c r="AI105" s="118"/>
      <c r="AJ105" s="37"/>
      <c r="AK105" s="38"/>
      <c r="AL105" s="197"/>
    </row>
    <row r="106" spans="1:38" x14ac:dyDescent="0.25">
      <c r="A106" s="382">
        <v>159</v>
      </c>
      <c r="B106" s="131"/>
      <c r="C106" s="179"/>
      <c r="D106" s="121"/>
      <c r="E106" s="121"/>
      <c r="F106" s="118"/>
      <c r="G106" s="1"/>
      <c r="H106" s="121"/>
      <c r="I106" s="37"/>
      <c r="J106" s="121"/>
      <c r="K106" s="121"/>
      <c r="L106" s="121"/>
      <c r="M106" s="120"/>
      <c r="N106" s="121"/>
      <c r="O106" s="1"/>
      <c r="P106" s="172"/>
      <c r="Q106" s="37"/>
      <c r="R106" s="155"/>
      <c r="S106" s="1"/>
      <c r="T106" s="118"/>
      <c r="U106" s="1"/>
      <c r="V106" s="118"/>
      <c r="W106" s="57"/>
      <c r="X106" s="57"/>
      <c r="Y106" s="37"/>
      <c r="Z106" s="1"/>
      <c r="AA106" s="118"/>
      <c r="AB106" s="1"/>
      <c r="AC106" s="1"/>
      <c r="AD106" s="1"/>
      <c r="AE106" s="118"/>
      <c r="AF106" s="118"/>
      <c r="AG106" s="118"/>
      <c r="AH106" s="118"/>
      <c r="AI106" s="118"/>
      <c r="AJ106" s="37"/>
      <c r="AK106" s="38"/>
      <c r="AL106" s="197"/>
    </row>
    <row r="107" spans="1:38" x14ac:dyDescent="0.25">
      <c r="A107" s="382">
        <v>161</v>
      </c>
      <c r="B107" s="389"/>
      <c r="C107" s="389"/>
      <c r="D107" s="392"/>
      <c r="E107" s="389"/>
      <c r="F107" s="389"/>
      <c r="G107" s="389"/>
      <c r="H107" s="389"/>
      <c r="I107" s="111"/>
      <c r="J107" s="390"/>
      <c r="K107" s="121"/>
      <c r="L107" s="121"/>
      <c r="M107" s="121"/>
      <c r="N107" s="121"/>
      <c r="O107" s="121"/>
      <c r="P107" s="172"/>
      <c r="Q107" s="37"/>
      <c r="R107" s="131"/>
      <c r="S107" s="118"/>
      <c r="T107" s="118"/>
      <c r="U107" s="1"/>
      <c r="V107" s="118"/>
      <c r="W107" s="57"/>
      <c r="X107" s="57"/>
      <c r="Y107" s="37"/>
      <c r="Z107" s="118"/>
      <c r="AA107" s="118"/>
      <c r="AB107" s="1"/>
      <c r="AC107" s="1"/>
      <c r="AD107" s="1"/>
      <c r="AE107" s="118"/>
      <c r="AF107" s="118"/>
      <c r="AG107" s="118"/>
      <c r="AH107" s="118"/>
      <c r="AI107" s="118"/>
      <c r="AJ107" s="37"/>
      <c r="AK107" s="38"/>
      <c r="AL107" s="197"/>
    </row>
    <row r="108" spans="1:38" x14ac:dyDescent="0.25">
      <c r="A108" s="382">
        <v>162</v>
      </c>
      <c r="B108" s="131"/>
      <c r="C108" s="121"/>
      <c r="D108" s="121"/>
      <c r="E108" s="1"/>
      <c r="F108" s="118"/>
      <c r="G108" s="1"/>
      <c r="H108" s="121"/>
      <c r="I108" s="37"/>
      <c r="J108" s="121"/>
      <c r="K108" s="1"/>
      <c r="L108" s="121"/>
      <c r="M108" s="121"/>
      <c r="N108" s="121"/>
      <c r="O108" s="1"/>
      <c r="P108" s="172"/>
      <c r="Q108" s="37"/>
      <c r="R108" s="131"/>
      <c r="S108" s="118"/>
      <c r="T108" s="118"/>
      <c r="U108" s="1"/>
      <c r="V108" s="118"/>
      <c r="W108" s="57"/>
      <c r="X108" s="57"/>
      <c r="Y108" s="37"/>
      <c r="Z108" s="118"/>
      <c r="AA108" s="118"/>
      <c r="AB108" s="1"/>
      <c r="AC108" s="1"/>
      <c r="AD108" s="1"/>
      <c r="AE108" s="118"/>
      <c r="AF108" s="118"/>
      <c r="AG108" s="118"/>
      <c r="AH108" s="118"/>
      <c r="AI108" s="118"/>
      <c r="AJ108" s="37"/>
      <c r="AK108" s="38"/>
      <c r="AL108" s="197"/>
    </row>
    <row r="109" spans="1:38" x14ac:dyDescent="0.25">
      <c r="A109" s="382">
        <v>163</v>
      </c>
      <c r="B109" s="155"/>
      <c r="C109" s="155"/>
      <c r="D109" s="121"/>
      <c r="E109" s="121"/>
      <c r="F109" s="121"/>
      <c r="G109" s="121"/>
      <c r="H109" s="121"/>
      <c r="I109" s="37"/>
      <c r="J109" s="121"/>
      <c r="K109" s="121"/>
      <c r="L109" s="390"/>
      <c r="M109" s="390"/>
      <c r="N109" s="390"/>
      <c r="O109" s="390"/>
      <c r="P109" s="390"/>
      <c r="Q109" s="37"/>
      <c r="R109" s="205"/>
      <c r="S109" s="118"/>
      <c r="T109" s="118"/>
      <c r="U109" s="1"/>
      <c r="V109" s="118"/>
      <c r="W109" s="57"/>
      <c r="X109" s="57"/>
      <c r="Y109" s="37"/>
      <c r="Z109" s="118"/>
      <c r="AA109" s="118"/>
      <c r="AB109" s="1"/>
      <c r="AC109" s="1"/>
      <c r="AD109" s="1"/>
      <c r="AE109" s="118"/>
      <c r="AF109" s="118"/>
      <c r="AG109" s="118"/>
      <c r="AH109" s="118"/>
      <c r="AI109" s="118"/>
      <c r="AJ109" s="37"/>
      <c r="AK109" s="38"/>
      <c r="AL109" s="197"/>
    </row>
    <row r="110" spans="1:38" x14ac:dyDescent="0.25">
      <c r="A110" s="382">
        <v>164</v>
      </c>
      <c r="B110" s="131"/>
      <c r="C110" s="121"/>
      <c r="D110" s="390"/>
      <c r="E110" s="118"/>
      <c r="F110" s="121"/>
      <c r="G110" s="121"/>
      <c r="H110" s="1"/>
      <c r="I110" s="37"/>
      <c r="J110" s="121"/>
      <c r="K110" s="121"/>
      <c r="L110" s="121"/>
      <c r="M110" s="121"/>
      <c r="N110" s="121"/>
      <c r="O110" s="121"/>
      <c r="P110" s="172"/>
      <c r="Q110" s="37"/>
      <c r="R110" s="131"/>
      <c r="S110" s="118"/>
      <c r="T110" s="118"/>
      <c r="U110" s="1"/>
      <c r="V110" s="118"/>
      <c r="W110" s="57"/>
      <c r="X110" s="57"/>
      <c r="Y110" s="37"/>
      <c r="Z110" s="118"/>
      <c r="AA110" s="118"/>
      <c r="AB110" s="1"/>
      <c r="AC110" s="1"/>
      <c r="AD110" s="1"/>
      <c r="AE110" s="118"/>
      <c r="AF110" s="118"/>
      <c r="AG110" s="118"/>
      <c r="AH110" s="118"/>
      <c r="AI110" s="118"/>
      <c r="AJ110" s="37"/>
      <c r="AK110" s="38"/>
      <c r="AL110" s="197"/>
    </row>
    <row r="111" spans="1:38" x14ac:dyDescent="0.25">
      <c r="A111" s="382">
        <v>165</v>
      </c>
      <c r="B111" s="155"/>
      <c r="C111" s="390"/>
      <c r="D111" s="121"/>
      <c r="E111" s="118"/>
      <c r="F111" s="121"/>
      <c r="G111" s="121"/>
      <c r="H111" s="121"/>
      <c r="I111" s="37"/>
      <c r="J111" s="390"/>
      <c r="K111" s="121"/>
      <c r="L111" s="121"/>
      <c r="M111" s="121"/>
      <c r="N111" s="121"/>
      <c r="O111" s="120"/>
      <c r="P111" s="172"/>
      <c r="Q111" s="37"/>
      <c r="R111" s="131"/>
      <c r="S111" s="118"/>
      <c r="T111" s="118"/>
      <c r="U111" s="1"/>
      <c r="V111" s="118"/>
      <c r="W111" s="57"/>
      <c r="X111" s="57"/>
      <c r="Y111" s="37"/>
      <c r="Z111" s="118"/>
      <c r="AA111" s="118"/>
      <c r="AB111" s="1"/>
      <c r="AC111" s="1"/>
      <c r="AD111" s="1"/>
      <c r="AE111" s="118"/>
      <c r="AF111" s="118"/>
      <c r="AG111" s="118"/>
      <c r="AH111" s="118"/>
      <c r="AI111" s="118"/>
      <c r="AJ111" s="37"/>
      <c r="AK111" s="38"/>
      <c r="AL111" s="197"/>
    </row>
    <row r="112" spans="1:38" x14ac:dyDescent="0.25">
      <c r="A112" s="382">
        <v>166</v>
      </c>
      <c r="B112" s="135"/>
      <c r="C112" s="135"/>
      <c r="D112" s="121"/>
      <c r="E112" s="121"/>
      <c r="F112" s="121"/>
      <c r="G112" s="1"/>
      <c r="H112" s="1"/>
      <c r="I112" s="37"/>
      <c r="J112" s="121"/>
      <c r="K112" s="1"/>
      <c r="L112" s="336"/>
      <c r="M112" s="121"/>
      <c r="N112" s="118"/>
      <c r="O112" s="120"/>
      <c r="P112" s="172"/>
      <c r="Q112" s="37"/>
      <c r="R112" s="131"/>
      <c r="S112" s="118"/>
      <c r="T112" s="118"/>
      <c r="U112" s="1"/>
      <c r="V112" s="118"/>
      <c r="W112" s="57"/>
      <c r="X112" s="57"/>
      <c r="Y112" s="37"/>
      <c r="Z112" s="118"/>
      <c r="AA112" s="118"/>
      <c r="AB112" s="1"/>
      <c r="AC112" s="1"/>
      <c r="AD112" s="1"/>
      <c r="AE112" s="118"/>
      <c r="AF112" s="1"/>
      <c r="AG112" s="118"/>
      <c r="AH112" s="118"/>
      <c r="AI112" s="118"/>
      <c r="AJ112" s="37"/>
      <c r="AK112" s="38"/>
      <c r="AL112" s="197"/>
    </row>
    <row r="113" spans="1:38" x14ac:dyDescent="0.25">
      <c r="A113" s="382">
        <v>167</v>
      </c>
      <c r="B113" s="155"/>
      <c r="C113" s="155"/>
      <c r="D113" s="121"/>
      <c r="E113" s="121"/>
      <c r="F113" s="390"/>
      <c r="G113" s="121"/>
      <c r="H113" s="121"/>
      <c r="I113" s="37"/>
      <c r="J113" s="121"/>
      <c r="K113" s="121"/>
      <c r="L113" s="121"/>
      <c r="M113" s="118"/>
      <c r="N113" s="120"/>
      <c r="O113" s="121"/>
      <c r="P113" s="172"/>
      <c r="Q113" s="37"/>
      <c r="R113" s="131"/>
      <c r="S113" s="118"/>
      <c r="T113" s="118"/>
      <c r="U113" s="1"/>
      <c r="V113" s="118"/>
      <c r="W113" s="57"/>
      <c r="X113" s="57"/>
      <c r="Y113" s="37"/>
      <c r="Z113" s="118"/>
      <c r="AA113" s="118"/>
      <c r="AB113" s="1"/>
      <c r="AC113" s="1"/>
      <c r="AD113" s="1"/>
      <c r="AE113" s="118"/>
      <c r="AF113" s="118"/>
      <c r="AG113" s="118"/>
      <c r="AH113" s="118"/>
      <c r="AI113" s="118"/>
      <c r="AJ113" s="37"/>
      <c r="AK113" s="38"/>
      <c r="AL113" s="197"/>
    </row>
    <row r="114" spans="1:38" x14ac:dyDescent="0.25">
      <c r="A114" s="382">
        <v>168</v>
      </c>
      <c r="B114" s="131"/>
      <c r="C114" s="390"/>
      <c r="D114" s="121"/>
      <c r="E114" s="121"/>
      <c r="F114" s="121"/>
      <c r="G114" s="121"/>
      <c r="H114" s="1"/>
      <c r="I114" s="37"/>
      <c r="J114" s="121"/>
      <c r="K114" s="121"/>
      <c r="L114" s="155"/>
      <c r="M114" s="118"/>
      <c r="N114" s="118"/>
      <c r="O114" s="120"/>
      <c r="P114" s="172"/>
      <c r="Q114" s="37"/>
      <c r="R114" s="131"/>
      <c r="S114" s="118"/>
      <c r="T114" s="118"/>
      <c r="U114" s="1"/>
      <c r="V114" s="118"/>
      <c r="W114" s="57"/>
      <c r="X114" s="57"/>
      <c r="Y114" s="37"/>
      <c r="Z114" s="118"/>
      <c r="AA114" s="1"/>
      <c r="AB114" s="1"/>
      <c r="AC114" s="1"/>
      <c r="AD114" s="1"/>
      <c r="AE114" s="118"/>
      <c r="AF114" s="118"/>
      <c r="AG114" s="118"/>
      <c r="AH114" s="118"/>
      <c r="AI114" s="118"/>
      <c r="AJ114" s="37"/>
      <c r="AK114" s="38"/>
      <c r="AL114" s="197"/>
    </row>
    <row r="115" spans="1:38" x14ac:dyDescent="0.25">
      <c r="A115" s="382">
        <v>169</v>
      </c>
      <c r="B115" s="12"/>
      <c r="C115" s="155"/>
      <c r="D115" s="121"/>
      <c r="E115" s="118"/>
      <c r="F115" s="121"/>
      <c r="G115" s="1"/>
      <c r="H115" s="1"/>
      <c r="I115" s="37"/>
      <c r="J115" s="121"/>
      <c r="K115" s="118"/>
      <c r="L115" s="118"/>
      <c r="M115" s="121"/>
      <c r="N115" s="1"/>
      <c r="O115" s="118"/>
      <c r="P115" s="172"/>
      <c r="Q115" s="37"/>
      <c r="R115" s="131"/>
      <c r="S115" s="118"/>
      <c r="T115" s="118"/>
      <c r="U115" s="1"/>
      <c r="V115" s="118"/>
      <c r="W115" s="57"/>
      <c r="X115" s="57"/>
      <c r="Y115" s="37"/>
      <c r="Z115" s="1"/>
      <c r="AA115" s="118"/>
      <c r="AB115" s="1"/>
      <c r="AC115" s="1"/>
      <c r="AD115" s="1"/>
      <c r="AE115" s="118"/>
      <c r="AF115" s="1"/>
      <c r="AG115" s="118"/>
      <c r="AH115" s="118"/>
      <c r="AI115" s="118"/>
      <c r="AJ115" s="37"/>
      <c r="AK115" s="38"/>
      <c r="AL115" s="197"/>
    </row>
    <row r="116" spans="1:38" x14ac:dyDescent="0.25">
      <c r="A116" s="382">
        <v>170</v>
      </c>
      <c r="B116" s="155"/>
      <c r="C116" s="121"/>
      <c r="D116" s="121"/>
      <c r="E116" s="121"/>
      <c r="F116" s="121"/>
      <c r="G116" s="121"/>
      <c r="H116" s="121"/>
      <c r="I116" s="37"/>
      <c r="J116" s="121"/>
      <c r="K116" s="121"/>
      <c r="L116" s="390"/>
      <c r="M116" s="121"/>
      <c r="N116" s="121"/>
      <c r="O116" s="121"/>
      <c r="P116" s="172"/>
      <c r="Q116" s="37"/>
      <c r="R116" s="131"/>
      <c r="S116" s="118"/>
      <c r="T116" s="118"/>
      <c r="U116" s="1"/>
      <c r="V116" s="1"/>
      <c r="W116" s="57"/>
      <c r="X116" s="57"/>
      <c r="Y116" s="37"/>
      <c r="Z116" s="118"/>
      <c r="AA116" s="118"/>
      <c r="AB116" s="1"/>
      <c r="AC116" s="1"/>
      <c r="AD116" s="1"/>
      <c r="AE116" s="118"/>
      <c r="AF116" s="387"/>
      <c r="AG116" s="118"/>
      <c r="AH116" s="118"/>
      <c r="AI116" s="118"/>
      <c r="AJ116" s="37"/>
      <c r="AK116" s="38"/>
      <c r="AL116" s="197"/>
    </row>
    <row r="117" spans="1:38" x14ac:dyDescent="0.25">
      <c r="A117" s="382">
        <v>171</v>
      </c>
      <c r="B117" s="390"/>
      <c r="C117" s="121"/>
      <c r="D117" s="155"/>
      <c r="E117" s="1"/>
      <c r="F117" s="118"/>
      <c r="G117" s="121"/>
      <c r="H117" s="121"/>
      <c r="I117" s="37"/>
      <c r="J117" s="121"/>
      <c r="K117" s="121"/>
      <c r="L117" s="121"/>
      <c r="M117" s="121"/>
      <c r="N117" s="121"/>
      <c r="O117" s="121"/>
      <c r="P117" s="172"/>
      <c r="Q117" s="37"/>
      <c r="R117" s="12"/>
      <c r="S117" s="118"/>
      <c r="T117" s="118"/>
      <c r="U117" s="1"/>
      <c r="V117" s="131"/>
      <c r="W117" s="57"/>
      <c r="X117" s="57"/>
      <c r="Y117" s="37"/>
      <c r="Z117" s="118"/>
      <c r="AA117" s="118"/>
      <c r="AB117" s="1"/>
      <c r="AC117" s="1"/>
      <c r="AD117" s="1"/>
      <c r="AE117" s="118"/>
      <c r="AF117" s="118"/>
      <c r="AG117" s="118"/>
      <c r="AH117" s="118"/>
      <c r="AI117" s="118"/>
      <c r="AJ117" s="37"/>
      <c r="AK117" s="38"/>
      <c r="AL117" s="197"/>
    </row>
    <row r="118" spans="1:38" x14ac:dyDescent="0.25">
      <c r="A118" s="382">
        <v>172</v>
      </c>
      <c r="B118" s="390"/>
      <c r="C118" s="390"/>
      <c r="D118" s="390"/>
      <c r="E118" s="390"/>
      <c r="F118" s="390"/>
      <c r="G118" s="390"/>
      <c r="H118" s="390"/>
      <c r="I118" s="111"/>
      <c r="J118" s="121"/>
      <c r="K118" s="118"/>
      <c r="L118" s="390"/>
      <c r="M118" s="390"/>
      <c r="N118" s="390"/>
      <c r="O118" s="118"/>
      <c r="P118" s="390"/>
      <c r="Q118" s="37"/>
      <c r="R118" s="390"/>
      <c r="S118" s="390"/>
      <c r="T118" s="390"/>
      <c r="U118" s="390"/>
      <c r="V118" s="389"/>
      <c r="W118" s="205"/>
      <c r="X118" s="387"/>
      <c r="Y118" s="37"/>
      <c r="Z118" s="118"/>
      <c r="AA118" s="387"/>
      <c r="AB118" s="387"/>
      <c r="AC118" s="387"/>
      <c r="AD118" s="387"/>
      <c r="AE118" s="387"/>
      <c r="AF118" s="387"/>
      <c r="AG118" s="118"/>
      <c r="AH118" s="118"/>
      <c r="AI118" s="118"/>
      <c r="AJ118" s="37"/>
      <c r="AK118" s="38"/>
      <c r="AL118" s="197"/>
    </row>
    <row r="119" spans="1:38" x14ac:dyDescent="0.25">
      <c r="A119" s="382">
        <v>173</v>
      </c>
      <c r="B119" s="390"/>
      <c r="C119" s="390"/>
      <c r="D119" s="390"/>
      <c r="E119" s="390"/>
      <c r="F119" s="390"/>
      <c r="G119" s="390"/>
      <c r="H119" s="390"/>
      <c r="I119" s="111"/>
      <c r="J119" s="390"/>
      <c r="K119" s="390"/>
      <c r="L119" s="390"/>
      <c r="M119" s="390"/>
      <c r="N119" s="390"/>
      <c r="O119" s="390"/>
      <c r="P119" s="390"/>
      <c r="Q119" s="111"/>
      <c r="R119" s="390"/>
      <c r="S119" s="390"/>
      <c r="T119" s="390"/>
      <c r="U119" s="203"/>
      <c r="V119" s="390"/>
      <c r="W119" s="390"/>
      <c r="X119" s="390"/>
      <c r="Y119" s="37"/>
      <c r="Z119" s="387"/>
      <c r="AA119" s="387"/>
      <c r="AB119" s="387"/>
      <c r="AC119" s="387"/>
      <c r="AD119" s="387"/>
      <c r="AE119" s="387"/>
      <c r="AF119" s="387"/>
      <c r="AG119" s="387"/>
      <c r="AH119" s="387"/>
      <c r="AI119" s="387"/>
      <c r="AJ119" s="111"/>
      <c r="AK119" s="38"/>
      <c r="AL119" s="197"/>
    </row>
    <row r="120" spans="1:38" x14ac:dyDescent="0.25">
      <c r="A120" s="385">
        <v>174</v>
      </c>
      <c r="B120" s="131"/>
      <c r="C120" s="131"/>
      <c r="D120" s="155"/>
      <c r="E120" s="1"/>
      <c r="F120" s="121"/>
      <c r="G120" s="118"/>
      <c r="H120" s="118"/>
      <c r="I120" s="37"/>
      <c r="J120" s="118"/>
      <c r="K120" s="118"/>
      <c r="L120" s="121"/>
      <c r="M120" s="118"/>
      <c r="N120" s="118"/>
      <c r="O120" s="118"/>
      <c r="P120" s="172"/>
      <c r="Q120" s="37"/>
      <c r="R120" s="12"/>
      <c r="S120" s="118"/>
      <c r="T120" s="118"/>
      <c r="U120" s="1"/>
      <c r="V120" s="118"/>
      <c r="W120" s="57"/>
      <c r="X120" s="57"/>
      <c r="Y120" s="37"/>
      <c r="Z120" s="118"/>
      <c r="AA120" s="118"/>
      <c r="AB120" s="1"/>
      <c r="AC120" s="1"/>
      <c r="AD120" s="1"/>
      <c r="AE120" s="118"/>
      <c r="AF120" s="118"/>
      <c r="AG120" s="118"/>
      <c r="AH120" s="118"/>
      <c r="AI120" s="118"/>
      <c r="AJ120" s="37"/>
      <c r="AK120" s="38"/>
      <c r="AL120" s="176"/>
    </row>
    <row r="121" spans="1:38" x14ac:dyDescent="0.25">
      <c r="A121" s="385">
        <v>175</v>
      </c>
      <c r="B121" s="155"/>
      <c r="C121" s="131"/>
      <c r="D121" s="12"/>
      <c r="E121" s="121"/>
      <c r="F121" s="120"/>
      <c r="G121" s="121"/>
      <c r="H121" s="121"/>
      <c r="I121" s="37"/>
      <c r="J121" s="121"/>
      <c r="K121" s="121"/>
      <c r="L121" s="121"/>
      <c r="M121" s="121"/>
      <c r="N121" s="121"/>
      <c r="O121" s="120"/>
      <c r="P121" s="205"/>
      <c r="Q121" s="37"/>
      <c r="R121" s="131"/>
      <c r="S121" s="118"/>
      <c r="T121" s="118"/>
      <c r="U121" s="1"/>
      <c r="V121" s="118"/>
      <c r="W121" s="57"/>
      <c r="X121" s="57"/>
      <c r="Y121" s="37"/>
      <c r="Z121" s="118"/>
      <c r="AA121" s="118"/>
      <c r="AB121" s="1"/>
      <c r="AC121" s="1"/>
      <c r="AD121" s="1"/>
      <c r="AE121" s="118"/>
      <c r="AF121" s="118"/>
      <c r="AG121" s="118"/>
      <c r="AH121" s="118"/>
      <c r="AI121" s="118"/>
      <c r="AJ121" s="37"/>
      <c r="AK121" s="38"/>
      <c r="AL121" s="197"/>
    </row>
    <row r="122" spans="1:38" x14ac:dyDescent="0.25">
      <c r="A122" s="385">
        <v>176</v>
      </c>
      <c r="B122" s="390"/>
      <c r="C122" s="390"/>
      <c r="D122" s="390"/>
      <c r="E122" s="390"/>
      <c r="F122" s="390"/>
      <c r="G122" s="390"/>
      <c r="H122" s="390"/>
      <c r="I122" s="111"/>
      <c r="J122" s="390"/>
      <c r="K122" s="390"/>
      <c r="L122" s="390"/>
      <c r="M122" s="390"/>
      <c r="N122" s="390"/>
      <c r="O122" s="390"/>
      <c r="P122" s="390"/>
      <c r="Q122" s="111"/>
      <c r="R122" s="390"/>
      <c r="S122" s="390"/>
      <c r="T122" s="390"/>
      <c r="U122" s="390"/>
      <c r="V122" s="389"/>
      <c r="W122" s="387"/>
      <c r="X122" s="387"/>
      <c r="Y122" s="111"/>
      <c r="Z122" s="387"/>
      <c r="AA122" s="387"/>
      <c r="AB122" s="387"/>
      <c r="AC122" s="387"/>
      <c r="AD122" s="387"/>
      <c r="AE122" s="387"/>
      <c r="AF122" s="387"/>
      <c r="AG122" s="387"/>
      <c r="AH122" s="387"/>
      <c r="AI122" s="387"/>
      <c r="AJ122" s="114"/>
      <c r="AK122" s="44"/>
      <c r="AL122" s="197"/>
    </row>
    <row r="123" spans="1:38" x14ac:dyDescent="0.25">
      <c r="A123" s="385">
        <v>177</v>
      </c>
      <c r="B123" s="390"/>
      <c r="C123" s="155"/>
      <c r="D123" s="131"/>
      <c r="E123" s="118"/>
      <c r="F123" s="118"/>
      <c r="G123" s="118"/>
      <c r="H123" s="118"/>
      <c r="I123" s="37"/>
      <c r="J123" s="120"/>
      <c r="K123" s="118"/>
      <c r="L123" s="1"/>
      <c r="M123" s="118"/>
      <c r="N123" s="118"/>
      <c r="O123" s="118"/>
      <c r="P123" s="172"/>
      <c r="Q123" s="37"/>
      <c r="R123" s="131"/>
      <c r="S123" s="118"/>
      <c r="T123" s="118"/>
      <c r="U123" s="1"/>
      <c r="V123" s="118"/>
      <c r="W123" s="57"/>
      <c r="X123" s="57"/>
      <c r="Y123" s="37"/>
      <c r="Z123" s="387"/>
      <c r="AA123" s="118"/>
      <c r="AB123" s="1"/>
      <c r="AC123" s="1"/>
      <c r="AD123" s="1"/>
      <c r="AE123" s="387"/>
      <c r="AF123" s="118"/>
      <c r="AG123" s="118"/>
      <c r="AH123" s="118"/>
      <c r="AI123" s="118"/>
      <c r="AJ123" s="47"/>
      <c r="AK123" s="48"/>
      <c r="AL123" s="197"/>
    </row>
    <row r="124" spans="1:38" x14ac:dyDescent="0.25">
      <c r="A124" s="385">
        <v>178</v>
      </c>
      <c r="B124" s="390"/>
      <c r="C124" s="155"/>
      <c r="D124" s="121"/>
      <c r="E124" s="121"/>
      <c r="F124" s="121"/>
      <c r="G124" s="121"/>
      <c r="H124" s="121"/>
      <c r="I124" s="37"/>
      <c r="J124" s="121"/>
      <c r="K124" s="118"/>
      <c r="L124" s="161"/>
      <c r="M124" s="121"/>
      <c r="N124" s="121"/>
      <c r="O124" s="120"/>
      <c r="P124" s="205"/>
      <c r="Q124" s="37"/>
      <c r="R124" s="131"/>
      <c r="S124" s="118"/>
      <c r="T124" s="118"/>
      <c r="U124" s="1"/>
      <c r="V124" s="1"/>
      <c r="W124" s="57"/>
      <c r="X124" s="57"/>
      <c r="Y124" s="37"/>
      <c r="Z124" s="118"/>
      <c r="AA124" s="1"/>
      <c r="AB124" s="1"/>
      <c r="AC124" s="1"/>
      <c r="AD124" s="1"/>
      <c r="AE124" s="118"/>
      <c r="AF124" s="118"/>
      <c r="AG124" s="118"/>
      <c r="AH124" s="118"/>
      <c r="AI124" s="118"/>
      <c r="AJ124" s="49"/>
      <c r="AK124" s="48"/>
      <c r="AL124" s="197"/>
    </row>
    <row r="125" spans="1:38" x14ac:dyDescent="0.25">
      <c r="A125" s="385">
        <v>179</v>
      </c>
      <c r="B125" s="390"/>
      <c r="C125" s="155"/>
      <c r="D125" s="390"/>
      <c r="E125" s="1"/>
      <c r="F125" s="390"/>
      <c r="G125" s="390"/>
      <c r="H125" s="118"/>
      <c r="I125" s="37"/>
      <c r="J125" s="118"/>
      <c r="K125" s="118"/>
      <c r="L125" s="118"/>
      <c r="M125" s="121"/>
      <c r="N125" s="1"/>
      <c r="O125" s="118"/>
      <c r="P125" s="172"/>
      <c r="Q125" s="37"/>
      <c r="R125" s="131"/>
      <c r="S125" s="118"/>
      <c r="T125" s="118"/>
      <c r="U125" s="1"/>
      <c r="V125" s="118"/>
      <c r="W125" s="57"/>
      <c r="X125" s="57"/>
      <c r="Y125" s="37"/>
      <c r="Z125" s="118"/>
      <c r="AA125" s="118"/>
      <c r="AB125" s="1"/>
      <c r="AC125" s="1"/>
      <c r="AD125" s="1"/>
      <c r="AE125" s="118"/>
      <c r="AF125" s="118"/>
      <c r="AG125" s="118"/>
      <c r="AH125" s="118"/>
      <c r="AI125" s="118"/>
      <c r="AJ125" s="36"/>
      <c r="AK125" s="14"/>
      <c r="AL125" s="197"/>
    </row>
    <row r="126" spans="1:38" x14ac:dyDescent="0.25">
      <c r="A126" s="385">
        <v>180</v>
      </c>
      <c r="B126" s="390"/>
      <c r="C126" s="390"/>
      <c r="D126" s="390"/>
      <c r="E126" s="390"/>
      <c r="F126" s="390"/>
      <c r="G126" s="118"/>
      <c r="H126" s="390"/>
      <c r="I126" s="37"/>
      <c r="J126" s="118"/>
      <c r="K126" s="390"/>
      <c r="L126" s="390"/>
      <c r="M126" s="390"/>
      <c r="N126" s="390"/>
      <c r="O126" s="390"/>
      <c r="P126" s="390"/>
      <c r="Q126" s="37"/>
      <c r="R126" s="176"/>
      <c r="S126" s="390"/>
      <c r="T126" s="390"/>
      <c r="U126" s="390"/>
      <c r="V126" s="390"/>
      <c r="W126" s="57"/>
      <c r="X126" s="390"/>
      <c r="Y126" s="37"/>
      <c r="Z126" s="387"/>
      <c r="AA126" s="387"/>
      <c r="AB126" s="1"/>
      <c r="AC126" s="387"/>
      <c r="AD126" s="387"/>
      <c r="AE126" s="387"/>
      <c r="AF126" s="387"/>
      <c r="AG126" s="118"/>
      <c r="AH126" s="118"/>
      <c r="AI126" s="118"/>
      <c r="AJ126" s="37"/>
      <c r="AK126" s="38"/>
      <c r="AL126" s="197"/>
    </row>
    <row r="127" spans="1:38" x14ac:dyDescent="0.25">
      <c r="A127" s="385">
        <v>181</v>
      </c>
      <c r="B127" s="131"/>
      <c r="C127" s="155"/>
      <c r="D127" s="131"/>
      <c r="E127" s="121"/>
      <c r="F127" s="118"/>
      <c r="G127" s="118"/>
      <c r="H127" s="121"/>
      <c r="I127" s="37"/>
      <c r="J127" s="118"/>
      <c r="K127" s="118"/>
      <c r="L127" s="118"/>
      <c r="M127" s="390"/>
      <c r="N127" s="121"/>
      <c r="O127" s="120"/>
      <c r="P127" s="205"/>
      <c r="Q127" s="37"/>
      <c r="R127" s="131"/>
      <c r="S127" s="118"/>
      <c r="T127" s="118"/>
      <c r="U127" s="1"/>
      <c r="V127" s="118"/>
      <c r="W127" s="57"/>
      <c r="X127" s="57"/>
      <c r="Y127" s="37"/>
      <c r="Z127" s="118"/>
      <c r="AA127" s="118"/>
      <c r="AB127" s="1"/>
      <c r="AC127" s="1"/>
      <c r="AD127" s="1"/>
      <c r="AE127" s="118"/>
      <c r="AF127" s="118"/>
      <c r="AG127" s="118"/>
      <c r="AH127" s="118"/>
      <c r="AI127" s="118"/>
      <c r="AJ127" s="37"/>
      <c r="AK127" s="38"/>
      <c r="AL127" s="197"/>
    </row>
    <row r="128" spans="1:38" x14ac:dyDescent="0.25">
      <c r="A128" s="385">
        <v>182</v>
      </c>
      <c r="B128" s="390"/>
      <c r="C128" s="121"/>
      <c r="D128" s="121"/>
      <c r="E128" s="121"/>
      <c r="F128" s="121"/>
      <c r="G128" s="121"/>
      <c r="H128" s="121"/>
      <c r="I128" s="37"/>
      <c r="J128" s="121"/>
      <c r="K128" s="121"/>
      <c r="L128" s="121"/>
      <c r="M128" s="121"/>
      <c r="N128" s="121"/>
      <c r="O128" s="120"/>
      <c r="P128" s="172"/>
      <c r="Q128" s="37"/>
      <c r="R128" s="131"/>
      <c r="S128" s="118"/>
      <c r="T128" s="118"/>
      <c r="U128" s="1"/>
      <c r="V128" s="118"/>
      <c r="W128" s="57"/>
      <c r="X128" s="57"/>
      <c r="Y128" s="37"/>
      <c r="Z128" s="118"/>
      <c r="AA128" s="118"/>
      <c r="AB128" s="1"/>
      <c r="AC128" s="1"/>
      <c r="AD128" s="1"/>
      <c r="AE128" s="1"/>
      <c r="AF128" s="118"/>
      <c r="AG128" s="118"/>
      <c r="AH128" s="118"/>
      <c r="AI128" s="118"/>
      <c r="AJ128" s="37"/>
      <c r="AK128" s="38"/>
      <c r="AL128" s="197"/>
    </row>
    <row r="129" spans="1:38" x14ac:dyDescent="0.25">
      <c r="A129" s="385">
        <v>183</v>
      </c>
      <c r="B129" s="390"/>
      <c r="C129" s="131"/>
      <c r="D129" s="131"/>
      <c r="E129" s="118"/>
      <c r="F129" s="118"/>
      <c r="G129" s="390"/>
      <c r="H129" s="390"/>
      <c r="I129" s="37"/>
      <c r="J129" s="118"/>
      <c r="K129" s="118"/>
      <c r="L129" s="118"/>
      <c r="M129" s="118"/>
      <c r="N129" s="121"/>
      <c r="O129" s="390"/>
      <c r="P129" s="172"/>
      <c r="Q129" s="37"/>
      <c r="R129" s="390"/>
      <c r="S129" s="390"/>
      <c r="T129" s="390"/>
      <c r="U129" s="1"/>
      <c r="V129" s="118"/>
      <c r="W129" s="57"/>
      <c r="X129" s="57"/>
      <c r="Y129" s="37"/>
      <c r="Z129" s="118"/>
      <c r="AA129" s="118"/>
      <c r="AB129" s="1"/>
      <c r="AC129" s="1"/>
      <c r="AD129" s="1"/>
      <c r="AE129" s="118"/>
      <c r="AF129" s="118"/>
      <c r="AG129" s="118"/>
      <c r="AH129" s="118"/>
      <c r="AI129" s="118"/>
      <c r="AJ129" s="37"/>
      <c r="AK129" s="38"/>
      <c r="AL129" s="197"/>
    </row>
    <row r="130" spans="1:38" x14ac:dyDescent="0.25">
      <c r="A130" s="385">
        <v>184</v>
      </c>
      <c r="B130" s="155"/>
      <c r="C130" s="135"/>
      <c r="D130" s="121"/>
      <c r="E130" s="121"/>
      <c r="F130" s="118"/>
      <c r="G130" s="121"/>
      <c r="H130" s="390"/>
      <c r="I130" s="37"/>
      <c r="J130" s="390"/>
      <c r="K130" s="371"/>
      <c r="L130" s="121"/>
      <c r="M130" s="121"/>
      <c r="N130" s="121"/>
      <c r="O130" s="121"/>
      <c r="P130" s="172"/>
      <c r="Q130" s="37"/>
      <c r="R130" s="131"/>
      <c r="S130" s="118"/>
      <c r="T130" s="118"/>
      <c r="U130" s="1"/>
      <c r="V130" s="118"/>
      <c r="W130" s="57"/>
      <c r="X130" s="57"/>
      <c r="Y130" s="37"/>
      <c r="Z130" s="118"/>
      <c r="AA130" s="118"/>
      <c r="AB130" s="1"/>
      <c r="AC130" s="1"/>
      <c r="AD130" s="1"/>
      <c r="AE130" s="118"/>
      <c r="AF130" s="118"/>
      <c r="AG130" s="118"/>
      <c r="AH130" s="118"/>
      <c r="AI130" s="118"/>
      <c r="AJ130" s="37"/>
      <c r="AK130" s="38"/>
      <c r="AL130" s="197"/>
    </row>
    <row r="131" spans="1:38" x14ac:dyDescent="0.25">
      <c r="A131" s="385">
        <v>185</v>
      </c>
      <c r="B131" s="390"/>
      <c r="C131" s="155"/>
      <c r="D131" s="135"/>
      <c r="E131" s="1"/>
      <c r="F131" s="390"/>
      <c r="G131" s="118"/>
      <c r="H131" s="390"/>
      <c r="I131" s="37"/>
      <c r="J131" s="390"/>
      <c r="K131" s="118"/>
      <c r="L131" s="118"/>
      <c r="M131" s="118"/>
      <c r="N131" s="131"/>
      <c r="O131" s="1"/>
      <c r="P131" s="172"/>
      <c r="Q131" s="37"/>
      <c r="R131" s="131"/>
      <c r="S131" s="1"/>
      <c r="T131" s="118"/>
      <c r="U131" s="1"/>
      <c r="V131" s="118"/>
      <c r="W131" s="57"/>
      <c r="X131" s="57"/>
      <c r="Y131" s="37"/>
      <c r="Z131" s="1"/>
      <c r="AA131" s="387"/>
      <c r="AB131" s="1"/>
      <c r="AC131" s="1"/>
      <c r="AD131" s="1"/>
      <c r="AE131" s="118"/>
      <c r="AF131" s="118"/>
      <c r="AG131" s="118"/>
      <c r="AH131" s="118"/>
      <c r="AI131" s="118"/>
      <c r="AJ131" s="37"/>
      <c r="AK131" s="38"/>
      <c r="AL131" s="197"/>
    </row>
    <row r="132" spans="1:38" x14ac:dyDescent="0.25">
      <c r="A132" s="385">
        <v>186</v>
      </c>
      <c r="B132" s="131"/>
      <c r="C132" s="131"/>
      <c r="D132" s="155"/>
      <c r="E132" s="118"/>
      <c r="F132" s="390"/>
      <c r="G132" s="121"/>
      <c r="H132" s="121"/>
      <c r="I132" s="37"/>
      <c r="J132" s="121"/>
      <c r="K132" s="121"/>
      <c r="L132" s="121"/>
      <c r="M132" s="121"/>
      <c r="N132" s="121"/>
      <c r="O132" s="120"/>
      <c r="P132" s="172"/>
      <c r="Q132" s="37"/>
      <c r="R132" s="12"/>
      <c r="S132" s="118"/>
      <c r="T132" s="118"/>
      <c r="U132" s="1"/>
      <c r="V132" s="118"/>
      <c r="W132" s="57"/>
      <c r="X132" s="57"/>
      <c r="Y132" s="37"/>
      <c r="Z132" s="118"/>
      <c r="AA132" s="118"/>
      <c r="AB132" s="1"/>
      <c r="AC132" s="1"/>
      <c r="AD132" s="1"/>
      <c r="AE132" s="1"/>
      <c r="AF132" s="118"/>
      <c r="AG132" s="118"/>
      <c r="AH132" s="118"/>
      <c r="AI132" s="118"/>
      <c r="AJ132" s="37"/>
      <c r="AK132" s="38"/>
      <c r="AL132" s="197"/>
    </row>
    <row r="133" spans="1:38" x14ac:dyDescent="0.25">
      <c r="A133" s="385">
        <v>187</v>
      </c>
      <c r="B133" s="390"/>
      <c r="C133" s="390"/>
      <c r="D133" s="390"/>
      <c r="E133" s="390"/>
      <c r="F133" s="390"/>
      <c r="G133" s="390"/>
      <c r="H133" s="390"/>
      <c r="I133" s="111"/>
      <c r="J133" s="390"/>
      <c r="K133" s="390"/>
      <c r="L133" s="390"/>
      <c r="M133" s="390"/>
      <c r="N133" s="390"/>
      <c r="O133" s="390"/>
      <c r="P133" s="390"/>
      <c r="Q133" s="111"/>
      <c r="R133" s="390"/>
      <c r="S133" s="390"/>
      <c r="T133" s="390"/>
      <c r="U133" s="390"/>
      <c r="V133" s="389"/>
      <c r="W133" s="387"/>
      <c r="X133" s="387"/>
      <c r="Y133" s="111"/>
      <c r="Z133" s="387"/>
      <c r="AA133" s="387"/>
      <c r="AB133" s="387"/>
      <c r="AC133" s="387"/>
      <c r="AD133" s="387"/>
      <c r="AE133" s="387"/>
      <c r="AF133" s="387"/>
      <c r="AG133" s="387"/>
      <c r="AH133" s="387"/>
      <c r="AI133" s="387"/>
      <c r="AJ133" s="111"/>
      <c r="AK133" s="38"/>
      <c r="AL133" s="197"/>
    </row>
    <row r="134" spans="1:38" x14ac:dyDescent="0.25">
      <c r="A134" s="385">
        <v>188</v>
      </c>
      <c r="B134" s="131"/>
      <c r="C134" s="12"/>
      <c r="D134" s="131"/>
      <c r="E134" s="118"/>
      <c r="F134" s="390"/>
      <c r="G134" s="121"/>
      <c r="H134" s="121"/>
      <c r="I134" s="37"/>
      <c r="J134" s="121"/>
      <c r="K134" s="121"/>
      <c r="L134" s="121"/>
      <c r="M134" s="121"/>
      <c r="N134" s="130"/>
      <c r="O134" s="118"/>
      <c r="P134" s="172"/>
      <c r="Q134" s="37"/>
      <c r="R134" s="131"/>
      <c r="S134" s="118"/>
      <c r="T134" s="118"/>
      <c r="U134" s="1"/>
      <c r="V134" s="118"/>
      <c r="W134" s="57"/>
      <c r="X134" s="57"/>
      <c r="Y134" s="37"/>
      <c r="Z134" s="118"/>
      <c r="AA134" s="118"/>
      <c r="AB134" s="1"/>
      <c r="AC134" s="1"/>
      <c r="AD134" s="1"/>
      <c r="AE134" s="118"/>
      <c r="AF134" s="118"/>
      <c r="AG134" s="118"/>
      <c r="AH134" s="118"/>
      <c r="AI134" s="118"/>
      <c r="AJ134" s="37"/>
      <c r="AK134" s="38"/>
      <c r="AL134" s="197"/>
    </row>
    <row r="135" spans="1:38" x14ac:dyDescent="0.25">
      <c r="A135" s="385">
        <v>189</v>
      </c>
      <c r="B135" s="155"/>
      <c r="C135" s="390"/>
      <c r="D135" s="131"/>
      <c r="E135" s="118"/>
      <c r="F135" s="121"/>
      <c r="G135" s="118"/>
      <c r="H135" s="121"/>
      <c r="I135" s="37"/>
      <c r="J135" s="118"/>
      <c r="K135" s="1"/>
      <c r="L135" s="1"/>
      <c r="M135" s="118"/>
      <c r="N135" s="118"/>
      <c r="O135" s="118"/>
      <c r="P135" s="172"/>
      <c r="Q135" s="37"/>
      <c r="R135" s="155"/>
      <c r="S135" s="118"/>
      <c r="T135" s="1"/>
      <c r="U135" s="1"/>
      <c r="V135" s="118"/>
      <c r="W135" s="57"/>
      <c r="X135" s="57"/>
      <c r="Y135" s="37"/>
      <c r="Z135" s="118"/>
      <c r="AA135" s="118"/>
      <c r="AB135" s="1"/>
      <c r="AC135" s="1"/>
      <c r="AD135" s="1"/>
      <c r="AE135" s="118"/>
      <c r="AF135" s="1"/>
      <c r="AG135" s="118"/>
      <c r="AH135" s="118"/>
      <c r="AI135" s="118"/>
      <c r="AJ135" s="37"/>
      <c r="AK135" s="38"/>
      <c r="AL135" s="197"/>
    </row>
    <row r="136" spans="1:38" x14ac:dyDescent="0.25">
      <c r="A136" s="385">
        <v>190</v>
      </c>
      <c r="B136" s="390"/>
      <c r="C136" s="155"/>
      <c r="D136" s="135"/>
      <c r="E136" s="118"/>
      <c r="F136" s="1"/>
      <c r="G136" s="121"/>
      <c r="H136" s="1"/>
      <c r="I136" s="37"/>
      <c r="J136" s="121"/>
      <c r="K136" s="121"/>
      <c r="L136" s="390"/>
      <c r="M136" s="390"/>
      <c r="N136" s="121"/>
      <c r="O136" s="121"/>
      <c r="P136" s="172"/>
      <c r="Q136" s="37"/>
      <c r="R136" s="12"/>
      <c r="S136" s="118"/>
      <c r="T136" s="118"/>
      <c r="U136" s="1"/>
      <c r="V136" s="1"/>
      <c r="W136" s="57"/>
      <c r="X136" s="57"/>
      <c r="Y136" s="37"/>
      <c r="Z136" s="118"/>
      <c r="AA136" s="118"/>
      <c r="AB136" s="1"/>
      <c r="AC136" s="1"/>
      <c r="AD136" s="1"/>
      <c r="AE136" s="118"/>
      <c r="AF136" s="118"/>
      <c r="AG136" s="118"/>
      <c r="AH136" s="118"/>
      <c r="AI136" s="118"/>
      <c r="AJ136" s="37"/>
      <c r="AK136" s="38"/>
      <c r="AL136" s="197"/>
    </row>
    <row r="137" spans="1:38" x14ac:dyDescent="0.25">
      <c r="A137" s="385">
        <v>191</v>
      </c>
      <c r="B137" s="131"/>
      <c r="C137" s="121"/>
      <c r="D137" s="155"/>
      <c r="E137" s="121"/>
      <c r="F137" s="121"/>
      <c r="G137" s="121"/>
      <c r="H137" s="121"/>
      <c r="I137" s="37"/>
      <c r="J137" s="121"/>
      <c r="K137" s="121"/>
      <c r="L137" s="121"/>
      <c r="M137" s="121"/>
      <c r="N137" s="121"/>
      <c r="O137" s="118"/>
      <c r="P137" s="172"/>
      <c r="Q137" s="37"/>
      <c r="R137" s="155"/>
      <c r="S137" s="118"/>
      <c r="T137" s="118"/>
      <c r="U137" s="1"/>
      <c r="V137" s="131"/>
      <c r="W137" s="57"/>
      <c r="X137" s="57"/>
      <c r="Y137" s="37"/>
      <c r="Z137" s="118"/>
      <c r="AA137" s="118"/>
      <c r="AB137" s="1"/>
      <c r="AC137" s="1"/>
      <c r="AD137" s="1"/>
      <c r="AE137" s="118"/>
      <c r="AF137" s="1"/>
      <c r="AG137" s="118"/>
      <c r="AH137" s="118"/>
      <c r="AI137" s="118"/>
      <c r="AJ137" s="37"/>
      <c r="AK137" s="38"/>
      <c r="AL137" s="197"/>
    </row>
    <row r="138" spans="1:38" x14ac:dyDescent="0.25">
      <c r="A138" s="385">
        <v>192</v>
      </c>
      <c r="B138" s="131"/>
      <c r="C138" s="155"/>
      <c r="D138" s="121"/>
      <c r="E138" s="121"/>
      <c r="F138" s="121"/>
      <c r="G138" s="121"/>
      <c r="H138" s="121"/>
      <c r="I138" s="37"/>
      <c r="J138" s="390"/>
      <c r="K138" s="390"/>
      <c r="L138" s="390"/>
      <c r="M138" s="390"/>
      <c r="N138" s="390"/>
      <c r="O138" s="390"/>
      <c r="P138" s="390"/>
      <c r="Q138" s="111"/>
      <c r="R138" s="172"/>
      <c r="S138" s="118"/>
      <c r="T138" s="390"/>
      <c r="U138" s="1"/>
      <c r="V138" s="390"/>
      <c r="W138" s="57"/>
      <c r="X138" s="390"/>
      <c r="Y138" s="37"/>
      <c r="Z138" s="387"/>
      <c r="AA138" s="118"/>
      <c r="AB138" s="1"/>
      <c r="AC138" s="1"/>
      <c r="AD138" s="1"/>
      <c r="AE138" s="118"/>
      <c r="AF138" s="118"/>
      <c r="AG138" s="118"/>
      <c r="AH138" s="118"/>
      <c r="AI138" s="118"/>
      <c r="AJ138" s="37"/>
      <c r="AK138" s="38"/>
      <c r="AL138" s="197"/>
    </row>
    <row r="139" spans="1:38" x14ac:dyDescent="0.25">
      <c r="A139" s="385">
        <v>193</v>
      </c>
      <c r="B139" s="131"/>
      <c r="C139" s="135"/>
      <c r="D139" s="131"/>
      <c r="E139" s="121"/>
      <c r="F139" s="118"/>
      <c r="G139" s="118"/>
      <c r="H139" s="118"/>
      <c r="I139" s="37"/>
      <c r="J139" s="121"/>
      <c r="K139" s="121"/>
      <c r="L139" s="118"/>
      <c r="M139" s="118"/>
      <c r="N139" s="118"/>
      <c r="O139" s="118"/>
      <c r="P139" s="172"/>
      <c r="Q139" s="37"/>
      <c r="R139" s="131"/>
      <c r="S139" s="1"/>
      <c r="T139" s="118"/>
      <c r="U139" s="1"/>
      <c r="V139" s="118"/>
      <c r="W139" s="57"/>
      <c r="X139" s="57"/>
      <c r="Y139" s="37"/>
      <c r="Z139" s="118"/>
      <c r="AA139" s="118"/>
      <c r="AB139" s="1"/>
      <c r="AC139" s="1"/>
      <c r="AD139" s="1"/>
      <c r="AE139" s="118"/>
      <c r="AF139" s="118"/>
      <c r="AG139" s="118"/>
      <c r="AH139" s="118"/>
      <c r="AI139" s="118"/>
      <c r="AJ139" s="37"/>
      <c r="AK139" s="38"/>
      <c r="AL139" s="197"/>
    </row>
    <row r="140" spans="1:38" x14ac:dyDescent="0.25">
      <c r="A140" s="385">
        <v>194</v>
      </c>
      <c r="B140" s="135"/>
      <c r="C140" s="155"/>
      <c r="D140" s="121"/>
      <c r="E140" s="118"/>
      <c r="F140" s="121"/>
      <c r="G140" s="118"/>
      <c r="H140" s="118"/>
      <c r="I140" s="37"/>
      <c r="J140" s="118"/>
      <c r="K140" s="1"/>
      <c r="L140" s="118"/>
      <c r="M140" s="118"/>
      <c r="N140" s="12"/>
      <c r="O140" s="120"/>
      <c r="P140" s="172"/>
      <c r="Q140" s="37"/>
      <c r="R140" s="131"/>
      <c r="S140" s="390"/>
      <c r="T140" s="118"/>
      <c r="U140" s="1"/>
      <c r="V140" s="118"/>
      <c r="W140" s="57"/>
      <c r="X140" s="57"/>
      <c r="Y140" s="37"/>
      <c r="Z140" s="118"/>
      <c r="AA140" s="1"/>
      <c r="AB140" s="387"/>
      <c r="AC140" s="1"/>
      <c r="AD140" s="1"/>
      <c r="AE140" s="118"/>
      <c r="AF140" s="118"/>
      <c r="AG140" s="118"/>
      <c r="AH140" s="118"/>
      <c r="AI140" s="118"/>
      <c r="AJ140" s="40"/>
      <c r="AK140" s="41"/>
      <c r="AL140" s="197"/>
    </row>
    <row r="141" spans="1:38" x14ac:dyDescent="0.25">
      <c r="A141" s="385">
        <v>195</v>
      </c>
      <c r="B141" s="131"/>
      <c r="C141" s="135"/>
      <c r="D141" s="121"/>
      <c r="E141" s="118"/>
      <c r="F141" s="121"/>
      <c r="G141" s="121"/>
      <c r="H141" s="121"/>
      <c r="I141" s="37"/>
      <c r="J141" s="121"/>
      <c r="K141" s="121"/>
      <c r="L141" s="371"/>
      <c r="M141" s="121"/>
      <c r="N141" s="121"/>
      <c r="O141" s="161"/>
      <c r="P141" s="172"/>
      <c r="Q141" s="37"/>
      <c r="R141" s="12"/>
      <c r="S141" s="118"/>
      <c r="T141" s="118"/>
      <c r="U141" s="1"/>
      <c r="V141" s="390"/>
      <c r="W141" s="57"/>
      <c r="X141" s="57"/>
      <c r="Y141" s="37"/>
      <c r="Z141" s="118"/>
      <c r="AA141" s="1"/>
      <c r="AB141" s="1"/>
      <c r="AC141" s="1"/>
      <c r="AD141" s="1"/>
      <c r="AE141" s="118"/>
      <c r="AF141" s="118"/>
      <c r="AG141" s="118"/>
      <c r="AH141" s="118"/>
      <c r="AI141" s="118"/>
      <c r="AJ141" s="37"/>
      <c r="AK141" s="38"/>
      <c r="AL141" s="197"/>
    </row>
    <row r="142" spans="1:38" x14ac:dyDescent="0.25">
      <c r="A142" s="385">
        <v>196</v>
      </c>
      <c r="B142" s="12"/>
      <c r="C142" s="155"/>
      <c r="D142" s="121"/>
      <c r="E142" s="121"/>
      <c r="F142" s="121"/>
      <c r="G142" s="121"/>
      <c r="H142" s="121"/>
      <c r="I142" s="37"/>
      <c r="J142" s="121"/>
      <c r="K142" s="120"/>
      <c r="L142" s="121"/>
      <c r="M142" s="121"/>
      <c r="N142" s="121"/>
      <c r="O142" s="390"/>
      <c r="P142" s="390"/>
      <c r="Q142" s="37"/>
      <c r="R142" s="390"/>
      <c r="S142" s="176"/>
      <c r="T142" s="1"/>
      <c r="U142" s="1"/>
      <c r="V142" s="118"/>
      <c r="W142" s="57"/>
      <c r="X142" s="57"/>
      <c r="Y142" s="37"/>
      <c r="Z142" s="118"/>
      <c r="AA142" s="118"/>
      <c r="AB142" s="1"/>
      <c r="AC142" s="1"/>
      <c r="AD142" s="1"/>
      <c r="AE142" s="118"/>
      <c r="AF142" s="118"/>
      <c r="AG142" s="118"/>
      <c r="AH142" s="118"/>
      <c r="AI142" s="118"/>
      <c r="AJ142" s="37"/>
      <c r="AK142" s="38"/>
      <c r="AL142" s="197"/>
    </row>
    <row r="143" spans="1:38" x14ac:dyDescent="0.25">
      <c r="A143" s="385">
        <v>197</v>
      </c>
      <c r="B143" s="131"/>
      <c r="C143" s="155"/>
      <c r="D143" s="155"/>
      <c r="E143" s="118"/>
      <c r="F143" s="121"/>
      <c r="G143" s="118"/>
      <c r="H143" s="121"/>
      <c r="I143" s="37"/>
      <c r="J143" s="12"/>
      <c r="K143" s="118"/>
      <c r="L143" s="121"/>
      <c r="M143" s="118"/>
      <c r="N143" s="118"/>
      <c r="O143" s="121"/>
      <c r="P143" s="172"/>
      <c r="Q143" s="37"/>
      <c r="R143" s="131"/>
      <c r="S143" s="118"/>
      <c r="T143" s="118"/>
      <c r="U143" s="1"/>
      <c r="V143" s="118"/>
      <c r="W143" s="57"/>
      <c r="X143" s="57"/>
      <c r="Y143" s="37"/>
      <c r="Z143" s="118"/>
      <c r="AA143" s="1"/>
      <c r="AB143" s="1"/>
      <c r="AC143" s="1"/>
      <c r="AD143" s="1"/>
      <c r="AE143" s="118"/>
      <c r="AF143" s="1"/>
      <c r="AG143" s="118"/>
      <c r="AH143" s="118"/>
      <c r="AI143" s="118"/>
      <c r="AJ143" s="37"/>
      <c r="AK143" s="38"/>
      <c r="AL143" s="197"/>
    </row>
    <row r="144" spans="1:38" x14ac:dyDescent="0.25">
      <c r="A144" s="385">
        <v>198</v>
      </c>
      <c r="B144" s="131"/>
      <c r="C144" s="121"/>
      <c r="D144" s="121"/>
      <c r="E144" s="121"/>
      <c r="F144" s="121"/>
      <c r="G144" s="121"/>
      <c r="H144" s="121"/>
      <c r="I144" s="37"/>
      <c r="J144" s="121"/>
      <c r="K144" s="371"/>
      <c r="L144" s="121"/>
      <c r="M144" s="121"/>
      <c r="N144" s="121"/>
      <c r="O144" s="121"/>
      <c r="P144" s="172"/>
      <c r="Q144" s="37"/>
      <c r="R144" s="131"/>
      <c r="S144" s="118"/>
      <c r="T144" s="118"/>
      <c r="U144" s="1"/>
      <c r="V144" s="118"/>
      <c r="W144" s="57"/>
      <c r="X144" s="57"/>
      <c r="Y144" s="37"/>
      <c r="Z144" s="118"/>
      <c r="AA144" s="118"/>
      <c r="AB144" s="1"/>
      <c r="AC144" s="1"/>
      <c r="AD144" s="1"/>
      <c r="AE144" s="118"/>
      <c r="AF144" s="118"/>
      <c r="AG144" s="118"/>
      <c r="AH144" s="118"/>
      <c r="AI144" s="118"/>
      <c r="AJ144" s="37"/>
      <c r="AK144" s="38"/>
      <c r="AL144" s="197"/>
    </row>
    <row r="145" spans="1:38" x14ac:dyDescent="0.25">
      <c r="A145" s="385">
        <v>199</v>
      </c>
      <c r="B145" s="131"/>
      <c r="C145" s="131"/>
      <c r="D145" s="12"/>
      <c r="E145" s="1"/>
      <c r="F145" s="118"/>
      <c r="G145" s="1"/>
      <c r="H145" s="118"/>
      <c r="I145" s="37"/>
      <c r="J145" s="118"/>
      <c r="K145" s="118"/>
      <c r="L145" s="135"/>
      <c r="M145" s="121"/>
      <c r="N145" s="121"/>
      <c r="O145" s="118"/>
      <c r="P145" s="172"/>
      <c r="Q145" s="37"/>
      <c r="R145" s="131"/>
      <c r="S145" s="118"/>
      <c r="T145" s="390"/>
      <c r="U145" s="1"/>
      <c r="V145" s="118"/>
      <c r="W145" s="57"/>
      <c r="X145" s="57"/>
      <c r="Y145" s="37"/>
      <c r="Z145" s="118"/>
      <c r="AA145" s="118"/>
      <c r="AB145" s="1"/>
      <c r="AC145" s="387"/>
      <c r="AD145" s="387"/>
      <c r="AE145" s="387"/>
      <c r="AF145" s="193"/>
      <c r="AG145" s="118"/>
      <c r="AH145" s="118"/>
      <c r="AI145" s="118"/>
      <c r="AJ145" s="37"/>
      <c r="AK145" s="38"/>
      <c r="AL145" s="197"/>
    </row>
    <row r="146" spans="1:38" x14ac:dyDescent="0.25">
      <c r="A146" s="385">
        <v>200</v>
      </c>
      <c r="B146" s="390"/>
      <c r="C146" s="390"/>
      <c r="D146" s="390"/>
      <c r="E146" s="390"/>
      <c r="F146" s="390"/>
      <c r="G146" s="390"/>
      <c r="H146" s="390"/>
      <c r="I146" s="111"/>
      <c r="J146" s="390"/>
      <c r="K146" s="390"/>
      <c r="L146" s="390"/>
      <c r="M146" s="390"/>
      <c r="N146" s="390"/>
      <c r="O146" s="390"/>
      <c r="P146" s="390"/>
      <c r="Q146" s="111"/>
      <c r="R146" s="390"/>
      <c r="S146" s="390"/>
      <c r="T146" s="390"/>
      <c r="U146" s="390"/>
      <c r="V146" s="389"/>
      <c r="W146" s="387"/>
      <c r="X146" s="387"/>
      <c r="Y146" s="111"/>
      <c r="Z146" s="387"/>
      <c r="AA146" s="387"/>
      <c r="AB146" s="387"/>
      <c r="AC146" s="387"/>
      <c r="AD146" s="387"/>
      <c r="AE146" s="387"/>
      <c r="AF146" s="387"/>
      <c r="AG146" s="387"/>
      <c r="AH146" s="387"/>
      <c r="AI146" s="387"/>
      <c r="AJ146" s="111"/>
      <c r="AK146" s="38"/>
      <c r="AL146" s="197"/>
    </row>
    <row r="147" spans="1:38" x14ac:dyDescent="0.25">
      <c r="A147" s="385">
        <v>201</v>
      </c>
      <c r="B147" s="12"/>
      <c r="C147" s="121"/>
      <c r="D147" s="121"/>
      <c r="E147" s="1"/>
      <c r="F147" s="118"/>
      <c r="G147" s="121"/>
      <c r="H147" s="118"/>
      <c r="I147" s="37"/>
      <c r="J147" s="118"/>
      <c r="K147" s="121"/>
      <c r="L147" s="121"/>
      <c r="M147" s="121"/>
      <c r="N147" s="118"/>
      <c r="O147" s="118"/>
      <c r="P147" s="172"/>
      <c r="Q147" s="37"/>
      <c r="R147" s="131"/>
      <c r="S147" s="118"/>
      <c r="T147" s="118"/>
      <c r="U147" s="1"/>
      <c r="V147" s="118"/>
      <c r="W147" s="57"/>
      <c r="X147" s="57"/>
      <c r="Y147" s="37"/>
      <c r="Z147" s="118"/>
      <c r="AA147" s="118"/>
      <c r="AB147" s="1"/>
      <c r="AC147" s="1"/>
      <c r="AD147" s="1"/>
      <c r="AE147" s="118"/>
      <c r="AF147" s="118"/>
      <c r="AG147" s="118"/>
      <c r="AH147" s="118"/>
      <c r="AI147" s="118"/>
      <c r="AJ147" s="37"/>
      <c r="AK147" s="38"/>
      <c r="AL147" s="197"/>
    </row>
    <row r="148" spans="1:38" x14ac:dyDescent="0.25">
      <c r="A148" s="385">
        <v>202</v>
      </c>
      <c r="B148" s="121"/>
      <c r="C148" s="121"/>
      <c r="D148" s="155"/>
      <c r="E148" s="1"/>
      <c r="F148" s="121"/>
      <c r="G148" s="121"/>
      <c r="H148" s="390"/>
      <c r="I148" s="37"/>
      <c r="J148" s="118"/>
      <c r="K148" s="118"/>
      <c r="L148" s="118"/>
      <c r="M148" s="121"/>
      <c r="N148" s="57"/>
      <c r="O148" s="118"/>
      <c r="P148" s="172"/>
      <c r="Q148" s="37"/>
      <c r="R148" s="131"/>
      <c r="S148" s="118"/>
      <c r="T148" s="118"/>
      <c r="U148" s="1"/>
      <c r="V148" s="118"/>
      <c r="W148" s="57"/>
      <c r="X148" s="57"/>
      <c r="Y148" s="37"/>
      <c r="Z148" s="387"/>
      <c r="AA148" s="387"/>
      <c r="AB148" s="1"/>
      <c r="AC148" s="387"/>
      <c r="AD148" s="1"/>
      <c r="AE148" s="211"/>
      <c r="AF148" s="387"/>
      <c r="AG148" s="118"/>
      <c r="AH148" s="118"/>
      <c r="AI148" s="118"/>
      <c r="AJ148" s="37"/>
      <c r="AK148" s="38"/>
      <c r="AL148" s="197"/>
    </row>
    <row r="149" spans="1:38" x14ac:dyDescent="0.25">
      <c r="A149" s="385">
        <v>203</v>
      </c>
      <c r="B149" s="390"/>
      <c r="C149" s="155"/>
      <c r="D149" s="121"/>
      <c r="E149" s="121"/>
      <c r="F149" s="121"/>
      <c r="G149" s="121"/>
      <c r="H149" s="121"/>
      <c r="I149" s="37"/>
      <c r="J149" s="121"/>
      <c r="K149" s="121"/>
      <c r="L149" s="121"/>
      <c r="M149" s="121"/>
      <c r="N149" s="121"/>
      <c r="O149" s="121"/>
      <c r="P149" s="205"/>
      <c r="Q149" s="37"/>
      <c r="R149" s="131"/>
      <c r="S149" s="1"/>
      <c r="T149" s="118"/>
      <c r="U149" s="1"/>
      <c r="V149" s="118"/>
      <c r="W149" s="57"/>
      <c r="X149" s="57"/>
      <c r="Y149" s="37"/>
      <c r="Z149" s="118"/>
      <c r="AA149" s="1"/>
      <c r="AB149" s="1"/>
      <c r="AC149" s="1"/>
      <c r="AD149" s="1"/>
      <c r="AE149" s="118"/>
      <c r="AF149" s="118"/>
      <c r="AG149" s="118"/>
      <c r="AH149" s="118"/>
      <c r="AI149" s="118"/>
      <c r="AJ149" s="37"/>
      <c r="AK149" s="38"/>
      <c r="AL149" s="197"/>
    </row>
    <row r="150" spans="1:38" x14ac:dyDescent="0.25">
      <c r="A150" s="383">
        <v>204</v>
      </c>
      <c r="B150" s="155"/>
      <c r="C150" s="155"/>
      <c r="D150" s="121"/>
      <c r="E150" s="121"/>
      <c r="F150" s="1"/>
      <c r="G150" s="121"/>
      <c r="H150" s="1"/>
      <c r="I150" s="37"/>
      <c r="J150" s="121"/>
      <c r="K150" s="118"/>
      <c r="L150" s="118"/>
      <c r="M150" s="118"/>
      <c r="N150" s="118"/>
      <c r="O150" s="120"/>
      <c r="P150" s="172"/>
      <c r="Q150" s="37"/>
      <c r="R150" s="131"/>
      <c r="S150" s="118"/>
      <c r="T150" s="118"/>
      <c r="U150" s="1"/>
      <c r="V150" s="118"/>
      <c r="W150" s="57"/>
      <c r="X150" s="57"/>
      <c r="Y150" s="37"/>
      <c r="Z150" s="118"/>
      <c r="AA150" s="118"/>
      <c r="AB150" s="1"/>
      <c r="AC150" s="1"/>
      <c r="AD150" s="1"/>
      <c r="AE150" s="118"/>
      <c r="AF150" s="118"/>
      <c r="AG150" s="118"/>
      <c r="AH150" s="118"/>
      <c r="AI150" s="118"/>
      <c r="AJ150" s="37"/>
      <c r="AK150" s="38"/>
      <c r="AL150" s="176"/>
    </row>
    <row r="151" spans="1:38" x14ac:dyDescent="0.25">
      <c r="A151" s="383">
        <v>205</v>
      </c>
      <c r="B151" s="155"/>
      <c r="C151" s="121"/>
      <c r="D151" s="121"/>
      <c r="E151" s="121"/>
      <c r="F151" s="121"/>
      <c r="G151" s="121"/>
      <c r="H151" s="121"/>
      <c r="I151" s="37"/>
      <c r="J151" s="121"/>
      <c r="K151" s="121"/>
      <c r="L151" s="121"/>
      <c r="M151" s="121"/>
      <c r="N151" s="121"/>
      <c r="O151" s="121"/>
      <c r="P151" s="172"/>
      <c r="Q151" s="37"/>
      <c r="R151" s="131"/>
      <c r="S151" s="118"/>
      <c r="T151" s="118"/>
      <c r="U151" s="1"/>
      <c r="V151" s="118"/>
      <c r="W151" s="57"/>
      <c r="X151" s="57"/>
      <c r="Y151" s="37"/>
      <c r="Z151" s="118"/>
      <c r="AA151" s="118"/>
      <c r="AB151" s="1"/>
      <c r="AC151" s="1"/>
      <c r="AD151" s="1"/>
      <c r="AE151" s="118"/>
      <c r="AF151" s="118"/>
      <c r="AG151" s="118"/>
      <c r="AH151" s="118"/>
      <c r="AI151" s="118"/>
      <c r="AJ151" s="37"/>
      <c r="AK151" s="38"/>
      <c r="AL151" s="197"/>
    </row>
    <row r="152" spans="1:38" x14ac:dyDescent="0.25">
      <c r="A152" s="383">
        <v>206</v>
      </c>
      <c r="B152" s="131"/>
      <c r="C152" s="121"/>
      <c r="D152" s="121"/>
      <c r="E152" s="118"/>
      <c r="F152" s="121"/>
      <c r="G152" s="121"/>
      <c r="H152" s="118"/>
      <c r="I152" s="37"/>
      <c r="J152" s="121"/>
      <c r="K152" s="121"/>
      <c r="L152" s="121"/>
      <c r="M152" s="121"/>
      <c r="N152" s="121"/>
      <c r="O152" s="121"/>
      <c r="P152" s="172"/>
      <c r="Q152" s="37"/>
      <c r="R152" s="12"/>
      <c r="S152" s="118"/>
      <c r="T152" s="1"/>
      <c r="U152" s="1"/>
      <c r="V152" s="118"/>
      <c r="W152" s="57"/>
      <c r="X152" s="57"/>
      <c r="Y152" s="37"/>
      <c r="Z152" s="1"/>
      <c r="AA152" s="118"/>
      <c r="AB152" s="1"/>
      <c r="AC152" s="1"/>
      <c r="AD152" s="1"/>
      <c r="AE152" s="118"/>
      <c r="AF152" s="1"/>
      <c r="AG152" s="118"/>
      <c r="AH152" s="118"/>
      <c r="AI152" s="118"/>
      <c r="AJ152" s="37"/>
      <c r="AK152" s="38"/>
      <c r="AL152" s="197"/>
    </row>
    <row r="153" spans="1:38" x14ac:dyDescent="0.25">
      <c r="A153" s="383">
        <v>207</v>
      </c>
      <c r="B153" s="155"/>
      <c r="C153" s="390"/>
      <c r="D153" s="155"/>
      <c r="E153" s="121"/>
      <c r="F153" s="121"/>
      <c r="G153" s="121"/>
      <c r="H153" s="118"/>
      <c r="I153" s="37"/>
      <c r="J153" s="121"/>
      <c r="K153" s="121"/>
      <c r="L153" s="121"/>
      <c r="M153" s="121"/>
      <c r="N153" s="121"/>
      <c r="O153" s="120"/>
      <c r="P153" s="172"/>
      <c r="Q153" s="37"/>
      <c r="R153" s="131"/>
      <c r="S153" s="118"/>
      <c r="T153" s="118"/>
      <c r="U153" s="1"/>
      <c r="V153" s="118"/>
      <c r="W153" s="57"/>
      <c r="X153" s="57"/>
      <c r="Y153" s="37"/>
      <c r="Z153" s="118"/>
      <c r="AA153" s="118"/>
      <c r="AB153" s="1"/>
      <c r="AC153" s="1"/>
      <c r="AD153" s="1"/>
      <c r="AE153" s="118"/>
      <c r="AF153" s="118"/>
      <c r="AG153" s="118"/>
      <c r="AH153" s="118"/>
      <c r="AI153" s="118"/>
      <c r="AJ153" s="37"/>
      <c r="AK153" s="38"/>
      <c r="AL153" s="197"/>
    </row>
    <row r="154" spans="1:38" x14ac:dyDescent="0.25">
      <c r="A154" s="383">
        <v>208</v>
      </c>
      <c r="B154" s="131"/>
      <c r="C154" s="135"/>
      <c r="D154" s="155"/>
      <c r="E154" s="121"/>
      <c r="F154" s="118"/>
      <c r="G154" s="118"/>
      <c r="H154" s="118"/>
      <c r="I154" s="37"/>
      <c r="J154" s="118"/>
      <c r="K154" s="118"/>
      <c r="L154" s="118"/>
      <c r="M154" s="121"/>
      <c r="N154" s="118"/>
      <c r="O154" s="118"/>
      <c r="P154" s="172"/>
      <c r="Q154" s="37"/>
      <c r="R154" s="131"/>
      <c r="S154" s="118"/>
      <c r="T154" s="118"/>
      <c r="U154" s="1"/>
      <c r="V154" s="1"/>
      <c r="W154" s="57"/>
      <c r="X154" s="57"/>
      <c r="Y154" s="37"/>
      <c r="Z154" s="118"/>
      <c r="AA154" s="118"/>
      <c r="AB154" s="1"/>
      <c r="AC154" s="1"/>
      <c r="AD154" s="1"/>
      <c r="AE154" s="118"/>
      <c r="AF154" s="118"/>
      <c r="AG154" s="118"/>
      <c r="AH154" s="118"/>
      <c r="AI154" s="118"/>
      <c r="AJ154" s="37"/>
      <c r="AK154" s="38"/>
      <c r="AL154" s="197"/>
    </row>
    <row r="155" spans="1:38" x14ac:dyDescent="0.25">
      <c r="A155" s="383">
        <v>209</v>
      </c>
      <c r="B155" s="155"/>
      <c r="C155" s="155"/>
      <c r="D155" s="121"/>
      <c r="E155" s="121"/>
      <c r="F155" s="121"/>
      <c r="G155" s="121"/>
      <c r="H155" s="121"/>
      <c r="I155" s="37"/>
      <c r="J155" s="121"/>
      <c r="K155" s="121"/>
      <c r="L155" s="121"/>
      <c r="M155" s="121"/>
      <c r="N155" s="121"/>
      <c r="O155" s="121"/>
      <c r="P155" s="205"/>
      <c r="Q155" s="37"/>
      <c r="R155" s="131"/>
      <c r="S155" s="118"/>
      <c r="T155" s="118"/>
      <c r="U155" s="1"/>
      <c r="V155" s="118"/>
      <c r="W155" s="57"/>
      <c r="X155" s="57"/>
      <c r="Y155" s="37"/>
      <c r="Z155" s="118"/>
      <c r="AA155" s="118"/>
      <c r="AB155" s="1"/>
      <c r="AC155" s="1"/>
      <c r="AD155" s="387"/>
      <c r="AE155" s="185"/>
      <c r="AF155" s="118"/>
      <c r="AG155" s="118"/>
      <c r="AH155" s="118"/>
      <c r="AI155" s="118"/>
      <c r="AJ155" s="37"/>
      <c r="AK155" s="38"/>
      <c r="AL155" s="197"/>
    </row>
    <row r="156" spans="1:38" x14ac:dyDescent="0.25">
      <c r="A156" s="383">
        <v>210</v>
      </c>
      <c r="B156" s="131"/>
      <c r="C156" s="135"/>
      <c r="D156" s="121"/>
      <c r="E156" s="121"/>
      <c r="F156" s="1"/>
      <c r="G156" s="121"/>
      <c r="H156" s="121"/>
      <c r="I156" s="37"/>
      <c r="J156" s="121"/>
      <c r="K156" s="121"/>
      <c r="L156" s="390"/>
      <c r="M156" s="121"/>
      <c r="N156" s="121"/>
      <c r="O156" s="120"/>
      <c r="P156" s="205"/>
      <c r="Q156" s="37"/>
      <c r="R156" s="131"/>
      <c r="S156" s="118"/>
      <c r="T156" s="118"/>
      <c r="U156" s="1"/>
      <c r="V156" s="118"/>
      <c r="W156" s="57"/>
      <c r="X156" s="57"/>
      <c r="Y156" s="37"/>
      <c r="Z156" s="118"/>
      <c r="AA156" s="118"/>
      <c r="AB156" s="1"/>
      <c r="AC156" s="1"/>
      <c r="AD156" s="1"/>
      <c r="AE156" s="1"/>
      <c r="AF156" s="118"/>
      <c r="AG156" s="118"/>
      <c r="AH156" s="118"/>
      <c r="AI156" s="118"/>
      <c r="AJ156" s="37"/>
      <c r="AK156" s="38"/>
      <c r="AL156" s="197"/>
    </row>
    <row r="157" spans="1:38" x14ac:dyDescent="0.25">
      <c r="A157" s="383">
        <v>211</v>
      </c>
      <c r="B157" s="155"/>
      <c r="C157" s="155"/>
      <c r="D157" s="121"/>
      <c r="E157" s="121"/>
      <c r="F157" s="118"/>
      <c r="G157" s="121"/>
      <c r="H157" s="118"/>
      <c r="I157" s="37"/>
      <c r="J157" s="121"/>
      <c r="K157" s="121"/>
      <c r="L157" s="121"/>
      <c r="M157" s="121"/>
      <c r="N157" s="121"/>
      <c r="O157" s="121"/>
      <c r="P157" s="172"/>
      <c r="Q157" s="37"/>
      <c r="R157" s="131"/>
      <c r="S157" s="118"/>
      <c r="T157" s="118"/>
      <c r="U157" s="1"/>
      <c r="V157" s="118"/>
      <c r="W157" s="57"/>
      <c r="X157" s="57"/>
      <c r="Y157" s="37"/>
      <c r="Z157" s="118"/>
      <c r="AA157" s="1"/>
      <c r="AB157" s="1"/>
      <c r="AC157" s="1"/>
      <c r="AD157" s="1"/>
      <c r="AE157" s="118"/>
      <c r="AF157" s="1"/>
      <c r="AG157" s="118"/>
      <c r="AH157" s="118"/>
      <c r="AI157" s="118"/>
      <c r="AJ157" s="37"/>
      <c r="AK157" s="38"/>
      <c r="AL157" s="197"/>
    </row>
    <row r="158" spans="1:38" x14ac:dyDescent="0.25">
      <c r="A158" s="383">
        <v>212</v>
      </c>
      <c r="B158" s="121"/>
      <c r="C158" s="155"/>
      <c r="D158" s="390"/>
      <c r="E158" s="118"/>
      <c r="F158" s="118"/>
      <c r="G158" s="118"/>
      <c r="H158" s="121"/>
      <c r="I158" s="37"/>
      <c r="J158" s="121"/>
      <c r="K158" s="121"/>
      <c r="L158" s="121"/>
      <c r="M158" s="121"/>
      <c r="N158" s="121"/>
      <c r="O158" s="120"/>
      <c r="P158" s="172"/>
      <c r="Q158" s="37"/>
      <c r="R158" s="131"/>
      <c r="S158" s="118"/>
      <c r="T158" s="118"/>
      <c r="U158" s="1"/>
      <c r="V158" s="118"/>
      <c r="W158" s="57"/>
      <c r="X158" s="57"/>
      <c r="Y158" s="37"/>
      <c r="Z158" s="118"/>
      <c r="AA158" s="118"/>
      <c r="AB158" s="1"/>
      <c r="AC158" s="1"/>
      <c r="AD158" s="1"/>
      <c r="AE158" s="118"/>
      <c r="AF158" s="118"/>
      <c r="AG158" s="118"/>
      <c r="AH158" s="118"/>
      <c r="AI158" s="118"/>
      <c r="AJ158" s="37"/>
      <c r="AK158" s="38"/>
      <c r="AL158" s="197"/>
    </row>
    <row r="159" spans="1:38" ht="18.75" x14ac:dyDescent="0.3">
      <c r="A159" s="383">
        <v>213</v>
      </c>
      <c r="B159" s="135"/>
      <c r="C159" s="121"/>
      <c r="D159" s="121"/>
      <c r="E159" s="121"/>
      <c r="F159" s="118"/>
      <c r="G159" s="121"/>
      <c r="H159" s="121"/>
      <c r="I159" s="37"/>
      <c r="J159" s="121"/>
      <c r="K159" s="121"/>
      <c r="L159" s="121"/>
      <c r="M159" s="121"/>
      <c r="N159" s="121"/>
      <c r="O159" s="120"/>
      <c r="P159" s="172"/>
      <c r="Q159" s="37"/>
      <c r="R159" s="131"/>
      <c r="S159" s="118"/>
      <c r="T159" s="118"/>
      <c r="U159" s="1"/>
      <c r="V159" s="118"/>
      <c r="W159" s="57"/>
      <c r="X159" s="57"/>
      <c r="Y159" s="37"/>
      <c r="Z159" s="1"/>
      <c r="AA159" s="118"/>
      <c r="AB159" s="1"/>
      <c r="AC159" s="1"/>
      <c r="AD159" s="1"/>
      <c r="AE159" s="118"/>
      <c r="AF159" s="118"/>
      <c r="AG159" s="118"/>
      <c r="AH159" s="118"/>
      <c r="AI159" s="118"/>
      <c r="AJ159" s="37"/>
      <c r="AK159" s="339"/>
      <c r="AL159" s="197"/>
    </row>
    <row r="160" spans="1:38" ht="18.75" x14ac:dyDescent="0.3">
      <c r="A160" s="383">
        <v>214</v>
      </c>
      <c r="B160" s="131"/>
      <c r="C160" s="121"/>
      <c r="D160" s="121"/>
      <c r="E160" s="121"/>
      <c r="F160" s="121"/>
      <c r="G160" s="121"/>
      <c r="H160" s="121"/>
      <c r="I160" s="37"/>
      <c r="J160" s="121"/>
      <c r="K160" s="1"/>
      <c r="L160" s="121"/>
      <c r="M160" s="121"/>
      <c r="N160" s="121"/>
      <c r="O160" s="390"/>
      <c r="P160" s="172"/>
      <c r="Q160" s="37"/>
      <c r="R160" s="131"/>
      <c r="S160" s="118"/>
      <c r="T160" s="118"/>
      <c r="U160" s="1"/>
      <c r="V160" s="118"/>
      <c r="W160" s="57"/>
      <c r="X160" s="57"/>
      <c r="Y160" s="37"/>
      <c r="Z160" s="118"/>
      <c r="AA160" s="118"/>
      <c r="AB160" s="1"/>
      <c r="AC160" s="1"/>
      <c r="AD160" s="1"/>
      <c r="AE160" s="118"/>
      <c r="AF160" s="118"/>
      <c r="AG160" s="118"/>
      <c r="AH160" s="118"/>
      <c r="AI160" s="118"/>
      <c r="AJ160" s="37"/>
      <c r="AK160" s="339"/>
      <c r="AL160" s="197"/>
    </row>
    <row r="161" spans="1:38" ht="18.75" x14ac:dyDescent="0.3">
      <c r="A161" s="383">
        <v>215</v>
      </c>
      <c r="B161" s="131"/>
      <c r="C161" s="135"/>
      <c r="D161" s="121"/>
      <c r="E161" s="121"/>
      <c r="F161" s="118"/>
      <c r="G161" s="121"/>
      <c r="H161" s="121"/>
      <c r="I161" s="37"/>
      <c r="J161" s="121"/>
      <c r="K161" s="121"/>
      <c r="L161" s="121"/>
      <c r="M161" s="121"/>
      <c r="N161" s="121"/>
      <c r="O161" s="121"/>
      <c r="P161" s="172"/>
      <c r="Q161" s="37"/>
      <c r="R161" s="131"/>
      <c r="S161" s="118"/>
      <c r="T161" s="118"/>
      <c r="U161" s="1"/>
      <c r="V161" s="118"/>
      <c r="W161" s="57"/>
      <c r="X161" s="57"/>
      <c r="Y161" s="37"/>
      <c r="Z161" s="118"/>
      <c r="AA161" s="1"/>
      <c r="AB161" s="1"/>
      <c r="AC161" s="1"/>
      <c r="AD161" s="1"/>
      <c r="AE161" s="118"/>
      <c r="AF161" s="118"/>
      <c r="AG161" s="118"/>
      <c r="AH161" s="118"/>
      <c r="AI161" s="118"/>
      <c r="AJ161" s="37"/>
      <c r="AK161" s="339"/>
      <c r="AL161" s="197"/>
    </row>
    <row r="162" spans="1:38" ht="15.75" thickBot="1" x14ac:dyDescent="0.3">
      <c r="A162" s="384">
        <v>216</v>
      </c>
      <c r="B162" s="152"/>
      <c r="C162" s="171"/>
      <c r="D162" s="128"/>
      <c r="E162" s="128"/>
      <c r="F162" s="128"/>
      <c r="G162" s="390"/>
      <c r="H162" s="128"/>
      <c r="I162" s="43"/>
      <c r="J162" s="128"/>
      <c r="K162" s="390"/>
      <c r="L162" s="390"/>
      <c r="M162" s="390"/>
      <c r="N162" s="128"/>
      <c r="O162" s="122"/>
      <c r="P162" s="206"/>
      <c r="Q162" s="43"/>
      <c r="R162" s="152"/>
      <c r="S162" s="119"/>
      <c r="T162" s="119"/>
      <c r="U162" s="123"/>
      <c r="V162" s="119"/>
      <c r="W162" s="178"/>
      <c r="X162" s="178"/>
      <c r="Y162" s="43"/>
      <c r="Z162" s="387"/>
      <c r="AA162" s="119"/>
      <c r="AB162" s="123"/>
      <c r="AC162" s="123"/>
      <c r="AD162" s="123"/>
      <c r="AE162" s="119"/>
      <c r="AF162" s="119"/>
      <c r="AG162" s="119"/>
      <c r="AH162" s="119"/>
      <c r="AI162" s="119"/>
      <c r="AJ162" s="43"/>
      <c r="AK162" s="44"/>
      <c r="AL162" s="204"/>
    </row>
    <row r="163" spans="1:38" ht="18.75" x14ac:dyDescent="0.3">
      <c r="A163" s="281" t="s">
        <v>2</v>
      </c>
      <c r="B163" s="163"/>
      <c r="C163" s="163"/>
      <c r="D163" s="163"/>
      <c r="E163" s="163"/>
      <c r="F163" s="163"/>
      <c r="G163" s="163"/>
      <c r="H163" s="163"/>
      <c r="I163" s="158"/>
      <c r="J163" s="163"/>
      <c r="K163" s="163"/>
      <c r="L163" s="163"/>
      <c r="M163" s="163"/>
      <c r="N163" s="163"/>
      <c r="O163" s="163"/>
      <c r="P163" s="163"/>
      <c r="Q163" s="221"/>
      <c r="R163" s="163"/>
      <c r="S163" s="163"/>
      <c r="T163" s="163"/>
      <c r="U163" s="163"/>
      <c r="V163" s="163"/>
      <c r="W163" s="163"/>
      <c r="X163" s="163"/>
      <c r="Y163" s="221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262"/>
      <c r="AK163" s="263"/>
      <c r="AL163" s="235"/>
    </row>
    <row r="164" spans="1:38" ht="15.75" thickBot="1" x14ac:dyDescent="0.3">
      <c r="A164" s="264"/>
      <c r="B164" s="265"/>
      <c r="C164" s="265"/>
      <c r="D164" s="265"/>
      <c r="E164" s="265"/>
      <c r="F164" s="265"/>
      <c r="G164" s="265"/>
      <c r="H164" s="265"/>
      <c r="I164" s="56"/>
      <c r="J164" s="265"/>
      <c r="K164" s="265"/>
      <c r="L164" s="265"/>
      <c r="M164" s="265"/>
      <c r="N164" s="265"/>
      <c r="O164" s="265"/>
      <c r="P164" s="265"/>
      <c r="Q164" s="56"/>
      <c r="R164" s="265"/>
      <c r="S164" s="265"/>
      <c r="T164" s="265"/>
      <c r="U164" s="265"/>
      <c r="V164" s="265"/>
      <c r="W164" s="265"/>
      <c r="X164" s="265"/>
      <c r="Y164" s="56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56"/>
      <c r="AK164" s="225"/>
      <c r="AL164" s="228"/>
    </row>
    <row r="165" spans="1:38" ht="24" thickBot="1" x14ac:dyDescent="0.4">
      <c r="A165" s="252" t="s">
        <v>225</v>
      </c>
      <c r="B165" s="258"/>
      <c r="C165" s="258"/>
      <c r="D165" s="258"/>
      <c r="E165" s="258"/>
      <c r="F165" s="258"/>
      <c r="G165" s="254"/>
      <c r="H165" s="254"/>
      <c r="I165" s="259"/>
      <c r="J165" s="259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60"/>
      <c r="AK165" s="261"/>
      <c r="AL165" s="255"/>
    </row>
    <row r="166" spans="1:38" ht="15.75" x14ac:dyDescent="0.25">
      <c r="A166" s="320" t="s">
        <v>8</v>
      </c>
      <c r="B166" s="326"/>
      <c r="C166" s="326"/>
      <c r="D166" s="326"/>
      <c r="E166" s="326"/>
      <c r="F166" s="326"/>
      <c r="G166" s="326"/>
      <c r="H166" s="326"/>
      <c r="I166" s="323"/>
      <c r="J166" s="326"/>
      <c r="K166" s="326"/>
      <c r="L166" s="326"/>
      <c r="M166" s="326"/>
      <c r="N166" s="326"/>
      <c r="O166" s="326"/>
      <c r="P166" s="326"/>
      <c r="Q166" s="323"/>
      <c r="R166" s="326"/>
      <c r="S166" s="326"/>
      <c r="T166" s="326"/>
      <c r="U166" s="326"/>
      <c r="V166" s="326"/>
      <c r="W166" s="326"/>
      <c r="X166" s="326"/>
      <c r="Y166" s="323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4"/>
      <c r="AK166" s="325"/>
      <c r="AL166" s="327"/>
    </row>
    <row r="167" spans="1:38" x14ac:dyDescent="0.25">
      <c r="A167" s="67" t="s">
        <v>9</v>
      </c>
      <c r="B167" s="1"/>
      <c r="C167" s="1"/>
      <c r="D167" s="1"/>
      <c r="E167" s="1"/>
      <c r="F167" s="1"/>
      <c r="G167" s="1"/>
      <c r="H167" s="1"/>
      <c r="I167" s="36"/>
      <c r="J167" s="1"/>
      <c r="K167" s="1"/>
      <c r="L167" s="173"/>
      <c r="M167" s="1"/>
      <c r="N167" s="1"/>
      <c r="O167" s="1"/>
      <c r="P167" s="1"/>
      <c r="Q167" s="36"/>
      <c r="R167" s="1"/>
      <c r="S167" s="1"/>
      <c r="T167" s="1"/>
      <c r="U167" s="1"/>
      <c r="V167" s="173"/>
      <c r="W167" s="173"/>
      <c r="X167" s="173"/>
      <c r="Y167" s="36"/>
      <c r="Z167" s="1"/>
      <c r="AA167" s="1"/>
      <c r="AB167" s="173"/>
      <c r="AC167" s="173"/>
      <c r="AD167" s="173"/>
      <c r="AE167" s="1"/>
      <c r="AF167" s="1"/>
      <c r="AG167" s="1"/>
      <c r="AH167" s="1"/>
      <c r="AI167" s="1"/>
      <c r="AJ167" s="37"/>
      <c r="AK167" s="38"/>
      <c r="AL167" s="197"/>
    </row>
    <row r="168" spans="1:38" x14ac:dyDescent="0.25">
      <c r="A168" s="67" t="s">
        <v>10</v>
      </c>
      <c r="B168" s="118"/>
      <c r="C168" s="118"/>
      <c r="D168" s="118"/>
      <c r="E168" s="118"/>
      <c r="F168" s="118"/>
      <c r="G168" s="118"/>
      <c r="H168" s="118"/>
      <c r="I168" s="37"/>
      <c r="J168" s="2"/>
      <c r="K168" s="2"/>
      <c r="L168" s="211"/>
      <c r="M168" s="2"/>
      <c r="N168" s="2"/>
      <c r="O168" s="2"/>
      <c r="P168" s="336"/>
      <c r="Q168" s="37"/>
      <c r="R168" s="118"/>
      <c r="S168" s="118"/>
      <c r="T168" s="118"/>
      <c r="U168" s="2"/>
      <c r="V168" s="211"/>
      <c r="W168" s="211"/>
      <c r="X168" s="211"/>
      <c r="Y168" s="37"/>
      <c r="Z168" s="118"/>
      <c r="AA168" s="118"/>
      <c r="AB168" s="211"/>
      <c r="AC168" s="211"/>
      <c r="AD168" s="211"/>
      <c r="AE168" s="2"/>
      <c r="AF168" s="2"/>
      <c r="AG168" s="2"/>
      <c r="AH168" s="2"/>
      <c r="AI168" s="2"/>
      <c r="AJ168" s="37"/>
      <c r="AK168" s="38"/>
      <c r="AL168" s="197"/>
    </row>
    <row r="169" spans="1:38" ht="18.75" x14ac:dyDescent="0.3">
      <c r="A169" s="67" t="s">
        <v>45</v>
      </c>
      <c r="B169" s="118"/>
      <c r="C169" s="118"/>
      <c r="D169" s="118"/>
      <c r="E169" s="118"/>
      <c r="F169" s="118"/>
      <c r="G169" s="118"/>
      <c r="H169" s="118"/>
      <c r="I169" s="37"/>
      <c r="J169" s="2"/>
      <c r="K169" s="2"/>
      <c r="L169" s="211"/>
      <c r="M169" s="2"/>
      <c r="N169" s="2"/>
      <c r="O169" s="2"/>
      <c r="P169" s="336"/>
      <c r="Q169" s="37"/>
      <c r="R169" s="118"/>
      <c r="S169" s="118"/>
      <c r="T169" s="118"/>
      <c r="U169" s="2"/>
      <c r="V169" s="211"/>
      <c r="W169" s="211"/>
      <c r="X169" s="211"/>
      <c r="Y169" s="37"/>
      <c r="Z169" s="118"/>
      <c r="AA169" s="118"/>
      <c r="AB169" s="211"/>
      <c r="AC169" s="211"/>
      <c r="AD169" s="211"/>
      <c r="AE169" s="2"/>
      <c r="AF169" s="2"/>
      <c r="AG169" s="2"/>
      <c r="AH169" s="2"/>
      <c r="AI169" s="2"/>
      <c r="AJ169" s="37"/>
      <c r="AK169" s="339"/>
      <c r="AL169" s="197"/>
    </row>
    <row r="170" spans="1:38" ht="18.75" x14ac:dyDescent="0.3">
      <c r="A170" s="67" t="s">
        <v>11</v>
      </c>
      <c r="B170" s="118"/>
      <c r="C170" s="118"/>
      <c r="D170" s="118"/>
      <c r="E170" s="118"/>
      <c r="F170" s="118"/>
      <c r="G170" s="118"/>
      <c r="H170" s="118"/>
      <c r="I170" s="37"/>
      <c r="J170" s="2"/>
      <c r="K170" s="118"/>
      <c r="L170" s="211"/>
      <c r="M170" s="118"/>
      <c r="N170" s="118"/>
      <c r="O170" s="2"/>
      <c r="P170" s="1"/>
      <c r="Q170" s="37"/>
      <c r="R170" s="118"/>
      <c r="S170" s="118"/>
      <c r="T170" s="118"/>
      <c r="U170" s="2"/>
      <c r="V170" s="211"/>
      <c r="W170" s="211"/>
      <c r="X170" s="211"/>
      <c r="Y170" s="37"/>
      <c r="Z170" s="118"/>
      <c r="AA170" s="118"/>
      <c r="AB170" s="211"/>
      <c r="AC170" s="211"/>
      <c r="AD170" s="211"/>
      <c r="AE170" s="1"/>
      <c r="AF170" s="2"/>
      <c r="AG170" s="2"/>
      <c r="AH170" s="2"/>
      <c r="AI170" s="2"/>
      <c r="AJ170" s="37"/>
      <c r="AK170" s="339"/>
      <c r="AL170" s="197"/>
    </row>
    <row r="171" spans="1:38" ht="18.75" x14ac:dyDescent="0.3">
      <c r="A171" s="67" t="s">
        <v>12</v>
      </c>
      <c r="B171" s="118"/>
      <c r="C171" s="118"/>
      <c r="D171" s="118"/>
      <c r="E171" s="118"/>
      <c r="F171" s="118"/>
      <c r="G171" s="118"/>
      <c r="H171" s="118"/>
      <c r="I171" s="37"/>
      <c r="J171" s="118"/>
      <c r="K171" s="118"/>
      <c r="L171" s="211"/>
      <c r="M171" s="2"/>
      <c r="N171" s="2"/>
      <c r="O171" s="118"/>
      <c r="P171" s="1"/>
      <c r="Q171" s="37"/>
      <c r="R171" s="118"/>
      <c r="S171" s="118"/>
      <c r="T171" s="118"/>
      <c r="U171" s="1"/>
      <c r="V171" s="211"/>
      <c r="W171" s="211"/>
      <c r="X171" s="211"/>
      <c r="Y171" s="37"/>
      <c r="Z171" s="118"/>
      <c r="AA171" s="118"/>
      <c r="AB171" s="211"/>
      <c r="AC171" s="211"/>
      <c r="AD171" s="211"/>
      <c r="AE171" s="2"/>
      <c r="AF171" s="1"/>
      <c r="AG171" s="2"/>
      <c r="AH171" s="2"/>
      <c r="AI171" s="2"/>
      <c r="AJ171" s="37"/>
      <c r="AK171" s="339"/>
      <c r="AL171" s="197"/>
    </row>
    <row r="172" spans="1:38" ht="15.75" thickBot="1" x14ac:dyDescent="0.3">
      <c r="A172" s="63" t="s">
        <v>79</v>
      </c>
      <c r="B172" s="119"/>
      <c r="C172" s="123"/>
      <c r="D172" s="119"/>
      <c r="E172" s="119"/>
      <c r="F172" s="119"/>
      <c r="G172" s="119"/>
      <c r="H172" s="119"/>
      <c r="I172" s="43"/>
      <c r="J172" s="119"/>
      <c r="K172" s="119"/>
      <c r="L172" s="200"/>
      <c r="M172" s="119"/>
      <c r="N172" s="119"/>
      <c r="O172" s="42"/>
      <c r="P172" s="123"/>
      <c r="Q172" s="43"/>
      <c r="R172" s="119"/>
      <c r="S172" s="119"/>
      <c r="T172" s="119"/>
      <c r="U172" s="42"/>
      <c r="V172" s="200"/>
      <c r="W172" s="200"/>
      <c r="X172" s="200"/>
      <c r="Y172" s="43"/>
      <c r="Z172" s="119"/>
      <c r="AA172" s="119"/>
      <c r="AB172" s="200"/>
      <c r="AC172" s="200"/>
      <c r="AD172" s="200"/>
      <c r="AE172" s="119"/>
      <c r="AF172" s="42"/>
      <c r="AG172" s="42"/>
      <c r="AH172" s="42"/>
      <c r="AI172" s="42"/>
      <c r="AJ172" s="43"/>
      <c r="AK172" s="44"/>
      <c r="AL172" s="204"/>
    </row>
    <row r="173" spans="1:38" ht="19.5" thickBot="1" x14ac:dyDescent="0.35">
      <c r="A173" s="281" t="s">
        <v>2</v>
      </c>
      <c r="B173" s="241"/>
      <c r="C173" s="241"/>
      <c r="D173" s="241"/>
      <c r="E173" s="241"/>
      <c r="F173" s="241"/>
      <c r="G173" s="241"/>
      <c r="H173" s="241"/>
      <c r="I173" s="221"/>
      <c r="J173" s="241"/>
      <c r="K173" s="241"/>
      <c r="L173" s="241"/>
      <c r="M173" s="241"/>
      <c r="N173" s="191"/>
      <c r="O173" s="191"/>
      <c r="P173" s="241"/>
      <c r="Q173" s="221"/>
      <c r="R173" s="241"/>
      <c r="S173" s="241"/>
      <c r="T173" s="241"/>
      <c r="U173" s="241"/>
      <c r="V173" s="241"/>
      <c r="W173" s="241"/>
      <c r="X173" s="241"/>
      <c r="Y173" s="221"/>
      <c r="Z173" s="241"/>
      <c r="AA173" s="191"/>
      <c r="AB173" s="241"/>
      <c r="AC173" s="241"/>
      <c r="AD173" s="241"/>
      <c r="AE173" s="241"/>
      <c r="AF173" s="241"/>
      <c r="AG173" s="191"/>
      <c r="AH173" s="191"/>
      <c r="AI173" s="191"/>
      <c r="AJ173" s="262"/>
      <c r="AK173" s="263"/>
      <c r="AL173" s="284"/>
    </row>
    <row r="174" spans="1:38" ht="15.75" thickBot="1" x14ac:dyDescent="0.3">
      <c r="A174" s="264"/>
      <c r="B174" s="348"/>
      <c r="C174" s="348"/>
      <c r="D174" s="348"/>
      <c r="E174" s="348"/>
      <c r="F174" s="348"/>
      <c r="G174" s="348"/>
      <c r="H174" s="348"/>
      <c r="I174" s="56"/>
      <c r="J174" s="348"/>
      <c r="K174" s="348"/>
      <c r="L174" s="348"/>
      <c r="M174" s="348"/>
      <c r="N174" s="348"/>
      <c r="O174" s="348"/>
      <c r="P174" s="348"/>
      <c r="Q174" s="56"/>
      <c r="R174" s="348"/>
      <c r="S174" s="348"/>
      <c r="T174" s="348"/>
      <c r="U174" s="348"/>
      <c r="V174" s="348"/>
      <c r="W174" s="348"/>
      <c r="X174" s="348"/>
      <c r="Y174" s="56"/>
      <c r="Z174" s="348"/>
      <c r="AA174" s="348"/>
      <c r="AB174" s="348"/>
      <c r="AC174" s="348"/>
      <c r="AD174" s="348"/>
      <c r="AE174" s="348"/>
      <c r="AF174" s="348"/>
      <c r="AG174" s="348"/>
      <c r="AH174" s="348"/>
      <c r="AI174" s="348"/>
      <c r="AJ174" s="56"/>
      <c r="AK174" s="225"/>
      <c r="AL174" s="228"/>
    </row>
    <row r="175" spans="1:38" ht="25.5" customHeight="1" thickBot="1" x14ac:dyDescent="0.4">
      <c r="A175" s="252" t="s">
        <v>227</v>
      </c>
      <c r="B175" s="258"/>
      <c r="C175" s="258"/>
      <c r="D175" s="258"/>
      <c r="E175" s="258"/>
      <c r="F175" s="258"/>
      <c r="G175" s="254"/>
      <c r="H175" s="254"/>
      <c r="I175" s="259"/>
      <c r="J175" s="259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60"/>
      <c r="AK175" s="261"/>
      <c r="AL175" s="260"/>
    </row>
    <row r="176" spans="1:38" ht="15.75" x14ac:dyDescent="0.25">
      <c r="A176" s="320" t="s">
        <v>8</v>
      </c>
      <c r="B176" s="326"/>
      <c r="C176" s="326"/>
      <c r="D176" s="326"/>
      <c r="E176" s="326"/>
      <c r="F176" s="326"/>
      <c r="G176" s="326"/>
      <c r="H176" s="326"/>
      <c r="I176" s="323"/>
      <c r="J176" s="326"/>
      <c r="K176" s="326"/>
      <c r="L176" s="326"/>
      <c r="M176" s="326"/>
      <c r="N176" s="326"/>
      <c r="O176" s="326"/>
      <c r="P176" s="326"/>
      <c r="Q176" s="323"/>
      <c r="R176" s="326"/>
      <c r="S176" s="326"/>
      <c r="T176" s="326"/>
      <c r="U176" s="326"/>
      <c r="V176" s="326"/>
      <c r="W176" s="326"/>
      <c r="X176" s="326"/>
      <c r="Y176" s="323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4"/>
      <c r="AK176" s="325"/>
      <c r="AL176" s="327"/>
    </row>
    <row r="177" spans="1:38" ht="18.75" x14ac:dyDescent="0.3">
      <c r="A177" s="67" t="s">
        <v>29</v>
      </c>
      <c r="B177" s="118"/>
      <c r="C177" s="118"/>
      <c r="D177" s="118"/>
      <c r="E177" s="118"/>
      <c r="F177" s="118"/>
      <c r="G177" s="118"/>
      <c r="H177" s="118"/>
      <c r="I177" s="37"/>
      <c r="J177" s="118"/>
      <c r="K177" s="118"/>
      <c r="L177" s="161"/>
      <c r="M177" s="118"/>
      <c r="N177" s="118"/>
      <c r="O177" s="2"/>
      <c r="P177" s="2"/>
      <c r="Q177" s="37"/>
      <c r="R177" s="161"/>
      <c r="S177" s="118"/>
      <c r="T177" s="118"/>
      <c r="U177" s="118"/>
      <c r="V177" s="118"/>
      <c r="W177" s="57"/>
      <c r="X177" s="57"/>
      <c r="Y177" s="37"/>
      <c r="Z177" s="118"/>
      <c r="AA177" s="118"/>
      <c r="AB177" s="161"/>
      <c r="AC177" s="161"/>
      <c r="AD177" s="161"/>
      <c r="AE177" s="2"/>
      <c r="AF177" s="2"/>
      <c r="AG177" s="2"/>
      <c r="AH177" s="2"/>
      <c r="AI177" s="2"/>
      <c r="AJ177" s="37"/>
      <c r="AK177" s="339"/>
      <c r="AL177" s="197"/>
    </row>
    <row r="178" spans="1:38" ht="18.75" x14ac:dyDescent="0.3">
      <c r="A178" s="67" t="s">
        <v>13</v>
      </c>
      <c r="B178" s="118"/>
      <c r="C178" s="1"/>
      <c r="D178" s="118"/>
      <c r="E178" s="118"/>
      <c r="F178" s="118"/>
      <c r="G178" s="118"/>
      <c r="H178" s="118"/>
      <c r="I178" s="37"/>
      <c r="J178" s="2"/>
      <c r="K178" s="2"/>
      <c r="L178" s="161"/>
      <c r="M178" s="2"/>
      <c r="N178" s="2"/>
      <c r="O178" s="118"/>
      <c r="P178" s="118"/>
      <c r="Q178" s="37"/>
      <c r="R178" s="161"/>
      <c r="S178" s="2"/>
      <c r="T178" s="2"/>
      <c r="U178" s="2"/>
      <c r="V178" s="2"/>
      <c r="W178" s="57"/>
      <c r="X178" s="57"/>
      <c r="Y178" s="37"/>
      <c r="Z178" s="2"/>
      <c r="AA178" s="2"/>
      <c r="AB178" s="161"/>
      <c r="AC178" s="161"/>
      <c r="AD178" s="161"/>
      <c r="AE178" s="1"/>
      <c r="AF178" s="118"/>
      <c r="AG178" s="2"/>
      <c r="AH178" s="2"/>
      <c r="AI178" s="2"/>
      <c r="AJ178" s="37"/>
      <c r="AK178" s="339"/>
      <c r="AL178" s="197"/>
    </row>
    <row r="179" spans="1:38" ht="18.75" x14ac:dyDescent="0.3">
      <c r="A179" s="63" t="s">
        <v>14</v>
      </c>
      <c r="B179" s="119"/>
      <c r="C179" s="119"/>
      <c r="D179" s="119"/>
      <c r="E179" s="119"/>
      <c r="F179" s="119"/>
      <c r="G179" s="119"/>
      <c r="H179" s="119"/>
      <c r="I179" s="43"/>
      <c r="J179" s="42"/>
      <c r="K179" s="42"/>
      <c r="L179" s="177"/>
      <c r="M179" s="42"/>
      <c r="N179" s="42"/>
      <c r="O179" s="42"/>
      <c r="P179" s="42"/>
      <c r="Q179" s="43"/>
      <c r="R179" s="177"/>
      <c r="S179" s="42"/>
      <c r="T179" s="42"/>
      <c r="U179" s="42"/>
      <c r="V179" s="42"/>
      <c r="W179" s="178"/>
      <c r="X179" s="178"/>
      <c r="Y179" s="43"/>
      <c r="Z179" s="42"/>
      <c r="AA179" s="42"/>
      <c r="AB179" s="177"/>
      <c r="AC179" s="177"/>
      <c r="AD179" s="177"/>
      <c r="AE179" s="42"/>
      <c r="AF179" s="42"/>
      <c r="AG179" s="42"/>
      <c r="AH179" s="42"/>
      <c r="AI179" s="42"/>
      <c r="AJ179" s="43"/>
      <c r="AK179" s="342"/>
      <c r="AL179" s="204"/>
    </row>
    <row r="180" spans="1:38" ht="19.5" thickBot="1" x14ac:dyDescent="0.35">
      <c r="A180" s="349"/>
      <c r="B180" s="175"/>
      <c r="C180" s="175"/>
      <c r="D180" s="175"/>
      <c r="E180" s="175"/>
      <c r="F180" s="175"/>
      <c r="G180" s="175"/>
      <c r="H180" s="175"/>
      <c r="I180" s="127"/>
      <c r="J180" s="245"/>
      <c r="K180" s="245"/>
      <c r="L180" s="175"/>
      <c r="M180" s="245"/>
      <c r="N180" s="245"/>
      <c r="O180" s="245"/>
      <c r="P180" s="245"/>
      <c r="Q180" s="45"/>
      <c r="R180" s="175"/>
      <c r="S180" s="245"/>
      <c r="T180" s="245"/>
      <c r="U180" s="245"/>
      <c r="V180" s="245"/>
      <c r="W180" s="175"/>
      <c r="X180" s="175"/>
      <c r="Y180" s="45"/>
      <c r="Z180" s="245"/>
      <c r="AA180" s="245"/>
      <c r="AB180" s="438"/>
      <c r="AC180" s="438"/>
      <c r="AD180" s="438"/>
      <c r="AE180" s="245"/>
      <c r="AF180" s="245"/>
      <c r="AG180" s="245"/>
      <c r="AH180" s="245"/>
      <c r="AI180" s="245"/>
      <c r="AJ180" s="43"/>
      <c r="AK180" s="293"/>
      <c r="AL180" s="204"/>
    </row>
    <row r="181" spans="1:38" ht="18.75" x14ac:dyDescent="0.3">
      <c r="A181" s="281" t="s">
        <v>2</v>
      </c>
      <c r="B181" s="163"/>
      <c r="C181" s="163"/>
      <c r="D181" s="163"/>
      <c r="E181" s="163"/>
      <c r="F181" s="163"/>
      <c r="G181" s="163"/>
      <c r="H181" s="163"/>
      <c r="I181" s="221"/>
      <c r="J181" s="163"/>
      <c r="K181" s="163"/>
      <c r="L181" s="163"/>
      <c r="M181" s="163"/>
      <c r="N181" s="163"/>
      <c r="O181" s="163"/>
      <c r="P181" s="163"/>
      <c r="Q181" s="221"/>
      <c r="R181" s="163"/>
      <c r="S181" s="163"/>
      <c r="T181" s="163"/>
      <c r="U181" s="163"/>
      <c r="V181" s="163"/>
      <c r="W181" s="163"/>
      <c r="X181" s="163"/>
      <c r="Y181" s="221"/>
      <c r="Z181" s="163"/>
      <c r="AA181" s="163"/>
      <c r="AB181" s="163"/>
      <c r="AC181" s="163"/>
      <c r="AD181" s="163"/>
      <c r="AE181" s="163"/>
      <c r="AF181" s="163"/>
      <c r="AG181" s="50"/>
      <c r="AH181" s="50"/>
      <c r="AI181" s="50"/>
      <c r="AJ181" s="262"/>
      <c r="AK181" s="263"/>
      <c r="AL181" s="235"/>
    </row>
    <row r="182" spans="1:38" ht="15.75" thickBot="1" x14ac:dyDescent="0.3">
      <c r="A182" s="264"/>
      <c r="B182" s="265"/>
      <c r="C182" s="265"/>
      <c r="D182" s="265"/>
      <c r="E182" s="265"/>
      <c r="F182" s="265"/>
      <c r="G182" s="265"/>
      <c r="H182" s="265"/>
      <c r="I182" s="56"/>
      <c r="J182" s="265"/>
      <c r="K182" s="265"/>
      <c r="L182" s="265"/>
      <c r="M182" s="265"/>
      <c r="N182" s="265"/>
      <c r="O182" s="265"/>
      <c r="P182" s="265"/>
      <c r="Q182" s="56"/>
      <c r="R182" s="265"/>
      <c r="S182" s="265"/>
      <c r="T182" s="265"/>
      <c r="U182" s="265"/>
      <c r="V182" s="265"/>
      <c r="W182" s="265"/>
      <c r="X182" s="265"/>
      <c r="Y182" s="56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56"/>
      <c r="AK182" s="225"/>
      <c r="AL182" s="228"/>
    </row>
    <row r="183" spans="1:38" ht="24" thickBot="1" x14ac:dyDescent="0.4">
      <c r="A183" s="252" t="s">
        <v>226</v>
      </c>
      <c r="B183" s="258"/>
      <c r="C183" s="258"/>
      <c r="D183" s="258"/>
      <c r="E183" s="258"/>
      <c r="F183" s="258"/>
      <c r="G183" s="254"/>
      <c r="H183" s="254"/>
      <c r="I183" s="259"/>
      <c r="J183" s="259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60"/>
      <c r="AK183" s="261"/>
      <c r="AL183" s="260"/>
    </row>
    <row r="184" spans="1:38" ht="15.75" x14ac:dyDescent="0.25">
      <c r="A184" s="320" t="s">
        <v>8</v>
      </c>
      <c r="B184" s="326"/>
      <c r="C184" s="326"/>
      <c r="D184" s="326"/>
      <c r="E184" s="326"/>
      <c r="F184" s="326"/>
      <c r="G184" s="326"/>
      <c r="H184" s="326"/>
      <c r="I184" s="323"/>
      <c r="J184" s="326"/>
      <c r="K184" s="326"/>
      <c r="L184" s="326"/>
      <c r="M184" s="326"/>
      <c r="N184" s="326"/>
      <c r="O184" s="326"/>
      <c r="P184" s="326"/>
      <c r="Q184" s="323"/>
      <c r="R184" s="326"/>
      <c r="S184" s="326"/>
      <c r="T184" s="326"/>
      <c r="U184" s="326"/>
      <c r="V184" s="326"/>
      <c r="W184" s="326"/>
      <c r="X184" s="326"/>
      <c r="Y184" s="323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4"/>
      <c r="AK184" s="325"/>
      <c r="AL184" s="327"/>
    </row>
    <row r="185" spans="1:38" x14ac:dyDescent="0.25">
      <c r="A185" s="67" t="s">
        <v>32</v>
      </c>
      <c r="B185" s="118"/>
      <c r="C185" s="118"/>
      <c r="D185" s="1"/>
      <c r="E185" s="1"/>
      <c r="F185" s="118"/>
      <c r="G185" s="118"/>
      <c r="H185" s="118"/>
      <c r="I185" s="37"/>
      <c r="J185" s="118"/>
      <c r="K185" s="2"/>
      <c r="L185" s="1"/>
      <c r="M185" s="1"/>
      <c r="N185" s="1"/>
      <c r="O185" s="2"/>
      <c r="P185" s="2"/>
      <c r="Q185" s="37"/>
      <c r="R185" s="161"/>
      <c r="S185" s="2"/>
      <c r="T185" s="2"/>
      <c r="U185" s="2"/>
      <c r="V185" s="1"/>
      <c r="W185" s="57"/>
      <c r="X185" s="57"/>
      <c r="Y185" s="37"/>
      <c r="Z185" s="2"/>
      <c r="AA185" s="1"/>
      <c r="AB185" s="161"/>
      <c r="AC185" s="161"/>
      <c r="AD185" s="161"/>
      <c r="AE185" s="57"/>
      <c r="AF185" s="161"/>
      <c r="AG185" s="2"/>
      <c r="AH185" s="2"/>
      <c r="AI185" s="2"/>
      <c r="AJ185" s="37"/>
      <c r="AK185" s="38"/>
      <c r="AL185" s="197"/>
    </row>
    <row r="186" spans="1:38" x14ac:dyDescent="0.25">
      <c r="A186" s="67" t="s">
        <v>15</v>
      </c>
      <c r="B186" s="118"/>
      <c r="C186" s="118"/>
      <c r="D186" s="118"/>
      <c r="E186" s="118"/>
      <c r="F186" s="118"/>
      <c r="G186" s="118"/>
      <c r="H186" s="118"/>
      <c r="I186" s="37"/>
      <c r="J186" s="118"/>
      <c r="K186" s="2"/>
      <c r="L186" s="2"/>
      <c r="M186" s="336"/>
      <c r="N186" s="2"/>
      <c r="O186" s="2"/>
      <c r="P186" s="2"/>
      <c r="Q186" s="37"/>
      <c r="R186" s="161"/>
      <c r="S186" s="2"/>
      <c r="T186" s="2"/>
      <c r="U186" s="2"/>
      <c r="V186" s="2"/>
      <c r="W186" s="57"/>
      <c r="X186" s="57"/>
      <c r="Y186" s="37"/>
      <c r="Z186" s="1"/>
      <c r="AA186" s="2"/>
      <c r="AB186" s="161"/>
      <c r="AC186" s="161"/>
      <c r="AD186" s="161"/>
      <c r="AE186" s="161"/>
      <c r="AF186" s="161"/>
      <c r="AG186" s="2"/>
      <c r="AH186" s="2"/>
      <c r="AI186" s="2"/>
      <c r="AJ186" s="37"/>
      <c r="AK186" s="38"/>
      <c r="AL186" s="197"/>
    </row>
    <row r="187" spans="1:38" x14ac:dyDescent="0.25">
      <c r="A187" s="67" t="s">
        <v>34</v>
      </c>
      <c r="B187" s="118"/>
      <c r="C187" s="118"/>
      <c r="D187" s="118"/>
      <c r="E187" s="118"/>
      <c r="F187" s="118"/>
      <c r="G187" s="118"/>
      <c r="H187" s="118"/>
      <c r="I187" s="37"/>
      <c r="J187" s="118"/>
      <c r="K187" s="2"/>
      <c r="L187" s="2"/>
      <c r="M187" s="336"/>
      <c r="N187" s="2"/>
      <c r="O187" s="2"/>
      <c r="P187" s="2"/>
      <c r="Q187" s="37"/>
      <c r="R187" s="161"/>
      <c r="S187" s="2"/>
      <c r="T187" s="2"/>
      <c r="U187" s="2"/>
      <c r="V187" s="2"/>
      <c r="W187" s="57"/>
      <c r="X187" s="57"/>
      <c r="Y187" s="37"/>
      <c r="Z187" s="2"/>
      <c r="AA187" s="2"/>
      <c r="AB187" s="161"/>
      <c r="AC187" s="161"/>
      <c r="AD187" s="161"/>
      <c r="AE187" s="161"/>
      <c r="AF187" s="161"/>
      <c r="AG187" s="2"/>
      <c r="AH187" s="2"/>
      <c r="AI187" s="2"/>
      <c r="AJ187" s="37"/>
      <c r="AK187" s="38"/>
      <c r="AL187" s="197"/>
    </row>
    <row r="188" spans="1:38" x14ac:dyDescent="0.25">
      <c r="A188" s="67" t="s">
        <v>31</v>
      </c>
      <c r="B188" s="1"/>
      <c r="C188" s="118"/>
      <c r="D188" s="118"/>
      <c r="E188" s="118"/>
      <c r="F188" s="118"/>
      <c r="G188" s="118"/>
      <c r="H188" s="118"/>
      <c r="I188" s="37"/>
      <c r="J188" s="118"/>
      <c r="K188" s="2"/>
      <c r="L188" s="2"/>
      <c r="M188" s="336"/>
      <c r="N188" s="2"/>
      <c r="O188" s="2"/>
      <c r="P188" s="2"/>
      <c r="Q188" s="37"/>
      <c r="R188" s="161"/>
      <c r="S188" s="2"/>
      <c r="T188" s="2"/>
      <c r="U188" s="2"/>
      <c r="V188" s="2"/>
      <c r="W188" s="57"/>
      <c r="X188" s="57"/>
      <c r="Y188" s="37"/>
      <c r="Z188" s="2"/>
      <c r="AA188" s="2"/>
      <c r="AB188" s="161"/>
      <c r="AC188" s="161"/>
      <c r="AD188" s="161"/>
      <c r="AE188" s="161"/>
      <c r="AF188" s="161"/>
      <c r="AG188" s="2"/>
      <c r="AH188" s="2"/>
      <c r="AI188" s="2"/>
      <c r="AJ188" s="37"/>
      <c r="AK188" s="38"/>
      <c r="AL188" s="197"/>
    </row>
    <row r="189" spans="1:38" x14ac:dyDescent="0.25">
      <c r="A189" s="67" t="s">
        <v>30</v>
      </c>
      <c r="B189" s="118"/>
      <c r="C189" s="118"/>
      <c r="D189" s="118"/>
      <c r="E189" s="118"/>
      <c r="F189" s="118"/>
      <c r="G189" s="118"/>
      <c r="H189" s="118"/>
      <c r="I189" s="37"/>
      <c r="J189" s="118"/>
      <c r="K189" s="2"/>
      <c r="L189" s="2"/>
      <c r="M189" s="336"/>
      <c r="N189" s="2"/>
      <c r="O189" s="2"/>
      <c r="P189" s="2"/>
      <c r="Q189" s="37"/>
      <c r="R189" s="161"/>
      <c r="S189" s="2"/>
      <c r="T189" s="2"/>
      <c r="U189" s="2"/>
      <c r="V189" s="2"/>
      <c r="W189" s="57"/>
      <c r="X189" s="57"/>
      <c r="Y189" s="37"/>
      <c r="Z189" s="2"/>
      <c r="AA189" s="2"/>
      <c r="AB189" s="161"/>
      <c r="AC189" s="161"/>
      <c r="AD189" s="161"/>
      <c r="AE189" s="161"/>
      <c r="AF189" s="161"/>
      <c r="AG189" s="2"/>
      <c r="AH189" s="2"/>
      <c r="AI189" s="2"/>
      <c r="AJ189" s="37"/>
      <c r="AK189" s="38"/>
      <c r="AL189" s="197"/>
    </row>
    <row r="190" spans="1:38" x14ac:dyDescent="0.25">
      <c r="A190" s="67" t="s">
        <v>17</v>
      </c>
      <c r="B190" s="118"/>
      <c r="C190" s="118"/>
      <c r="D190" s="118"/>
      <c r="E190" s="118"/>
      <c r="F190" s="118"/>
      <c r="G190" s="118"/>
      <c r="H190" s="118"/>
      <c r="I190" s="37"/>
      <c r="J190" s="118"/>
      <c r="K190" s="118"/>
      <c r="L190" s="118"/>
      <c r="M190" s="336"/>
      <c r="N190" s="118"/>
      <c r="O190" s="118"/>
      <c r="P190" s="118"/>
      <c r="Q190" s="37"/>
      <c r="R190" s="161"/>
      <c r="S190" s="118"/>
      <c r="T190" s="118"/>
      <c r="U190" s="118"/>
      <c r="V190" s="2"/>
      <c r="W190" s="57"/>
      <c r="X190" s="57"/>
      <c r="Y190" s="37"/>
      <c r="Z190" s="118"/>
      <c r="AA190" s="2"/>
      <c r="AB190" s="161"/>
      <c r="AC190" s="161"/>
      <c r="AD190" s="161"/>
      <c r="AE190" s="161"/>
      <c r="AF190" s="161"/>
      <c r="AG190" s="2"/>
      <c r="AH190" s="2"/>
      <c r="AI190" s="2"/>
      <c r="AJ190" s="37"/>
      <c r="AK190" s="38"/>
      <c r="AL190" s="197"/>
    </row>
    <row r="191" spans="1:38" ht="18.75" x14ac:dyDescent="0.3">
      <c r="A191" s="67" t="s">
        <v>16</v>
      </c>
      <c r="B191" s="118"/>
      <c r="C191" s="118"/>
      <c r="D191" s="118"/>
      <c r="E191" s="118"/>
      <c r="F191" s="118"/>
      <c r="G191" s="118"/>
      <c r="H191" s="118"/>
      <c r="I191" s="37"/>
      <c r="J191" s="118"/>
      <c r="K191" s="2"/>
      <c r="L191" s="118"/>
      <c r="M191" s="336"/>
      <c r="N191" s="2"/>
      <c r="O191" s="2"/>
      <c r="P191" s="2"/>
      <c r="Q191" s="37"/>
      <c r="R191" s="161"/>
      <c r="S191" s="2"/>
      <c r="T191" s="2"/>
      <c r="U191" s="118"/>
      <c r="V191" s="2"/>
      <c r="W191" s="57"/>
      <c r="X191" s="57"/>
      <c r="Y191" s="37"/>
      <c r="Z191" s="2"/>
      <c r="AA191" s="2"/>
      <c r="AB191" s="161"/>
      <c r="AC191" s="161"/>
      <c r="AD191" s="161"/>
      <c r="AE191" s="161"/>
      <c r="AF191" s="161"/>
      <c r="AG191" s="2"/>
      <c r="AH191" s="2"/>
      <c r="AI191" s="2"/>
      <c r="AJ191" s="37"/>
      <c r="AK191" s="339"/>
      <c r="AL191" s="197"/>
    </row>
    <row r="192" spans="1:38" ht="15" customHeight="1" x14ac:dyDescent="0.3">
      <c r="A192" s="67" t="s">
        <v>33</v>
      </c>
      <c r="B192" s="119"/>
      <c r="C192" s="119"/>
      <c r="D192" s="119"/>
      <c r="E192" s="119"/>
      <c r="F192" s="119"/>
      <c r="G192" s="119"/>
      <c r="H192" s="119"/>
      <c r="I192" s="43"/>
      <c r="J192" s="119"/>
      <c r="K192" s="42"/>
      <c r="L192" s="42"/>
      <c r="M192" s="366"/>
      <c r="N192" s="42"/>
      <c r="O192" s="42"/>
      <c r="P192" s="42"/>
      <c r="Q192" s="43"/>
      <c r="R192" s="177"/>
      <c r="S192" s="42"/>
      <c r="T192" s="42"/>
      <c r="U192" s="42"/>
      <c r="V192" s="42"/>
      <c r="W192" s="178"/>
      <c r="X192" s="178"/>
      <c r="Y192" s="43"/>
      <c r="Z192" s="42"/>
      <c r="AA192" s="42"/>
      <c r="AB192" s="177"/>
      <c r="AC192" s="177"/>
      <c r="AD192" s="178"/>
      <c r="AE192" s="177"/>
      <c r="AF192" s="177"/>
      <c r="AG192" s="42"/>
      <c r="AH192" s="42"/>
      <c r="AI192" s="42"/>
      <c r="AJ192" s="43"/>
      <c r="AK192" s="342"/>
      <c r="AL192" s="204"/>
    </row>
    <row r="193" spans="1:38" ht="15" customHeight="1" x14ac:dyDescent="0.3">
      <c r="A193" s="63" t="s">
        <v>18</v>
      </c>
      <c r="B193" s="135"/>
      <c r="C193" s="135"/>
      <c r="D193" s="135"/>
      <c r="E193" s="135"/>
      <c r="F193" s="135"/>
      <c r="G193" s="135"/>
      <c r="H193" s="135"/>
      <c r="I193" s="47"/>
      <c r="J193" s="135"/>
      <c r="K193" s="124"/>
      <c r="L193" s="124"/>
      <c r="M193" s="124"/>
      <c r="N193" s="124"/>
      <c r="O193" s="124"/>
      <c r="P193" s="124"/>
      <c r="Q193" s="47"/>
      <c r="R193" s="135"/>
      <c r="S193" s="124"/>
      <c r="T193" s="135"/>
      <c r="U193" s="124"/>
      <c r="V193" s="124"/>
      <c r="W193" s="135"/>
      <c r="X193" s="135"/>
      <c r="Y193" s="47"/>
      <c r="Z193" s="124"/>
      <c r="AA193" s="124"/>
      <c r="AB193" s="135"/>
      <c r="AC193" s="135"/>
      <c r="AD193" s="135"/>
      <c r="AE193" s="135"/>
      <c r="AF193" s="135"/>
      <c r="AG193" s="124"/>
      <c r="AH193" s="124"/>
      <c r="AI193" s="124"/>
      <c r="AJ193" s="37"/>
      <c r="AK193" s="378"/>
      <c r="AL193" s="197"/>
    </row>
    <row r="194" spans="1:38" x14ac:dyDescent="0.25">
      <c r="A194" s="63" t="s">
        <v>19</v>
      </c>
      <c r="B194" s="132"/>
      <c r="C194" s="132"/>
      <c r="D194" s="132"/>
      <c r="E194" s="132"/>
      <c r="F194" s="132"/>
      <c r="G194" s="132"/>
      <c r="H194" s="132"/>
      <c r="I194" s="43"/>
      <c r="J194" s="132"/>
      <c r="K194" s="132"/>
      <c r="L194" s="132"/>
      <c r="M194" s="151"/>
      <c r="N194" s="132"/>
      <c r="O194" s="132"/>
      <c r="P194" s="132"/>
      <c r="Q194" s="43"/>
      <c r="R194" s="164"/>
      <c r="S194" s="132"/>
      <c r="T194" s="132"/>
      <c r="U194" s="132"/>
      <c r="V194" s="132"/>
      <c r="W194" s="162"/>
      <c r="X194" s="162"/>
      <c r="Y194" s="43"/>
      <c r="Z194" s="132"/>
      <c r="AA194" s="132"/>
      <c r="AB194" s="164"/>
      <c r="AC194" s="164"/>
      <c r="AD194" s="164"/>
      <c r="AE194" s="164"/>
      <c r="AF194" s="164"/>
      <c r="AG194" s="132"/>
      <c r="AH194" s="132"/>
      <c r="AI194" s="132"/>
      <c r="AJ194" s="43"/>
      <c r="AK194" s="293"/>
      <c r="AL194" s="204"/>
    </row>
    <row r="195" spans="1:38" x14ac:dyDescent="0.25">
      <c r="A195" s="67" t="s">
        <v>102</v>
      </c>
      <c r="B195" s="112"/>
      <c r="C195" s="112"/>
      <c r="D195" s="112"/>
      <c r="E195" s="112"/>
      <c r="F195" s="112"/>
      <c r="G195" s="112"/>
      <c r="H195" s="112"/>
      <c r="I195" s="37"/>
      <c r="J195" s="112"/>
      <c r="K195" s="112"/>
      <c r="L195" s="112"/>
      <c r="M195" s="113"/>
      <c r="N195" s="112"/>
      <c r="O195" s="112"/>
      <c r="P195" s="112"/>
      <c r="Q195" s="37"/>
      <c r="R195" s="18"/>
      <c r="S195" s="112"/>
      <c r="T195" s="112"/>
      <c r="U195" s="112"/>
      <c r="V195" s="112"/>
      <c r="W195" s="115"/>
      <c r="X195" s="115"/>
      <c r="Y195" s="37"/>
      <c r="Z195" s="112"/>
      <c r="AA195" s="112"/>
      <c r="AB195" s="18"/>
      <c r="AC195" s="18"/>
      <c r="AD195" s="18"/>
      <c r="AE195" s="18"/>
      <c r="AF195" s="18"/>
      <c r="AG195" s="337"/>
      <c r="AH195" s="112"/>
      <c r="AI195" s="112"/>
      <c r="AJ195" s="37"/>
      <c r="AK195" s="3"/>
      <c r="AL195" s="197"/>
    </row>
    <row r="196" spans="1:38" ht="18.75" customHeight="1" x14ac:dyDescent="0.3">
      <c r="A196" s="402" t="s">
        <v>2</v>
      </c>
      <c r="B196" s="199"/>
      <c r="C196" s="199"/>
      <c r="D196" s="199"/>
      <c r="E196" s="199"/>
      <c r="F196" s="199"/>
      <c r="G196" s="199"/>
      <c r="H196" s="199"/>
      <c r="I196" s="440"/>
      <c r="J196" s="199"/>
      <c r="K196" s="199"/>
      <c r="L196" s="199"/>
      <c r="M196" s="199"/>
      <c r="N196" s="199"/>
      <c r="O196" s="199"/>
      <c r="P196" s="199"/>
      <c r="Q196" s="440"/>
      <c r="R196" s="199"/>
      <c r="S196" s="199"/>
      <c r="T196" s="199"/>
      <c r="U196" s="199"/>
      <c r="V196" s="199"/>
      <c r="W196" s="199"/>
      <c r="X196" s="199"/>
      <c r="Y196" s="440"/>
      <c r="Z196" s="199"/>
      <c r="AA196" s="199"/>
      <c r="AB196" s="199"/>
      <c r="AC196" s="199"/>
      <c r="AD196" s="199"/>
      <c r="AE196" s="199"/>
      <c r="AF196" s="199"/>
      <c r="AG196" s="199"/>
      <c r="AH196" s="199"/>
      <c r="AI196" s="199"/>
      <c r="AJ196" s="439"/>
      <c r="AK196" s="441"/>
      <c r="AL196" s="442"/>
    </row>
    <row r="197" spans="1:38" ht="15.75" thickBot="1" x14ac:dyDescent="0.3">
      <c r="A197" s="264"/>
      <c r="B197" s="265"/>
      <c r="C197" s="265"/>
      <c r="D197" s="265"/>
      <c r="E197" s="265"/>
      <c r="F197" s="265"/>
      <c r="G197" s="265"/>
      <c r="H197" s="265"/>
      <c r="I197" s="56"/>
      <c r="J197" s="265"/>
      <c r="K197" s="265"/>
      <c r="L197" s="265"/>
      <c r="M197" s="265"/>
      <c r="N197" s="265"/>
      <c r="O197" s="265"/>
      <c r="P197" s="265"/>
      <c r="Q197" s="56"/>
      <c r="R197" s="265"/>
      <c r="S197" s="265"/>
      <c r="T197" s="265"/>
      <c r="U197" s="265"/>
      <c r="V197" s="265"/>
      <c r="W197" s="265"/>
      <c r="X197" s="265"/>
      <c r="Y197" s="56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56"/>
      <c r="AK197" s="225"/>
      <c r="AL197" s="228"/>
    </row>
    <row r="198" spans="1:38" ht="24" customHeight="1" thickBot="1" x14ac:dyDescent="0.4">
      <c r="A198" s="294" t="s">
        <v>228</v>
      </c>
      <c r="B198" s="295"/>
      <c r="C198" s="295"/>
      <c r="D198" s="295"/>
      <c r="E198" s="295"/>
      <c r="F198" s="295"/>
      <c r="G198" s="296"/>
      <c r="H198" s="297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8"/>
      <c r="AA198" s="298"/>
      <c r="AB198" s="298"/>
      <c r="AC198" s="298"/>
      <c r="AD198" s="298"/>
      <c r="AE198" s="298"/>
      <c r="AF198" s="298"/>
      <c r="AG198" s="298"/>
      <c r="AH198" s="298"/>
      <c r="AI198" s="298"/>
      <c r="AJ198" s="299"/>
      <c r="AK198" s="300"/>
      <c r="AL198" s="301"/>
    </row>
    <row r="199" spans="1:38" ht="16.5" thickBot="1" x14ac:dyDescent="0.3">
      <c r="A199" s="319" t="s">
        <v>80</v>
      </c>
      <c r="B199" s="328"/>
      <c r="C199" s="328"/>
      <c r="D199" s="328"/>
      <c r="E199" s="328"/>
      <c r="F199" s="328"/>
      <c r="G199" s="328"/>
      <c r="H199" s="328"/>
      <c r="I199" s="329"/>
      <c r="J199" s="328"/>
      <c r="K199" s="328"/>
      <c r="L199" s="328"/>
      <c r="M199" s="328"/>
      <c r="N199" s="328"/>
      <c r="O199" s="328"/>
      <c r="P199" s="328"/>
      <c r="Q199" s="329"/>
      <c r="R199" s="328"/>
      <c r="S199" s="328"/>
      <c r="T199" s="328"/>
      <c r="U199" s="328"/>
      <c r="V199" s="328"/>
      <c r="W199" s="328"/>
      <c r="X199" s="328"/>
      <c r="Y199" s="329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9"/>
      <c r="AK199" s="345"/>
      <c r="AL199" s="331"/>
    </row>
    <row r="200" spans="1:38" ht="18.75" x14ac:dyDescent="0.3">
      <c r="A200" s="347" t="s">
        <v>81</v>
      </c>
      <c r="B200" s="303"/>
      <c r="C200" s="303"/>
      <c r="D200" s="303"/>
      <c r="E200" s="303"/>
      <c r="F200" s="303"/>
      <c r="G200" s="303"/>
      <c r="H200" s="303"/>
      <c r="I200" s="304"/>
      <c r="J200" s="303"/>
      <c r="K200" s="303"/>
      <c r="L200" s="303"/>
      <c r="M200" s="303"/>
      <c r="N200" s="303"/>
      <c r="O200" s="303"/>
      <c r="P200" s="303"/>
      <c r="Q200" s="304"/>
      <c r="R200" s="303"/>
      <c r="S200" s="303"/>
      <c r="T200" s="303"/>
      <c r="U200" s="303"/>
      <c r="V200" s="303"/>
      <c r="W200" s="411"/>
      <c r="X200" s="411"/>
      <c r="Y200" s="304"/>
      <c r="Z200" s="303"/>
      <c r="AA200" s="303"/>
      <c r="AB200" s="303"/>
      <c r="AC200" s="303"/>
      <c r="AD200" s="303"/>
      <c r="AE200" s="303"/>
      <c r="AF200" s="303"/>
      <c r="AG200" s="303"/>
      <c r="AH200" s="303"/>
      <c r="AI200" s="303"/>
      <c r="AJ200" s="305"/>
      <c r="AK200" s="343"/>
      <c r="AL200" s="207"/>
    </row>
    <row r="201" spans="1:38" ht="18.75" customHeight="1" x14ac:dyDescent="0.3">
      <c r="A201" s="63" t="s">
        <v>82</v>
      </c>
      <c r="B201" s="119"/>
      <c r="C201" s="119"/>
      <c r="D201" s="119"/>
      <c r="E201" s="119"/>
      <c r="F201" s="119"/>
      <c r="G201" s="119"/>
      <c r="H201" s="119"/>
      <c r="I201" s="43"/>
      <c r="J201" s="42"/>
      <c r="K201" s="42"/>
      <c r="L201" s="42"/>
      <c r="M201" s="42"/>
      <c r="N201" s="42"/>
      <c r="O201" s="42"/>
      <c r="P201" s="42"/>
      <c r="Q201" s="43"/>
      <c r="R201" s="42"/>
      <c r="S201" s="42"/>
      <c r="T201" s="42"/>
      <c r="U201" s="42"/>
      <c r="V201" s="42"/>
      <c r="W201" s="177"/>
      <c r="X201" s="177"/>
      <c r="Y201" s="43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3"/>
      <c r="AK201" s="379"/>
      <c r="AL201" s="204"/>
    </row>
    <row r="202" spans="1:38" ht="15" customHeight="1" x14ac:dyDescent="0.35">
      <c r="A202" s="195"/>
      <c r="B202" s="135"/>
      <c r="C202" s="135"/>
      <c r="D202" s="135"/>
      <c r="E202" s="135"/>
      <c r="F202" s="135"/>
      <c r="G202" s="135"/>
      <c r="H202" s="135"/>
      <c r="I202" s="157"/>
      <c r="J202" s="124"/>
      <c r="K202" s="124"/>
      <c r="L202" s="124"/>
      <c r="M202" s="124"/>
      <c r="N202" s="124"/>
      <c r="O202" s="124"/>
      <c r="P202" s="124"/>
      <c r="Q202" s="47"/>
      <c r="R202" s="124"/>
      <c r="S202" s="124"/>
      <c r="T202" s="124"/>
      <c r="U202" s="124"/>
      <c r="V202" s="124"/>
      <c r="W202" s="135"/>
      <c r="X202" s="135"/>
      <c r="Y202" s="47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47"/>
      <c r="AK202" s="422"/>
      <c r="AL202" s="292"/>
    </row>
    <row r="203" spans="1:38" ht="16.5" thickBot="1" x14ac:dyDescent="0.3">
      <c r="A203" s="63"/>
      <c r="B203" s="132"/>
      <c r="C203" s="132"/>
      <c r="D203" s="132"/>
      <c r="E203" s="132"/>
      <c r="F203" s="132"/>
      <c r="G203" s="132"/>
      <c r="H203" s="132"/>
      <c r="I203" s="43"/>
      <c r="J203" s="132"/>
      <c r="K203" s="132"/>
      <c r="L203" s="132"/>
      <c r="M203" s="132"/>
      <c r="N203" s="132"/>
      <c r="O203" s="132"/>
      <c r="P203" s="132"/>
      <c r="Q203" s="43"/>
      <c r="R203" s="132"/>
      <c r="S203" s="132"/>
      <c r="T203" s="132"/>
      <c r="U203" s="132"/>
      <c r="V203" s="132"/>
      <c r="W203" s="164"/>
      <c r="X203" s="164"/>
      <c r="Y203" s="43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43"/>
      <c r="AK203" s="117"/>
      <c r="AL203" s="350"/>
    </row>
    <row r="204" spans="1:38" ht="18.75" customHeight="1" x14ac:dyDescent="0.35">
      <c r="A204" s="281" t="s">
        <v>2</v>
      </c>
      <c r="B204" s="163"/>
      <c r="C204" s="163"/>
      <c r="D204" s="163"/>
      <c r="E204" s="163"/>
      <c r="F204" s="163"/>
      <c r="G204" s="163"/>
      <c r="H204" s="163"/>
      <c r="I204" s="221"/>
      <c r="J204" s="163"/>
      <c r="K204" s="163"/>
      <c r="L204" s="163"/>
      <c r="M204" s="163"/>
      <c r="N204" s="163"/>
      <c r="O204" s="163"/>
      <c r="P204" s="163"/>
      <c r="Q204" s="221"/>
      <c r="R204" s="163"/>
      <c r="S204" s="163"/>
      <c r="T204" s="163"/>
      <c r="U204" s="163"/>
      <c r="V204" s="163"/>
      <c r="W204" s="163"/>
      <c r="X204" s="163"/>
      <c r="Y204" s="221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51"/>
      <c r="AK204" s="351"/>
      <c r="AL204" s="352"/>
    </row>
    <row r="205" spans="1:38" ht="16.5" thickBot="1" x14ac:dyDescent="0.3">
      <c r="A205" s="264"/>
      <c r="B205" s="265"/>
      <c r="C205" s="265"/>
      <c r="D205" s="265"/>
      <c r="E205" s="265"/>
      <c r="F205" s="265"/>
      <c r="G205" s="265"/>
      <c r="H205" s="265"/>
      <c r="I205" s="56"/>
      <c r="J205" s="265"/>
      <c r="K205" s="265"/>
      <c r="L205" s="265"/>
      <c r="M205" s="265"/>
      <c r="N205" s="265"/>
      <c r="O205" s="265"/>
      <c r="P205" s="265"/>
      <c r="Q205" s="56"/>
      <c r="R205" s="265"/>
      <c r="S205" s="265"/>
      <c r="T205" s="265"/>
      <c r="U205" s="265"/>
      <c r="V205" s="265"/>
      <c r="W205" s="265"/>
      <c r="X205" s="265"/>
      <c r="Y205" s="56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56"/>
      <c r="AK205" s="353"/>
      <c r="AL205" s="354"/>
    </row>
    <row r="206" spans="1:38" ht="24" thickBot="1" x14ac:dyDescent="0.4">
      <c r="A206" s="294" t="s">
        <v>229</v>
      </c>
      <c r="B206" s="295"/>
      <c r="C206" s="295"/>
      <c r="D206" s="295"/>
      <c r="E206" s="295"/>
      <c r="F206" s="295"/>
      <c r="G206" s="296"/>
      <c r="H206" s="297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9"/>
      <c r="AK206" s="300"/>
      <c r="AL206" s="301"/>
    </row>
    <row r="207" spans="1:38" ht="16.5" thickBot="1" x14ac:dyDescent="0.3">
      <c r="A207" s="319" t="s">
        <v>20</v>
      </c>
      <c r="B207" s="328"/>
      <c r="C207" s="328"/>
      <c r="D207" s="328"/>
      <c r="E207" s="328"/>
      <c r="F207" s="328"/>
      <c r="G207" s="328"/>
      <c r="H207" s="328"/>
      <c r="I207" s="329"/>
      <c r="J207" s="328"/>
      <c r="K207" s="328"/>
      <c r="L207" s="328"/>
      <c r="M207" s="328"/>
      <c r="N207" s="328"/>
      <c r="O207" s="328"/>
      <c r="P207" s="328"/>
      <c r="Q207" s="329"/>
      <c r="R207" s="328"/>
      <c r="S207" s="328"/>
      <c r="T207" s="328"/>
      <c r="U207" s="328"/>
      <c r="V207" s="328"/>
      <c r="W207" s="328"/>
      <c r="X207" s="328"/>
      <c r="Y207" s="329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9"/>
      <c r="AK207" s="330"/>
      <c r="AL207" s="331"/>
    </row>
    <row r="208" spans="1:38" x14ac:dyDescent="0.25">
      <c r="A208" s="302" t="s">
        <v>63</v>
      </c>
      <c r="B208" s="303"/>
      <c r="C208" s="303"/>
      <c r="D208" s="303"/>
      <c r="E208" s="303"/>
      <c r="F208" s="303"/>
      <c r="G208" s="303"/>
      <c r="H208" s="303"/>
      <c r="I208" s="304"/>
      <c r="J208" s="303"/>
      <c r="K208" s="303"/>
      <c r="L208" s="303"/>
      <c r="M208" s="303"/>
      <c r="N208" s="303"/>
      <c r="O208" s="303"/>
      <c r="P208" s="303"/>
      <c r="Q208" s="304"/>
      <c r="R208" s="303"/>
      <c r="S208" s="303"/>
      <c r="T208" s="303"/>
      <c r="U208" s="303"/>
      <c r="V208" s="303"/>
      <c r="W208" s="412"/>
      <c r="X208" s="412"/>
      <c r="Y208" s="304"/>
      <c r="Z208" s="303"/>
      <c r="AA208" s="303"/>
      <c r="AB208" s="411"/>
      <c r="AC208" s="411"/>
      <c r="AD208" s="411"/>
      <c r="AE208" s="303"/>
      <c r="AF208" s="303"/>
      <c r="AG208" s="303"/>
      <c r="AH208" s="303"/>
      <c r="AI208" s="303"/>
      <c r="AJ208" s="305"/>
      <c r="AK208" s="184"/>
      <c r="AL208" s="207"/>
    </row>
    <row r="209" spans="1:38" x14ac:dyDescent="0.25">
      <c r="A209" s="65" t="s">
        <v>64</v>
      </c>
      <c r="B209" s="118"/>
      <c r="C209" s="118"/>
      <c r="D209" s="118"/>
      <c r="E209" s="118"/>
      <c r="F209" s="118"/>
      <c r="G209" s="118"/>
      <c r="H209" s="118"/>
      <c r="I209" s="37"/>
      <c r="J209" s="118"/>
      <c r="K209" s="2"/>
      <c r="L209" s="2"/>
      <c r="M209" s="118"/>
      <c r="N209" s="2"/>
      <c r="O209" s="2"/>
      <c r="P209" s="2"/>
      <c r="Q209" s="37"/>
      <c r="R209" s="2"/>
      <c r="S209" s="118"/>
      <c r="T209" s="2"/>
      <c r="U209" s="1"/>
      <c r="V209" s="2"/>
      <c r="W209" s="414"/>
      <c r="X209" s="414"/>
      <c r="Y209" s="37"/>
      <c r="Z209" s="2"/>
      <c r="AA209" s="2"/>
      <c r="AB209" s="57"/>
      <c r="AC209" s="57"/>
      <c r="AD209" s="57"/>
      <c r="AE209" s="118"/>
      <c r="AF209" s="2"/>
      <c r="AG209" s="2"/>
      <c r="AH209" s="2"/>
      <c r="AI209" s="2"/>
      <c r="AJ209" s="37"/>
      <c r="AK209" s="38"/>
      <c r="AL209" s="197"/>
    </row>
    <row r="210" spans="1:38" x14ac:dyDescent="0.25">
      <c r="A210" s="65" t="s">
        <v>77</v>
      </c>
      <c r="B210" s="118"/>
      <c r="C210" s="118"/>
      <c r="D210" s="118"/>
      <c r="E210" s="118"/>
      <c r="F210" s="118"/>
      <c r="G210" s="118"/>
      <c r="H210" s="118"/>
      <c r="I210" s="37"/>
      <c r="J210" s="118"/>
      <c r="K210" s="2"/>
      <c r="L210" s="2"/>
      <c r="M210" s="2"/>
      <c r="N210" s="2"/>
      <c r="O210" s="2"/>
      <c r="P210" s="2"/>
      <c r="Q210" s="37"/>
      <c r="R210" s="2"/>
      <c r="S210" s="2"/>
      <c r="T210" s="2"/>
      <c r="U210" s="2"/>
      <c r="V210" s="2"/>
      <c r="W210" s="414"/>
      <c r="X210" s="414"/>
      <c r="Y210" s="37"/>
      <c r="Z210" s="2"/>
      <c r="AA210" s="2"/>
      <c r="AB210" s="57"/>
      <c r="AC210" s="57"/>
      <c r="AD210" s="57"/>
      <c r="AE210" s="118"/>
      <c r="AF210" s="2"/>
      <c r="AG210" s="2"/>
      <c r="AH210" s="2"/>
      <c r="AI210" s="2"/>
      <c r="AJ210" s="37"/>
      <c r="AK210" s="38"/>
      <c r="AL210" s="197"/>
    </row>
    <row r="211" spans="1:38" x14ac:dyDescent="0.25">
      <c r="A211" s="65" t="s">
        <v>65</v>
      </c>
      <c r="B211" s="118"/>
      <c r="C211" s="118"/>
      <c r="D211" s="118"/>
      <c r="E211" s="118"/>
      <c r="F211" s="118"/>
      <c r="G211" s="118"/>
      <c r="H211" s="1"/>
      <c r="I211" s="37"/>
      <c r="J211" s="118"/>
      <c r="K211" s="2"/>
      <c r="L211" s="2"/>
      <c r="M211" s="2"/>
      <c r="N211" s="2"/>
      <c r="O211" s="2"/>
      <c r="P211" s="2"/>
      <c r="Q211" s="37"/>
      <c r="R211" s="1"/>
      <c r="S211" s="2"/>
      <c r="T211" s="2"/>
      <c r="U211" s="2"/>
      <c r="V211" s="2"/>
      <c r="W211" s="414"/>
      <c r="X211" s="414"/>
      <c r="Y211" s="37"/>
      <c r="Z211" s="2"/>
      <c r="AA211" s="2"/>
      <c r="AB211" s="57"/>
      <c r="AC211" s="57"/>
      <c r="AD211" s="57"/>
      <c r="AE211" s="118"/>
      <c r="AF211" s="2"/>
      <c r="AG211" s="2"/>
      <c r="AH211" s="2"/>
      <c r="AI211" s="2"/>
      <c r="AJ211" s="47"/>
      <c r="AK211" s="48"/>
      <c r="AL211" s="197"/>
    </row>
    <row r="212" spans="1:38" x14ac:dyDescent="0.25">
      <c r="A212" s="65" t="s">
        <v>66</v>
      </c>
      <c r="B212" s="118"/>
      <c r="C212" s="118"/>
      <c r="D212" s="118"/>
      <c r="E212" s="118"/>
      <c r="F212" s="118"/>
      <c r="G212" s="118"/>
      <c r="H212" s="118"/>
      <c r="I212" s="37"/>
      <c r="J212" s="118"/>
      <c r="K212" s="2"/>
      <c r="L212" s="161"/>
      <c r="M212" s="2"/>
      <c r="N212" s="2"/>
      <c r="O212" s="2"/>
      <c r="P212" s="2"/>
      <c r="Q212" s="37"/>
      <c r="R212" s="2"/>
      <c r="S212" s="2"/>
      <c r="T212" s="2"/>
      <c r="U212" s="2"/>
      <c r="V212" s="2"/>
      <c r="W212" s="414"/>
      <c r="X212" s="414"/>
      <c r="Y212" s="37"/>
      <c r="Z212" s="2"/>
      <c r="AA212" s="2"/>
      <c r="AB212" s="57"/>
      <c r="AC212" s="57"/>
      <c r="AD212" s="57"/>
      <c r="AE212" s="118"/>
      <c r="AF212" s="2"/>
      <c r="AG212" s="2"/>
      <c r="AH212" s="2"/>
      <c r="AI212" s="2"/>
      <c r="AJ212" s="37"/>
      <c r="AK212" s="38"/>
      <c r="AL212" s="197"/>
    </row>
    <row r="213" spans="1:38" x14ac:dyDescent="0.25">
      <c r="A213" s="65" t="s">
        <v>67</v>
      </c>
      <c r="B213" s="118"/>
      <c r="C213" s="118"/>
      <c r="D213" s="118"/>
      <c r="E213" s="118"/>
      <c r="F213" s="1"/>
      <c r="G213" s="118"/>
      <c r="H213" s="118"/>
      <c r="I213" s="37"/>
      <c r="J213" s="118"/>
      <c r="K213" s="1"/>
      <c r="L213" s="2"/>
      <c r="M213" s="2"/>
      <c r="N213" s="2"/>
      <c r="O213" s="1"/>
      <c r="P213" s="2"/>
      <c r="Q213" s="37"/>
      <c r="R213" s="2"/>
      <c r="S213" s="118"/>
      <c r="T213" s="2"/>
      <c r="U213" s="2"/>
      <c r="V213" s="2"/>
      <c r="W213" s="414"/>
      <c r="X213" s="414"/>
      <c r="Y213" s="37"/>
      <c r="Z213" s="2"/>
      <c r="AA213" s="2"/>
      <c r="AB213" s="57"/>
      <c r="AC213" s="57"/>
      <c r="AD213" s="57"/>
      <c r="AE213" s="118"/>
      <c r="AF213" s="2"/>
      <c r="AG213" s="336"/>
      <c r="AH213" s="2"/>
      <c r="AI213" s="2"/>
      <c r="AJ213" s="37"/>
      <c r="AK213" s="38"/>
      <c r="AL213" s="197"/>
    </row>
    <row r="214" spans="1:38" x14ac:dyDescent="0.25">
      <c r="A214" s="65" t="s">
        <v>68</v>
      </c>
      <c r="B214" s="118"/>
      <c r="C214" s="118"/>
      <c r="D214" s="118"/>
      <c r="E214" s="118"/>
      <c r="F214" s="118"/>
      <c r="G214" s="118"/>
      <c r="H214" s="118"/>
      <c r="I214" s="37"/>
      <c r="J214" s="118"/>
      <c r="K214" s="2"/>
      <c r="L214" s="2"/>
      <c r="M214" s="2"/>
      <c r="N214" s="2"/>
      <c r="O214" s="1"/>
      <c r="P214" s="2"/>
      <c r="Q214" s="37"/>
      <c r="R214" s="2"/>
      <c r="S214" s="2"/>
      <c r="T214" s="2"/>
      <c r="U214" s="2"/>
      <c r="V214" s="2"/>
      <c r="W214" s="414"/>
      <c r="X214" s="414"/>
      <c r="Y214" s="37"/>
      <c r="Z214" s="2"/>
      <c r="AA214" s="2"/>
      <c r="AB214" s="57"/>
      <c r="AC214" s="57"/>
      <c r="AD214" s="57"/>
      <c r="AE214" s="118"/>
      <c r="AF214" s="2"/>
      <c r="AG214" s="2"/>
      <c r="AH214" s="2"/>
      <c r="AI214" s="2"/>
      <c r="AJ214" s="37"/>
      <c r="AK214" s="38"/>
      <c r="AL214" s="197"/>
    </row>
    <row r="215" spans="1:38" x14ac:dyDescent="0.25">
      <c r="A215" s="65" t="s">
        <v>78</v>
      </c>
      <c r="B215" s="118"/>
      <c r="C215" s="118"/>
      <c r="D215" s="118"/>
      <c r="E215" s="118"/>
      <c r="F215" s="118"/>
      <c r="G215" s="118"/>
      <c r="H215" s="118"/>
      <c r="I215" s="37"/>
      <c r="J215" s="118"/>
      <c r="K215" s="2"/>
      <c r="L215" s="2"/>
      <c r="M215" s="2"/>
      <c r="N215" s="2"/>
      <c r="O215" s="2"/>
      <c r="P215" s="2"/>
      <c r="Q215" s="37"/>
      <c r="R215" s="2"/>
      <c r="S215" s="2"/>
      <c r="T215" s="2"/>
      <c r="U215" s="2"/>
      <c r="V215" s="2"/>
      <c r="W215" s="414"/>
      <c r="X215" s="414"/>
      <c r="Y215" s="37"/>
      <c r="Z215" s="2"/>
      <c r="AA215" s="2"/>
      <c r="AB215" s="57"/>
      <c r="AC215" s="57"/>
      <c r="AD215" s="57"/>
      <c r="AE215" s="118"/>
      <c r="AF215" s="2"/>
      <c r="AG215" s="2"/>
      <c r="AH215" s="2"/>
      <c r="AI215" s="2"/>
      <c r="AJ215" s="37"/>
      <c r="AK215" s="38"/>
      <c r="AL215" s="197"/>
    </row>
    <row r="216" spans="1:38" x14ac:dyDescent="0.25">
      <c r="A216" s="65" t="s">
        <v>69</v>
      </c>
      <c r="B216" s="118"/>
      <c r="C216" s="118"/>
      <c r="D216" s="118"/>
      <c r="E216" s="118"/>
      <c r="F216" s="118"/>
      <c r="G216" s="118"/>
      <c r="H216" s="118"/>
      <c r="I216" s="37"/>
      <c r="J216" s="118"/>
      <c r="K216" s="2"/>
      <c r="L216" s="2"/>
      <c r="M216" s="2"/>
      <c r="N216" s="373"/>
      <c r="O216" s="2"/>
      <c r="P216" s="2"/>
      <c r="Q216" s="37"/>
      <c r="R216" s="2"/>
      <c r="S216" s="2"/>
      <c r="T216" s="2"/>
      <c r="U216" s="118"/>
      <c r="V216" s="2"/>
      <c r="W216" s="414"/>
      <c r="X216" s="414"/>
      <c r="Y216" s="37"/>
      <c r="Z216" s="2"/>
      <c r="AA216" s="2"/>
      <c r="AB216" s="57"/>
      <c r="AC216" s="57"/>
      <c r="AD216" s="57"/>
      <c r="AE216" s="118"/>
      <c r="AF216" s="2"/>
      <c r="AG216" s="2"/>
      <c r="AH216" s="2"/>
      <c r="AI216" s="2"/>
      <c r="AJ216" s="37"/>
      <c r="AK216" s="38"/>
      <c r="AL216" s="197"/>
    </row>
    <row r="217" spans="1:38" x14ac:dyDescent="0.25">
      <c r="A217" s="65" t="s">
        <v>70</v>
      </c>
      <c r="B217" s="118"/>
      <c r="C217" s="118"/>
      <c r="D217" s="118"/>
      <c r="E217" s="118"/>
      <c r="F217" s="118"/>
      <c r="G217" s="118"/>
      <c r="H217" s="118"/>
      <c r="I217" s="37"/>
      <c r="J217" s="118"/>
      <c r="K217" s="2"/>
      <c r="L217" s="118"/>
      <c r="M217" s="2"/>
      <c r="N217" s="373"/>
      <c r="O217" s="2"/>
      <c r="P217" s="2"/>
      <c r="Q217" s="37"/>
      <c r="R217" s="118"/>
      <c r="S217" s="2"/>
      <c r="T217" s="2"/>
      <c r="U217" s="2"/>
      <c r="V217" s="2"/>
      <c r="W217" s="414"/>
      <c r="X217" s="414"/>
      <c r="Y217" s="37"/>
      <c r="Z217" s="2"/>
      <c r="AA217" s="118"/>
      <c r="AB217" s="57"/>
      <c r="AC217" s="57"/>
      <c r="AD217" s="57"/>
      <c r="AE217" s="118"/>
      <c r="AF217" s="118"/>
      <c r="AG217" s="2"/>
      <c r="AH217" s="2"/>
      <c r="AI217" s="2"/>
      <c r="AJ217" s="37"/>
      <c r="AK217" s="38"/>
      <c r="AL217" s="197"/>
    </row>
    <row r="218" spans="1:38" x14ac:dyDescent="0.25">
      <c r="A218" s="65" t="s">
        <v>71</v>
      </c>
      <c r="B218" s="118"/>
      <c r="C218" s="118"/>
      <c r="D218" s="118"/>
      <c r="E218" s="118"/>
      <c r="F218" s="1"/>
      <c r="G218" s="118"/>
      <c r="H218" s="118"/>
      <c r="I218" s="37"/>
      <c r="J218" s="118"/>
      <c r="K218" s="2"/>
      <c r="L218" s="2"/>
      <c r="M218" s="1"/>
      <c r="N218" s="373"/>
      <c r="O218" s="2"/>
      <c r="P218" s="2"/>
      <c r="Q218" s="37"/>
      <c r="R218" s="2"/>
      <c r="S218" s="2"/>
      <c r="T218" s="2"/>
      <c r="U218" s="2"/>
      <c r="V218" s="2"/>
      <c r="W218" s="414"/>
      <c r="X218" s="414"/>
      <c r="Y218" s="37"/>
      <c r="Z218" s="2"/>
      <c r="AA218" s="2"/>
      <c r="AB218" s="57"/>
      <c r="AC218" s="57"/>
      <c r="AD218" s="57"/>
      <c r="AE218" s="118"/>
      <c r="AF218" s="2"/>
      <c r="AG218" s="2"/>
      <c r="AH218" s="2"/>
      <c r="AI218" s="2"/>
      <c r="AJ218" s="37"/>
      <c r="AK218" s="38"/>
      <c r="AL218" s="197"/>
    </row>
    <row r="219" spans="1:38" ht="15" customHeight="1" x14ac:dyDescent="0.25">
      <c r="A219" s="65" t="s">
        <v>72</v>
      </c>
      <c r="B219" s="118"/>
      <c r="C219" s="118"/>
      <c r="D219" s="118"/>
      <c r="E219" s="118"/>
      <c r="F219" s="118"/>
      <c r="G219" s="118"/>
      <c r="H219" s="118"/>
      <c r="I219" s="37"/>
      <c r="J219" s="118"/>
      <c r="K219" s="2"/>
      <c r="L219" s="2"/>
      <c r="M219" s="2"/>
      <c r="N219" s="211"/>
      <c r="O219" s="2"/>
      <c r="P219" s="2"/>
      <c r="Q219" s="37"/>
      <c r="R219" s="2"/>
      <c r="S219" s="2"/>
      <c r="T219" s="2"/>
      <c r="U219" s="2"/>
      <c r="V219" s="1"/>
      <c r="W219" s="414"/>
      <c r="X219" s="414"/>
      <c r="Y219" s="37"/>
      <c r="Z219" s="2"/>
      <c r="AA219" s="2"/>
      <c r="AB219" s="57"/>
      <c r="AC219" s="57"/>
      <c r="AD219" s="57"/>
      <c r="AE219" s="118"/>
      <c r="AF219" s="2"/>
      <c r="AG219" s="2"/>
      <c r="AH219" s="2"/>
      <c r="AI219" s="2"/>
      <c r="AJ219" s="37"/>
      <c r="AK219" s="38"/>
      <c r="AL219" s="197"/>
    </row>
    <row r="220" spans="1:38" ht="15" customHeight="1" x14ac:dyDescent="0.25">
      <c r="A220" s="65" t="s">
        <v>73</v>
      </c>
      <c r="B220" s="118"/>
      <c r="C220" s="118"/>
      <c r="D220" s="118"/>
      <c r="E220" s="118"/>
      <c r="F220" s="1"/>
      <c r="G220" s="118"/>
      <c r="H220" s="118"/>
      <c r="I220" s="37"/>
      <c r="J220" s="118"/>
      <c r="K220" s="2"/>
      <c r="L220" s="2"/>
      <c r="M220" s="2"/>
      <c r="N220" s="373"/>
      <c r="O220" s="2"/>
      <c r="P220" s="2"/>
      <c r="Q220" s="37"/>
      <c r="R220" s="118"/>
      <c r="S220" s="2"/>
      <c r="T220" s="2"/>
      <c r="U220" s="2"/>
      <c r="V220" s="2"/>
      <c r="W220" s="414"/>
      <c r="X220" s="414"/>
      <c r="Y220" s="37"/>
      <c r="Z220" s="2"/>
      <c r="AA220" s="1"/>
      <c r="AB220" s="57"/>
      <c r="AC220" s="57"/>
      <c r="AD220" s="57"/>
      <c r="AE220" s="118"/>
      <c r="AF220" s="2"/>
      <c r="AG220" s="2"/>
      <c r="AH220" s="2"/>
      <c r="AI220" s="2"/>
      <c r="AJ220" s="37"/>
      <c r="AK220" s="38"/>
      <c r="AL220" s="197"/>
    </row>
    <row r="221" spans="1:38" ht="15" customHeight="1" x14ac:dyDescent="0.25">
      <c r="A221" s="65" t="s">
        <v>74</v>
      </c>
      <c r="B221" s="118"/>
      <c r="C221" s="118"/>
      <c r="D221" s="118"/>
      <c r="E221" s="118"/>
      <c r="F221" s="118"/>
      <c r="G221" s="1"/>
      <c r="H221" s="118"/>
      <c r="I221" s="37"/>
      <c r="J221" s="118"/>
      <c r="K221" s="2"/>
      <c r="L221" s="2"/>
      <c r="M221" s="1"/>
      <c r="N221" s="373"/>
      <c r="O221" s="2"/>
      <c r="P221" s="2"/>
      <c r="Q221" s="37"/>
      <c r="R221" s="118"/>
      <c r="S221" s="2"/>
      <c r="T221" s="118"/>
      <c r="U221" s="2"/>
      <c r="V221" s="2"/>
      <c r="W221" s="414"/>
      <c r="X221" s="414"/>
      <c r="Y221" s="37"/>
      <c r="Z221" s="2"/>
      <c r="AA221" s="1"/>
      <c r="AB221" s="57"/>
      <c r="AC221" s="57"/>
      <c r="AD221" s="57"/>
      <c r="AE221" s="118"/>
      <c r="AF221" s="1"/>
      <c r="AG221" s="2"/>
      <c r="AH221" s="2"/>
      <c r="AI221" s="2"/>
      <c r="AJ221" s="37"/>
      <c r="AK221" s="38"/>
      <c r="AL221" s="197"/>
    </row>
    <row r="222" spans="1:38" x14ac:dyDescent="0.25">
      <c r="A222" s="65" t="s">
        <v>76</v>
      </c>
      <c r="B222" s="118"/>
      <c r="C222" s="118"/>
      <c r="D222" s="118"/>
      <c r="E222" s="118"/>
      <c r="F222" s="118"/>
      <c r="G222" s="118"/>
      <c r="H222" s="118"/>
      <c r="I222" s="37"/>
      <c r="J222" s="118"/>
      <c r="K222" s="2"/>
      <c r="L222" s="2"/>
      <c r="M222" s="2"/>
      <c r="N222" s="1"/>
      <c r="O222" s="2"/>
      <c r="P222" s="2"/>
      <c r="Q222" s="37"/>
      <c r="R222" s="2"/>
      <c r="S222" s="2"/>
      <c r="T222" s="2"/>
      <c r="U222" s="2"/>
      <c r="V222" s="2"/>
      <c r="W222" s="414"/>
      <c r="X222" s="414"/>
      <c r="Y222" s="37"/>
      <c r="Z222" s="2"/>
      <c r="AA222" s="2"/>
      <c r="AB222" s="57"/>
      <c r="AC222" s="57"/>
      <c r="AD222" s="57"/>
      <c r="AE222" s="118"/>
      <c r="AF222" s="2"/>
      <c r="AG222" s="2"/>
      <c r="AH222" s="2"/>
      <c r="AI222" s="2"/>
      <c r="AJ222" s="37"/>
      <c r="AK222" s="38"/>
      <c r="AL222" s="197"/>
    </row>
    <row r="223" spans="1:38" ht="15" customHeight="1" x14ac:dyDescent="0.25">
      <c r="A223" s="65" t="s">
        <v>75</v>
      </c>
      <c r="B223" s="118"/>
      <c r="C223" s="1"/>
      <c r="D223" s="118"/>
      <c r="E223" s="118"/>
      <c r="F223" s="118"/>
      <c r="G223" s="118"/>
      <c r="H223" s="118"/>
      <c r="I223" s="37"/>
      <c r="J223" s="118"/>
      <c r="K223" s="2"/>
      <c r="L223" s="1"/>
      <c r="M223" s="2"/>
      <c r="N223" s="373"/>
      <c r="O223" s="2"/>
      <c r="P223" s="2"/>
      <c r="Q223" s="37"/>
      <c r="R223" s="2"/>
      <c r="S223" s="118"/>
      <c r="T223" s="2"/>
      <c r="U223" s="2"/>
      <c r="V223" s="2"/>
      <c r="W223" s="414"/>
      <c r="X223" s="414"/>
      <c r="Y223" s="37"/>
      <c r="Z223" s="2"/>
      <c r="AA223" s="2"/>
      <c r="AB223" s="57"/>
      <c r="AC223" s="57"/>
      <c r="AD223" s="57"/>
      <c r="AE223" s="118"/>
      <c r="AF223" s="2"/>
      <c r="AG223" s="2"/>
      <c r="AH223" s="2"/>
      <c r="AI223" s="2"/>
      <c r="AJ223" s="37"/>
      <c r="AK223" s="38"/>
      <c r="AL223" s="197"/>
    </row>
    <row r="224" spans="1:38" ht="15" customHeight="1" x14ac:dyDescent="0.25">
      <c r="A224" s="65" t="s">
        <v>49</v>
      </c>
      <c r="B224" s="118"/>
      <c r="C224" s="118"/>
      <c r="D224" s="118"/>
      <c r="E224" s="118"/>
      <c r="F224" s="118"/>
      <c r="G224" s="118"/>
      <c r="H224" s="118"/>
      <c r="I224" s="37"/>
      <c r="J224" s="118"/>
      <c r="K224" s="118"/>
      <c r="L224" s="2"/>
      <c r="M224" s="2"/>
      <c r="N224" s="373"/>
      <c r="O224" s="2"/>
      <c r="P224" s="2"/>
      <c r="Q224" s="37"/>
      <c r="R224" s="2"/>
      <c r="S224" s="2"/>
      <c r="T224" s="2"/>
      <c r="U224" s="2"/>
      <c r="V224" s="2"/>
      <c r="W224" s="414"/>
      <c r="X224" s="414"/>
      <c r="Y224" s="37"/>
      <c r="Z224" s="2"/>
      <c r="AA224" s="2"/>
      <c r="AB224" s="57"/>
      <c r="AC224" s="57"/>
      <c r="AD224" s="57"/>
      <c r="AE224" s="118"/>
      <c r="AF224" s="2"/>
      <c r="AG224" s="2"/>
      <c r="AH224" s="2"/>
      <c r="AI224" s="2"/>
      <c r="AJ224" s="37"/>
      <c r="AK224" s="38"/>
      <c r="AL224" s="197"/>
    </row>
    <row r="225" spans="1:38" ht="15" customHeight="1" x14ac:dyDescent="0.25">
      <c r="A225" s="65" t="s">
        <v>23</v>
      </c>
      <c r="B225" s="118"/>
      <c r="C225" s="118"/>
      <c r="D225" s="118"/>
      <c r="E225" s="118"/>
      <c r="F225" s="118"/>
      <c r="G225" s="118"/>
      <c r="H225" s="118"/>
      <c r="I225" s="37"/>
      <c r="J225" s="118"/>
      <c r="K225" s="118"/>
      <c r="L225" s="2"/>
      <c r="M225" s="2"/>
      <c r="N225" s="373"/>
      <c r="O225" s="2"/>
      <c r="P225" s="2"/>
      <c r="Q225" s="37"/>
      <c r="R225" s="2"/>
      <c r="S225" s="2"/>
      <c r="T225" s="2"/>
      <c r="U225" s="2"/>
      <c r="V225" s="2"/>
      <c r="W225" s="414"/>
      <c r="X225" s="414"/>
      <c r="Y225" s="37"/>
      <c r="Z225" s="2"/>
      <c r="AA225" s="2"/>
      <c r="AB225" s="57"/>
      <c r="AC225" s="57"/>
      <c r="AD225" s="57"/>
      <c r="AE225" s="118"/>
      <c r="AF225" s="2"/>
      <c r="AG225" s="2"/>
      <c r="AH225" s="2"/>
      <c r="AI225" s="2"/>
      <c r="AJ225" s="37"/>
      <c r="AK225" s="38"/>
      <c r="AL225" s="197"/>
    </row>
    <row r="226" spans="1:38" ht="15" customHeight="1" x14ac:dyDescent="0.25">
      <c r="A226" s="65" t="s">
        <v>50</v>
      </c>
      <c r="B226" s="118"/>
      <c r="C226" s="118"/>
      <c r="D226" s="118"/>
      <c r="E226" s="118"/>
      <c r="F226" s="1"/>
      <c r="G226" s="118"/>
      <c r="H226" s="118"/>
      <c r="I226" s="37"/>
      <c r="J226" s="118"/>
      <c r="K226" s="118"/>
      <c r="L226" s="2"/>
      <c r="M226" s="2"/>
      <c r="N226" s="373"/>
      <c r="O226" s="2"/>
      <c r="P226" s="2"/>
      <c r="Q226" s="37"/>
      <c r="R226" s="2"/>
      <c r="S226" s="2"/>
      <c r="T226" s="2"/>
      <c r="U226" s="2"/>
      <c r="V226" s="2"/>
      <c r="W226" s="414"/>
      <c r="X226" s="414"/>
      <c r="Y226" s="37"/>
      <c r="Z226" s="2"/>
      <c r="AA226" s="2"/>
      <c r="AB226" s="57"/>
      <c r="AC226" s="57"/>
      <c r="AD226" s="57"/>
      <c r="AE226" s="118"/>
      <c r="AF226" s="2"/>
      <c r="AG226" s="2"/>
      <c r="AH226" s="2"/>
      <c r="AI226" s="2"/>
      <c r="AJ226" s="37"/>
      <c r="AK226" s="38"/>
      <c r="AL226" s="197"/>
    </row>
    <row r="227" spans="1:38" x14ac:dyDescent="0.25">
      <c r="A227" s="65" t="s">
        <v>51</v>
      </c>
      <c r="B227" s="118"/>
      <c r="C227" s="118"/>
      <c r="D227" s="118"/>
      <c r="E227" s="118"/>
      <c r="F227" s="118"/>
      <c r="G227" s="118"/>
      <c r="H227" s="118"/>
      <c r="I227" s="37"/>
      <c r="J227" s="118"/>
      <c r="K227" s="2"/>
      <c r="L227" s="2"/>
      <c r="M227" s="2"/>
      <c r="N227" s="373"/>
      <c r="O227" s="2"/>
      <c r="P227" s="2"/>
      <c r="Q227" s="37"/>
      <c r="R227" s="2"/>
      <c r="S227" s="2"/>
      <c r="T227" s="2"/>
      <c r="U227" s="2"/>
      <c r="V227" s="118"/>
      <c r="W227" s="414"/>
      <c r="X227" s="414"/>
      <c r="Y227" s="37"/>
      <c r="Z227" s="2"/>
      <c r="AA227" s="2"/>
      <c r="AB227" s="57"/>
      <c r="AC227" s="57"/>
      <c r="AD227" s="57"/>
      <c r="AE227" s="118"/>
      <c r="AF227" s="2"/>
      <c r="AG227" s="2"/>
      <c r="AH227" s="2"/>
      <c r="AI227" s="2"/>
      <c r="AJ227" s="37"/>
      <c r="AK227" s="38"/>
      <c r="AL227" s="197"/>
    </row>
    <row r="228" spans="1:38" ht="15" customHeight="1" x14ac:dyDescent="0.25">
      <c r="A228" s="65" t="s">
        <v>52</v>
      </c>
      <c r="B228" s="118"/>
      <c r="C228" s="118"/>
      <c r="D228" s="118"/>
      <c r="E228" s="118"/>
      <c r="F228" s="118"/>
      <c r="G228" s="118"/>
      <c r="H228" s="118"/>
      <c r="I228" s="37"/>
      <c r="J228" s="118"/>
      <c r="K228" s="2"/>
      <c r="L228" s="2"/>
      <c r="M228" s="2"/>
      <c r="N228" s="373"/>
      <c r="O228" s="2"/>
      <c r="P228" s="2"/>
      <c r="Q228" s="37"/>
      <c r="R228" s="118"/>
      <c r="S228" s="2"/>
      <c r="T228" s="2"/>
      <c r="U228" s="2"/>
      <c r="V228" s="2"/>
      <c r="W228" s="414"/>
      <c r="X228" s="414"/>
      <c r="Y228" s="37"/>
      <c r="Z228" s="2"/>
      <c r="AA228" s="2"/>
      <c r="AB228" s="57"/>
      <c r="AC228" s="57"/>
      <c r="AD228" s="57"/>
      <c r="AE228" s="118"/>
      <c r="AF228" s="2"/>
      <c r="AG228" s="2"/>
      <c r="AH228" s="2"/>
      <c r="AI228" s="2"/>
      <c r="AJ228" s="37"/>
      <c r="AK228" s="38"/>
      <c r="AL228" s="197"/>
    </row>
    <row r="229" spans="1:38" ht="15" customHeight="1" x14ac:dyDescent="0.25">
      <c r="A229" s="65" t="s">
        <v>53</v>
      </c>
      <c r="B229" s="118"/>
      <c r="C229" s="118"/>
      <c r="D229" s="118"/>
      <c r="E229" s="118"/>
      <c r="F229" s="118"/>
      <c r="G229" s="118"/>
      <c r="H229" s="118"/>
      <c r="I229" s="37"/>
      <c r="J229" s="118"/>
      <c r="K229" s="2"/>
      <c r="L229" s="2"/>
      <c r="M229" s="2"/>
      <c r="N229" s="373"/>
      <c r="O229" s="2"/>
      <c r="P229" s="2"/>
      <c r="Q229" s="37"/>
      <c r="R229" s="118"/>
      <c r="S229" s="2"/>
      <c r="T229" s="2"/>
      <c r="U229" s="2"/>
      <c r="V229" s="2"/>
      <c r="W229" s="414"/>
      <c r="X229" s="414"/>
      <c r="Y229" s="37"/>
      <c r="Z229" s="2"/>
      <c r="AA229" s="2"/>
      <c r="AB229" s="57"/>
      <c r="AC229" s="57"/>
      <c r="AD229" s="57"/>
      <c r="AE229" s="118"/>
      <c r="AF229" s="2"/>
      <c r="AG229" s="2"/>
      <c r="AH229" s="2"/>
      <c r="AI229" s="2"/>
      <c r="AJ229" s="37"/>
      <c r="AK229" s="38"/>
      <c r="AL229" s="197"/>
    </row>
    <row r="230" spans="1:38" ht="15" customHeight="1" x14ac:dyDescent="0.25">
      <c r="A230" s="65" t="s">
        <v>98</v>
      </c>
      <c r="B230" s="118"/>
      <c r="C230" s="118"/>
      <c r="D230" s="118"/>
      <c r="E230" s="118"/>
      <c r="F230" s="118"/>
      <c r="G230" s="118"/>
      <c r="H230" s="118"/>
      <c r="I230" s="37"/>
      <c r="J230" s="118"/>
      <c r="K230" s="2"/>
      <c r="L230" s="2"/>
      <c r="M230" s="2"/>
      <c r="N230" s="373"/>
      <c r="O230" s="2"/>
      <c r="P230" s="2"/>
      <c r="Q230" s="37"/>
      <c r="R230" s="2"/>
      <c r="S230" s="2"/>
      <c r="T230" s="118"/>
      <c r="U230" s="2"/>
      <c r="V230" s="2"/>
      <c r="W230" s="414"/>
      <c r="X230" s="414"/>
      <c r="Y230" s="37"/>
      <c r="Z230" s="2"/>
      <c r="AA230" s="2"/>
      <c r="AB230" s="57"/>
      <c r="AC230" s="57"/>
      <c r="AD230" s="57"/>
      <c r="AE230" s="118"/>
      <c r="AF230" s="2"/>
      <c r="AG230" s="2"/>
      <c r="AH230" s="2"/>
      <c r="AI230" s="2"/>
      <c r="AJ230" s="37"/>
      <c r="AK230" s="38"/>
      <c r="AL230" s="197"/>
    </row>
    <row r="231" spans="1:38" ht="15" customHeight="1" x14ac:dyDescent="0.3">
      <c r="A231" s="65" t="s">
        <v>83</v>
      </c>
      <c r="B231" s="152"/>
      <c r="C231" s="267"/>
      <c r="D231" s="267"/>
      <c r="E231" s="267"/>
      <c r="F231" s="267"/>
      <c r="G231" s="153"/>
      <c r="H231" s="268"/>
      <c r="I231" s="269"/>
      <c r="J231" s="268"/>
      <c r="K231" s="153"/>
      <c r="L231" s="152"/>
      <c r="M231" s="270"/>
      <c r="N231" s="171"/>
      <c r="O231" s="270"/>
      <c r="P231" s="152"/>
      <c r="Q231" s="269"/>
      <c r="R231" s="152"/>
      <c r="S231" s="152"/>
      <c r="T231" s="152"/>
      <c r="U231" s="152"/>
      <c r="V231" s="152"/>
      <c r="W231" s="415"/>
      <c r="X231" s="416"/>
      <c r="Y231" s="269"/>
      <c r="Z231" s="270"/>
      <c r="AA231" s="152"/>
      <c r="AB231" s="175"/>
      <c r="AC231" s="239"/>
      <c r="AD231" s="175"/>
      <c r="AE231" s="152"/>
      <c r="AF231" s="270"/>
      <c r="AG231" s="356"/>
      <c r="AH231" s="270"/>
      <c r="AI231" s="270"/>
      <c r="AJ231" s="269"/>
      <c r="AK231" s="271"/>
      <c r="AL231" s="204"/>
    </row>
    <row r="232" spans="1:38" ht="15" customHeight="1" x14ac:dyDescent="0.25">
      <c r="A232" s="65" t="s">
        <v>84</v>
      </c>
      <c r="B232" s="115"/>
      <c r="C232" s="242"/>
      <c r="D232" s="115"/>
      <c r="E232" s="18"/>
      <c r="F232" s="242"/>
      <c r="G232" s="18"/>
      <c r="H232" s="18"/>
      <c r="I232" s="49"/>
      <c r="J232" s="134"/>
      <c r="K232" s="134"/>
      <c r="L232" s="240"/>
      <c r="M232" s="134"/>
      <c r="N232" s="242"/>
      <c r="O232" s="134"/>
      <c r="P232" s="240"/>
      <c r="Q232" s="49"/>
      <c r="R232" s="134"/>
      <c r="S232" s="242"/>
      <c r="T232" s="134"/>
      <c r="U232" s="240"/>
      <c r="V232" s="134"/>
      <c r="W232" s="417"/>
      <c r="X232" s="417"/>
      <c r="Y232" s="49"/>
      <c r="Z232" s="134"/>
      <c r="AA232" s="134"/>
      <c r="AB232" s="432"/>
      <c r="AC232" s="159"/>
      <c r="AD232" s="432"/>
      <c r="AE232" s="134"/>
      <c r="AF232" s="240"/>
      <c r="AG232" s="247"/>
      <c r="AH232" s="134"/>
      <c r="AI232" s="134"/>
      <c r="AJ232" s="49"/>
      <c r="AK232" s="133"/>
      <c r="AL232" s="197"/>
    </row>
    <row r="233" spans="1:38" x14ac:dyDescent="0.25">
      <c r="A233" s="65" t="s">
        <v>85</v>
      </c>
      <c r="B233" s="115"/>
      <c r="C233" s="115"/>
      <c r="D233" s="115"/>
      <c r="E233" s="18"/>
      <c r="F233" s="18"/>
      <c r="G233" s="18"/>
      <c r="H233" s="18"/>
      <c r="I233" s="49"/>
      <c r="J233" s="134"/>
      <c r="K233" s="134"/>
      <c r="L233" s="240"/>
      <c r="M233" s="134"/>
      <c r="N233" s="156"/>
      <c r="O233" s="134"/>
      <c r="P233" s="134"/>
      <c r="Q233" s="49"/>
      <c r="R233" s="240"/>
      <c r="S233" s="134"/>
      <c r="T233" s="134"/>
      <c r="U233" s="134"/>
      <c r="V233" s="240"/>
      <c r="W233" s="417"/>
      <c r="X233" s="417"/>
      <c r="Y233" s="49"/>
      <c r="Z233" s="134"/>
      <c r="AA233" s="134"/>
      <c r="AB233" s="432"/>
      <c r="AC233" s="159"/>
      <c r="AD233" s="432"/>
      <c r="AE233" s="134"/>
      <c r="AF233" s="134"/>
      <c r="AG233" s="247"/>
      <c r="AH233" s="134"/>
      <c r="AI233" s="134"/>
      <c r="AJ233" s="49"/>
      <c r="AK233" s="133"/>
      <c r="AL233" s="197"/>
    </row>
    <row r="234" spans="1:38" ht="15" customHeight="1" x14ac:dyDescent="0.3">
      <c r="A234" s="65" t="s">
        <v>62</v>
      </c>
      <c r="B234" s="112"/>
      <c r="C234" s="112"/>
      <c r="D234" s="337"/>
      <c r="E234" s="112"/>
      <c r="F234" s="112"/>
      <c r="G234" s="112"/>
      <c r="H234" s="112"/>
      <c r="I234" s="244"/>
      <c r="J234" s="112"/>
      <c r="K234" s="112"/>
      <c r="L234" s="112"/>
      <c r="M234" s="112"/>
      <c r="N234" s="18"/>
      <c r="O234" s="112"/>
      <c r="P234" s="112"/>
      <c r="Q234" s="244"/>
      <c r="R234" s="337"/>
      <c r="S234" s="112"/>
      <c r="T234" s="112"/>
      <c r="U234" s="112"/>
      <c r="V234" s="337"/>
      <c r="W234" s="417"/>
      <c r="X234" s="417"/>
      <c r="Y234" s="244"/>
      <c r="Z234" s="112"/>
      <c r="AA234" s="112"/>
      <c r="AB234" s="115"/>
      <c r="AC234" s="242"/>
      <c r="AD234" s="242"/>
      <c r="AE234" s="112"/>
      <c r="AF234" s="112"/>
      <c r="AG234" s="337"/>
      <c r="AH234" s="112"/>
      <c r="AI234" s="112"/>
      <c r="AJ234" s="244"/>
      <c r="AK234" s="170"/>
      <c r="AL234" s="197"/>
    </row>
    <row r="235" spans="1:38" ht="15" customHeight="1" x14ac:dyDescent="0.35">
      <c r="A235" s="65" t="s">
        <v>61</v>
      </c>
      <c r="B235" s="286"/>
      <c r="C235" s="131"/>
      <c r="D235" s="286"/>
      <c r="E235" s="286"/>
      <c r="F235" s="286"/>
      <c r="G235" s="287"/>
      <c r="H235" s="12"/>
      <c r="I235" s="289"/>
      <c r="J235" s="365"/>
      <c r="K235" s="287"/>
      <c r="L235" s="12"/>
      <c r="M235" s="287"/>
      <c r="N235" s="155"/>
      <c r="O235" s="287"/>
      <c r="P235" s="287"/>
      <c r="Q235" s="289"/>
      <c r="R235" s="131"/>
      <c r="S235" s="287"/>
      <c r="T235" s="287"/>
      <c r="U235" s="131"/>
      <c r="V235" s="287"/>
      <c r="W235" s="417"/>
      <c r="X235" s="418"/>
      <c r="Y235" s="289"/>
      <c r="Z235" s="131"/>
      <c r="AA235" s="287"/>
      <c r="AB235" s="433"/>
      <c r="AC235" s="135"/>
      <c r="AD235" s="434"/>
      <c r="AE235" s="365"/>
      <c r="AF235" s="131"/>
      <c r="AG235" s="431"/>
      <c r="AH235" s="287"/>
      <c r="AI235" s="287"/>
      <c r="AJ235" s="289"/>
      <c r="AK235" s="255"/>
      <c r="AL235" s="292"/>
    </row>
    <row r="236" spans="1:38" ht="15" customHeight="1" x14ac:dyDescent="0.25">
      <c r="A236" s="66" t="s">
        <v>86</v>
      </c>
      <c r="B236" s="288"/>
      <c r="C236" s="288"/>
      <c r="D236" s="288"/>
      <c r="E236" s="288"/>
      <c r="F236" s="338"/>
      <c r="G236" s="288"/>
      <c r="H236" s="288"/>
      <c r="I236" s="290"/>
      <c r="J236" s="288"/>
      <c r="K236" s="288"/>
      <c r="L236" s="338"/>
      <c r="M236" s="288"/>
      <c r="N236" s="288"/>
      <c r="O236" s="288"/>
      <c r="P236" s="338"/>
      <c r="Q236" s="290"/>
      <c r="R236" s="288"/>
      <c r="S236" s="288"/>
      <c r="T236" s="288"/>
      <c r="U236" s="288"/>
      <c r="V236" s="288"/>
      <c r="W236" s="415"/>
      <c r="X236" s="415"/>
      <c r="Y236" s="290"/>
      <c r="Z236" s="288"/>
      <c r="AA236" s="288"/>
      <c r="AB236" s="435"/>
      <c r="AC236" s="435"/>
      <c r="AD236" s="436"/>
      <c r="AE236" s="288"/>
      <c r="AF236" s="338"/>
      <c r="AG236" s="427"/>
      <c r="AH236" s="288"/>
      <c r="AI236" s="288"/>
      <c r="AJ236" s="290"/>
      <c r="AK236" s="291"/>
      <c r="AL236" s="204"/>
    </row>
    <row r="237" spans="1:38" ht="15" customHeight="1" x14ac:dyDescent="0.25">
      <c r="A237" s="66" t="s">
        <v>100</v>
      </c>
      <c r="B237" s="162"/>
      <c r="C237" s="162"/>
      <c r="D237" s="162"/>
      <c r="E237" s="164"/>
      <c r="F237" s="164"/>
      <c r="G237" s="164"/>
      <c r="H237" s="164"/>
      <c r="I237" s="290"/>
      <c r="J237" s="338"/>
      <c r="K237" s="288"/>
      <c r="L237" s="288"/>
      <c r="M237" s="288"/>
      <c r="N237" s="288"/>
      <c r="O237" s="288"/>
      <c r="P237" s="288"/>
      <c r="Q237" s="290"/>
      <c r="R237" s="288"/>
      <c r="S237" s="288"/>
      <c r="T237" s="288"/>
      <c r="U237" s="288"/>
      <c r="V237" s="288"/>
      <c r="W237" s="415"/>
      <c r="X237" s="415"/>
      <c r="Y237" s="290"/>
      <c r="Z237" s="288"/>
      <c r="AA237" s="288"/>
      <c r="AB237" s="435"/>
      <c r="AC237" s="435"/>
      <c r="AD237" s="436"/>
      <c r="AE237" s="288"/>
      <c r="AF237" s="288"/>
      <c r="AG237" s="427"/>
      <c r="AH237" s="288"/>
      <c r="AI237" s="332"/>
      <c r="AJ237" s="290"/>
      <c r="AK237" s="46"/>
      <c r="AL237" s="204"/>
    </row>
    <row r="238" spans="1:38" ht="15" customHeight="1" x14ac:dyDescent="0.25">
      <c r="A238" s="66" t="s">
        <v>35</v>
      </c>
      <c r="B238" s="162"/>
      <c r="C238" s="162"/>
      <c r="D238" s="162"/>
      <c r="E238" s="164"/>
      <c r="F238" s="164"/>
      <c r="G238" s="164"/>
      <c r="H238" s="164"/>
      <c r="I238" s="290"/>
      <c r="J238" s="338"/>
      <c r="K238" s="288"/>
      <c r="L238" s="288"/>
      <c r="M238" s="288"/>
      <c r="N238" s="288"/>
      <c r="O238" s="288"/>
      <c r="P238" s="288"/>
      <c r="Q238" s="290"/>
      <c r="R238" s="288"/>
      <c r="S238" s="288"/>
      <c r="T238" s="288"/>
      <c r="U238" s="288"/>
      <c r="V238" s="288"/>
      <c r="W238" s="415"/>
      <c r="X238" s="415"/>
      <c r="Y238" s="290"/>
      <c r="Z238" s="288"/>
      <c r="AA238" s="288"/>
      <c r="AB238" s="435"/>
      <c r="AC238" s="435"/>
      <c r="AD238" s="436"/>
      <c r="AE238" s="288"/>
      <c r="AF238" s="288"/>
      <c r="AG238" s="443"/>
      <c r="AH238" s="288"/>
      <c r="AI238" s="332"/>
      <c r="AJ238" s="290"/>
      <c r="AK238" s="46"/>
      <c r="AL238" s="204"/>
    </row>
    <row r="239" spans="1:38" ht="15" customHeight="1" x14ac:dyDescent="0.3">
      <c r="A239" s="368" t="s">
        <v>22</v>
      </c>
      <c r="B239" s="162"/>
      <c r="C239" s="162"/>
      <c r="D239" s="162"/>
      <c r="E239" s="164"/>
      <c r="F239" s="164"/>
      <c r="G239" s="164"/>
      <c r="H239" s="338"/>
      <c r="I239" s="290"/>
      <c r="J239" s="338"/>
      <c r="K239" s="367"/>
      <c r="L239" s="288"/>
      <c r="M239" s="288"/>
      <c r="N239" s="338"/>
      <c r="O239" s="288"/>
      <c r="P239" s="288"/>
      <c r="Q239" s="290"/>
      <c r="R239" s="288"/>
      <c r="S239" s="288"/>
      <c r="T239" s="288"/>
      <c r="U239" s="288"/>
      <c r="V239" s="288"/>
      <c r="W239" s="415"/>
      <c r="X239" s="415"/>
      <c r="Y239" s="290"/>
      <c r="Z239" s="288"/>
      <c r="AA239" s="288"/>
      <c r="AB239" s="436"/>
      <c r="AC239" s="435"/>
      <c r="AD239" s="436"/>
      <c r="AE239" s="288"/>
      <c r="AF239" s="288"/>
      <c r="AG239" s="288"/>
      <c r="AH239" s="288"/>
      <c r="AI239" s="332"/>
      <c r="AJ239" s="290"/>
      <c r="AK239" s="342"/>
      <c r="AL239" s="204"/>
    </row>
    <row r="240" spans="1:38" ht="15" customHeight="1" x14ac:dyDescent="0.3">
      <c r="A240" s="368" t="s">
        <v>88</v>
      </c>
      <c r="B240" s="115"/>
      <c r="C240" s="115"/>
      <c r="D240" s="115"/>
      <c r="E240" s="18"/>
      <c r="F240" s="242"/>
      <c r="G240" s="18"/>
      <c r="H240" s="18"/>
      <c r="I240" s="49"/>
      <c r="J240" s="240"/>
      <c r="K240" s="134"/>
      <c r="L240" s="134"/>
      <c r="M240" s="134"/>
      <c r="N240" s="134"/>
      <c r="O240" s="134"/>
      <c r="P240" s="134"/>
      <c r="Q240" s="49"/>
      <c r="R240" s="134"/>
      <c r="S240" s="134"/>
      <c r="T240" s="134"/>
      <c r="U240" s="134"/>
      <c r="V240" s="134"/>
      <c r="W240" s="417"/>
      <c r="X240" s="417"/>
      <c r="Y240" s="49"/>
      <c r="Z240" s="134"/>
      <c r="AA240" s="134"/>
      <c r="AB240" s="159"/>
      <c r="AC240" s="159"/>
      <c r="AD240" s="432"/>
      <c r="AE240" s="134"/>
      <c r="AF240" s="134"/>
      <c r="AG240" s="134"/>
      <c r="AH240" s="134"/>
      <c r="AI240" s="134"/>
      <c r="AJ240" s="49"/>
      <c r="AK240" s="378"/>
      <c r="AL240" s="309"/>
    </row>
    <row r="241" spans="1:38" ht="15" customHeight="1" x14ac:dyDescent="0.3">
      <c r="A241" s="368" t="s">
        <v>38</v>
      </c>
      <c r="B241" s="115"/>
      <c r="C241" s="115"/>
      <c r="D241" s="115"/>
      <c r="E241" s="18"/>
      <c r="F241" s="242"/>
      <c r="G241" s="18"/>
      <c r="H241" s="18"/>
      <c r="I241" s="49"/>
      <c r="J241" s="242"/>
      <c r="K241" s="134"/>
      <c r="L241" s="134"/>
      <c r="M241" s="134"/>
      <c r="N241" s="134"/>
      <c r="O241" s="134"/>
      <c r="P241" s="134"/>
      <c r="Q241" s="49"/>
      <c r="R241" s="134"/>
      <c r="S241" s="134"/>
      <c r="T241" s="134"/>
      <c r="U241" s="242"/>
      <c r="V241" s="134"/>
      <c r="W241" s="417"/>
      <c r="X241" s="417"/>
      <c r="Y241" s="49"/>
      <c r="Z241" s="242"/>
      <c r="AA241" s="134"/>
      <c r="AB241" s="159"/>
      <c r="AC241" s="159"/>
      <c r="AD241" s="159"/>
      <c r="AE241" s="242"/>
      <c r="AF241" s="134"/>
      <c r="AG241" s="134"/>
      <c r="AH241" s="134"/>
      <c r="AI241" s="134"/>
      <c r="AJ241" s="49"/>
      <c r="AK241" s="378"/>
      <c r="AL241" s="309"/>
    </row>
    <row r="242" spans="1:38" x14ac:dyDescent="0.25">
      <c r="A242" s="368" t="s">
        <v>90</v>
      </c>
      <c r="B242" s="150"/>
      <c r="C242" s="150"/>
      <c r="D242" s="282"/>
      <c r="E242" s="150"/>
      <c r="F242" s="282"/>
      <c r="G242" s="150"/>
      <c r="H242" s="150"/>
      <c r="I242" s="369"/>
      <c r="J242" s="282"/>
      <c r="K242" s="150"/>
      <c r="L242" s="149"/>
      <c r="M242" s="182"/>
      <c r="N242" s="182"/>
      <c r="O242" s="182"/>
      <c r="P242" s="182"/>
      <c r="Q242" s="370"/>
      <c r="R242" s="182"/>
      <c r="S242" s="182"/>
      <c r="T242" s="182"/>
      <c r="U242" s="182"/>
      <c r="V242" s="182"/>
      <c r="W242" s="419"/>
      <c r="X242" s="419"/>
      <c r="Y242" s="370"/>
      <c r="Z242" s="182"/>
      <c r="AA242" s="182"/>
      <c r="AB242" s="109"/>
      <c r="AC242" s="109"/>
      <c r="AD242" s="109"/>
      <c r="AE242" s="182"/>
      <c r="AF242" s="182"/>
      <c r="AG242" s="182"/>
      <c r="AH242" s="182"/>
      <c r="AI242" s="182"/>
      <c r="AJ242" s="370"/>
      <c r="AK242" s="333"/>
      <c r="AL242" s="309"/>
    </row>
    <row r="243" spans="1:38" x14ac:dyDescent="0.25">
      <c r="A243" s="368" t="s">
        <v>87</v>
      </c>
      <c r="B243" s="355"/>
      <c r="C243" s="355"/>
      <c r="D243" s="355"/>
      <c r="E243" s="355"/>
      <c r="F243" s="152"/>
      <c r="G243" s="356"/>
      <c r="H243" s="356"/>
      <c r="I243" s="357"/>
      <c r="J243" s="152"/>
      <c r="K243" s="356"/>
      <c r="L243" s="356"/>
      <c r="M243" s="356"/>
      <c r="N243" s="152"/>
      <c r="O243" s="356"/>
      <c r="P243" s="356"/>
      <c r="Q243" s="357"/>
      <c r="R243" s="356"/>
      <c r="S243" s="356"/>
      <c r="T243" s="356"/>
      <c r="U243" s="356"/>
      <c r="V243" s="356"/>
      <c r="W243" s="415"/>
      <c r="X243" s="415"/>
      <c r="Y243" s="357"/>
      <c r="Z243" s="356"/>
      <c r="AA243" s="356"/>
      <c r="AB243" s="175"/>
      <c r="AC243" s="175"/>
      <c r="AD243" s="175"/>
      <c r="AE243" s="152"/>
      <c r="AF243" s="356"/>
      <c r="AG243" s="356"/>
      <c r="AH243" s="356"/>
      <c r="AI243" s="356"/>
      <c r="AJ243" s="357"/>
      <c r="AK243" s="358"/>
      <c r="AL243" s="359"/>
    </row>
    <row r="244" spans="1:38" x14ac:dyDescent="0.25">
      <c r="A244" s="368" t="s">
        <v>21</v>
      </c>
      <c r="B244" s="355"/>
      <c r="C244" s="355"/>
      <c r="D244" s="355"/>
      <c r="E244" s="355"/>
      <c r="F244" s="152"/>
      <c r="G244" s="356"/>
      <c r="H244" s="356"/>
      <c r="I244" s="357"/>
      <c r="J244" s="152"/>
      <c r="K244" s="356"/>
      <c r="L244" s="356"/>
      <c r="M244" s="356"/>
      <c r="N244" s="152"/>
      <c r="O244" s="356"/>
      <c r="P244" s="356"/>
      <c r="Q244" s="357"/>
      <c r="R244" s="356"/>
      <c r="S244" s="356"/>
      <c r="T244" s="356"/>
      <c r="U244" s="356"/>
      <c r="V244" s="356"/>
      <c r="W244" s="415"/>
      <c r="X244" s="415"/>
      <c r="Y244" s="357"/>
      <c r="Z244" s="356"/>
      <c r="AA244" s="356"/>
      <c r="AB244" s="175"/>
      <c r="AC244" s="175"/>
      <c r="AD244" s="175"/>
      <c r="AE244" s="152"/>
      <c r="AF244" s="356"/>
      <c r="AG244" s="356"/>
      <c r="AH244" s="356"/>
      <c r="AI244" s="356"/>
      <c r="AJ244" s="357"/>
      <c r="AK244" s="358"/>
      <c r="AL244" s="359"/>
    </row>
    <row r="245" spans="1:38" ht="15.75" customHeight="1" x14ac:dyDescent="0.25">
      <c r="A245" s="368" t="s">
        <v>99</v>
      </c>
      <c r="B245" s="367"/>
      <c r="C245" s="367"/>
      <c r="D245" s="367"/>
      <c r="E245" s="367"/>
      <c r="F245" s="367"/>
      <c r="G245" s="367"/>
      <c r="H245" s="367"/>
      <c r="I245" s="374"/>
      <c r="J245" s="367"/>
      <c r="K245" s="367"/>
      <c r="L245" s="367"/>
      <c r="M245" s="367"/>
      <c r="N245" s="367"/>
      <c r="O245" s="367"/>
      <c r="P245" s="367"/>
      <c r="Q245" s="290"/>
      <c r="R245" s="367"/>
      <c r="S245" s="288"/>
      <c r="T245" s="338"/>
      <c r="U245" s="288"/>
      <c r="V245" s="288"/>
      <c r="W245" s="415"/>
      <c r="X245" s="415"/>
      <c r="Y245" s="290"/>
      <c r="Z245" s="288"/>
      <c r="AA245" s="288"/>
      <c r="AB245" s="435"/>
      <c r="AC245" s="435"/>
      <c r="AD245" s="435"/>
      <c r="AE245" s="288"/>
      <c r="AF245" s="288"/>
      <c r="AG245" s="288"/>
      <c r="AH245" s="288"/>
      <c r="AI245" s="288"/>
      <c r="AJ245" s="290"/>
      <c r="AK245" s="291"/>
      <c r="AL245" s="204"/>
    </row>
    <row r="246" spans="1:38" ht="15" customHeight="1" x14ac:dyDescent="0.25">
      <c r="A246" s="426" t="s">
        <v>91</v>
      </c>
      <c r="B246" s="242"/>
      <c r="C246" s="242"/>
      <c r="D246" s="242"/>
      <c r="E246" s="242"/>
      <c r="F246" s="242"/>
      <c r="G246" s="242"/>
      <c r="H246" s="242"/>
      <c r="I246" s="409"/>
      <c r="J246" s="242"/>
      <c r="K246" s="242"/>
      <c r="L246" s="242"/>
      <c r="M246" s="242"/>
      <c r="N246" s="242"/>
      <c r="O246" s="242"/>
      <c r="P246" s="242"/>
      <c r="Q246" s="410"/>
      <c r="R246" s="242"/>
      <c r="S246" s="240"/>
      <c r="T246" s="134"/>
      <c r="U246" s="134"/>
      <c r="V246" s="134"/>
      <c r="W246" s="417"/>
      <c r="X246" s="417"/>
      <c r="Y246" s="49"/>
      <c r="Z246" s="134"/>
      <c r="AA246" s="240"/>
      <c r="AB246" s="159"/>
      <c r="AC246" s="159"/>
      <c r="AD246" s="159"/>
      <c r="AE246" s="134"/>
      <c r="AF246" s="240"/>
      <c r="AG246" s="134"/>
      <c r="AH246" s="134"/>
      <c r="AI246" s="134"/>
      <c r="AJ246" s="49"/>
      <c r="AK246" s="133"/>
      <c r="AL246" s="197"/>
    </row>
    <row r="247" spans="1:38" ht="15" customHeight="1" thickBot="1" x14ac:dyDescent="0.35">
      <c r="A247" s="66" t="s">
        <v>101</v>
      </c>
      <c r="B247" s="396"/>
      <c r="C247" s="396"/>
      <c r="D247" s="396"/>
      <c r="E247" s="396"/>
      <c r="F247" s="396"/>
      <c r="G247" s="396"/>
      <c r="H247" s="396"/>
      <c r="I247" s="334"/>
      <c r="J247" s="396"/>
      <c r="K247" s="396"/>
      <c r="L247" s="396"/>
      <c r="M247" s="396"/>
      <c r="N247" s="396"/>
      <c r="O247" s="396"/>
      <c r="P247" s="396"/>
      <c r="Q247" s="334"/>
      <c r="R247" s="396"/>
      <c r="S247" s="396"/>
      <c r="T247" s="396"/>
      <c r="U247" s="396"/>
      <c r="V247" s="396"/>
      <c r="W247" s="420"/>
      <c r="X247" s="420"/>
      <c r="Y247" s="334"/>
      <c r="Z247" s="396"/>
      <c r="AA247" s="396"/>
      <c r="AB247" s="437"/>
      <c r="AC247" s="437"/>
      <c r="AD247" s="437"/>
      <c r="AE247" s="396"/>
      <c r="AF247" s="396"/>
      <c r="AG247" s="396"/>
      <c r="AH247" s="396"/>
      <c r="AI247" s="396"/>
      <c r="AJ247" s="334"/>
      <c r="AK247" s="397"/>
      <c r="AL247" s="228"/>
    </row>
    <row r="248" spans="1:38" ht="18.75" customHeight="1" x14ac:dyDescent="0.3">
      <c r="A248" s="281" t="s">
        <v>2</v>
      </c>
      <c r="B248" s="241"/>
      <c r="C248" s="241"/>
      <c r="D248" s="241"/>
      <c r="E248" s="241"/>
      <c r="F248" s="241"/>
      <c r="G248" s="241"/>
      <c r="H248" s="241"/>
      <c r="I248" s="380"/>
      <c r="J248" s="241"/>
      <c r="K248" s="241"/>
      <c r="L248" s="241"/>
      <c r="M248" s="241"/>
      <c r="N248" s="241"/>
      <c r="O248" s="241"/>
      <c r="P248" s="241"/>
      <c r="Q248" s="377"/>
      <c r="R248" s="241"/>
      <c r="S248" s="241"/>
      <c r="T248" s="241"/>
      <c r="U248" s="241"/>
      <c r="V248" s="241"/>
      <c r="W248" s="413"/>
      <c r="X248" s="413"/>
      <c r="Y248" s="380"/>
      <c r="Z248" s="241"/>
      <c r="AA248" s="241"/>
      <c r="AB248" s="241"/>
      <c r="AC248" s="241"/>
      <c r="AD248" s="241"/>
      <c r="AE248" s="241"/>
      <c r="AF248" s="241"/>
      <c r="AG248" s="241"/>
      <c r="AH248" s="424"/>
      <c r="AI248" s="425"/>
      <c r="AJ248" s="360"/>
      <c r="AK248" s="266"/>
      <c r="AL248" s="284"/>
    </row>
    <row r="249" spans="1:38" ht="15" customHeight="1" thickBot="1" x14ac:dyDescent="0.35">
      <c r="A249" s="272"/>
      <c r="B249" s="265"/>
      <c r="C249" s="265"/>
      <c r="D249" s="265"/>
      <c r="E249" s="265"/>
      <c r="F249" s="265"/>
      <c r="G249" s="265"/>
      <c r="H249" s="265"/>
      <c r="I249" s="334"/>
      <c r="J249" s="265"/>
      <c r="K249" s="265"/>
      <c r="L249" s="265"/>
      <c r="M249" s="265"/>
      <c r="N249" s="265"/>
      <c r="O249" s="265"/>
      <c r="P249" s="265"/>
      <c r="Q249" s="334"/>
      <c r="R249" s="265"/>
      <c r="S249" s="265"/>
      <c r="T249" s="265"/>
      <c r="U249" s="265"/>
      <c r="V249" s="265"/>
      <c r="W249" s="265"/>
      <c r="X249" s="265"/>
      <c r="Y249" s="334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334"/>
      <c r="AK249" s="273"/>
      <c r="AL249" s="228"/>
    </row>
    <row r="250" spans="1:38" ht="24" thickBot="1" x14ac:dyDescent="0.4">
      <c r="A250" s="252" t="s">
        <v>230</v>
      </c>
      <c r="B250" s="258"/>
      <c r="C250" s="258"/>
      <c r="D250" s="258"/>
      <c r="E250" s="258"/>
      <c r="F250" s="258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  <c r="AD250" s="254"/>
      <c r="AE250" s="254"/>
      <c r="AF250" s="254"/>
      <c r="AG250" s="254"/>
      <c r="AH250" s="254"/>
      <c r="AI250" s="254"/>
      <c r="AJ250" s="260"/>
      <c r="AK250" s="261"/>
      <c r="AL250" s="260"/>
    </row>
    <row r="251" spans="1:38" ht="15.75" thickBot="1" x14ac:dyDescent="0.3">
      <c r="A251" s="222" t="s">
        <v>2</v>
      </c>
      <c r="B251" s="53"/>
      <c r="C251" s="53"/>
      <c r="D251" s="53"/>
      <c r="E251" s="53"/>
      <c r="F251" s="53"/>
      <c r="G251" s="53"/>
      <c r="H251" s="53"/>
      <c r="I251" s="34"/>
      <c r="J251" s="53"/>
      <c r="K251" s="53"/>
      <c r="L251" s="53"/>
      <c r="M251" s="53"/>
      <c r="N251" s="53"/>
      <c r="O251" s="53"/>
      <c r="P251" s="53"/>
      <c r="Q251" s="34"/>
      <c r="R251" s="53"/>
      <c r="S251" s="53"/>
      <c r="T251" s="53"/>
      <c r="U251" s="53"/>
      <c r="V251" s="53"/>
      <c r="W251" s="53"/>
      <c r="X251" s="53"/>
      <c r="Y251" s="34"/>
      <c r="Z251" s="53"/>
      <c r="AA251" s="53"/>
      <c r="AB251" s="53"/>
      <c r="AC251" s="53"/>
      <c r="AD251" s="53"/>
      <c r="AE251" s="53"/>
      <c r="AF251" s="53"/>
      <c r="AG251" s="53"/>
      <c r="AH251" s="53"/>
      <c r="AI251" s="54"/>
      <c r="AJ251" s="49"/>
      <c r="AK251" s="346"/>
      <c r="AL251" s="105"/>
    </row>
    <row r="252" spans="1:38" ht="18.75" x14ac:dyDescent="0.3">
      <c r="A252" s="64" t="s">
        <v>57</v>
      </c>
      <c r="B252" s="1"/>
      <c r="C252" s="1"/>
      <c r="D252" s="1"/>
      <c r="E252" s="1"/>
      <c r="F252" s="1"/>
      <c r="G252" s="1"/>
      <c r="H252" s="1"/>
      <c r="I252" s="36"/>
      <c r="J252" s="1"/>
      <c r="K252" s="1"/>
      <c r="L252" s="1"/>
      <c r="M252" s="1"/>
      <c r="N252" s="1"/>
      <c r="O252" s="1"/>
      <c r="P252" s="1"/>
      <c r="Q252" s="36"/>
      <c r="R252" s="1"/>
      <c r="S252" s="1"/>
      <c r="T252" s="57"/>
      <c r="U252" s="1"/>
      <c r="V252" s="1"/>
      <c r="W252" s="1"/>
      <c r="X252" s="1"/>
      <c r="Y252" s="36"/>
      <c r="Z252" s="1"/>
      <c r="AA252" s="1"/>
      <c r="AB252" s="1"/>
      <c r="AC252" s="1"/>
      <c r="AD252" s="1"/>
      <c r="AE252" s="1"/>
      <c r="AF252" s="1"/>
      <c r="AG252" s="1"/>
      <c r="AH252" s="1"/>
      <c r="AI252" s="55"/>
      <c r="AJ252" s="36"/>
      <c r="AK252" s="339"/>
      <c r="AL252" s="197"/>
    </row>
    <row r="253" spans="1:38" ht="18.75" x14ac:dyDescent="0.3">
      <c r="A253" s="11" t="s">
        <v>58</v>
      </c>
      <c r="B253" s="1"/>
      <c r="C253" s="1"/>
      <c r="D253" s="1"/>
      <c r="E253" s="1"/>
      <c r="F253" s="1"/>
      <c r="G253" s="1"/>
      <c r="H253" s="1"/>
      <c r="I253" s="37"/>
      <c r="J253" s="118"/>
      <c r="K253" s="1"/>
      <c r="L253" s="1"/>
      <c r="M253" s="1"/>
      <c r="N253" s="1"/>
      <c r="O253" s="1"/>
      <c r="P253" s="1"/>
      <c r="Q253" s="37"/>
      <c r="R253" s="1"/>
      <c r="S253" s="1"/>
      <c r="T253" s="57"/>
      <c r="U253" s="1"/>
      <c r="V253" s="1"/>
      <c r="W253" s="1"/>
      <c r="X253" s="1"/>
      <c r="Y253" s="37"/>
      <c r="Z253" s="1"/>
      <c r="AA253" s="1"/>
      <c r="AB253" s="118"/>
      <c r="AC253" s="1"/>
      <c r="AD253" s="118"/>
      <c r="AE253" s="1"/>
      <c r="AF253" s="1"/>
      <c r="AG253" s="336"/>
      <c r="AH253" s="2"/>
      <c r="AI253" s="52"/>
      <c r="AJ253" s="37"/>
      <c r="AK253" s="340"/>
      <c r="AL253" s="197"/>
    </row>
    <row r="254" spans="1:38" ht="15" customHeight="1" x14ac:dyDescent="0.3">
      <c r="A254" s="62" t="s">
        <v>59</v>
      </c>
      <c r="B254" s="123"/>
      <c r="C254" s="123"/>
      <c r="D254" s="123"/>
      <c r="E254" s="123"/>
      <c r="F254" s="123"/>
      <c r="G254" s="123"/>
      <c r="H254" s="123"/>
      <c r="I254" s="43"/>
      <c r="J254" s="178"/>
      <c r="K254" s="123"/>
      <c r="L254" s="123"/>
      <c r="M254" s="123"/>
      <c r="N254" s="123"/>
      <c r="O254" s="123"/>
      <c r="P254" s="123"/>
      <c r="Q254" s="43"/>
      <c r="R254" s="123"/>
      <c r="S254" s="123"/>
      <c r="T254" s="178"/>
      <c r="U254" s="123"/>
      <c r="V254" s="123"/>
      <c r="W254" s="123"/>
      <c r="X254" s="123"/>
      <c r="Y254" s="43"/>
      <c r="Z254" s="123"/>
      <c r="AA254" s="123"/>
      <c r="AB254" s="123"/>
      <c r="AC254" s="123"/>
      <c r="AD254" s="119"/>
      <c r="AE254" s="123"/>
      <c r="AF254" s="123"/>
      <c r="AG254" s="366"/>
      <c r="AH254" s="42"/>
      <c r="AI254" s="243"/>
      <c r="AJ254" s="43"/>
      <c r="AK254" s="342"/>
      <c r="AL254" s="204"/>
    </row>
    <row r="255" spans="1:38" ht="18.75" customHeight="1" thickBot="1" x14ac:dyDescent="0.35">
      <c r="A255" s="349"/>
      <c r="B255" s="274"/>
      <c r="C255" s="274"/>
      <c r="D255" s="274"/>
      <c r="E255" s="274"/>
      <c r="F255" s="274"/>
      <c r="G255" s="275"/>
      <c r="H255" s="275"/>
      <c r="I255" s="269"/>
      <c r="J255" s="270"/>
      <c r="K255" s="268"/>
      <c r="L255" s="275"/>
      <c r="M255" s="268"/>
      <c r="N255" s="275"/>
      <c r="O255" s="268"/>
      <c r="P255" s="275"/>
      <c r="Q255" s="269"/>
      <c r="R255" s="153"/>
      <c r="S255" s="275"/>
      <c r="T255" s="239"/>
      <c r="U255" s="268"/>
      <c r="V255" s="275"/>
      <c r="W255" s="275"/>
      <c r="X255" s="268"/>
      <c r="Y255" s="269"/>
      <c r="Z255" s="275"/>
      <c r="AA255" s="153"/>
      <c r="AB255" s="268"/>
      <c r="AC255" s="275"/>
      <c r="AD255" s="268"/>
      <c r="AE255" s="275"/>
      <c r="AF255" s="275"/>
      <c r="AG255" s="429"/>
      <c r="AH255" s="270"/>
      <c r="AI255" s="270"/>
      <c r="AJ255" s="269"/>
      <c r="AK255" s="271"/>
      <c r="AL255" s="204"/>
    </row>
    <row r="256" spans="1:38" ht="18.75" customHeight="1" x14ac:dyDescent="0.3">
      <c r="A256" s="281" t="s">
        <v>2</v>
      </c>
      <c r="B256" s="307"/>
      <c r="C256" s="307"/>
      <c r="D256" s="307"/>
      <c r="E256" s="307"/>
      <c r="F256" s="307"/>
      <c r="G256" s="307"/>
      <c r="H256" s="307"/>
      <c r="I256" s="376"/>
      <c r="J256" s="307"/>
      <c r="K256" s="307"/>
      <c r="L256" s="307"/>
      <c r="M256" s="307"/>
      <c r="N256" s="307"/>
      <c r="O256" s="307"/>
      <c r="P256" s="307"/>
      <c r="Q256" s="376"/>
      <c r="R256" s="307"/>
      <c r="S256" s="307"/>
      <c r="T256" s="163"/>
      <c r="U256" s="307"/>
      <c r="V256" s="307"/>
      <c r="W256" s="307"/>
      <c r="X256" s="307"/>
      <c r="Y256" s="376"/>
      <c r="Z256" s="307"/>
      <c r="AA256" s="307"/>
      <c r="AB256" s="307"/>
      <c r="AC256" s="307"/>
      <c r="AD256" s="307"/>
      <c r="AE256" s="307"/>
      <c r="AF256" s="307"/>
      <c r="AG256" s="428"/>
      <c r="AH256" s="308"/>
      <c r="AI256" s="308"/>
      <c r="AJ256" s="310"/>
      <c r="AK256" s="308"/>
      <c r="AL256" s="284"/>
    </row>
    <row r="257" spans="1:38" ht="18.75" customHeight="1" thickBot="1" x14ac:dyDescent="0.3">
      <c r="A257" s="264"/>
      <c r="B257" s="265"/>
      <c r="C257" s="265"/>
      <c r="D257" s="265"/>
      <c r="E257" s="265"/>
      <c r="F257" s="265"/>
      <c r="G257" s="265"/>
      <c r="H257" s="265"/>
      <c r="I257" s="361"/>
      <c r="J257" s="265"/>
      <c r="K257" s="265"/>
      <c r="L257" s="265"/>
      <c r="M257" s="265"/>
      <c r="N257" s="265"/>
      <c r="O257" s="265"/>
      <c r="P257" s="265"/>
      <c r="Q257" s="361"/>
      <c r="R257" s="265"/>
      <c r="S257" s="265"/>
      <c r="T257" s="265"/>
      <c r="U257" s="265"/>
      <c r="V257" s="265"/>
      <c r="W257" s="265"/>
      <c r="X257" s="265"/>
      <c r="Y257" s="361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361"/>
      <c r="AK257" s="362"/>
      <c r="AL257" s="363"/>
    </row>
    <row r="258" spans="1:38" ht="24" customHeight="1" thickBot="1" x14ac:dyDescent="0.4">
      <c r="A258" s="252" t="s">
        <v>231</v>
      </c>
      <c r="B258" s="258"/>
      <c r="C258" s="258"/>
      <c r="D258" s="258"/>
      <c r="E258" s="258"/>
      <c r="F258" s="258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  <c r="AD258" s="254"/>
      <c r="AE258" s="254"/>
      <c r="AF258" s="254"/>
      <c r="AG258" s="254"/>
      <c r="AH258" s="254"/>
      <c r="AI258" s="254"/>
      <c r="AJ258" s="260"/>
      <c r="AK258" s="261"/>
      <c r="AL258" s="260"/>
    </row>
    <row r="259" spans="1:38" ht="18.75" customHeight="1" x14ac:dyDescent="0.3">
      <c r="A259" s="11" t="s">
        <v>54</v>
      </c>
      <c r="B259" s="1"/>
      <c r="C259" s="1"/>
      <c r="D259" s="1"/>
      <c r="E259" s="1"/>
      <c r="F259" s="1"/>
      <c r="G259" s="1"/>
      <c r="H259" s="1"/>
      <c r="I259" s="37"/>
      <c r="J259" s="118"/>
      <c r="K259" s="118"/>
      <c r="L259" s="1"/>
      <c r="M259" s="118"/>
      <c r="N259" s="1"/>
      <c r="O259" s="118"/>
      <c r="P259" s="1"/>
      <c r="Q259" s="37"/>
      <c r="R259" s="118"/>
      <c r="S259" s="1"/>
      <c r="T259" s="118"/>
      <c r="U259" s="118"/>
      <c r="V259" s="118"/>
      <c r="W259" s="118"/>
      <c r="X259" s="118"/>
      <c r="Y259" s="37"/>
      <c r="Z259" s="118"/>
      <c r="AA259" s="1"/>
      <c r="AB259" s="1"/>
      <c r="AC259" s="1"/>
      <c r="AD259" s="1"/>
      <c r="AE259" s="118"/>
      <c r="AF259" s="118"/>
      <c r="AG259" s="2"/>
      <c r="AH259" s="2"/>
      <c r="AI259" s="52"/>
      <c r="AJ259" s="37"/>
      <c r="AK259" s="339"/>
      <c r="AL259" s="197"/>
    </row>
    <row r="260" spans="1:38" ht="18.75" customHeight="1" x14ac:dyDescent="0.3">
      <c r="A260" s="11" t="s">
        <v>55</v>
      </c>
      <c r="B260" s="1"/>
      <c r="C260" s="1"/>
      <c r="D260" s="1"/>
      <c r="E260" s="1"/>
      <c r="F260" s="1"/>
      <c r="G260" s="1"/>
      <c r="H260" s="1"/>
      <c r="I260" s="37"/>
      <c r="J260" s="118"/>
      <c r="K260" s="118"/>
      <c r="L260" s="1"/>
      <c r="M260" s="118"/>
      <c r="N260" s="118"/>
      <c r="O260" s="1"/>
      <c r="P260" s="1"/>
      <c r="Q260" s="37"/>
      <c r="R260" s="118"/>
      <c r="S260" s="1"/>
      <c r="T260" s="118"/>
      <c r="U260" s="1"/>
      <c r="V260" s="118"/>
      <c r="W260" s="118"/>
      <c r="X260" s="118"/>
      <c r="Y260" s="37"/>
      <c r="Z260" s="118"/>
      <c r="AA260" s="1"/>
      <c r="AB260" s="1"/>
      <c r="AC260" s="1"/>
      <c r="AD260" s="1"/>
      <c r="AE260" s="118"/>
      <c r="AF260" s="118"/>
      <c r="AG260" s="2"/>
      <c r="AH260" s="2"/>
      <c r="AI260" s="52"/>
      <c r="AJ260" s="37"/>
      <c r="AK260" s="339"/>
      <c r="AL260" s="197"/>
    </row>
    <row r="261" spans="1:38" ht="18.75" x14ac:dyDescent="0.3">
      <c r="A261" s="62" t="s">
        <v>56</v>
      </c>
      <c r="B261" s="123"/>
      <c r="C261" s="123"/>
      <c r="D261" s="123"/>
      <c r="E261" s="123"/>
      <c r="F261" s="123"/>
      <c r="G261" s="123"/>
      <c r="H261" s="123"/>
      <c r="I261" s="43"/>
      <c r="J261" s="119"/>
      <c r="K261" s="119"/>
      <c r="L261" s="123"/>
      <c r="M261" s="119"/>
      <c r="N261" s="123"/>
      <c r="O261" s="119"/>
      <c r="P261" s="123"/>
      <c r="Q261" s="43"/>
      <c r="R261" s="123"/>
      <c r="S261" s="123"/>
      <c r="T261" s="119"/>
      <c r="U261" s="119"/>
      <c r="V261" s="119"/>
      <c r="W261" s="119"/>
      <c r="X261" s="119"/>
      <c r="Y261" s="43"/>
      <c r="Z261" s="119"/>
      <c r="AA261" s="123"/>
      <c r="AB261" s="123"/>
      <c r="AC261" s="123"/>
      <c r="AD261" s="123"/>
      <c r="AE261" s="119"/>
      <c r="AF261" s="119"/>
      <c r="AG261" s="42"/>
      <c r="AH261" s="42"/>
      <c r="AI261" s="243"/>
      <c r="AJ261" s="43"/>
      <c r="AK261" s="342"/>
      <c r="AL261" s="204"/>
    </row>
    <row r="262" spans="1:38" x14ac:dyDescent="0.25">
      <c r="A262" s="67"/>
      <c r="B262" s="124"/>
      <c r="C262" s="124"/>
      <c r="D262" s="124"/>
      <c r="E262" s="124"/>
      <c r="F262" s="124"/>
      <c r="G262" s="124"/>
      <c r="H262" s="124"/>
      <c r="I262" s="47"/>
      <c r="J262" s="124"/>
      <c r="K262" s="124"/>
      <c r="L262" s="124"/>
      <c r="M262" s="124"/>
      <c r="N262" s="124"/>
      <c r="O262" s="124"/>
      <c r="P262" s="124"/>
      <c r="Q262" s="47"/>
      <c r="R262" s="124"/>
      <c r="S262" s="124"/>
      <c r="T262" s="124"/>
      <c r="U262" s="124"/>
      <c r="V262" s="124"/>
      <c r="W262" s="124"/>
      <c r="X262" s="124"/>
      <c r="Y262" s="47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37"/>
      <c r="AK262" s="3"/>
      <c r="AL262" s="197"/>
    </row>
    <row r="263" spans="1:38" ht="18.75" x14ac:dyDescent="0.3">
      <c r="A263" s="402" t="s">
        <v>2</v>
      </c>
      <c r="B263" s="403"/>
      <c r="C263" s="403"/>
      <c r="D263" s="403"/>
      <c r="E263" s="403"/>
      <c r="F263" s="403"/>
      <c r="G263" s="403"/>
      <c r="H263" s="403"/>
      <c r="I263" s="404"/>
      <c r="J263" s="403"/>
      <c r="K263" s="405"/>
      <c r="L263" s="403"/>
      <c r="M263" s="403"/>
      <c r="N263" s="403"/>
      <c r="O263" s="405"/>
      <c r="P263" s="403"/>
      <c r="Q263" s="404"/>
      <c r="R263" s="403"/>
      <c r="S263" s="405"/>
      <c r="T263" s="405"/>
      <c r="U263" s="405"/>
      <c r="V263" s="405"/>
      <c r="W263" s="405"/>
      <c r="X263" s="405"/>
      <c r="Y263" s="404"/>
      <c r="Z263" s="405"/>
      <c r="AA263" s="403"/>
      <c r="AB263" s="403"/>
      <c r="AC263" s="403"/>
      <c r="AD263" s="403"/>
      <c r="AE263" s="405"/>
      <c r="AF263" s="403"/>
      <c r="AG263" s="430"/>
      <c r="AH263" s="406"/>
      <c r="AI263" s="406"/>
      <c r="AJ263" s="407"/>
      <c r="AK263" s="406"/>
      <c r="AL263" s="408"/>
    </row>
    <row r="264" spans="1:38" ht="15.75" thickBot="1" x14ac:dyDescent="0.3">
      <c r="A264" s="364"/>
      <c r="B264" s="265"/>
      <c r="C264" s="265"/>
      <c r="D264" s="265"/>
      <c r="E264" s="265"/>
      <c r="F264" s="265"/>
      <c r="G264" s="265"/>
      <c r="H264" s="265"/>
      <c r="I264" s="361"/>
      <c r="J264" s="265"/>
      <c r="K264" s="265"/>
      <c r="L264" s="265"/>
      <c r="M264" s="265"/>
      <c r="N264" s="265"/>
      <c r="O264" s="265"/>
      <c r="P264" s="265"/>
      <c r="Q264" s="361"/>
      <c r="R264" s="265"/>
      <c r="S264" s="265"/>
      <c r="T264" s="265"/>
      <c r="U264" s="265"/>
      <c r="V264" s="265"/>
      <c r="W264" s="265"/>
      <c r="X264" s="265"/>
      <c r="Y264" s="361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361"/>
      <c r="AK264" s="362"/>
      <c r="AL264" s="363"/>
    </row>
    <row r="265" spans="1:38" ht="24" thickBot="1" x14ac:dyDescent="0.4">
      <c r="A265" s="276" t="s">
        <v>232</v>
      </c>
      <c r="B265" s="258"/>
      <c r="C265" s="258"/>
      <c r="D265" s="258"/>
      <c r="E265" s="258"/>
      <c r="F265" s="258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260"/>
      <c r="AK265" s="261"/>
      <c r="AL265" s="260"/>
    </row>
    <row r="266" spans="1:38" ht="16.5" thickBot="1" x14ac:dyDescent="0.3">
      <c r="A266" s="320" t="s">
        <v>24</v>
      </c>
      <c r="B266" s="53"/>
      <c r="C266" s="53"/>
      <c r="D266" s="53"/>
      <c r="E266" s="53"/>
      <c r="F266" s="53"/>
      <c r="G266" s="53"/>
      <c r="H266" s="53"/>
      <c r="I266" s="34"/>
      <c r="J266" s="53"/>
      <c r="K266" s="53"/>
      <c r="L266" s="53"/>
      <c r="M266" s="53"/>
      <c r="N266" s="53"/>
      <c r="O266" s="53"/>
      <c r="P266" s="53"/>
      <c r="Q266" s="34"/>
      <c r="R266" s="53"/>
      <c r="S266" s="53"/>
      <c r="T266" s="53"/>
      <c r="U266" s="53"/>
      <c r="V266" s="53"/>
      <c r="W266" s="53"/>
      <c r="X266" s="53"/>
      <c r="Y266" s="34"/>
      <c r="Z266" s="53"/>
      <c r="AA266" s="53"/>
      <c r="AB266" s="53"/>
      <c r="AC266" s="53"/>
      <c r="AD266" s="53"/>
      <c r="AE266" s="53"/>
      <c r="AF266" s="53"/>
      <c r="AG266" s="53"/>
      <c r="AH266" s="53"/>
      <c r="AI266" s="54"/>
      <c r="AJ266" s="49"/>
      <c r="AK266" s="346"/>
      <c r="AL266" s="197"/>
    </row>
    <row r="267" spans="1:38" x14ac:dyDescent="0.25">
      <c r="A267" s="64" t="s">
        <v>92</v>
      </c>
      <c r="B267" s="1"/>
      <c r="C267" s="1"/>
      <c r="D267" s="1"/>
      <c r="E267" s="1"/>
      <c r="F267" s="1"/>
      <c r="G267" s="1"/>
      <c r="H267" s="1"/>
      <c r="I267" s="36"/>
      <c r="J267" s="1"/>
      <c r="K267" s="1"/>
      <c r="L267" s="1"/>
      <c r="M267" s="1"/>
      <c r="N267" s="1"/>
      <c r="O267" s="1"/>
      <c r="P267" s="1"/>
      <c r="Q267" s="36"/>
      <c r="R267" s="1"/>
      <c r="S267" s="1"/>
      <c r="T267" s="1"/>
      <c r="U267" s="1"/>
      <c r="V267" s="57"/>
      <c r="W267" s="1"/>
      <c r="X267" s="1"/>
      <c r="Y267" s="36"/>
      <c r="Z267" s="57"/>
      <c r="AA267" s="57"/>
      <c r="AB267" s="57"/>
      <c r="AC267" s="57"/>
      <c r="AD267" s="57"/>
      <c r="AE267" s="57"/>
      <c r="AF267" s="57"/>
      <c r="AG267" s="57"/>
      <c r="AH267" s="57"/>
      <c r="AI267" s="58"/>
      <c r="AJ267" s="36"/>
      <c r="AK267" s="38"/>
      <c r="AL267" s="197"/>
    </row>
    <row r="268" spans="1:38" ht="18.75" x14ac:dyDescent="0.3">
      <c r="A268" s="11" t="s">
        <v>94</v>
      </c>
      <c r="B268" s="2"/>
      <c r="C268" s="2"/>
      <c r="D268" s="2"/>
      <c r="E268" s="2"/>
      <c r="F268" s="2"/>
      <c r="G268" s="2"/>
      <c r="H268" s="2"/>
      <c r="I268" s="37"/>
      <c r="J268" s="2"/>
      <c r="K268" s="2"/>
      <c r="L268" s="2"/>
      <c r="M268" s="2"/>
      <c r="N268" s="2"/>
      <c r="O268" s="2"/>
      <c r="P268" s="2"/>
      <c r="Q268" s="37"/>
      <c r="R268" s="2"/>
      <c r="S268" s="1"/>
      <c r="T268" s="57"/>
      <c r="U268" s="2"/>
      <c r="V268" s="161"/>
      <c r="W268" s="2"/>
      <c r="X268" s="2"/>
      <c r="Y268" s="37"/>
      <c r="Z268" s="59"/>
      <c r="AA268" s="59"/>
      <c r="AB268" s="59"/>
      <c r="AC268" s="59"/>
      <c r="AD268" s="59"/>
      <c r="AE268" s="59"/>
      <c r="AF268" s="59"/>
      <c r="AG268" s="59"/>
      <c r="AH268" s="59"/>
      <c r="AI268" s="60"/>
      <c r="AJ268" s="37"/>
      <c r="AK268" s="340"/>
      <c r="AL268" s="197"/>
    </row>
    <row r="269" spans="1:38" ht="18.75" x14ac:dyDescent="0.3">
      <c r="A269" s="11" t="s">
        <v>95</v>
      </c>
      <c r="B269" s="2"/>
      <c r="C269" s="2"/>
      <c r="D269" s="2"/>
      <c r="E269" s="2"/>
      <c r="F269" s="2"/>
      <c r="G269" s="2"/>
      <c r="H269" s="2"/>
      <c r="I269" s="37"/>
      <c r="J269" s="2"/>
      <c r="K269" s="2"/>
      <c r="L269" s="2"/>
      <c r="M269" s="2"/>
      <c r="N269" s="2"/>
      <c r="O269" s="2"/>
      <c r="P269" s="2"/>
      <c r="Q269" s="37"/>
      <c r="R269" s="2"/>
      <c r="S269" s="2"/>
      <c r="T269" s="2"/>
      <c r="U269" s="2"/>
      <c r="V269" s="57"/>
      <c r="W269" s="2"/>
      <c r="X269" s="2"/>
      <c r="Y269" s="37"/>
      <c r="Z269" s="59"/>
      <c r="AA269" s="59"/>
      <c r="AB269" s="59"/>
      <c r="AC269" s="59"/>
      <c r="AD269" s="59"/>
      <c r="AE269" s="59"/>
      <c r="AF269" s="59"/>
      <c r="AG269" s="59"/>
      <c r="AH269" s="59"/>
      <c r="AI269" s="60"/>
      <c r="AJ269" s="37"/>
      <c r="AK269" s="340"/>
      <c r="AL269" s="197"/>
    </row>
    <row r="270" spans="1:38" ht="18.75" x14ac:dyDescent="0.3">
      <c r="A270" s="11" t="s">
        <v>96</v>
      </c>
      <c r="B270" s="2"/>
      <c r="C270" s="2"/>
      <c r="D270" s="2"/>
      <c r="E270" s="2"/>
      <c r="F270" s="2"/>
      <c r="G270" s="2"/>
      <c r="H270" s="2"/>
      <c r="I270" s="37"/>
      <c r="J270" s="2"/>
      <c r="K270" s="2"/>
      <c r="L270" s="2"/>
      <c r="M270" s="2"/>
      <c r="N270" s="2"/>
      <c r="O270" s="2"/>
      <c r="P270" s="2"/>
      <c r="Q270" s="37"/>
      <c r="R270" s="2"/>
      <c r="S270" s="2"/>
      <c r="T270" s="2"/>
      <c r="U270" s="2"/>
      <c r="V270" s="161"/>
      <c r="W270" s="2"/>
      <c r="X270" s="2"/>
      <c r="Y270" s="37"/>
      <c r="Z270" s="59"/>
      <c r="AA270" s="59"/>
      <c r="AB270" s="59"/>
      <c r="AC270" s="59"/>
      <c r="AD270" s="59"/>
      <c r="AE270" s="59"/>
      <c r="AF270" s="59"/>
      <c r="AG270" s="59"/>
      <c r="AH270" s="59"/>
      <c r="AI270" s="60"/>
      <c r="AJ270" s="37"/>
      <c r="AK270" s="340"/>
      <c r="AL270" s="197"/>
    </row>
    <row r="271" spans="1:38" x14ac:dyDescent="0.25">
      <c r="A271" s="11" t="s">
        <v>97</v>
      </c>
      <c r="B271" s="124"/>
      <c r="C271" s="124"/>
      <c r="D271" s="124"/>
      <c r="E271" s="124"/>
      <c r="F271" s="124"/>
      <c r="G271" s="124"/>
      <c r="H271" s="124"/>
      <c r="I271" s="37"/>
      <c r="J271" s="124"/>
      <c r="K271" s="124"/>
      <c r="L271" s="124"/>
      <c r="M271" s="124"/>
      <c r="N271" s="124"/>
      <c r="O271" s="124"/>
      <c r="P271" s="124"/>
      <c r="Q271" s="37"/>
      <c r="R271" s="124"/>
      <c r="S271" s="124"/>
      <c r="T271" s="124"/>
      <c r="U271" s="124"/>
      <c r="V271" s="135"/>
      <c r="W271" s="124"/>
      <c r="X271" s="124"/>
      <c r="Y271" s="37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5"/>
      <c r="AJ271" s="37"/>
      <c r="AK271" s="38"/>
      <c r="AL271" s="197"/>
    </row>
    <row r="272" spans="1:38" ht="15" customHeight="1" thickBot="1" x14ac:dyDescent="0.3">
      <c r="A272" s="11" t="s">
        <v>93</v>
      </c>
      <c r="B272" s="175"/>
      <c r="C272" s="175"/>
      <c r="D272" s="175"/>
      <c r="E272" s="175"/>
      <c r="F272" s="175"/>
      <c r="G272" s="175"/>
      <c r="H272" s="175"/>
      <c r="I272" s="43"/>
      <c r="J272" s="245"/>
      <c r="K272" s="245"/>
      <c r="L272" s="245"/>
      <c r="M272" s="245"/>
      <c r="N272" s="245"/>
      <c r="O272" s="245"/>
      <c r="P272" s="245"/>
      <c r="Q272" s="43"/>
      <c r="R272" s="245"/>
      <c r="S272" s="245"/>
      <c r="T272" s="245"/>
      <c r="U272" s="245"/>
      <c r="V272" s="175"/>
      <c r="W272" s="245"/>
      <c r="X272" s="245"/>
      <c r="Y272" s="43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6"/>
      <c r="AJ272" s="43"/>
      <c r="AK272" s="44"/>
      <c r="AL272" s="204"/>
    </row>
    <row r="273" spans="1:38" ht="15" customHeight="1" thickBot="1" x14ac:dyDescent="0.3">
      <c r="A273" s="11" t="s">
        <v>60</v>
      </c>
      <c r="B273" s="398"/>
      <c r="C273" s="398"/>
      <c r="D273" s="398"/>
      <c r="E273" s="398"/>
      <c r="F273" s="398"/>
      <c r="G273" s="398"/>
      <c r="H273" s="398"/>
      <c r="I273" s="375"/>
      <c r="J273" s="398"/>
      <c r="K273" s="398"/>
      <c r="L273" s="398"/>
      <c r="M273" s="398"/>
      <c r="N273" s="398"/>
      <c r="O273" s="398"/>
      <c r="P273" s="398"/>
      <c r="Q273" s="375"/>
      <c r="R273" s="398"/>
      <c r="S273" s="399"/>
      <c r="T273" s="399"/>
      <c r="U273" s="399"/>
      <c r="V273" s="398"/>
      <c r="W273" s="399"/>
      <c r="X273" s="399"/>
      <c r="Y273" s="278"/>
      <c r="Z273" s="399"/>
      <c r="AA273" s="399"/>
      <c r="AB273" s="399"/>
      <c r="AC273" s="399"/>
      <c r="AD273" s="399"/>
      <c r="AE273" s="399"/>
      <c r="AF273" s="399"/>
      <c r="AG273" s="399"/>
      <c r="AH273" s="399"/>
      <c r="AI273" s="400"/>
      <c r="AJ273" s="278"/>
      <c r="AK273" s="168"/>
      <c r="AL273" s="401"/>
    </row>
    <row r="274" spans="1:38" ht="18.75" customHeight="1" thickBot="1" x14ac:dyDescent="0.35">
      <c r="A274" s="280" t="s">
        <v>2</v>
      </c>
      <c r="B274" s="277"/>
      <c r="C274" s="277"/>
      <c r="D274" s="277"/>
      <c r="E274" s="277"/>
      <c r="F274" s="277"/>
      <c r="G274" s="277"/>
      <c r="H274" s="277"/>
      <c r="I274" s="375"/>
      <c r="J274" s="277"/>
      <c r="K274" s="277"/>
      <c r="L274" s="277"/>
      <c r="M274" s="277"/>
      <c r="N274" s="277"/>
      <c r="O274" s="277"/>
      <c r="P274" s="277"/>
      <c r="Q274" s="375"/>
      <c r="R274" s="277"/>
      <c r="S274" s="277"/>
      <c r="T274" s="277"/>
      <c r="U274" s="277"/>
      <c r="V274" s="277"/>
      <c r="W274" s="277"/>
      <c r="X274" s="277"/>
      <c r="Y274" s="375"/>
      <c r="Z274" s="277"/>
      <c r="AA274" s="277"/>
      <c r="AB274" s="277"/>
      <c r="AC274" s="277"/>
      <c r="AD274" s="277"/>
      <c r="AE274" s="277"/>
      <c r="AF274" s="277"/>
      <c r="AG274" s="277"/>
      <c r="AH274" s="277"/>
      <c r="AI274" s="423"/>
      <c r="AJ274" s="278"/>
      <c r="AK274" s="279"/>
      <c r="AL274" s="283"/>
    </row>
    <row r="275" spans="1:38" ht="27.75" customHeight="1" thickBot="1" x14ac:dyDescent="0.45">
      <c r="A275" s="311" t="s">
        <v>233</v>
      </c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312"/>
    </row>
    <row r="276" spans="1:38" ht="15" customHeight="1" thickBot="1" x14ac:dyDescent="0.3">
      <c r="A276" s="319" t="s">
        <v>8</v>
      </c>
      <c r="B276" s="316"/>
      <c r="C276" s="316"/>
      <c r="D276" s="316"/>
      <c r="E276" s="316"/>
      <c r="F276" s="316"/>
      <c r="G276" s="316"/>
      <c r="H276" s="316"/>
      <c r="I276" s="306"/>
      <c r="J276" s="316"/>
      <c r="K276" s="316"/>
      <c r="L276" s="316"/>
      <c r="M276" s="316"/>
      <c r="N276" s="316"/>
      <c r="O276" s="316"/>
      <c r="P276" s="316"/>
      <c r="Q276" s="306"/>
      <c r="R276" s="316"/>
      <c r="S276" s="316"/>
      <c r="T276" s="316"/>
      <c r="U276" s="316"/>
      <c r="V276" s="316"/>
      <c r="W276" s="316"/>
      <c r="X276" s="316"/>
      <c r="Y276" s="306"/>
      <c r="Z276" s="316"/>
      <c r="AA276" s="316"/>
      <c r="AB276" s="316"/>
      <c r="AC276" s="316"/>
      <c r="AD276" s="316"/>
      <c r="AE276" s="316"/>
      <c r="AF276" s="316"/>
      <c r="AG276" s="316"/>
      <c r="AH276" s="316"/>
      <c r="AI276" s="316"/>
      <c r="AJ276" s="306"/>
      <c r="AK276" s="317"/>
      <c r="AL276" s="318"/>
    </row>
    <row r="277" spans="1:38" ht="15" customHeight="1" x14ac:dyDescent="0.25">
      <c r="A277" s="61" t="s">
        <v>25</v>
      </c>
      <c r="B277" s="303"/>
      <c r="C277" s="303"/>
      <c r="D277" s="303"/>
      <c r="E277" s="303"/>
      <c r="F277" s="303"/>
      <c r="G277" s="303"/>
      <c r="H277" s="313"/>
      <c r="I277" s="304"/>
      <c r="J277" s="303"/>
      <c r="K277" s="303"/>
      <c r="L277" s="303"/>
      <c r="M277" s="303"/>
      <c r="N277" s="303"/>
      <c r="O277" s="303"/>
      <c r="P277" s="303"/>
      <c r="Q277" s="305"/>
      <c r="R277" s="303"/>
      <c r="S277" s="303"/>
      <c r="T277" s="303"/>
      <c r="U277" s="303"/>
      <c r="V277" s="303"/>
      <c r="W277" s="303"/>
      <c r="X277" s="303"/>
      <c r="Y277" s="305"/>
      <c r="Z277" s="303"/>
      <c r="AA277" s="303"/>
      <c r="AB277" s="303"/>
      <c r="AC277" s="303"/>
      <c r="AD277" s="303"/>
      <c r="AE277" s="303"/>
      <c r="AF277" s="303"/>
      <c r="AG277" s="303"/>
      <c r="AH277" s="303"/>
      <c r="AI277" s="303"/>
      <c r="AJ277" s="305"/>
      <c r="AK277" s="314"/>
      <c r="AL277" s="315"/>
    </row>
    <row r="278" spans="1:38" ht="15" customHeight="1" x14ac:dyDescent="0.25">
      <c r="A278" s="11" t="s">
        <v>36</v>
      </c>
      <c r="B278" s="1"/>
      <c r="C278" s="1"/>
      <c r="D278" s="1"/>
      <c r="E278" s="1"/>
      <c r="F278" s="1"/>
      <c r="G278" s="118"/>
      <c r="H278" s="173"/>
      <c r="I278" s="36"/>
      <c r="J278" s="173"/>
      <c r="K278" s="1"/>
      <c r="L278" s="1"/>
      <c r="M278" s="1"/>
      <c r="N278" s="1"/>
      <c r="O278" s="1"/>
      <c r="P278" s="1"/>
      <c r="Q278" s="37"/>
      <c r="R278" s="1"/>
      <c r="S278" s="1"/>
      <c r="T278" s="1"/>
      <c r="U278" s="1"/>
      <c r="V278" s="118"/>
      <c r="W278" s="1"/>
      <c r="X278" s="1"/>
      <c r="Y278" s="37"/>
      <c r="Z278" s="1"/>
      <c r="AA278" s="1"/>
      <c r="AB278" s="1"/>
      <c r="AC278" s="1"/>
      <c r="AD278" s="1"/>
      <c r="AE278" s="1"/>
      <c r="AF278" s="118"/>
      <c r="AG278" s="1"/>
      <c r="AH278" s="1"/>
      <c r="AI278" s="1"/>
      <c r="AJ278" s="37"/>
      <c r="AK278" s="236"/>
      <c r="AL278" s="223"/>
    </row>
    <row r="279" spans="1:38" ht="15" customHeight="1" x14ac:dyDescent="0.25">
      <c r="A279" s="11" t="s">
        <v>46</v>
      </c>
      <c r="B279" s="1"/>
      <c r="C279" s="1"/>
      <c r="D279" s="1"/>
      <c r="E279" s="1"/>
      <c r="F279" s="118"/>
      <c r="G279" s="1"/>
      <c r="H279" s="211"/>
      <c r="I279" s="36"/>
      <c r="J279" s="1"/>
      <c r="K279" s="1"/>
      <c r="L279" s="1"/>
      <c r="M279" s="1"/>
      <c r="N279" s="1"/>
      <c r="O279" s="1"/>
      <c r="P279" s="118"/>
      <c r="Q279" s="37"/>
      <c r="R279" s="1"/>
      <c r="S279" s="1"/>
      <c r="T279" s="1"/>
      <c r="U279" s="1"/>
      <c r="V279" s="1"/>
      <c r="W279" s="1"/>
      <c r="X279" s="1"/>
      <c r="Y279" s="37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37"/>
      <c r="AK279" s="237"/>
      <c r="AL279" s="223"/>
    </row>
    <row r="280" spans="1:38" ht="18.75" x14ac:dyDescent="0.3">
      <c r="A280" s="11" t="s">
        <v>47</v>
      </c>
      <c r="B280" s="1"/>
      <c r="C280" s="1"/>
      <c r="D280" s="1"/>
      <c r="E280" s="1"/>
      <c r="F280" s="118"/>
      <c r="G280" s="1"/>
      <c r="H280" s="173"/>
      <c r="I280" s="36"/>
      <c r="J280" s="1"/>
      <c r="K280" s="1"/>
      <c r="L280" s="1"/>
      <c r="M280" s="1"/>
      <c r="N280" s="1"/>
      <c r="O280" s="1"/>
      <c r="P280" s="118"/>
      <c r="Q280" s="37"/>
      <c r="R280" s="1"/>
      <c r="S280" s="1"/>
      <c r="T280" s="1"/>
      <c r="U280" s="1"/>
      <c r="V280" s="1"/>
      <c r="W280" s="1"/>
      <c r="X280" s="1"/>
      <c r="Y280" s="37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37"/>
      <c r="AK280" s="238"/>
      <c r="AL280" s="223"/>
    </row>
    <row r="281" spans="1:38" ht="18.75" x14ac:dyDescent="0.3">
      <c r="A281" s="11" t="s">
        <v>48</v>
      </c>
      <c r="B281" s="1"/>
      <c r="C281" s="1"/>
      <c r="D281" s="1"/>
      <c r="E281" s="1"/>
      <c r="F281" s="1"/>
      <c r="G281" s="1"/>
      <c r="H281" s="173"/>
      <c r="I281" s="36"/>
      <c r="J281" s="1"/>
      <c r="K281" s="1"/>
      <c r="L281" s="1"/>
      <c r="M281" s="1"/>
      <c r="N281" s="1"/>
      <c r="O281" s="1"/>
      <c r="P281" s="118"/>
      <c r="Q281" s="37"/>
      <c r="R281" s="1"/>
      <c r="S281" s="1"/>
      <c r="T281" s="1"/>
      <c r="U281" s="1"/>
      <c r="V281" s="1"/>
      <c r="W281" s="1"/>
      <c r="X281" s="1"/>
      <c r="Y281" s="37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37"/>
      <c r="AK281" s="238"/>
      <c r="AL281" s="223"/>
    </row>
    <row r="282" spans="1:38" ht="18.75" x14ac:dyDescent="0.3">
      <c r="A282" s="11" t="s">
        <v>37</v>
      </c>
      <c r="B282" s="1"/>
      <c r="C282" s="1"/>
      <c r="D282" s="1"/>
      <c r="E282" s="1"/>
      <c r="F282" s="118"/>
      <c r="G282" s="1"/>
      <c r="H282" s="173"/>
      <c r="I282" s="36"/>
      <c r="J282" s="1"/>
      <c r="K282" s="1"/>
      <c r="L282" s="1"/>
      <c r="M282" s="1"/>
      <c r="N282" s="1"/>
      <c r="O282" s="1"/>
      <c r="P282" s="118"/>
      <c r="Q282" s="37"/>
      <c r="R282" s="1"/>
      <c r="S282" s="1"/>
      <c r="T282" s="1"/>
      <c r="U282" s="1"/>
      <c r="V282" s="1"/>
      <c r="W282" s="1"/>
      <c r="X282" s="1"/>
      <c r="Y282" s="37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37"/>
      <c r="AK282" s="238"/>
      <c r="AL282" s="223"/>
    </row>
    <row r="283" spans="1:38" ht="18.75" x14ac:dyDescent="0.3">
      <c r="A283" s="11" t="s">
        <v>26</v>
      </c>
      <c r="B283" s="1"/>
      <c r="C283" s="1"/>
      <c r="D283" s="1"/>
      <c r="E283" s="1"/>
      <c r="F283" s="1"/>
      <c r="G283" s="118"/>
      <c r="H283" s="173"/>
      <c r="I283" s="36"/>
      <c r="J283" s="1"/>
      <c r="K283" s="1"/>
      <c r="L283" s="1"/>
      <c r="M283" s="1"/>
      <c r="N283" s="1"/>
      <c r="O283" s="1"/>
      <c r="P283" s="1"/>
      <c r="Q283" s="37"/>
      <c r="R283" s="1"/>
      <c r="S283" s="1"/>
      <c r="T283" s="1"/>
      <c r="U283" s="1"/>
      <c r="V283" s="1"/>
      <c r="W283" s="1"/>
      <c r="X283" s="1"/>
      <c r="Y283" s="37"/>
      <c r="Z283" s="118"/>
      <c r="AA283" s="1"/>
      <c r="AB283" s="1"/>
      <c r="AC283" s="1"/>
      <c r="AD283" s="1"/>
      <c r="AE283" s="1"/>
      <c r="AF283" s="1"/>
      <c r="AG283" s="1"/>
      <c r="AH283" s="1"/>
      <c r="AI283" s="1"/>
      <c r="AJ283" s="37"/>
      <c r="AK283" s="341"/>
      <c r="AL283" s="223"/>
    </row>
    <row r="284" spans="1:38" ht="18.75" x14ac:dyDescent="0.3">
      <c r="A284" s="11" t="s">
        <v>27</v>
      </c>
      <c r="B284" s="1"/>
      <c r="C284" s="1"/>
      <c r="D284" s="1"/>
      <c r="E284" s="1"/>
      <c r="F284" s="1"/>
      <c r="G284" s="118"/>
      <c r="H284" s="211"/>
      <c r="I284" s="36"/>
      <c r="J284" s="1"/>
      <c r="K284" s="1"/>
      <c r="L284" s="1"/>
      <c r="M284" s="1"/>
      <c r="N284" s="1"/>
      <c r="O284" s="1"/>
      <c r="P284" s="1"/>
      <c r="Q284" s="37"/>
      <c r="R284" s="118"/>
      <c r="S284" s="1"/>
      <c r="T284" s="118"/>
      <c r="U284" s="1"/>
      <c r="V284" s="1"/>
      <c r="W284" s="1"/>
      <c r="X284" s="1"/>
      <c r="Y284" s="37"/>
      <c r="Z284" s="1"/>
      <c r="AA284" s="1"/>
      <c r="AB284" s="1"/>
      <c r="AC284" s="1"/>
      <c r="AD284" s="1"/>
      <c r="AE284" s="118"/>
      <c r="AF284" s="1"/>
      <c r="AG284" s="1"/>
      <c r="AH284" s="1"/>
      <c r="AI284" s="1"/>
      <c r="AJ284" s="37"/>
      <c r="AK284" s="341"/>
      <c r="AL284" s="223"/>
    </row>
    <row r="285" spans="1:38" ht="18.75" x14ac:dyDescent="0.3">
      <c r="A285" s="62" t="s">
        <v>89</v>
      </c>
      <c r="B285" s="123"/>
      <c r="C285" s="123"/>
      <c r="D285" s="123"/>
      <c r="E285" s="123"/>
      <c r="F285" s="123"/>
      <c r="G285" s="123"/>
      <c r="H285" s="213"/>
      <c r="I285" s="126"/>
      <c r="J285" s="123"/>
      <c r="K285" s="123"/>
      <c r="L285" s="123"/>
      <c r="M285" s="123"/>
      <c r="N285" s="123"/>
      <c r="O285" s="123"/>
      <c r="P285" s="123"/>
      <c r="Q285" s="43"/>
      <c r="R285" s="123"/>
      <c r="S285" s="123"/>
      <c r="T285" s="123"/>
      <c r="U285" s="123"/>
      <c r="V285" s="123"/>
      <c r="W285" s="123"/>
      <c r="X285" s="123"/>
      <c r="Y285" s="4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43"/>
      <c r="AK285" s="421"/>
      <c r="AL285" s="229"/>
    </row>
    <row r="286" spans="1:38" ht="19.5" thickBot="1" x14ac:dyDescent="0.35">
      <c r="A286" s="62" t="s">
        <v>28</v>
      </c>
      <c r="B286" s="123"/>
      <c r="C286" s="123"/>
      <c r="D286" s="123"/>
      <c r="E286" s="123"/>
      <c r="F286" s="123"/>
      <c r="G286" s="123"/>
      <c r="H286" s="213"/>
      <c r="I286" s="126"/>
      <c r="J286" s="123"/>
      <c r="K286" s="123"/>
      <c r="L286" s="123"/>
      <c r="M286" s="123"/>
      <c r="N286" s="123"/>
      <c r="O286" s="123"/>
      <c r="P286" s="123"/>
      <c r="Q286" s="43"/>
      <c r="R286" s="123"/>
      <c r="S286" s="123"/>
      <c r="T286" s="123"/>
      <c r="U286" s="123"/>
      <c r="V286" s="123"/>
      <c r="W286" s="123"/>
      <c r="X286" s="123"/>
      <c r="Y286" s="4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43"/>
      <c r="AK286" s="239"/>
      <c r="AL286" s="229"/>
    </row>
    <row r="287" spans="1:38" ht="18.75" x14ac:dyDescent="0.3">
      <c r="A287" s="230" t="s">
        <v>2</v>
      </c>
      <c r="B287" s="232"/>
      <c r="C287" s="232"/>
      <c r="D287" s="232"/>
      <c r="E287" s="232"/>
      <c r="F287" s="232"/>
      <c r="G287" s="232"/>
      <c r="H287" s="248"/>
      <c r="I287" s="249"/>
      <c r="J287" s="231"/>
      <c r="K287" s="231"/>
      <c r="L287" s="231"/>
      <c r="M287" s="231"/>
      <c r="N287" s="231"/>
      <c r="O287" s="231"/>
      <c r="P287" s="231"/>
      <c r="Q287" s="249"/>
      <c r="R287" s="233"/>
      <c r="S287" s="233"/>
      <c r="T287" s="233"/>
      <c r="U287" s="233"/>
      <c r="V287" s="233"/>
      <c r="W287" s="233"/>
      <c r="X287" s="233"/>
      <c r="Y287" s="249"/>
      <c r="Z287" s="233"/>
      <c r="AA287" s="233"/>
      <c r="AB287" s="233"/>
      <c r="AC287" s="233"/>
      <c r="AD287" s="233"/>
      <c r="AE287" s="233"/>
      <c r="AF287" s="233"/>
      <c r="AG287" s="233"/>
      <c r="AH287" s="233"/>
      <c r="AI287" s="233"/>
      <c r="AJ287" s="249"/>
      <c r="AK287" s="234"/>
      <c r="AL287" s="235"/>
    </row>
    <row r="288" spans="1:38" ht="15.75" thickBot="1" x14ac:dyDescent="0.3">
      <c r="A288" s="224"/>
      <c r="B288" s="335"/>
      <c r="C288" s="225"/>
      <c r="D288" s="225"/>
      <c r="E288" s="225"/>
      <c r="F288" s="225"/>
      <c r="G288" s="225"/>
      <c r="H288" s="225"/>
      <c r="I288" s="56"/>
      <c r="J288" s="225"/>
      <c r="K288" s="225"/>
      <c r="L288" s="225"/>
      <c r="M288" s="225"/>
      <c r="N288" s="225"/>
      <c r="O288" s="225"/>
      <c r="P288" s="225"/>
      <c r="Q288" s="56"/>
      <c r="R288" s="225"/>
      <c r="S288" s="225"/>
      <c r="T288" s="225"/>
      <c r="U288" s="225"/>
      <c r="V288" s="225"/>
      <c r="W288" s="225"/>
      <c r="X288" s="225"/>
      <c r="Y288" s="56"/>
      <c r="Z288" s="226"/>
      <c r="AA288" s="225"/>
      <c r="AB288" s="227"/>
      <c r="AC288" s="225"/>
      <c r="AD288" s="225"/>
      <c r="AE288" s="225"/>
      <c r="AF288" s="225"/>
      <c r="AG288" s="225"/>
      <c r="AH288" s="225"/>
      <c r="AI288" s="225"/>
      <c r="AJ288" s="56"/>
      <c r="AK288" s="225"/>
      <c r="AL288" s="228"/>
    </row>
    <row r="289" spans="1:38" x14ac:dyDescent="0.25">
      <c r="A289" s="2"/>
      <c r="B289" s="2"/>
      <c r="C289" s="336"/>
      <c r="D289" s="2"/>
      <c r="E289" s="2"/>
      <c r="F289" s="2"/>
      <c r="G289" s="2"/>
      <c r="H289" s="2"/>
      <c r="I289" s="2"/>
      <c r="J289" s="2"/>
      <c r="K289" s="1"/>
      <c r="L289" s="2"/>
      <c r="M289" s="336"/>
      <c r="N289" s="2"/>
      <c r="O289" s="2"/>
      <c r="P289" s="336"/>
      <c r="Q289" s="118"/>
      <c r="R289" s="1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36"/>
      <c r="L290" s="2"/>
      <c r="M290" s="2"/>
      <c r="N290" s="2"/>
      <c r="O290" s="2"/>
      <c r="P290" s="2"/>
      <c r="Q290" s="118"/>
      <c r="R290" s="1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1"/>
      <c r="AD290" s="2"/>
      <c r="AE290" s="1"/>
      <c r="AF290" s="1"/>
      <c r="AG290" s="2"/>
      <c r="AH290" s="2"/>
      <c r="AI290" s="2">
        <v>645.59</v>
      </c>
      <c r="AJ290" s="2"/>
      <c r="AK290" s="2"/>
      <c r="AL290" s="2"/>
    </row>
    <row r="291" spans="1:3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"/>
      <c r="R291" s="336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1"/>
      <c r="AD291" s="2"/>
      <c r="AE291" s="1"/>
      <c r="AF291" s="1"/>
      <c r="AG291" s="2">
        <v>294.69</v>
      </c>
      <c r="AH291" s="2"/>
      <c r="AI291" s="2"/>
      <c r="AJ291" s="2"/>
      <c r="AK291" s="336"/>
      <c r="AL291" s="2"/>
    </row>
    <row r="292" spans="1:3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1"/>
      <c r="AD292" s="2"/>
      <c r="AE292" s="1"/>
      <c r="AF292" s="1"/>
      <c r="AG292" s="2">
        <v>161.66</v>
      </c>
      <c r="AH292" s="2"/>
      <c r="AI292" s="2"/>
      <c r="AJ292" s="2"/>
      <c r="AK292" s="2"/>
      <c r="AL292" s="2"/>
    </row>
    <row r="293" spans="1:3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23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336"/>
      <c r="AD293" s="2"/>
      <c r="AE293" s="336"/>
      <c r="AF293" s="336"/>
      <c r="AG293" s="2">
        <v>189.84</v>
      </c>
      <c r="AH293" s="2"/>
      <c r="AI293" s="2"/>
      <c r="AJ293" s="2"/>
      <c r="AK293" s="2"/>
      <c r="AL293" s="2"/>
    </row>
    <row r="294" spans="1:3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23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36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>
        <f>SUM(AG291:AG294)</f>
        <v>646.19000000000005</v>
      </c>
      <c r="AH295" s="2"/>
      <c r="AI295" s="2"/>
      <c r="AJ295" s="2"/>
      <c r="AK295" s="336"/>
      <c r="AL295" s="2"/>
    </row>
    <row r="296" spans="1:3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336"/>
      <c r="AL296" s="2"/>
    </row>
    <row r="297" spans="1:3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activeCell="N16" sqref="N16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.140625" customWidth="1"/>
    <col min="12" max="12" width="7.85546875" customWidth="1"/>
    <col min="13" max="13" width="10.85546875" customWidth="1"/>
    <col min="14" max="14" width="7.85546875" customWidth="1"/>
    <col min="16" max="16" width="4.7109375" customWidth="1"/>
    <col min="18" max="18" width="10.4257812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7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6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7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6"/>
    </row>
    <row r="15" spans="1:20" x14ac:dyDescent="0.25">
      <c r="A15" s="24"/>
      <c r="B15" s="24"/>
      <c r="C15" s="24"/>
      <c r="D15" s="2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6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7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6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7"/>
    </row>
    <row r="21" spans="1:20" x14ac:dyDescent="0.25">
      <c r="A21" s="24"/>
      <c r="B21" s="25"/>
      <c r="C21" s="24"/>
      <c r="D21" s="25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6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7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workbookViewId="0">
      <selection activeCell="M17" sqref="M17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.28515625" customWidth="1"/>
    <col min="12" max="12" width="7.85546875" customWidth="1"/>
    <col min="13" max="13" width="10.85546875" customWidth="1"/>
    <col min="14" max="14" width="7.85546875" customWidth="1"/>
    <col min="16" max="16" width="4.7109375" customWidth="1"/>
    <col min="18" max="18" width="10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5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7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7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5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5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2" spans="1:20" x14ac:dyDescent="0.25">
      <c r="F52" s="13">
        <f>SUM(F48,D48)</f>
        <v>0</v>
      </c>
    </row>
    <row r="54" spans="1:20" x14ac:dyDescent="0.25">
      <c r="F54" s="13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activeCell="L18" sqref="L18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28515625" customWidth="1"/>
    <col min="10" max="10" width="7.85546875" customWidth="1"/>
    <col min="11" max="11" width="10.140625" customWidth="1"/>
    <col min="12" max="12" width="7.85546875" customWidth="1"/>
    <col min="13" max="13" width="11.5703125" customWidth="1"/>
    <col min="14" max="14" width="7.85546875" customWidth="1"/>
    <col min="16" max="16" width="4.7109375" customWidth="1"/>
    <col min="17" max="17" width="9.140625" customWidth="1"/>
    <col min="18" max="18" width="10.14062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7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7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5"/>
      <c r="C32" s="24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5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ht="15.75" thickBot="1" x14ac:dyDescent="0.3">
      <c r="A50" s="68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70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9"/>
  <sheetViews>
    <sheetView topLeftCell="A16" workbookViewId="0">
      <selection activeCell="H20" sqref="H20:H21"/>
    </sheetView>
  </sheetViews>
  <sheetFormatPr defaultRowHeight="15" x14ac:dyDescent="0.25"/>
  <cols>
    <col min="2" max="3" width="20.7109375" customWidth="1"/>
  </cols>
  <sheetData>
    <row r="4" spans="1:5" ht="23.25" x14ac:dyDescent="0.35">
      <c r="B4" s="4" t="s">
        <v>4</v>
      </c>
      <c r="C4" s="5"/>
    </row>
    <row r="5" spans="1:5" ht="23.25" x14ac:dyDescent="0.35">
      <c r="B5" s="4" t="s">
        <v>1</v>
      </c>
      <c r="C5" s="5"/>
    </row>
    <row r="6" spans="1:5" ht="23.25" x14ac:dyDescent="0.35">
      <c r="B6" s="6">
        <v>45299</v>
      </c>
      <c r="C6" s="7"/>
    </row>
    <row r="7" spans="1:5" ht="23.25" x14ac:dyDescent="0.35">
      <c r="B7" s="6">
        <v>45300</v>
      </c>
      <c r="C7" s="7"/>
    </row>
    <row r="8" spans="1:5" ht="23.25" x14ac:dyDescent="0.35">
      <c r="B8" s="6">
        <v>45301</v>
      </c>
      <c r="C8" s="7"/>
    </row>
    <row r="9" spans="1:5" ht="23.25" x14ac:dyDescent="0.35">
      <c r="B9" s="6">
        <v>45302</v>
      </c>
      <c r="C9" s="7"/>
    </row>
    <row r="10" spans="1:5" ht="23.25" x14ac:dyDescent="0.35">
      <c r="B10" s="6">
        <v>45303</v>
      </c>
      <c r="C10" s="7"/>
    </row>
    <row r="11" spans="1:5" ht="23.25" x14ac:dyDescent="0.35">
      <c r="B11" s="6">
        <v>45304</v>
      </c>
      <c r="C11" s="7"/>
    </row>
    <row r="12" spans="1:5" ht="23.25" x14ac:dyDescent="0.35">
      <c r="B12" s="8">
        <v>45305</v>
      </c>
      <c r="C12" s="7"/>
    </row>
    <row r="13" spans="1:5" ht="23.25" x14ac:dyDescent="0.35">
      <c r="B13" s="9" t="s">
        <v>0</v>
      </c>
      <c r="C13" s="10"/>
    </row>
    <row r="16" spans="1:5" x14ac:dyDescent="0.25">
      <c r="A16" s="19"/>
      <c r="B16" s="19"/>
      <c r="C16" s="19"/>
      <c r="D16" s="19"/>
      <c r="E16" s="19"/>
    </row>
    <row r="17" spans="1:8" x14ac:dyDescent="0.25">
      <c r="A17" s="19"/>
      <c r="B17" s="19"/>
      <c r="C17" s="19"/>
      <c r="D17" s="19"/>
      <c r="E17" s="19"/>
    </row>
    <row r="18" spans="1:8" x14ac:dyDescent="0.25">
      <c r="A18" s="19"/>
      <c r="B18" s="19"/>
      <c r="C18" s="19"/>
      <c r="D18" s="19"/>
      <c r="E18" s="19"/>
    </row>
    <row r="19" spans="1:8" ht="23.25" x14ac:dyDescent="0.35">
      <c r="A19" s="19"/>
      <c r="B19" s="71"/>
      <c r="C19" s="71"/>
      <c r="D19" s="19"/>
      <c r="E19" s="19"/>
    </row>
    <row r="20" spans="1:8" ht="23.25" x14ac:dyDescent="0.35">
      <c r="A20" s="19"/>
      <c r="B20" s="71"/>
      <c r="C20" s="71"/>
      <c r="D20" s="19"/>
      <c r="E20" s="19"/>
      <c r="H20">
        <v>1</v>
      </c>
    </row>
    <row r="21" spans="1:8" ht="23.25" x14ac:dyDescent="0.35">
      <c r="A21" s="19"/>
      <c r="B21" s="72"/>
      <c r="C21" s="73"/>
      <c r="D21" s="19"/>
      <c r="E21" s="19"/>
    </row>
    <row r="22" spans="1:8" ht="23.25" x14ac:dyDescent="0.35">
      <c r="A22" s="19"/>
      <c r="B22" s="72"/>
      <c r="C22" s="73"/>
      <c r="D22" s="19"/>
      <c r="E22" s="19"/>
    </row>
    <row r="23" spans="1:8" ht="23.25" x14ac:dyDescent="0.35">
      <c r="A23" s="19"/>
      <c r="B23" s="72"/>
      <c r="C23" s="73"/>
      <c r="D23" s="19"/>
      <c r="E23" s="19"/>
    </row>
    <row r="24" spans="1:8" ht="23.25" x14ac:dyDescent="0.35">
      <c r="A24" s="19"/>
      <c r="B24" s="72"/>
      <c r="C24" s="73"/>
      <c r="D24" s="19"/>
      <c r="E24" s="19"/>
    </row>
    <row r="25" spans="1:8" ht="23.25" x14ac:dyDescent="0.35">
      <c r="A25" s="19"/>
      <c r="B25" s="72"/>
      <c r="C25" s="73"/>
      <c r="D25" s="19"/>
      <c r="E25" s="19"/>
    </row>
    <row r="26" spans="1:8" ht="23.25" x14ac:dyDescent="0.35">
      <c r="A26" s="19"/>
      <c r="B26" s="72"/>
      <c r="C26" s="73"/>
      <c r="D26" s="19"/>
      <c r="E26" s="19"/>
    </row>
    <row r="27" spans="1:8" ht="23.25" x14ac:dyDescent="0.35">
      <c r="A27" s="19"/>
      <c r="B27" s="72"/>
      <c r="C27" s="73"/>
      <c r="D27" s="19"/>
      <c r="E27" s="19"/>
    </row>
    <row r="28" spans="1:8" ht="23.25" x14ac:dyDescent="0.35">
      <c r="A28" s="19"/>
      <c r="B28" s="74"/>
      <c r="C28" s="75"/>
      <c r="D28" s="19"/>
      <c r="E28" s="19"/>
    </row>
    <row r="29" spans="1:8" x14ac:dyDescent="0.25">
      <c r="A29" s="19"/>
      <c r="B29" s="19"/>
      <c r="C29" s="19"/>
      <c r="D29" s="19"/>
      <c r="E29" s="1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28515625" customWidth="1"/>
    <col min="10" max="10" width="7.85546875" customWidth="1"/>
    <col min="11" max="11" width="10.28515625" customWidth="1"/>
    <col min="12" max="12" width="7.85546875" customWidth="1"/>
    <col min="13" max="13" width="11.85546875" customWidth="1"/>
    <col min="14" max="14" width="7.85546875" customWidth="1"/>
    <col min="16" max="16" width="4.7109375" customWidth="1"/>
    <col min="18" max="18" width="10.28515625" customWidth="1"/>
    <col min="19" max="19" width="4.7109375" customWidth="1"/>
    <col min="20" max="20" width="7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7"/>
    </row>
    <row r="18" spans="1:2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1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1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1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1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1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1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  <c r="U24" t="s">
        <v>5</v>
      </c>
    </row>
    <row r="25" spans="1:21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7"/>
    </row>
    <row r="26" spans="1:21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1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1" x14ac:dyDescent="0.25">
      <c r="A28" s="24"/>
      <c r="B28" s="24"/>
      <c r="C28" s="24"/>
      <c r="D28" s="25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1" x14ac:dyDescent="0.25">
      <c r="A29" s="24"/>
      <c r="B29" s="25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1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1" x14ac:dyDescent="0.25">
      <c r="A31" s="24"/>
      <c r="B31" s="25"/>
      <c r="C31" s="24"/>
      <c r="D31" s="25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5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5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3" spans="1:20" x14ac:dyDescent="0.25">
      <c r="F53" s="13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28515625" customWidth="1"/>
    <col min="10" max="10" width="7.85546875" customWidth="1"/>
    <col min="11" max="11" width="10.140625" customWidth="1"/>
    <col min="12" max="12" width="7.85546875" customWidth="1"/>
    <col min="13" max="13" width="11.7109375" customWidth="1"/>
    <col min="14" max="14" width="7.85546875" customWidth="1"/>
    <col min="16" max="16" width="4.7109375" customWidth="1"/>
    <col min="19" max="19" width="4.7109375" customWidth="1"/>
    <col min="20" max="20" width="7.28515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5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7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7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5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5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5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3" spans="1:20" x14ac:dyDescent="0.25">
      <c r="F53" s="13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" customWidth="1"/>
    <col min="12" max="12" width="7.85546875" customWidth="1"/>
    <col min="13" max="13" width="11.42578125" customWidth="1"/>
    <col min="14" max="14" width="7.85546875" customWidth="1"/>
    <col min="16" max="16" width="4.710937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5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5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5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5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" customWidth="1"/>
    <col min="12" max="12" width="7.85546875" customWidth="1"/>
    <col min="13" max="13" width="12.28515625" customWidth="1"/>
    <col min="14" max="14" width="7.85546875" customWidth="1"/>
    <col min="16" max="16" width="4.7109375" customWidth="1"/>
    <col min="18" max="18" width="10.140625" customWidth="1"/>
    <col min="19" max="19" width="4.7109375" customWidth="1"/>
    <col min="20" max="20" width="7.28515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6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7"/>
    </row>
    <row r="18" spans="1:20" x14ac:dyDescent="0.25">
      <c r="A18" s="24"/>
      <c r="B18" s="25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6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7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6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7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6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7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.28515625" customWidth="1"/>
    <col min="12" max="12" width="7.85546875" customWidth="1"/>
    <col min="13" max="13" width="11.42578125" customWidth="1"/>
    <col min="14" max="14" width="7.85546875" customWidth="1"/>
    <col min="16" max="16" width="4.7109375" customWidth="1"/>
    <col min="18" max="18" width="10.2851562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7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7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6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7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6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7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7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71093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" customWidth="1"/>
    <col min="10" max="10" width="7.85546875" customWidth="1"/>
    <col min="11" max="11" width="10.140625" customWidth="1"/>
    <col min="12" max="12" width="7.85546875" customWidth="1"/>
    <col min="13" max="13" width="12.28515625" customWidth="1"/>
    <col min="14" max="14" width="7.85546875" customWidth="1"/>
    <col min="16" max="16" width="4.7109375" customWidth="1"/>
    <col min="17" max="17" width="9.85546875" customWidth="1"/>
    <col min="18" max="18" width="10.570312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7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6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7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6"/>
    </row>
    <row r="15" spans="1:20" x14ac:dyDescent="0.25">
      <c r="A15" s="24"/>
      <c r="B15" s="24"/>
      <c r="C15" s="24"/>
      <c r="D15" s="2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5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7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6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7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7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" customWidth="1"/>
    <col min="10" max="10" width="7.85546875" customWidth="1"/>
    <col min="11" max="11" width="10.140625" customWidth="1"/>
    <col min="12" max="12" width="7.85546875" customWidth="1"/>
    <col min="13" max="13" width="10.42578125" customWidth="1"/>
    <col min="14" max="14" width="7.85546875" customWidth="1"/>
    <col min="16" max="16" width="4.7109375" customWidth="1"/>
    <col min="18" max="18" width="10.14062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5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7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6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7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6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6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7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7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6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7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5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2" max="3" width="20.7109375" customWidth="1"/>
  </cols>
  <sheetData>
    <row r="1" spans="1:4" x14ac:dyDescent="0.25">
      <c r="A1" s="19"/>
      <c r="B1" s="19"/>
      <c r="C1" s="19"/>
      <c r="D1" s="19"/>
    </row>
    <row r="2" spans="1:4" x14ac:dyDescent="0.25">
      <c r="A2" s="19"/>
      <c r="B2" s="19"/>
      <c r="C2" s="19"/>
      <c r="D2" s="19"/>
    </row>
    <row r="3" spans="1:4" x14ac:dyDescent="0.25">
      <c r="A3" s="19"/>
      <c r="B3" s="19"/>
      <c r="C3" s="19"/>
      <c r="D3" s="19"/>
    </row>
    <row r="4" spans="1:4" ht="23.25" x14ac:dyDescent="0.35">
      <c r="A4" s="19"/>
      <c r="B4" s="71"/>
      <c r="C4" s="71"/>
      <c r="D4" s="19"/>
    </row>
    <row r="5" spans="1:4" ht="23.25" x14ac:dyDescent="0.35">
      <c r="A5" s="19"/>
      <c r="B5" s="71"/>
      <c r="C5" s="71"/>
      <c r="D5" s="19"/>
    </row>
    <row r="6" spans="1:4" ht="23.25" x14ac:dyDescent="0.35">
      <c r="A6" s="19"/>
      <c r="B6" s="72"/>
      <c r="C6" s="73"/>
      <c r="D6" s="19"/>
    </row>
    <row r="7" spans="1:4" ht="23.25" x14ac:dyDescent="0.35">
      <c r="A7" s="19"/>
      <c r="B7" s="72"/>
      <c r="C7" s="73"/>
      <c r="D7" s="19"/>
    </row>
    <row r="8" spans="1:4" ht="23.25" x14ac:dyDescent="0.35">
      <c r="A8" s="19"/>
      <c r="B8" s="72"/>
      <c r="C8" s="73"/>
      <c r="D8" s="19"/>
    </row>
    <row r="9" spans="1:4" ht="23.25" x14ac:dyDescent="0.35">
      <c r="A9" s="19"/>
      <c r="B9" s="72"/>
      <c r="C9" s="73"/>
      <c r="D9" s="19"/>
    </row>
    <row r="10" spans="1:4" ht="23.25" x14ac:dyDescent="0.35">
      <c r="A10" s="19"/>
      <c r="B10" s="72"/>
      <c r="C10" s="73"/>
      <c r="D10" s="19"/>
    </row>
    <row r="11" spans="1:4" ht="23.25" x14ac:dyDescent="0.35">
      <c r="A11" s="19"/>
      <c r="B11" s="72"/>
      <c r="C11" s="73"/>
      <c r="D11" s="19"/>
    </row>
    <row r="12" spans="1:4" ht="23.25" x14ac:dyDescent="0.35">
      <c r="A12" s="19"/>
      <c r="B12" s="72"/>
      <c r="C12" s="73"/>
      <c r="D12" s="19"/>
    </row>
    <row r="13" spans="1:4" ht="23.25" x14ac:dyDescent="0.35">
      <c r="A13" s="19"/>
      <c r="B13" s="74"/>
      <c r="C13" s="75"/>
      <c r="D13" s="19"/>
    </row>
    <row r="14" spans="1:4" x14ac:dyDescent="0.25">
      <c r="A14" s="19"/>
      <c r="B14" s="19"/>
      <c r="C14" s="19"/>
      <c r="D14" s="19"/>
    </row>
    <row r="15" spans="1:4" x14ac:dyDescent="0.25">
      <c r="A15" s="19"/>
      <c r="B15" s="19"/>
      <c r="C15" s="19"/>
      <c r="D15" s="1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28515625" customWidth="1"/>
    <col min="10" max="10" width="7.85546875" customWidth="1"/>
    <col min="11" max="11" width="10.140625" customWidth="1"/>
    <col min="12" max="12" width="7.85546875" customWidth="1"/>
    <col min="13" max="13" width="11.85546875" customWidth="1"/>
    <col min="14" max="14" width="7.85546875" customWidth="1"/>
    <col min="16" max="16" width="4.7109375" customWidth="1"/>
    <col min="18" max="18" width="10.2851562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6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5"/>
      <c r="O5" s="24"/>
      <c r="P5" s="24"/>
      <c r="Q5" s="25"/>
      <c r="R5" s="24"/>
      <c r="S5" s="15"/>
      <c r="T5" s="17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5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6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7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6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7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.28515625" customWidth="1"/>
    <col min="12" max="12" width="7.85546875" customWidth="1"/>
    <col min="13" max="13" width="11.42578125" customWidth="1"/>
    <col min="14" max="14" width="7.85546875" customWidth="1"/>
    <col min="16" max="16" width="4.7109375" customWidth="1"/>
    <col min="18" max="18" width="10.2851562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6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7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5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5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6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7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5.140625" customWidth="1"/>
    <col min="2" max="2" width="7.85546875" customWidth="1"/>
    <col min="3" max="3" width="5.7109375" customWidth="1"/>
    <col min="4" max="4" width="7.85546875" customWidth="1"/>
    <col min="5" max="5" width="5.140625" customWidth="1"/>
    <col min="6" max="6" width="7.85546875" customWidth="1"/>
    <col min="7" max="7" width="6.85546875" customWidth="1"/>
    <col min="8" max="8" width="7.85546875" customWidth="1"/>
    <col min="9" max="9" width="10.28515625" customWidth="1"/>
    <col min="10" max="10" width="7.85546875" customWidth="1"/>
    <col min="11" max="11" width="10.42578125" customWidth="1"/>
    <col min="12" max="12" width="7.85546875" customWidth="1"/>
    <col min="13" max="13" width="11.7109375" customWidth="1"/>
    <col min="14" max="14" width="7.85546875" customWidth="1"/>
    <col min="16" max="16" width="4.7109375" customWidth="1"/>
    <col min="19" max="19" width="4.7109375" customWidth="1"/>
    <col min="20" max="20" width="7.57031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7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6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7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5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7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6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7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7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5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" customWidth="1"/>
    <col min="10" max="10" width="7.85546875" customWidth="1"/>
    <col min="11" max="11" width="10.7109375" customWidth="1"/>
    <col min="12" max="12" width="7.85546875" customWidth="1"/>
    <col min="13" max="13" width="10.7109375" customWidth="1"/>
    <col min="14" max="14" width="7.85546875" customWidth="1"/>
    <col min="16" max="16" width="4.7109375" customWidth="1"/>
    <col min="18" max="18" width="10.85546875" customWidth="1"/>
    <col min="19" max="19" width="4.570312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6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7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7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6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7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6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7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5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  <pageSetup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28515625" customWidth="1"/>
    <col min="10" max="10" width="7.85546875" customWidth="1"/>
    <col min="11" max="11" width="10.140625" customWidth="1"/>
    <col min="12" max="12" width="7.85546875" customWidth="1"/>
    <col min="13" max="13" width="10.42578125" customWidth="1"/>
    <col min="14" max="14" width="7.85546875" customWidth="1"/>
    <col min="16" max="16" width="4.7109375" customWidth="1"/>
    <col min="18" max="18" width="9.7109375" customWidth="1"/>
    <col min="19" max="19" width="4.7109375" customWidth="1"/>
    <col min="20" max="20" width="7.28515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5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7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7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5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.140625" customWidth="1"/>
    <col min="12" max="12" width="7.85546875" customWidth="1"/>
    <col min="13" max="13" width="10.42578125" customWidth="1"/>
    <col min="14" max="14" width="7.85546875" customWidth="1"/>
    <col min="16" max="16" width="4.85546875" customWidth="1"/>
    <col min="18" max="18" width="9.85546875" customWidth="1"/>
    <col min="19" max="19" width="4.7109375" customWidth="1"/>
    <col min="20" max="20" width="7.28515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  <c r="O7" s="24"/>
      <c r="P7" s="24"/>
      <c r="Q7" s="25"/>
      <c r="R7" s="24"/>
      <c r="S7" s="15"/>
      <c r="T7" s="17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6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7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6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6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7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7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5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5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.140625" customWidth="1"/>
    <col min="12" max="12" width="7.85546875" customWidth="1"/>
    <col min="13" max="13" width="11" customWidth="1"/>
    <col min="14" max="14" width="7.85546875" customWidth="1"/>
    <col min="16" max="16" width="4.7109375" customWidth="1"/>
    <col min="18" max="18" width="9.8554687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5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7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6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7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6"/>
    </row>
    <row r="15" spans="1:20" x14ac:dyDescent="0.25">
      <c r="A15" s="24"/>
      <c r="B15" s="25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7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6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7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7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7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7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5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28515625" customWidth="1"/>
    <col min="10" max="10" width="7.85546875" customWidth="1"/>
    <col min="11" max="11" width="10.140625" customWidth="1"/>
    <col min="12" max="12" width="7.85546875" customWidth="1"/>
    <col min="13" max="13" width="11.5703125" customWidth="1"/>
    <col min="14" max="14" width="7.85546875" customWidth="1"/>
    <col min="16" max="16" width="4.7109375" customWidth="1"/>
    <col min="18" max="18" width="9.85546875" customWidth="1"/>
    <col min="19" max="19" width="4.7109375" customWidth="1"/>
    <col min="20" max="20" width="7.28515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6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7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7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6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7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7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6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7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5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.140625" customWidth="1"/>
    <col min="12" max="12" width="7.85546875" customWidth="1"/>
    <col min="13" max="13" width="11" customWidth="1"/>
    <col min="14" max="14" width="7.85546875" customWidth="1"/>
    <col min="16" max="16" width="4.7109375" customWidth="1"/>
    <col min="18" max="18" width="9.85546875" customWidth="1"/>
    <col min="19" max="19" width="4.7109375" customWidth="1"/>
    <col min="20" max="20" width="7.140625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7"/>
    </row>
    <row r="8" spans="1:20" x14ac:dyDescent="0.25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6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5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6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6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7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6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6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6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7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7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6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6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7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  <pageSetup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sqref="A1:Q1"/>
    </sheetView>
  </sheetViews>
  <sheetFormatPr defaultRowHeight="15" x14ac:dyDescent="0.25"/>
  <cols>
    <col min="1" max="1" width="4.85546875" customWidth="1"/>
    <col min="2" max="2" width="7.85546875" customWidth="1"/>
    <col min="3" max="3" width="4.85546875" customWidth="1"/>
    <col min="4" max="4" width="7.85546875" customWidth="1"/>
    <col min="5" max="5" width="4.85546875" customWidth="1"/>
    <col min="6" max="6" width="7.85546875" customWidth="1"/>
    <col min="7" max="7" width="6.85546875" customWidth="1"/>
    <col min="8" max="8" width="7.85546875" customWidth="1"/>
    <col min="9" max="9" width="10.140625" customWidth="1"/>
    <col min="10" max="10" width="7.85546875" customWidth="1"/>
    <col min="11" max="11" width="10.140625" customWidth="1"/>
    <col min="12" max="12" width="7.85546875" customWidth="1"/>
    <col min="13" max="13" width="10.85546875" customWidth="1"/>
    <col min="14" max="14" width="7.85546875" customWidth="1"/>
    <col min="16" max="16" width="4.7109375" customWidth="1"/>
    <col min="18" max="18" width="10" customWidth="1"/>
    <col min="19" max="19" width="4.7109375" customWidth="1"/>
    <col min="20" max="20" width="7" customWidth="1"/>
  </cols>
  <sheetData>
    <row r="1" spans="1:20" x14ac:dyDescent="0.25">
      <c r="A1" s="1005"/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9"/>
      <c r="S1" s="19"/>
      <c r="T1" s="19"/>
    </row>
    <row r="2" spans="1:20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  <c r="Q2" s="21"/>
      <c r="R2" s="23"/>
      <c r="S2" s="21"/>
      <c r="T2" s="21"/>
    </row>
    <row r="3" spans="1:20" x14ac:dyDescent="0.25">
      <c r="A3" s="24"/>
      <c r="B3" s="25"/>
      <c r="C3" s="24"/>
      <c r="D3" s="25"/>
      <c r="E3" s="24"/>
      <c r="F3" s="25"/>
      <c r="G3" s="24"/>
      <c r="H3" s="25"/>
      <c r="I3" s="24"/>
      <c r="J3" s="25"/>
      <c r="K3" s="25"/>
      <c r="L3" s="25"/>
      <c r="M3" s="24"/>
      <c r="N3" s="25"/>
      <c r="O3" s="25"/>
      <c r="P3" s="24"/>
      <c r="Q3" s="25"/>
      <c r="R3" s="25"/>
      <c r="S3" s="15"/>
      <c r="T3" s="16"/>
    </row>
    <row r="4" spans="1:20" x14ac:dyDescent="0.25">
      <c r="A4" s="24"/>
      <c r="B4" s="25"/>
      <c r="C4" s="24"/>
      <c r="D4" s="25"/>
      <c r="E4" s="24"/>
      <c r="F4" s="24"/>
      <c r="G4" s="24"/>
      <c r="H4" s="25"/>
      <c r="I4" s="24"/>
      <c r="J4" s="25"/>
      <c r="K4" s="25"/>
      <c r="L4" s="25"/>
      <c r="M4" s="24"/>
      <c r="N4" s="25"/>
      <c r="O4" s="24"/>
      <c r="P4" s="24"/>
      <c r="Q4" s="25"/>
      <c r="R4" s="24"/>
      <c r="S4" s="15"/>
      <c r="T4" s="17"/>
    </row>
    <row r="5" spans="1:20" x14ac:dyDescent="0.25">
      <c r="A5" s="24"/>
      <c r="B5" s="25"/>
      <c r="C5" s="24"/>
      <c r="D5" s="25"/>
      <c r="E5" s="24"/>
      <c r="F5" s="24"/>
      <c r="G5" s="24"/>
      <c r="H5" s="25"/>
      <c r="I5" s="24"/>
      <c r="J5" s="25"/>
      <c r="K5" s="25"/>
      <c r="L5" s="25"/>
      <c r="M5" s="24"/>
      <c r="N5" s="24"/>
      <c r="O5" s="24"/>
      <c r="P5" s="24"/>
      <c r="Q5" s="25"/>
      <c r="R5" s="24"/>
      <c r="S5" s="15"/>
      <c r="T5" s="16"/>
    </row>
    <row r="6" spans="1:20" x14ac:dyDescent="0.25">
      <c r="A6" s="24"/>
      <c r="B6" s="25"/>
      <c r="C6" s="24"/>
      <c r="D6" s="25"/>
      <c r="E6" s="24"/>
      <c r="F6" s="24"/>
      <c r="G6" s="24"/>
      <c r="H6" s="25"/>
      <c r="I6" s="24"/>
      <c r="J6" s="24"/>
      <c r="K6" s="24"/>
      <c r="L6" s="24"/>
      <c r="M6" s="24"/>
      <c r="N6" s="24"/>
      <c r="O6" s="24"/>
      <c r="P6" s="24"/>
      <c r="Q6" s="25"/>
      <c r="R6" s="24"/>
      <c r="S6" s="15"/>
      <c r="T6" s="16"/>
    </row>
    <row r="7" spans="1:20" x14ac:dyDescent="0.25">
      <c r="A7" s="24"/>
      <c r="B7" s="25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15"/>
      <c r="T7" s="17"/>
    </row>
    <row r="8" spans="1:20" x14ac:dyDescent="0.25">
      <c r="A8" s="24"/>
      <c r="B8" s="24"/>
      <c r="C8" s="24"/>
      <c r="D8" s="24"/>
      <c r="E8" s="24"/>
      <c r="F8" s="24"/>
      <c r="G8" s="24"/>
      <c r="H8" s="25"/>
      <c r="I8" s="24"/>
      <c r="J8" s="25"/>
      <c r="K8" s="25"/>
      <c r="L8" s="25"/>
      <c r="M8" s="24"/>
      <c r="N8" s="24"/>
      <c r="O8" s="24"/>
      <c r="P8" s="24"/>
      <c r="Q8" s="25"/>
      <c r="R8" s="24"/>
      <c r="S8" s="15"/>
      <c r="T8" s="16"/>
    </row>
    <row r="9" spans="1:20" x14ac:dyDescent="0.25">
      <c r="A9" s="24"/>
      <c r="B9" s="25"/>
      <c r="C9" s="24"/>
      <c r="D9" s="25"/>
      <c r="E9" s="24"/>
      <c r="F9" s="24"/>
      <c r="G9" s="24"/>
      <c r="H9" s="25"/>
      <c r="I9" s="24"/>
      <c r="J9" s="24"/>
      <c r="K9" s="24"/>
      <c r="L9" s="24"/>
      <c r="M9" s="24"/>
      <c r="N9" s="24"/>
      <c r="O9" s="24"/>
      <c r="P9" s="24"/>
      <c r="Q9" s="25"/>
      <c r="R9" s="24"/>
      <c r="S9" s="15"/>
      <c r="T9" s="16"/>
    </row>
    <row r="10" spans="1:20" x14ac:dyDescent="0.25">
      <c r="A10" s="24"/>
      <c r="B10" s="25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4"/>
      <c r="S10" s="15"/>
      <c r="T10" s="17"/>
    </row>
    <row r="11" spans="1:20" x14ac:dyDescent="0.25">
      <c r="A11" s="24"/>
      <c r="B11" s="25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4"/>
      <c r="S11" s="15"/>
      <c r="T11" s="17"/>
    </row>
    <row r="12" spans="1:20" x14ac:dyDescent="0.25">
      <c r="A12" s="24"/>
      <c r="B12" s="25"/>
      <c r="C12" s="24"/>
      <c r="D12" s="25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4"/>
      <c r="S12" s="15"/>
      <c r="T12" s="17"/>
    </row>
    <row r="13" spans="1:2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4"/>
      <c r="S13" s="15"/>
      <c r="T13" s="17"/>
    </row>
    <row r="14" spans="1:20" x14ac:dyDescent="0.25">
      <c r="A14" s="24"/>
      <c r="B14" s="25"/>
      <c r="C14" s="24"/>
      <c r="D14" s="25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24"/>
      <c r="S14" s="15"/>
      <c r="T14" s="17"/>
    </row>
    <row r="15" spans="1:20" x14ac:dyDescent="0.25">
      <c r="A15" s="24"/>
      <c r="B15" s="24"/>
      <c r="C15" s="24"/>
      <c r="D15" s="2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4"/>
      <c r="S15" s="15"/>
      <c r="T15" s="16"/>
    </row>
    <row r="16" spans="1:20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4"/>
      <c r="S16" s="15"/>
      <c r="T16" s="17"/>
    </row>
    <row r="17" spans="1:20" x14ac:dyDescent="0.25">
      <c r="A17" s="24"/>
      <c r="B17" s="24"/>
      <c r="C17" s="24"/>
      <c r="D17" s="25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15"/>
      <c r="T17" s="17"/>
    </row>
    <row r="18" spans="1:20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4"/>
      <c r="S18" s="15"/>
      <c r="T18" s="16"/>
    </row>
    <row r="19" spans="1:20" x14ac:dyDescent="0.25">
      <c r="A19" s="24"/>
      <c r="B19" s="25"/>
      <c r="C19" s="24"/>
      <c r="D19" s="2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4"/>
      <c r="S19" s="15"/>
      <c r="T19" s="16"/>
    </row>
    <row r="20" spans="1:20" x14ac:dyDescent="0.25">
      <c r="A20" s="24"/>
      <c r="B20" s="25"/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15"/>
      <c r="T20" s="16"/>
    </row>
    <row r="21" spans="1:20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15"/>
      <c r="T21" s="16"/>
    </row>
    <row r="22" spans="1:20" x14ac:dyDescent="0.25">
      <c r="A22" s="24"/>
      <c r="B22" s="25"/>
      <c r="C22" s="24"/>
      <c r="D22" s="25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15"/>
      <c r="T22" s="17"/>
    </row>
    <row r="23" spans="1:20" x14ac:dyDescent="0.25">
      <c r="A23" s="24"/>
      <c r="B23" s="25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15"/>
      <c r="T23" s="17"/>
    </row>
    <row r="24" spans="1:20" x14ac:dyDescent="0.25">
      <c r="A24" s="24"/>
      <c r="B24" s="25"/>
      <c r="C24" s="24"/>
      <c r="D24" s="25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15"/>
      <c r="T24" s="16"/>
    </row>
    <row r="25" spans="1:20" x14ac:dyDescent="0.25">
      <c r="A25" s="24"/>
      <c r="B25" s="25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15"/>
      <c r="T25" s="16"/>
    </row>
    <row r="26" spans="1:20" x14ac:dyDescent="0.25">
      <c r="A26" s="24"/>
      <c r="B26" s="25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15"/>
      <c r="T26" s="16"/>
    </row>
    <row r="27" spans="1:20" x14ac:dyDescent="0.25">
      <c r="A27" s="24"/>
      <c r="B27" s="25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15"/>
      <c r="T27" s="16"/>
    </row>
    <row r="28" spans="1:2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15"/>
      <c r="T28" s="16"/>
    </row>
    <row r="29" spans="1:20" x14ac:dyDescent="0.25">
      <c r="A29" s="24"/>
      <c r="B29" s="25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15"/>
      <c r="T29" s="17"/>
    </row>
    <row r="30" spans="1:20" x14ac:dyDescent="0.25">
      <c r="A30" s="24"/>
      <c r="B30" s="25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15"/>
      <c r="T30" s="16"/>
    </row>
    <row r="31" spans="1:20" x14ac:dyDescent="0.25">
      <c r="A31" s="24"/>
      <c r="B31" s="24"/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15"/>
      <c r="T31" s="16"/>
    </row>
    <row r="32" spans="1:2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7"/>
      <c r="T32" s="16"/>
    </row>
    <row r="33" spans="1:20" x14ac:dyDescent="0.25">
      <c r="A33" s="24"/>
      <c r="B33" s="25"/>
      <c r="C33" s="24"/>
      <c r="D33" s="25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15"/>
      <c r="T33" s="17"/>
    </row>
    <row r="34" spans="1:2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15"/>
      <c r="T34" s="28"/>
    </row>
    <row r="35" spans="1:20" x14ac:dyDescent="0.25">
      <c r="A35" s="24"/>
      <c r="B35" s="25"/>
      <c r="C35" s="24"/>
      <c r="D35" s="25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7"/>
      <c r="T35" s="16"/>
    </row>
    <row r="36" spans="1:20" x14ac:dyDescent="0.25">
      <c r="A36" s="24"/>
      <c r="B36" s="25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15"/>
      <c r="T36" s="16"/>
    </row>
    <row r="37" spans="1:20" x14ac:dyDescent="0.25">
      <c r="A37" s="24"/>
      <c r="B37" s="25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15"/>
      <c r="T37" s="28"/>
    </row>
    <row r="38" spans="1:20" x14ac:dyDescent="0.25">
      <c r="A38" s="24"/>
      <c r="B38" s="25"/>
      <c r="C38" s="24"/>
      <c r="D38" s="25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15"/>
      <c r="T38" s="28"/>
    </row>
    <row r="39" spans="1:2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15"/>
      <c r="T39" s="28"/>
    </row>
    <row r="40" spans="1:2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15"/>
      <c r="T40" s="17"/>
    </row>
    <row r="41" spans="1:2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15"/>
      <c r="T41" s="29"/>
    </row>
    <row r="42" spans="1:20" x14ac:dyDescent="0.25">
      <c r="A42" s="24"/>
      <c r="B42" s="25"/>
      <c r="C42" s="24"/>
      <c r="D42" s="25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19"/>
      <c r="T42" s="19"/>
    </row>
    <row r="43" spans="1:2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19"/>
      <c r="T43" s="19"/>
    </row>
    <row r="44" spans="1:2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9"/>
      <c r="T44" s="19"/>
    </row>
    <row r="45" spans="1:2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9"/>
      <c r="T45" s="19"/>
    </row>
    <row r="46" spans="1:2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9"/>
      <c r="T46" s="19"/>
    </row>
    <row r="47" spans="1:20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9"/>
      <c r="T47" s="19"/>
    </row>
    <row r="48" spans="1:20" x14ac:dyDescent="0.25">
      <c r="A48" s="30"/>
      <c r="B48" s="31"/>
      <c r="C48" s="30"/>
      <c r="D48" s="31"/>
      <c r="E48" s="30"/>
      <c r="F48" s="31"/>
      <c r="G48" s="30"/>
      <c r="H48" s="31"/>
      <c r="I48" s="30"/>
      <c r="J48" s="31"/>
      <c r="K48" s="31"/>
      <c r="L48" s="31"/>
      <c r="M48" s="30"/>
      <c r="N48" s="31"/>
      <c r="O48" s="31"/>
      <c r="P48" s="30"/>
      <c r="Q48" s="31"/>
      <c r="R48" s="31"/>
      <c r="S48" s="19"/>
      <c r="T48" s="19"/>
    </row>
    <row r="49" spans="1:20" ht="18.75" x14ac:dyDescent="0.3">
      <c r="A49" s="1006"/>
      <c r="B49" s="1006"/>
      <c r="C49" s="1006"/>
      <c r="D49" s="1006"/>
      <c r="E49" s="1006"/>
      <c r="F49" s="1006"/>
      <c r="G49" s="1006"/>
      <c r="H49" s="1006"/>
      <c r="I49" s="1006"/>
      <c r="J49" s="1006"/>
      <c r="K49" s="33"/>
      <c r="L49" s="33"/>
      <c r="M49" s="1007"/>
      <c r="N49" s="1008"/>
      <c r="O49" s="19"/>
      <c r="P49" s="19"/>
      <c r="Q49" s="19"/>
      <c r="R49" s="19"/>
      <c r="S49" s="19"/>
      <c r="T49" s="19"/>
    </row>
    <row r="50" spans="1:20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5"/>
      <c r="P50" s="24"/>
      <c r="Q50" s="24"/>
      <c r="R50" s="24"/>
      <c r="S50" s="24"/>
      <c r="T50" s="24"/>
    </row>
  </sheetData>
  <mergeCells count="3">
    <mergeCell ref="A1:Q1"/>
    <mergeCell ref="A49:J49"/>
    <mergeCell ref="M49:N4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6"/>
  <sheetViews>
    <sheetView workbookViewId="0"/>
  </sheetViews>
  <sheetFormatPr defaultRowHeight="15" x14ac:dyDescent="0.25"/>
  <cols>
    <col min="2" max="3" width="20.7109375" customWidth="1"/>
  </cols>
  <sheetData>
    <row r="3" spans="2:3" x14ac:dyDescent="0.25">
      <c r="B3" s="19"/>
      <c r="C3" s="19"/>
    </row>
    <row r="4" spans="2:3" ht="23.25" x14ac:dyDescent="0.35">
      <c r="B4" s="71"/>
      <c r="C4" s="71"/>
    </row>
    <row r="5" spans="2:3" ht="23.25" x14ac:dyDescent="0.35">
      <c r="B5" s="71"/>
      <c r="C5" s="71"/>
    </row>
    <row r="6" spans="2:3" ht="23.25" x14ac:dyDescent="0.35">
      <c r="B6" s="72"/>
      <c r="C6" s="73"/>
    </row>
    <row r="7" spans="2:3" ht="23.25" x14ac:dyDescent="0.35">
      <c r="B7" s="72"/>
      <c r="C7" s="73"/>
    </row>
    <row r="8" spans="2:3" ht="23.25" x14ac:dyDescent="0.35">
      <c r="B8" s="72"/>
      <c r="C8" s="73"/>
    </row>
    <row r="9" spans="2:3" ht="23.25" x14ac:dyDescent="0.35">
      <c r="B9" s="72"/>
      <c r="C9" s="73"/>
    </row>
    <row r="10" spans="2:3" ht="23.25" x14ac:dyDescent="0.35">
      <c r="B10" s="72"/>
      <c r="C10" s="73"/>
    </row>
    <row r="11" spans="2:3" ht="23.25" x14ac:dyDescent="0.35">
      <c r="B11" s="72"/>
      <c r="C11" s="73"/>
    </row>
    <row r="12" spans="2:3" ht="23.25" x14ac:dyDescent="0.35">
      <c r="B12" s="72"/>
      <c r="C12" s="73"/>
    </row>
    <row r="13" spans="2:3" ht="23.25" x14ac:dyDescent="0.35">
      <c r="B13" s="72"/>
      <c r="C13" s="102"/>
    </row>
    <row r="14" spans="2:3" ht="23.25" x14ac:dyDescent="0.35">
      <c r="B14" s="72"/>
      <c r="C14" s="102"/>
    </row>
    <row r="15" spans="2:3" ht="23.25" x14ac:dyDescent="0.35">
      <c r="B15" s="72"/>
      <c r="C15" s="102"/>
    </row>
    <row r="16" spans="2:3" ht="23.25" x14ac:dyDescent="0.35">
      <c r="B16" s="103"/>
      <c r="C16" s="10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7"/>
  <sheetViews>
    <sheetView workbookViewId="0"/>
  </sheetViews>
  <sheetFormatPr defaultRowHeight="15" x14ac:dyDescent="0.25"/>
  <cols>
    <col min="2" max="4" width="13.7109375" customWidth="1"/>
  </cols>
  <sheetData>
    <row r="3" spans="2:4" x14ac:dyDescent="0.25">
      <c r="B3" s="19"/>
      <c r="C3" s="19"/>
      <c r="D3" s="19"/>
    </row>
    <row r="4" spans="2:4" x14ac:dyDescent="0.25">
      <c r="B4" s="24"/>
      <c r="C4" s="24"/>
      <c r="D4" s="19"/>
    </row>
    <row r="5" spans="2:4" x14ac:dyDescent="0.25">
      <c r="B5" s="24"/>
      <c r="C5" s="24"/>
      <c r="D5" s="19"/>
    </row>
    <row r="6" spans="2:4" x14ac:dyDescent="0.25">
      <c r="B6" s="89"/>
      <c r="C6" s="97"/>
      <c r="D6" s="19"/>
    </row>
    <row r="7" spans="2:4" x14ac:dyDescent="0.25">
      <c r="B7" s="89"/>
      <c r="C7" s="97"/>
      <c r="D7" s="19"/>
    </row>
    <row r="8" spans="2:4" x14ac:dyDescent="0.25">
      <c r="B8" s="89"/>
      <c r="C8" s="97"/>
      <c r="D8" s="19"/>
    </row>
    <row r="9" spans="2:4" x14ac:dyDescent="0.25">
      <c r="B9" s="89"/>
      <c r="C9" s="97"/>
      <c r="D9" s="19"/>
    </row>
    <row r="10" spans="2:4" x14ac:dyDescent="0.25">
      <c r="B10" s="89"/>
      <c r="C10" s="97"/>
      <c r="D10" s="19"/>
    </row>
    <row r="11" spans="2:4" x14ac:dyDescent="0.25">
      <c r="B11" s="89"/>
      <c r="C11" s="97"/>
      <c r="D11" s="19"/>
    </row>
    <row r="12" spans="2:4" x14ac:dyDescent="0.25">
      <c r="B12" s="89"/>
      <c r="C12" s="97"/>
      <c r="D12" s="98"/>
    </row>
    <row r="13" spans="2:4" x14ac:dyDescent="0.25">
      <c r="B13" s="89"/>
      <c r="C13" s="97"/>
      <c r="D13" s="19"/>
    </row>
    <row r="14" spans="2:4" x14ac:dyDescent="0.25">
      <c r="B14" s="89"/>
      <c r="C14" s="97"/>
      <c r="D14" s="19"/>
    </row>
    <row r="15" spans="2:4" x14ac:dyDescent="0.25">
      <c r="B15" s="89"/>
      <c r="C15" s="97"/>
      <c r="D15" s="19"/>
    </row>
    <row r="16" spans="2:4" x14ac:dyDescent="0.25">
      <c r="B16" s="89"/>
      <c r="C16" s="97"/>
      <c r="D16" s="19"/>
    </row>
    <row r="17" spans="2:4" x14ac:dyDescent="0.25">
      <c r="B17" s="89"/>
      <c r="C17" s="97"/>
      <c r="D17" s="19"/>
    </row>
    <row r="18" spans="2:4" x14ac:dyDescent="0.25">
      <c r="B18" s="89"/>
      <c r="C18" s="97"/>
      <c r="D18" s="19"/>
    </row>
    <row r="19" spans="2:4" x14ac:dyDescent="0.25">
      <c r="B19" s="89"/>
      <c r="C19" s="97"/>
      <c r="D19" s="98"/>
    </row>
    <row r="20" spans="2:4" x14ac:dyDescent="0.25">
      <c r="B20" s="89"/>
      <c r="C20" s="97"/>
      <c r="D20" s="19"/>
    </row>
    <row r="21" spans="2:4" x14ac:dyDescent="0.25">
      <c r="B21" s="89"/>
      <c r="C21" s="97"/>
      <c r="D21" s="19"/>
    </row>
    <row r="22" spans="2:4" x14ac:dyDescent="0.25">
      <c r="B22" s="89"/>
      <c r="C22" s="97"/>
      <c r="D22" s="19"/>
    </row>
    <row r="23" spans="2:4" x14ac:dyDescent="0.25">
      <c r="B23" s="89"/>
      <c r="C23" s="97"/>
      <c r="D23" s="19"/>
    </row>
    <row r="24" spans="2:4" x14ac:dyDescent="0.25">
      <c r="B24" s="89"/>
      <c r="C24" s="97"/>
      <c r="D24" s="19"/>
    </row>
    <row r="25" spans="2:4" x14ac:dyDescent="0.25">
      <c r="B25" s="89"/>
      <c r="C25" s="97"/>
      <c r="D25" s="19"/>
    </row>
    <row r="26" spans="2:4" x14ac:dyDescent="0.25">
      <c r="B26" s="89"/>
      <c r="C26" s="99"/>
      <c r="D26" s="98"/>
    </row>
    <row r="27" spans="2:4" x14ac:dyDescent="0.25">
      <c r="B27" s="89"/>
      <c r="C27" s="97"/>
      <c r="D27" s="19"/>
    </row>
    <row r="28" spans="2:4" x14ac:dyDescent="0.25">
      <c r="B28" s="89"/>
      <c r="C28" s="97"/>
      <c r="D28" s="19"/>
    </row>
    <row r="29" spans="2:4" x14ac:dyDescent="0.25">
      <c r="B29" s="89"/>
      <c r="C29" s="97"/>
      <c r="D29" s="19"/>
    </row>
    <row r="30" spans="2:4" x14ac:dyDescent="0.25">
      <c r="B30" s="89"/>
      <c r="C30" s="97"/>
      <c r="D30" s="19"/>
    </row>
    <row r="31" spans="2:4" x14ac:dyDescent="0.25">
      <c r="B31" s="89"/>
      <c r="C31" s="97"/>
      <c r="D31" s="19"/>
    </row>
    <row r="32" spans="2:4" x14ac:dyDescent="0.25">
      <c r="B32" s="89"/>
      <c r="C32" s="97"/>
      <c r="D32" s="19"/>
    </row>
    <row r="33" spans="2:4" x14ac:dyDescent="0.25">
      <c r="B33" s="89"/>
      <c r="C33" s="97"/>
      <c r="D33" s="19"/>
    </row>
    <row r="34" spans="2:4" x14ac:dyDescent="0.25">
      <c r="B34" s="89"/>
      <c r="C34" s="97"/>
      <c r="D34" s="19"/>
    </row>
    <row r="35" spans="2:4" x14ac:dyDescent="0.25">
      <c r="B35" s="89"/>
      <c r="C35" s="97"/>
      <c r="D35" s="100"/>
    </row>
    <row r="36" spans="2:4" x14ac:dyDescent="0.25">
      <c r="B36" s="89"/>
      <c r="C36" s="97"/>
      <c r="D36" s="98"/>
    </row>
    <row r="37" spans="2:4" x14ac:dyDescent="0.25">
      <c r="B37" s="79"/>
      <c r="C37" s="100"/>
      <c r="D37" s="10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4"/>
  <sheetViews>
    <sheetView workbookViewId="0"/>
  </sheetViews>
  <sheetFormatPr defaultRowHeight="15" x14ac:dyDescent="0.25"/>
  <cols>
    <col min="1" max="1" width="4.5703125" customWidth="1"/>
    <col min="2" max="2" width="2.85546875" customWidth="1"/>
    <col min="3" max="3" width="3.5703125" customWidth="1"/>
    <col min="4" max="4" width="3.7109375" customWidth="1"/>
    <col min="5" max="5" width="2.85546875" customWidth="1"/>
    <col min="6" max="6" width="3.5703125" customWidth="1"/>
    <col min="7" max="7" width="3.28515625" customWidth="1"/>
    <col min="8" max="8" width="3.5703125" customWidth="1"/>
    <col min="10" max="10" width="2.42578125" customWidth="1"/>
    <col min="11" max="11" width="2.140625" customWidth="1"/>
    <col min="12" max="12" width="1.42578125" customWidth="1"/>
    <col min="13" max="13" width="2.140625" customWidth="1"/>
    <col min="14" max="14" width="2" customWidth="1"/>
    <col min="15" max="15" width="1.7109375" customWidth="1"/>
    <col min="16" max="16" width="2.140625" customWidth="1"/>
    <col min="18" max="18" width="1.85546875" customWidth="1"/>
    <col min="19" max="19" width="2.28515625" customWidth="1"/>
    <col min="20" max="21" width="2" customWidth="1"/>
    <col min="22" max="22" width="1.7109375" customWidth="1"/>
    <col min="23" max="23" width="1.28515625" customWidth="1"/>
    <col min="24" max="24" width="1.5703125" customWidth="1"/>
    <col min="36" max="36" width="9.5703125" customWidth="1"/>
  </cols>
  <sheetData>
    <row r="1" spans="1:36" x14ac:dyDescent="0.25">
      <c r="A1" s="23"/>
      <c r="B1" s="23"/>
      <c r="C1" s="23"/>
      <c r="D1" s="23"/>
      <c r="E1" s="23"/>
      <c r="F1" s="23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spans="1:36" x14ac:dyDescent="0.25">
      <c r="A2" s="24"/>
      <c r="B2" s="80"/>
      <c r="C2" s="80"/>
      <c r="D2" s="80"/>
      <c r="E2" s="80"/>
      <c r="F2" s="80"/>
      <c r="G2" s="80"/>
      <c r="H2" s="80"/>
      <c r="I2" s="24"/>
      <c r="J2" s="80"/>
      <c r="K2" s="80"/>
      <c r="L2" s="80"/>
      <c r="M2" s="80"/>
      <c r="N2" s="80"/>
      <c r="O2" s="80"/>
      <c r="P2" s="80"/>
      <c r="Q2" s="24"/>
      <c r="R2" s="80"/>
      <c r="S2" s="80"/>
      <c r="T2" s="80"/>
      <c r="U2" s="80"/>
      <c r="V2" s="80"/>
      <c r="W2" s="80"/>
      <c r="X2" s="80"/>
      <c r="Y2" s="24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24"/>
    </row>
    <row r="3" spans="1:36" x14ac:dyDescent="0.25">
      <c r="A3" s="80"/>
      <c r="B3" s="25"/>
      <c r="C3" s="25"/>
      <c r="D3" s="25"/>
      <c r="E3" s="25"/>
      <c r="F3" s="25"/>
      <c r="G3" s="25"/>
      <c r="H3" s="25"/>
      <c r="I3" s="76"/>
      <c r="J3" s="25"/>
      <c r="K3" s="25"/>
      <c r="L3" s="25"/>
      <c r="M3" s="25"/>
      <c r="N3" s="25"/>
      <c r="O3" s="25"/>
      <c r="P3" s="25"/>
      <c r="Q3" s="76"/>
      <c r="R3" s="25"/>
      <c r="S3" s="25"/>
      <c r="T3" s="25"/>
      <c r="U3" s="25"/>
      <c r="V3" s="25"/>
      <c r="W3" s="25"/>
      <c r="X3" s="25"/>
      <c r="Y3" s="76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76"/>
    </row>
    <row r="4" spans="1:36" x14ac:dyDescent="0.25">
      <c r="A4" s="80"/>
      <c r="B4" s="24"/>
      <c r="C4" s="24"/>
      <c r="D4" s="24"/>
      <c r="E4" s="92"/>
      <c r="F4" s="24"/>
      <c r="G4" s="24"/>
      <c r="H4" s="24"/>
      <c r="I4" s="15"/>
      <c r="J4" s="24"/>
      <c r="K4" s="24"/>
      <c r="L4" s="24"/>
      <c r="M4" s="24"/>
      <c r="N4" s="24"/>
      <c r="O4" s="24"/>
      <c r="P4" s="24"/>
      <c r="Q4" s="15"/>
      <c r="R4" s="24"/>
      <c r="S4" s="24"/>
      <c r="T4" s="24"/>
      <c r="U4" s="24"/>
      <c r="V4" s="24"/>
      <c r="W4" s="24"/>
      <c r="X4" s="25"/>
      <c r="Y4" s="15"/>
      <c r="Z4" s="24"/>
      <c r="AA4" s="24"/>
      <c r="AB4" s="24"/>
      <c r="AC4" s="24"/>
      <c r="AD4" s="24"/>
      <c r="AE4" s="24"/>
      <c r="AF4" s="25"/>
      <c r="AG4" s="24"/>
      <c r="AH4" s="24"/>
      <c r="AI4" s="25"/>
      <c r="AJ4" s="15"/>
    </row>
    <row r="5" spans="1:36" x14ac:dyDescent="0.25">
      <c r="A5" s="80"/>
      <c r="B5" s="24"/>
      <c r="C5" s="24"/>
      <c r="D5" s="24"/>
      <c r="E5" s="92"/>
      <c r="F5" s="24"/>
      <c r="G5" s="24"/>
      <c r="H5" s="24"/>
      <c r="I5" s="15"/>
      <c r="J5" s="24"/>
      <c r="K5" s="25"/>
      <c r="L5" s="25"/>
      <c r="M5" s="24"/>
      <c r="N5" s="24"/>
      <c r="O5" s="25"/>
      <c r="P5" s="25"/>
      <c r="Q5" s="15"/>
      <c r="R5" s="25"/>
      <c r="S5" s="24"/>
      <c r="T5" s="25"/>
      <c r="U5" s="24"/>
      <c r="V5" s="24"/>
      <c r="W5" s="25"/>
      <c r="X5" s="24"/>
      <c r="Y5" s="76"/>
      <c r="Z5" s="25"/>
      <c r="AA5" s="24"/>
      <c r="AB5" s="25"/>
      <c r="AC5" s="24"/>
      <c r="AD5" s="24"/>
      <c r="AE5" s="25"/>
      <c r="AF5" s="24"/>
      <c r="AG5" s="24"/>
      <c r="AH5" s="25"/>
      <c r="AI5" s="24"/>
      <c r="AJ5" s="76"/>
    </row>
    <row r="6" spans="1:36" x14ac:dyDescent="0.25">
      <c r="A6" s="80"/>
      <c r="B6" s="24"/>
      <c r="C6" s="24"/>
      <c r="D6" s="24"/>
      <c r="E6" s="92"/>
      <c r="F6" s="24"/>
      <c r="G6" s="24"/>
      <c r="H6" s="24"/>
      <c r="I6" s="15"/>
      <c r="J6" s="24"/>
      <c r="K6" s="24"/>
      <c r="L6" s="24"/>
      <c r="M6" s="25"/>
      <c r="N6" s="24"/>
      <c r="O6" s="24"/>
      <c r="P6" s="24"/>
      <c r="Q6" s="15"/>
      <c r="R6" s="24"/>
      <c r="S6" s="24"/>
      <c r="T6" s="24"/>
      <c r="U6" s="24"/>
      <c r="V6" s="24"/>
      <c r="W6" s="24"/>
      <c r="X6" s="24"/>
      <c r="Y6" s="15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15"/>
    </row>
    <row r="7" spans="1:36" x14ac:dyDescent="0.25">
      <c r="A7" s="80"/>
      <c r="B7" s="24"/>
      <c r="C7" s="24"/>
      <c r="D7" s="24"/>
      <c r="E7" s="92"/>
      <c r="F7" s="25"/>
      <c r="G7" s="24"/>
      <c r="H7" s="24"/>
      <c r="I7" s="76"/>
      <c r="J7" s="24"/>
      <c r="K7" s="24"/>
      <c r="L7" s="24"/>
      <c r="M7" s="24"/>
      <c r="N7" s="24"/>
      <c r="O7" s="24"/>
      <c r="P7" s="24"/>
      <c r="Q7" s="15"/>
      <c r="R7" s="24"/>
      <c r="S7" s="24"/>
      <c r="T7" s="24"/>
      <c r="U7" s="24"/>
      <c r="V7" s="24"/>
      <c r="W7" s="24"/>
      <c r="X7" s="24"/>
      <c r="Y7" s="15"/>
      <c r="Z7" s="24"/>
      <c r="AA7" s="25"/>
      <c r="AB7" s="24"/>
      <c r="AC7" s="24"/>
      <c r="AD7" s="24"/>
      <c r="AE7" s="24"/>
      <c r="AF7" s="24"/>
      <c r="AG7" s="24"/>
      <c r="AH7" s="24"/>
      <c r="AI7" s="24"/>
      <c r="AJ7" s="15"/>
    </row>
    <row r="8" spans="1:36" x14ac:dyDescent="0.25">
      <c r="A8" s="80"/>
      <c r="B8" s="24"/>
      <c r="C8" s="24"/>
      <c r="D8" s="24"/>
      <c r="E8" s="25"/>
      <c r="F8" s="24"/>
      <c r="G8" s="25"/>
      <c r="H8" s="24"/>
      <c r="I8" s="15"/>
      <c r="J8" s="24"/>
      <c r="K8" s="25"/>
      <c r="L8" s="24"/>
      <c r="M8" s="25"/>
      <c r="N8" s="24"/>
      <c r="O8" s="24"/>
      <c r="P8" s="24"/>
      <c r="Q8" s="76"/>
      <c r="R8" s="24"/>
      <c r="S8" s="24"/>
      <c r="T8" s="24"/>
      <c r="U8" s="24"/>
      <c r="V8" s="24"/>
      <c r="W8" s="24"/>
      <c r="X8" s="24"/>
      <c r="Y8" s="15"/>
      <c r="Z8" s="24"/>
      <c r="AA8" s="24"/>
      <c r="AB8" s="24"/>
      <c r="AC8" s="24"/>
      <c r="AD8" s="24"/>
      <c r="AE8" s="24"/>
      <c r="AF8" s="24"/>
      <c r="AG8" s="25"/>
      <c r="AH8" s="24"/>
      <c r="AI8" s="24"/>
      <c r="AJ8" s="15"/>
    </row>
    <row r="9" spans="1:36" x14ac:dyDescent="0.25">
      <c r="A9" s="80"/>
      <c r="B9" s="25"/>
      <c r="C9" s="24"/>
      <c r="D9" s="25"/>
      <c r="E9" s="92"/>
      <c r="F9" s="24"/>
      <c r="G9" s="24"/>
      <c r="H9" s="24"/>
      <c r="I9" s="76"/>
      <c r="J9" s="25"/>
      <c r="K9" s="24"/>
      <c r="L9" s="25"/>
      <c r="M9" s="24"/>
      <c r="N9" s="24"/>
      <c r="O9" s="24"/>
      <c r="P9" s="24"/>
      <c r="Q9" s="76"/>
      <c r="R9" s="25"/>
      <c r="S9" s="24"/>
      <c r="T9" s="24"/>
      <c r="U9" s="25"/>
      <c r="V9" s="24"/>
      <c r="W9" s="24"/>
      <c r="X9" s="25"/>
      <c r="Y9" s="76"/>
      <c r="Z9" s="25"/>
      <c r="AA9" s="24"/>
      <c r="AB9" s="24"/>
      <c r="AC9" s="25"/>
      <c r="AD9" s="25"/>
      <c r="AE9" s="24"/>
      <c r="AF9" s="24"/>
      <c r="AG9" s="24"/>
      <c r="AH9" s="24"/>
      <c r="AI9" s="25"/>
      <c r="AJ9" s="76"/>
    </row>
    <row r="10" spans="1:36" x14ac:dyDescent="0.25">
      <c r="A10" s="80"/>
      <c r="B10" s="24"/>
      <c r="C10" s="25"/>
      <c r="D10" s="24"/>
      <c r="E10" s="92"/>
      <c r="F10" s="24"/>
      <c r="G10" s="24"/>
      <c r="H10" s="25"/>
      <c r="I10" s="15"/>
      <c r="J10" s="24"/>
      <c r="K10" s="24"/>
      <c r="L10" s="24"/>
      <c r="M10" s="24"/>
      <c r="N10" s="24"/>
      <c r="O10" s="25"/>
      <c r="P10" s="25"/>
      <c r="Q10" s="15"/>
      <c r="R10" s="25"/>
      <c r="S10" s="24"/>
      <c r="T10" s="24"/>
      <c r="U10" s="24"/>
      <c r="V10" s="24"/>
      <c r="W10" s="24"/>
      <c r="X10" s="24"/>
      <c r="Y10" s="76"/>
      <c r="Z10" s="25"/>
      <c r="AA10" s="24"/>
      <c r="AB10" s="24"/>
      <c r="AC10" s="24"/>
      <c r="AD10" s="24"/>
      <c r="AE10" s="24"/>
      <c r="AF10" s="24"/>
      <c r="AG10" s="24"/>
      <c r="AH10" s="24"/>
      <c r="AI10" s="25"/>
      <c r="AJ10" s="76"/>
    </row>
    <row r="11" spans="1:36" x14ac:dyDescent="0.25">
      <c r="A11" s="80"/>
      <c r="B11" s="25"/>
      <c r="C11" s="24"/>
      <c r="D11" s="25"/>
      <c r="E11" s="25"/>
      <c r="F11" s="24"/>
      <c r="G11" s="24"/>
      <c r="H11" s="24"/>
      <c r="I11" s="76"/>
      <c r="J11" s="24"/>
      <c r="K11" s="25"/>
      <c r="L11" s="24"/>
      <c r="M11" s="25"/>
      <c r="N11" s="24"/>
      <c r="O11" s="24"/>
      <c r="P11" s="24"/>
      <c r="Q11" s="15"/>
      <c r="R11" s="25"/>
      <c r="S11" s="25"/>
      <c r="T11" s="24"/>
      <c r="U11" s="24"/>
      <c r="V11" s="24"/>
      <c r="W11" s="24"/>
      <c r="X11" s="24"/>
      <c r="Y11" s="76"/>
      <c r="Z11" s="25"/>
      <c r="AA11" s="25"/>
      <c r="AB11" s="24"/>
      <c r="AC11" s="24"/>
      <c r="AD11" s="24"/>
      <c r="AE11" s="24"/>
      <c r="AF11" s="24"/>
      <c r="AG11" s="24"/>
      <c r="AH11" s="24"/>
      <c r="AI11" s="24"/>
      <c r="AJ11" s="76"/>
    </row>
    <row r="12" spans="1:36" x14ac:dyDescent="0.25">
      <c r="A12" s="80"/>
      <c r="B12" s="24"/>
      <c r="C12" s="25"/>
      <c r="D12" s="24"/>
      <c r="E12" s="92"/>
      <c r="F12" s="24"/>
      <c r="G12" s="24"/>
      <c r="H12" s="25"/>
      <c r="I12" s="76"/>
      <c r="J12" s="24"/>
      <c r="K12" s="24"/>
      <c r="L12" s="24"/>
      <c r="M12" s="24"/>
      <c r="N12" s="24"/>
      <c r="O12" s="25"/>
      <c r="P12" s="25"/>
      <c r="Q12" s="15"/>
      <c r="R12" s="24"/>
      <c r="S12" s="24"/>
      <c r="T12" s="24"/>
      <c r="U12" s="25"/>
      <c r="V12" s="24"/>
      <c r="W12" s="24"/>
      <c r="X12" s="24"/>
      <c r="Y12" s="15"/>
      <c r="Z12" s="24"/>
      <c r="AA12" s="24"/>
      <c r="AB12" s="24"/>
      <c r="AC12" s="25"/>
      <c r="AD12" s="24"/>
      <c r="AE12" s="24"/>
      <c r="AF12" s="24"/>
      <c r="AG12" s="24"/>
      <c r="AH12" s="24"/>
      <c r="AI12" s="24"/>
      <c r="AJ12" s="15"/>
    </row>
    <row r="13" spans="1:36" x14ac:dyDescent="0.25">
      <c r="A13" s="80"/>
      <c r="B13" s="24"/>
      <c r="C13" s="25"/>
      <c r="D13" s="25"/>
      <c r="E13" s="92"/>
      <c r="F13" s="24"/>
      <c r="G13" s="24"/>
      <c r="H13" s="25"/>
      <c r="I13" s="76"/>
      <c r="J13" s="24"/>
      <c r="K13" s="24"/>
      <c r="L13" s="25"/>
      <c r="M13" s="24"/>
      <c r="N13" s="24"/>
      <c r="O13" s="25"/>
      <c r="P13" s="25"/>
      <c r="Q13" s="15"/>
      <c r="R13" s="24"/>
      <c r="S13" s="25"/>
      <c r="T13" s="25"/>
      <c r="U13" s="25"/>
      <c r="V13" s="24"/>
      <c r="W13" s="24"/>
      <c r="X13" s="24"/>
      <c r="Y13" s="15"/>
      <c r="Z13" s="24"/>
      <c r="AA13" s="25"/>
      <c r="AB13" s="25"/>
      <c r="AC13" s="25"/>
      <c r="AD13" s="24"/>
      <c r="AE13" s="24"/>
      <c r="AF13" s="24"/>
      <c r="AG13" s="24"/>
      <c r="AH13" s="24"/>
      <c r="AI13" s="24"/>
      <c r="AJ13" s="15"/>
    </row>
    <row r="14" spans="1:36" x14ac:dyDescent="0.25">
      <c r="A14" s="80"/>
      <c r="B14" s="24"/>
      <c r="C14" s="24"/>
      <c r="D14" s="24"/>
      <c r="E14" s="92"/>
      <c r="F14" s="24"/>
      <c r="G14" s="24"/>
      <c r="H14" s="24"/>
      <c r="I14" s="15"/>
      <c r="J14" s="24"/>
      <c r="K14" s="24"/>
      <c r="L14" s="24"/>
      <c r="M14" s="24"/>
      <c r="N14" s="24"/>
      <c r="O14" s="24"/>
      <c r="P14" s="24"/>
      <c r="Q14" s="15"/>
      <c r="R14" s="24"/>
      <c r="S14" s="24"/>
      <c r="T14" s="24"/>
      <c r="U14" s="24"/>
      <c r="V14" s="24"/>
      <c r="W14" s="24"/>
      <c r="X14" s="24"/>
      <c r="Y14" s="15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15"/>
    </row>
    <row r="15" spans="1:36" x14ac:dyDescent="0.25">
      <c r="A15" s="80"/>
      <c r="B15" s="24"/>
      <c r="C15" s="25"/>
      <c r="D15" s="25"/>
      <c r="E15" s="92"/>
      <c r="F15" s="25"/>
      <c r="G15" s="24"/>
      <c r="H15" s="24"/>
      <c r="I15" s="15"/>
      <c r="J15" s="24"/>
      <c r="K15" s="24"/>
      <c r="L15" s="24"/>
      <c r="M15" s="25"/>
      <c r="N15" s="24"/>
      <c r="O15" s="25"/>
      <c r="P15" s="25"/>
      <c r="Q15" s="15"/>
      <c r="R15" s="24"/>
      <c r="S15" s="24"/>
      <c r="T15" s="24"/>
      <c r="U15" s="24"/>
      <c r="V15" s="24"/>
      <c r="W15" s="24"/>
      <c r="X15" s="24"/>
      <c r="Y15" s="76"/>
      <c r="Z15" s="24"/>
      <c r="AA15" s="25"/>
      <c r="AB15" s="24"/>
      <c r="AC15" s="24"/>
      <c r="AD15" s="24"/>
      <c r="AE15" s="25"/>
      <c r="AF15" s="24"/>
      <c r="AG15" s="24"/>
      <c r="AH15" s="24"/>
      <c r="AI15" s="24"/>
      <c r="AJ15" s="15"/>
    </row>
    <row r="16" spans="1:36" x14ac:dyDescent="0.25">
      <c r="A16" s="80"/>
      <c r="B16" s="24"/>
      <c r="C16" s="24"/>
      <c r="D16" s="25"/>
      <c r="E16" s="92"/>
      <c r="F16" s="24"/>
      <c r="G16" s="24"/>
      <c r="H16" s="24"/>
      <c r="I16" s="76"/>
      <c r="J16" s="24"/>
      <c r="K16" s="24"/>
      <c r="L16" s="25"/>
      <c r="M16" s="24"/>
      <c r="N16" s="24"/>
      <c r="O16" s="24"/>
      <c r="P16" s="24"/>
      <c r="Q16" s="15"/>
      <c r="R16" s="24"/>
      <c r="S16" s="24"/>
      <c r="T16" s="24"/>
      <c r="U16" s="24"/>
      <c r="V16" s="24"/>
      <c r="W16" s="24"/>
      <c r="X16" s="24"/>
      <c r="Y16" s="15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15"/>
    </row>
    <row r="17" spans="1:36" x14ac:dyDescent="0.25">
      <c r="A17" s="80"/>
      <c r="B17" s="25"/>
      <c r="C17" s="24"/>
      <c r="D17" s="24"/>
      <c r="E17" s="92"/>
      <c r="F17" s="24"/>
      <c r="G17" s="24"/>
      <c r="H17" s="24"/>
      <c r="I17" s="76"/>
      <c r="J17" s="24"/>
      <c r="K17" s="24"/>
      <c r="L17" s="24"/>
      <c r="M17" s="24"/>
      <c r="N17" s="24"/>
      <c r="O17" s="24"/>
      <c r="P17" s="24"/>
      <c r="Q17" s="15"/>
      <c r="R17" s="24"/>
      <c r="S17" s="24"/>
      <c r="T17" s="25"/>
      <c r="U17" s="24"/>
      <c r="V17" s="24"/>
      <c r="W17" s="24"/>
      <c r="X17" s="24"/>
      <c r="Y17" s="15"/>
      <c r="Z17" s="24"/>
      <c r="AA17" s="24"/>
      <c r="AB17" s="25"/>
      <c r="AC17" s="24"/>
      <c r="AD17" s="24"/>
      <c r="AE17" s="24"/>
      <c r="AF17" s="24"/>
      <c r="AG17" s="24"/>
      <c r="AH17" s="24"/>
      <c r="AI17" s="24"/>
      <c r="AJ17" s="15"/>
    </row>
    <row r="18" spans="1:36" x14ac:dyDescent="0.25">
      <c r="A18" s="80"/>
      <c r="B18" s="24"/>
      <c r="C18" s="24"/>
      <c r="D18" s="24"/>
      <c r="E18" s="92"/>
      <c r="F18" s="24"/>
      <c r="G18" s="25"/>
      <c r="H18" s="24"/>
      <c r="I18" s="15"/>
      <c r="J18" s="24"/>
      <c r="K18" s="24"/>
      <c r="L18" s="24"/>
      <c r="M18" s="24"/>
      <c r="N18" s="24"/>
      <c r="O18" s="24"/>
      <c r="P18" s="24"/>
      <c r="Q18" s="15"/>
      <c r="R18" s="24"/>
      <c r="S18" s="24"/>
      <c r="T18" s="24"/>
      <c r="U18" s="24"/>
      <c r="V18" s="24"/>
      <c r="W18" s="24"/>
      <c r="X18" s="24"/>
      <c r="Y18" s="15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15"/>
    </row>
    <row r="19" spans="1:36" x14ac:dyDescent="0.25">
      <c r="A19" s="80"/>
      <c r="B19" s="24"/>
      <c r="C19" s="24"/>
      <c r="D19" s="24"/>
      <c r="E19" s="92"/>
      <c r="F19" s="25"/>
      <c r="G19" s="24"/>
      <c r="H19" s="25"/>
      <c r="I19" s="15"/>
      <c r="J19" s="24"/>
      <c r="K19" s="25"/>
      <c r="L19" s="24"/>
      <c r="M19" s="25"/>
      <c r="N19" s="25"/>
      <c r="O19" s="24"/>
      <c r="P19" s="24"/>
      <c r="Q19" s="15"/>
      <c r="R19" s="24"/>
      <c r="S19" s="24"/>
      <c r="T19" s="24"/>
      <c r="U19" s="24"/>
      <c r="V19" s="24"/>
      <c r="W19" s="24"/>
      <c r="X19" s="24"/>
      <c r="Y19" s="15"/>
      <c r="Z19" s="24"/>
      <c r="AA19" s="24"/>
      <c r="AB19" s="24"/>
      <c r="AC19" s="24"/>
      <c r="AD19" s="24"/>
      <c r="AE19" s="24"/>
      <c r="AF19" s="24"/>
      <c r="AG19" s="25"/>
      <c r="AH19" s="24"/>
      <c r="AI19" s="24"/>
      <c r="AJ19" s="15"/>
    </row>
    <row r="20" spans="1:36" x14ac:dyDescent="0.25">
      <c r="A20" s="80"/>
      <c r="B20" s="24"/>
      <c r="C20" s="25"/>
      <c r="D20" s="24"/>
      <c r="E20" s="92"/>
      <c r="F20" s="24"/>
      <c r="G20" s="25"/>
      <c r="H20" s="24"/>
      <c r="I20" s="15"/>
      <c r="J20" s="24"/>
      <c r="K20" s="24"/>
      <c r="L20" s="24"/>
      <c r="M20" s="25"/>
      <c r="N20" s="24"/>
      <c r="O20" s="24"/>
      <c r="P20" s="24"/>
      <c r="Q20" s="76"/>
      <c r="R20" s="24"/>
      <c r="S20" s="24"/>
      <c r="T20" s="24"/>
      <c r="U20" s="24"/>
      <c r="V20" s="24"/>
      <c r="W20" s="24"/>
      <c r="X20" s="24"/>
      <c r="Y20" s="15"/>
      <c r="Z20" s="24"/>
      <c r="AA20" s="24"/>
      <c r="AB20" s="24"/>
      <c r="AC20" s="24"/>
      <c r="AD20" s="24"/>
      <c r="AE20" s="25"/>
      <c r="AF20" s="24"/>
      <c r="AG20" s="24"/>
      <c r="AH20" s="24"/>
      <c r="AI20" s="24"/>
      <c r="AJ20" s="15"/>
    </row>
    <row r="21" spans="1:36" x14ac:dyDescent="0.25">
      <c r="A21" s="80"/>
      <c r="B21" s="24"/>
      <c r="C21" s="24"/>
      <c r="D21" s="24"/>
      <c r="E21" s="92"/>
      <c r="F21" s="25"/>
      <c r="G21" s="24"/>
      <c r="H21" s="24"/>
      <c r="I21" s="76"/>
      <c r="J21" s="24"/>
      <c r="K21" s="24"/>
      <c r="L21" s="24"/>
      <c r="M21" s="24"/>
      <c r="N21" s="24"/>
      <c r="O21" s="24"/>
      <c r="P21" s="24"/>
      <c r="Q21" s="15"/>
      <c r="R21" s="24"/>
      <c r="S21" s="25"/>
      <c r="T21" s="24"/>
      <c r="U21" s="24"/>
      <c r="V21" s="24"/>
      <c r="W21" s="24"/>
      <c r="X21" s="24"/>
      <c r="Y21" s="76"/>
      <c r="Z21" s="24"/>
      <c r="AA21" s="25"/>
      <c r="AB21" s="24"/>
      <c r="AC21" s="24"/>
      <c r="AD21" s="24"/>
      <c r="AE21" s="24"/>
      <c r="AF21" s="24"/>
      <c r="AG21" s="24"/>
      <c r="AH21" s="24"/>
      <c r="AI21" s="24"/>
      <c r="AJ21" s="15"/>
    </row>
    <row r="22" spans="1:36" x14ac:dyDescent="0.25">
      <c r="A22" s="80"/>
      <c r="B22" s="25"/>
      <c r="C22" s="24"/>
      <c r="D22" s="25"/>
      <c r="E22" s="92"/>
      <c r="F22" s="24"/>
      <c r="G22" s="24"/>
      <c r="H22" s="24"/>
      <c r="I22" s="76"/>
      <c r="J22" s="25"/>
      <c r="K22" s="24"/>
      <c r="L22" s="25"/>
      <c r="M22" s="25"/>
      <c r="N22" s="24"/>
      <c r="O22" s="24"/>
      <c r="P22" s="24"/>
      <c r="Q22" s="76"/>
      <c r="R22" s="25"/>
      <c r="S22" s="25"/>
      <c r="T22" s="24"/>
      <c r="U22" s="25"/>
      <c r="V22" s="25"/>
      <c r="W22" s="25"/>
      <c r="X22" s="25"/>
      <c r="Y22" s="76"/>
      <c r="Z22" s="25"/>
      <c r="AA22" s="25"/>
      <c r="AB22" s="24"/>
      <c r="AC22" s="25"/>
      <c r="AD22" s="25"/>
      <c r="AE22" s="25"/>
      <c r="AF22" s="25"/>
      <c r="AG22" s="25"/>
      <c r="AH22" s="25"/>
      <c r="AI22" s="25"/>
      <c r="AJ22" s="76"/>
    </row>
    <row r="23" spans="1:36" x14ac:dyDescent="0.25">
      <c r="A23" s="80"/>
      <c r="B23" s="25"/>
      <c r="C23" s="24"/>
      <c r="D23" s="25"/>
      <c r="E23" s="25"/>
      <c r="F23" s="25"/>
      <c r="G23" s="24"/>
      <c r="H23" s="25"/>
      <c r="I23" s="76"/>
      <c r="J23" s="24"/>
      <c r="K23" s="24"/>
      <c r="L23" s="25"/>
      <c r="M23" s="24"/>
      <c r="N23" s="24"/>
      <c r="O23" s="25"/>
      <c r="P23" s="24"/>
      <c r="Q23" s="15"/>
      <c r="R23" s="24"/>
      <c r="S23" s="25"/>
      <c r="T23" s="24"/>
      <c r="U23" s="25"/>
      <c r="V23" s="25"/>
      <c r="W23" s="25"/>
      <c r="X23" s="24"/>
      <c r="Y23" s="15"/>
      <c r="Z23" s="24"/>
      <c r="AA23" s="25"/>
      <c r="AB23" s="24"/>
      <c r="AC23" s="25"/>
      <c r="AD23" s="25"/>
      <c r="AE23" s="25"/>
      <c r="AF23" s="24"/>
      <c r="AG23" s="25"/>
      <c r="AH23" s="25"/>
      <c r="AI23" s="25"/>
      <c r="AJ23" s="15"/>
    </row>
    <row r="24" spans="1:36" x14ac:dyDescent="0.25">
      <c r="A24" s="80"/>
      <c r="B24" s="24"/>
      <c r="C24" s="25"/>
      <c r="D24" s="25"/>
      <c r="E24" s="92"/>
      <c r="F24" s="24"/>
      <c r="G24" s="24"/>
      <c r="H24" s="24"/>
      <c r="I24" s="76"/>
      <c r="J24" s="24"/>
      <c r="K24" s="24"/>
      <c r="L24" s="25"/>
      <c r="M24" s="25"/>
      <c r="N24" s="24"/>
      <c r="O24" s="25"/>
      <c r="P24" s="25"/>
      <c r="Q24" s="15"/>
      <c r="R24" s="25"/>
      <c r="S24" s="25"/>
      <c r="T24" s="24"/>
      <c r="U24" s="24"/>
      <c r="V24" s="25"/>
      <c r="W24" s="24"/>
      <c r="X24" s="24"/>
      <c r="Y24" s="76"/>
      <c r="Z24" s="25"/>
      <c r="AA24" s="25"/>
      <c r="AB24" s="24"/>
      <c r="AC24" s="24"/>
      <c r="AD24" s="25"/>
      <c r="AE24" s="24"/>
      <c r="AF24" s="24"/>
      <c r="AG24" s="25"/>
      <c r="AH24" s="24"/>
      <c r="AI24" s="24"/>
      <c r="AJ24" s="76"/>
    </row>
    <row r="25" spans="1:36" x14ac:dyDescent="0.25">
      <c r="A25" s="80"/>
      <c r="B25" s="24"/>
      <c r="C25" s="24"/>
      <c r="D25" s="24"/>
      <c r="E25" s="92"/>
      <c r="F25" s="25"/>
      <c r="G25" s="24"/>
      <c r="H25" s="24"/>
      <c r="I25" s="76"/>
      <c r="J25" s="24"/>
      <c r="K25" s="25"/>
      <c r="L25" s="25"/>
      <c r="M25" s="25"/>
      <c r="N25" s="24"/>
      <c r="O25" s="25"/>
      <c r="P25" s="24"/>
      <c r="Q25" s="15"/>
      <c r="R25" s="24"/>
      <c r="S25" s="24"/>
      <c r="T25" s="25"/>
      <c r="U25" s="24"/>
      <c r="V25" s="24"/>
      <c r="W25" s="24"/>
      <c r="X25" s="24"/>
      <c r="Y25" s="76"/>
      <c r="Z25" s="24"/>
      <c r="AA25" s="24"/>
      <c r="AB25" s="25"/>
      <c r="AC25" s="24"/>
      <c r="AD25" s="24"/>
      <c r="AE25" s="24"/>
      <c r="AF25" s="24"/>
      <c r="AG25" s="24"/>
      <c r="AH25" s="24"/>
      <c r="AI25" s="24"/>
      <c r="AJ25" s="76"/>
    </row>
    <row r="26" spans="1:36" x14ac:dyDescent="0.25">
      <c r="A26" s="80"/>
      <c r="B26" s="25"/>
      <c r="C26" s="24"/>
      <c r="D26" s="24"/>
      <c r="E26" s="25"/>
      <c r="F26" s="24"/>
      <c r="G26" s="24"/>
      <c r="H26" s="25"/>
      <c r="I26" s="76"/>
      <c r="J26" s="24"/>
      <c r="K26" s="24"/>
      <c r="L26" s="24"/>
      <c r="M26" s="24"/>
      <c r="N26" s="25"/>
      <c r="O26" s="24"/>
      <c r="P26" s="25"/>
      <c r="Q26" s="15"/>
      <c r="R26" s="24"/>
      <c r="S26" s="25"/>
      <c r="T26" s="24"/>
      <c r="U26" s="24"/>
      <c r="V26" s="24"/>
      <c r="W26" s="25"/>
      <c r="X26" s="24"/>
      <c r="Y26" s="15"/>
      <c r="Z26" s="24"/>
      <c r="AA26" s="25"/>
      <c r="AB26" s="24"/>
      <c r="AC26" s="24"/>
      <c r="AD26" s="24"/>
      <c r="AE26" s="25"/>
      <c r="AF26" s="24"/>
      <c r="AG26" s="24"/>
      <c r="AH26" s="25"/>
      <c r="AI26" s="25"/>
      <c r="AJ26" s="15"/>
    </row>
    <row r="27" spans="1:36" x14ac:dyDescent="0.25">
      <c r="A27" s="80"/>
      <c r="B27" s="24"/>
      <c r="C27" s="24"/>
      <c r="D27" s="24"/>
      <c r="E27" s="92"/>
      <c r="F27" s="25"/>
      <c r="G27" s="25"/>
      <c r="H27" s="25"/>
      <c r="I27" s="76"/>
      <c r="J27" s="24"/>
      <c r="K27" s="24"/>
      <c r="L27" s="24"/>
      <c r="M27" s="24"/>
      <c r="N27" s="24"/>
      <c r="O27" s="25"/>
      <c r="P27" s="24"/>
      <c r="Q27" s="15"/>
      <c r="R27" s="25"/>
      <c r="S27" s="24"/>
      <c r="T27" s="24"/>
      <c r="U27" s="24"/>
      <c r="V27" s="24"/>
      <c r="W27" s="24"/>
      <c r="X27" s="24"/>
      <c r="Y27" s="76"/>
      <c r="Z27" s="25"/>
      <c r="AA27" s="24"/>
      <c r="AB27" s="24"/>
      <c r="AC27" s="24"/>
      <c r="AD27" s="24"/>
      <c r="AE27" s="24"/>
      <c r="AF27" s="24"/>
      <c r="AG27" s="24"/>
      <c r="AH27" s="24"/>
      <c r="AI27" s="24"/>
      <c r="AJ27" s="76"/>
    </row>
    <row r="28" spans="1:36" x14ac:dyDescent="0.25">
      <c r="A28" s="80"/>
      <c r="B28" s="24"/>
      <c r="C28" s="25"/>
      <c r="D28" s="24"/>
      <c r="E28" s="92"/>
      <c r="F28" s="25"/>
      <c r="G28" s="24"/>
      <c r="H28" s="25"/>
      <c r="I28" s="15"/>
      <c r="J28" s="25"/>
      <c r="K28" s="25"/>
      <c r="L28" s="25"/>
      <c r="M28" s="24"/>
      <c r="N28" s="24"/>
      <c r="O28" s="25"/>
      <c r="P28" s="24"/>
      <c r="Q28" s="76"/>
      <c r="R28" s="25"/>
      <c r="S28" s="24"/>
      <c r="T28" s="24"/>
      <c r="U28" s="24"/>
      <c r="V28" s="24"/>
      <c r="W28" s="24"/>
      <c r="X28" s="24"/>
      <c r="Y28" s="76"/>
      <c r="Z28" s="25"/>
      <c r="AA28" s="24"/>
      <c r="AB28" s="25"/>
      <c r="AC28" s="24"/>
      <c r="AD28" s="24"/>
      <c r="AE28" s="24"/>
      <c r="AF28" s="24"/>
      <c r="AG28" s="24"/>
      <c r="AH28" s="24"/>
      <c r="AI28" s="24"/>
      <c r="AJ28" s="76"/>
    </row>
    <row r="29" spans="1:36" x14ac:dyDescent="0.25">
      <c r="A29" s="80"/>
      <c r="B29" s="25"/>
      <c r="C29" s="25"/>
      <c r="D29" s="25"/>
      <c r="E29" s="92"/>
      <c r="F29" s="24"/>
      <c r="G29" s="24"/>
      <c r="H29" s="24"/>
      <c r="I29" s="76"/>
      <c r="J29" s="24"/>
      <c r="K29" s="24"/>
      <c r="L29" s="25"/>
      <c r="M29" s="24"/>
      <c r="N29" s="24"/>
      <c r="O29" s="24"/>
      <c r="P29" s="24"/>
      <c r="Q29" s="76"/>
      <c r="R29" s="24"/>
      <c r="S29" s="24"/>
      <c r="T29" s="24"/>
      <c r="U29" s="25"/>
      <c r="V29" s="24"/>
      <c r="W29" s="24"/>
      <c r="X29" s="24"/>
      <c r="Y29" s="76"/>
      <c r="Z29" s="24"/>
      <c r="AA29" s="24"/>
      <c r="AB29" s="24"/>
      <c r="AC29" s="25"/>
      <c r="AD29" s="24"/>
      <c r="AE29" s="24"/>
      <c r="AF29" s="24"/>
      <c r="AG29" s="24"/>
      <c r="AH29" s="24"/>
      <c r="AI29" s="24"/>
      <c r="AJ29" s="76"/>
    </row>
    <row r="30" spans="1:36" x14ac:dyDescent="0.25">
      <c r="A30" s="80"/>
      <c r="B30" s="25"/>
      <c r="C30" s="24"/>
      <c r="D30" s="24"/>
      <c r="E30" s="92"/>
      <c r="F30" s="24"/>
      <c r="G30" s="25"/>
      <c r="H30" s="25"/>
      <c r="I30" s="76"/>
      <c r="J30" s="25"/>
      <c r="K30" s="24"/>
      <c r="L30" s="25"/>
      <c r="M30" s="24"/>
      <c r="N30" s="24"/>
      <c r="O30" s="25"/>
      <c r="P30" s="25"/>
      <c r="Q30" s="76"/>
      <c r="R30" s="24"/>
      <c r="S30" s="24"/>
      <c r="T30" s="24"/>
      <c r="U30" s="24"/>
      <c r="V30" s="24"/>
      <c r="W30" s="24"/>
      <c r="X30" s="24"/>
      <c r="Y30" s="76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76"/>
    </row>
    <row r="31" spans="1:36" x14ac:dyDescent="0.25">
      <c r="A31" s="80"/>
      <c r="B31" s="24"/>
      <c r="C31" s="25"/>
      <c r="D31" s="25"/>
      <c r="E31" s="25"/>
      <c r="F31" s="25"/>
      <c r="G31" s="24"/>
      <c r="H31" s="24"/>
      <c r="I31" s="15"/>
      <c r="J31" s="25"/>
      <c r="K31" s="24"/>
      <c r="L31" s="25"/>
      <c r="M31" s="24"/>
      <c r="N31" s="25"/>
      <c r="O31" s="24"/>
      <c r="P31" s="25"/>
      <c r="Q31" s="76"/>
      <c r="R31" s="25"/>
      <c r="S31" s="25"/>
      <c r="T31" s="24"/>
      <c r="U31" s="24"/>
      <c r="V31" s="25"/>
      <c r="W31" s="24"/>
      <c r="X31" s="24"/>
      <c r="Y31" s="76"/>
      <c r="Z31" s="25"/>
      <c r="AA31" s="25"/>
      <c r="AB31" s="24"/>
      <c r="AC31" s="24"/>
      <c r="AD31" s="24"/>
      <c r="AE31" s="24"/>
      <c r="AF31" s="24"/>
      <c r="AG31" s="24"/>
      <c r="AH31" s="24"/>
      <c r="AI31" s="24"/>
      <c r="AJ31" s="76"/>
    </row>
    <row r="32" spans="1:36" x14ac:dyDescent="0.25">
      <c r="A32" s="80"/>
      <c r="B32" s="25"/>
      <c r="C32" s="24"/>
      <c r="D32" s="24"/>
      <c r="E32" s="25"/>
      <c r="F32" s="24"/>
      <c r="G32" s="25"/>
      <c r="H32" s="24"/>
      <c r="I32" s="76"/>
      <c r="J32" s="24"/>
      <c r="K32" s="24"/>
      <c r="L32" s="24"/>
      <c r="M32" s="24"/>
      <c r="N32" s="24"/>
      <c r="O32" s="24"/>
      <c r="P32" s="25"/>
      <c r="Q32" s="15"/>
      <c r="R32" s="24"/>
      <c r="S32" s="25"/>
      <c r="T32" s="24"/>
      <c r="U32" s="24"/>
      <c r="V32" s="24"/>
      <c r="W32" s="25"/>
      <c r="X32" s="24"/>
      <c r="Y32" s="15"/>
      <c r="Z32" s="24"/>
      <c r="AA32" s="25"/>
      <c r="AB32" s="24"/>
      <c r="AC32" s="24"/>
      <c r="AD32" s="24"/>
      <c r="AE32" s="25"/>
      <c r="AF32" s="24"/>
      <c r="AG32" s="24"/>
      <c r="AH32" s="25"/>
      <c r="AI32" s="24"/>
      <c r="AJ32" s="15"/>
    </row>
    <row r="33" spans="1:36" x14ac:dyDescent="0.25">
      <c r="A33" s="80"/>
      <c r="B33" s="25"/>
      <c r="C33" s="24"/>
      <c r="D33" s="24"/>
      <c r="E33" s="92"/>
      <c r="F33" s="24"/>
      <c r="G33" s="25"/>
      <c r="H33" s="24"/>
      <c r="I33" s="76"/>
      <c r="J33" s="24"/>
      <c r="K33" s="24"/>
      <c r="L33" s="25"/>
      <c r="M33" s="24"/>
      <c r="N33" s="24"/>
      <c r="O33" s="24"/>
      <c r="P33" s="24"/>
      <c r="Q33" s="15"/>
      <c r="R33" s="24"/>
      <c r="S33" s="25"/>
      <c r="T33" s="25"/>
      <c r="U33" s="24"/>
      <c r="V33" s="25"/>
      <c r="W33" s="24"/>
      <c r="X33" s="24"/>
      <c r="Y33" s="76"/>
      <c r="Z33" s="25"/>
      <c r="AA33" s="25"/>
      <c r="AB33" s="25"/>
      <c r="AC33" s="24"/>
      <c r="AD33" s="25"/>
      <c r="AE33" s="24"/>
      <c r="AF33" s="24"/>
      <c r="AG33" s="25"/>
      <c r="AH33" s="24"/>
      <c r="AI33" s="24"/>
      <c r="AJ33" s="76"/>
    </row>
    <row r="34" spans="1:36" x14ac:dyDescent="0.25">
      <c r="A34" s="80"/>
      <c r="B34" s="25"/>
      <c r="C34" s="24"/>
      <c r="D34" s="24"/>
      <c r="E34" s="92"/>
      <c r="F34" s="24"/>
      <c r="G34" s="24"/>
      <c r="H34" s="24"/>
      <c r="I34" s="76"/>
      <c r="J34" s="24"/>
      <c r="K34" s="24"/>
      <c r="L34" s="25"/>
      <c r="M34" s="24"/>
      <c r="N34" s="24"/>
      <c r="O34" s="25"/>
      <c r="P34" s="24"/>
      <c r="Q34" s="15"/>
      <c r="R34" s="25"/>
      <c r="S34" s="24"/>
      <c r="T34" s="24"/>
      <c r="U34" s="24"/>
      <c r="V34" s="24"/>
      <c r="W34" s="24"/>
      <c r="X34" s="24"/>
      <c r="Y34" s="76"/>
      <c r="Z34" s="25"/>
      <c r="AA34" s="24"/>
      <c r="AB34" s="25"/>
      <c r="AC34" s="24"/>
      <c r="AD34" s="24"/>
      <c r="AE34" s="24"/>
      <c r="AF34" s="24"/>
      <c r="AG34" s="25"/>
      <c r="AH34" s="24"/>
      <c r="AI34" s="24"/>
      <c r="AJ34" s="76"/>
    </row>
    <row r="35" spans="1:36" x14ac:dyDescent="0.25">
      <c r="A35" s="80"/>
      <c r="B35" s="25"/>
      <c r="C35" s="25"/>
      <c r="D35" s="24"/>
      <c r="E35" s="92"/>
      <c r="F35" s="25"/>
      <c r="G35" s="24"/>
      <c r="H35" s="25"/>
      <c r="I35" s="76"/>
      <c r="J35" s="24"/>
      <c r="K35" s="24"/>
      <c r="L35" s="24"/>
      <c r="M35" s="24"/>
      <c r="N35" s="24"/>
      <c r="O35" s="24"/>
      <c r="P35" s="25"/>
      <c r="Q35" s="76"/>
      <c r="R35" s="25"/>
      <c r="S35" s="24"/>
      <c r="T35" s="25"/>
      <c r="U35" s="24"/>
      <c r="V35" s="25"/>
      <c r="W35" s="25"/>
      <c r="X35" s="24"/>
      <c r="Y35" s="76"/>
      <c r="Z35" s="25"/>
      <c r="AA35" s="24"/>
      <c r="AB35" s="25"/>
      <c r="AC35" s="24"/>
      <c r="AD35" s="24"/>
      <c r="AE35" s="25"/>
      <c r="AF35" s="24"/>
      <c r="AG35" s="24"/>
      <c r="AH35" s="25"/>
      <c r="AI35" s="24"/>
      <c r="AJ35" s="76"/>
    </row>
    <row r="36" spans="1:36" x14ac:dyDescent="0.25">
      <c r="A36" s="80"/>
      <c r="B36" s="25"/>
      <c r="C36" s="24"/>
      <c r="D36" s="24"/>
      <c r="E36" s="25"/>
      <c r="F36" s="24"/>
      <c r="G36" s="24"/>
      <c r="H36" s="24"/>
      <c r="I36" s="76"/>
      <c r="J36" s="24"/>
      <c r="K36" s="24"/>
      <c r="L36" s="24"/>
      <c r="M36" s="24"/>
      <c r="N36" s="25"/>
      <c r="O36" s="24"/>
      <c r="P36" s="24"/>
      <c r="Q36" s="76"/>
      <c r="R36" s="24"/>
      <c r="S36" s="24"/>
      <c r="T36" s="25"/>
      <c r="U36" s="24"/>
      <c r="V36" s="24"/>
      <c r="W36" s="25"/>
      <c r="X36" s="24"/>
      <c r="Y36" s="15"/>
      <c r="Z36" s="24"/>
      <c r="AA36" s="24"/>
      <c r="AB36" s="25"/>
      <c r="AC36" s="24"/>
      <c r="AD36" s="24"/>
      <c r="AE36" s="25"/>
      <c r="AF36" s="24"/>
      <c r="AG36" s="24"/>
      <c r="AH36" s="25"/>
      <c r="AI36" s="24"/>
      <c r="AJ36" s="15"/>
    </row>
    <row r="37" spans="1:36" x14ac:dyDescent="0.25">
      <c r="A37" s="80"/>
      <c r="B37" s="24"/>
      <c r="C37" s="24"/>
      <c r="D37" s="24"/>
      <c r="E37" s="92"/>
      <c r="F37" s="24"/>
      <c r="G37" s="25"/>
      <c r="H37" s="24"/>
      <c r="I37" s="15"/>
      <c r="J37" s="25"/>
      <c r="K37" s="24"/>
      <c r="L37" s="24"/>
      <c r="M37" s="24"/>
      <c r="N37" s="24"/>
      <c r="O37" s="24"/>
      <c r="P37" s="24"/>
      <c r="Q37" s="76"/>
      <c r="R37" s="25"/>
      <c r="S37" s="24"/>
      <c r="T37" s="24"/>
      <c r="U37" s="24"/>
      <c r="V37" s="24"/>
      <c r="W37" s="24"/>
      <c r="X37" s="24"/>
      <c r="Y37" s="76"/>
      <c r="Z37" s="25"/>
      <c r="AA37" s="24"/>
      <c r="AB37" s="24"/>
      <c r="AC37" s="24"/>
      <c r="AD37" s="24"/>
      <c r="AE37" s="24"/>
      <c r="AF37" s="24"/>
      <c r="AG37" s="24"/>
      <c r="AH37" s="24"/>
      <c r="AI37" s="24"/>
      <c r="AJ37" s="76"/>
    </row>
    <row r="38" spans="1:36" x14ac:dyDescent="0.25">
      <c r="A38" s="80"/>
      <c r="B38" s="24"/>
      <c r="C38" s="25"/>
      <c r="D38" s="24"/>
      <c r="E38" s="92"/>
      <c r="F38" s="24"/>
      <c r="G38" s="24"/>
      <c r="H38" s="24"/>
      <c r="I38" s="15"/>
      <c r="J38" s="25"/>
      <c r="K38" s="24"/>
      <c r="L38" s="24"/>
      <c r="M38" s="24"/>
      <c r="N38" s="25"/>
      <c r="O38" s="25"/>
      <c r="P38" s="25"/>
      <c r="Q38" s="76"/>
      <c r="R38" s="25"/>
      <c r="S38" s="24"/>
      <c r="T38" s="24"/>
      <c r="U38" s="24"/>
      <c r="V38" s="24"/>
      <c r="W38" s="25"/>
      <c r="X38" s="25"/>
      <c r="Y38" s="76"/>
      <c r="Z38" s="25"/>
      <c r="AA38" s="24"/>
      <c r="AB38" s="24"/>
      <c r="AC38" s="24"/>
      <c r="AD38" s="24"/>
      <c r="AE38" s="24"/>
      <c r="AF38" s="25"/>
      <c r="AG38" s="24"/>
      <c r="AH38" s="24"/>
      <c r="AI38" s="24"/>
      <c r="AJ38" s="76"/>
    </row>
    <row r="39" spans="1:36" x14ac:dyDescent="0.25">
      <c r="A39" s="80"/>
      <c r="B39" s="25"/>
      <c r="C39" s="24"/>
      <c r="D39" s="25"/>
      <c r="E39" s="92"/>
      <c r="F39" s="24"/>
      <c r="G39" s="24"/>
      <c r="H39" s="24"/>
      <c r="I39" s="76"/>
      <c r="J39" s="24"/>
      <c r="K39" s="25"/>
      <c r="L39" s="25"/>
      <c r="M39" s="24"/>
      <c r="N39" s="24"/>
      <c r="O39" s="25"/>
      <c r="P39" s="25"/>
      <c r="Q39" s="15"/>
      <c r="R39" s="24"/>
      <c r="S39" s="24"/>
      <c r="T39" s="24"/>
      <c r="U39" s="25"/>
      <c r="V39" s="25"/>
      <c r="W39" s="24"/>
      <c r="X39" s="25"/>
      <c r="Y39" s="15"/>
      <c r="Z39" s="24"/>
      <c r="AA39" s="24"/>
      <c r="AB39" s="24"/>
      <c r="AC39" s="25"/>
      <c r="AD39" s="24"/>
      <c r="AE39" s="24"/>
      <c r="AF39" s="25"/>
      <c r="AG39" s="24"/>
      <c r="AH39" s="24"/>
      <c r="AI39" s="25"/>
      <c r="AJ39" s="15"/>
    </row>
    <row r="40" spans="1:36" x14ac:dyDescent="0.25">
      <c r="A40" s="80"/>
      <c r="B40" s="25"/>
      <c r="C40" s="24"/>
      <c r="D40" s="25"/>
      <c r="E40" s="92"/>
      <c r="F40" s="25"/>
      <c r="G40" s="24"/>
      <c r="H40" s="24"/>
      <c r="I40" s="76"/>
      <c r="J40" s="24"/>
      <c r="K40" s="24"/>
      <c r="L40" s="24"/>
      <c r="M40" s="24"/>
      <c r="N40" s="24"/>
      <c r="O40" s="25"/>
      <c r="P40" s="25"/>
      <c r="Q40" s="15"/>
      <c r="R40" s="25"/>
      <c r="S40" s="24"/>
      <c r="T40" s="24"/>
      <c r="U40" s="25"/>
      <c r="V40" s="25"/>
      <c r="W40" s="24"/>
      <c r="X40" s="25"/>
      <c r="Y40" s="76"/>
      <c r="Z40" s="25"/>
      <c r="AA40" s="24"/>
      <c r="AB40" s="24"/>
      <c r="AC40" s="25"/>
      <c r="AD40" s="24"/>
      <c r="AE40" s="24"/>
      <c r="AF40" s="25"/>
      <c r="AG40" s="24"/>
      <c r="AH40" s="25"/>
      <c r="AI40" s="25"/>
      <c r="AJ40" s="76"/>
    </row>
    <row r="41" spans="1:36" x14ac:dyDescent="0.25">
      <c r="A41" s="80"/>
      <c r="B41" s="25"/>
      <c r="C41" s="25"/>
      <c r="D41" s="24"/>
      <c r="E41" s="25"/>
      <c r="F41" s="24"/>
      <c r="G41" s="25"/>
      <c r="H41" s="25"/>
      <c r="I41" s="76"/>
      <c r="J41" s="24"/>
      <c r="K41" s="25"/>
      <c r="L41" s="24"/>
      <c r="M41" s="24"/>
      <c r="N41" s="24"/>
      <c r="O41" s="25"/>
      <c r="P41" s="25"/>
      <c r="Q41" s="15"/>
      <c r="R41" s="24"/>
      <c r="S41" s="24"/>
      <c r="T41" s="24"/>
      <c r="U41" s="24"/>
      <c r="V41" s="24"/>
      <c r="W41" s="24"/>
      <c r="X41" s="24"/>
      <c r="Y41" s="15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15"/>
    </row>
    <row r="42" spans="1:36" x14ac:dyDescent="0.25">
      <c r="A42" s="80"/>
      <c r="B42" s="25"/>
      <c r="C42" s="25"/>
      <c r="D42" s="24"/>
      <c r="E42" s="92"/>
      <c r="F42" s="25"/>
      <c r="G42" s="24"/>
      <c r="H42" s="24"/>
      <c r="I42" s="76"/>
      <c r="J42" s="24"/>
      <c r="K42" s="24"/>
      <c r="L42" s="25"/>
      <c r="M42" s="24"/>
      <c r="N42" s="25"/>
      <c r="O42" s="24"/>
      <c r="P42" s="24"/>
      <c r="Q42" s="76"/>
      <c r="R42" s="25"/>
      <c r="S42" s="24"/>
      <c r="T42" s="24"/>
      <c r="U42" s="25"/>
      <c r="V42" s="24"/>
      <c r="W42" s="24"/>
      <c r="X42" s="25"/>
      <c r="Y42" s="76"/>
      <c r="Z42" s="25"/>
      <c r="AA42" s="25"/>
      <c r="AB42" s="24"/>
      <c r="AC42" s="25"/>
      <c r="AD42" s="24"/>
      <c r="AE42" s="24"/>
      <c r="AF42" s="25"/>
      <c r="AG42" s="24"/>
      <c r="AH42" s="24"/>
      <c r="AI42" s="25"/>
      <c r="AJ42" s="76"/>
    </row>
    <row r="43" spans="1:36" x14ac:dyDescent="0.25">
      <c r="A43" s="80"/>
      <c r="B43" s="25"/>
      <c r="C43" s="25"/>
      <c r="D43" s="25"/>
      <c r="E43" s="25"/>
      <c r="F43" s="24"/>
      <c r="G43" s="25"/>
      <c r="H43" s="24"/>
      <c r="I43" s="76"/>
      <c r="J43" s="25"/>
      <c r="K43" s="24"/>
      <c r="L43" s="24"/>
      <c r="M43" s="25"/>
      <c r="N43" s="24"/>
      <c r="O43" s="24"/>
      <c r="P43" s="24"/>
      <c r="Q43" s="76"/>
      <c r="R43" s="24"/>
      <c r="S43" s="25"/>
      <c r="T43" s="24"/>
      <c r="U43" s="24"/>
      <c r="V43" s="25"/>
      <c r="W43" s="24"/>
      <c r="X43" s="24"/>
      <c r="Y43" s="15"/>
      <c r="Z43" s="24"/>
      <c r="AA43" s="25"/>
      <c r="AB43" s="24"/>
      <c r="AC43" s="24"/>
      <c r="AD43" s="24"/>
      <c r="AE43" s="24"/>
      <c r="AF43" s="24"/>
      <c r="AG43" s="24"/>
      <c r="AH43" s="24"/>
      <c r="AI43" s="24"/>
      <c r="AJ43" s="15"/>
    </row>
    <row r="44" spans="1:36" x14ac:dyDescent="0.25">
      <c r="A44" s="80"/>
      <c r="B44" s="25"/>
      <c r="C44" s="24"/>
      <c r="D44" s="24"/>
      <c r="E44" s="92"/>
      <c r="F44" s="24"/>
      <c r="G44" s="24"/>
      <c r="H44" s="24"/>
      <c r="I44" s="76"/>
      <c r="J44" s="24"/>
      <c r="K44" s="24"/>
      <c r="L44" s="24"/>
      <c r="M44" s="25"/>
      <c r="N44" s="24"/>
      <c r="O44" s="24"/>
      <c r="P44" s="25"/>
      <c r="Q44" s="15"/>
      <c r="R44" s="24"/>
      <c r="S44" s="25"/>
      <c r="T44" s="24"/>
      <c r="U44" s="24"/>
      <c r="V44" s="25"/>
      <c r="W44" s="24"/>
      <c r="X44" s="24"/>
      <c r="Y44" s="15"/>
      <c r="Z44" s="24"/>
      <c r="AA44" s="25"/>
      <c r="AB44" s="24"/>
      <c r="AC44" s="24"/>
      <c r="AD44" s="24"/>
      <c r="AE44" s="24"/>
      <c r="AF44" s="24"/>
      <c r="AG44" s="24"/>
      <c r="AH44" s="24"/>
      <c r="AI44" s="24"/>
      <c r="AJ44" s="15"/>
    </row>
    <row r="45" spans="1:36" x14ac:dyDescent="0.25">
      <c r="A45" s="80"/>
      <c r="B45" s="25"/>
      <c r="C45" s="25"/>
      <c r="D45" s="24"/>
      <c r="E45" s="92"/>
      <c r="F45" s="24"/>
      <c r="G45" s="24"/>
      <c r="H45" s="24"/>
      <c r="I45" s="76"/>
      <c r="J45" s="24"/>
      <c r="K45" s="24"/>
      <c r="L45" s="24"/>
      <c r="M45" s="24"/>
      <c r="N45" s="24"/>
      <c r="O45" s="24"/>
      <c r="P45" s="25"/>
      <c r="Q45" s="76"/>
      <c r="R45" s="25"/>
      <c r="S45" s="25"/>
      <c r="T45" s="24"/>
      <c r="U45" s="24"/>
      <c r="V45" s="25"/>
      <c r="W45" s="24"/>
      <c r="X45" s="24"/>
      <c r="Y45" s="76"/>
      <c r="Z45" s="25"/>
      <c r="AA45" s="25"/>
      <c r="AB45" s="24"/>
      <c r="AC45" s="24"/>
      <c r="AD45" s="25"/>
      <c r="AE45" s="24"/>
      <c r="AF45" s="24"/>
      <c r="AG45" s="25"/>
      <c r="AH45" s="24"/>
      <c r="AI45" s="24"/>
      <c r="AJ45" s="76"/>
    </row>
    <row r="46" spans="1:36" x14ac:dyDescent="0.25">
      <c r="A46" s="80"/>
      <c r="B46" s="25"/>
      <c r="C46" s="24"/>
      <c r="D46" s="25"/>
      <c r="E46" s="92"/>
      <c r="F46" s="24"/>
      <c r="G46" s="24"/>
      <c r="H46" s="24"/>
      <c r="I46" s="76"/>
      <c r="J46" s="24"/>
      <c r="K46" s="24"/>
      <c r="L46" s="24"/>
      <c r="M46" s="24"/>
      <c r="N46" s="24"/>
      <c r="O46" s="24"/>
      <c r="P46" s="24"/>
      <c r="Q46" s="15"/>
      <c r="R46" s="24"/>
      <c r="S46" s="24"/>
      <c r="T46" s="24"/>
      <c r="U46" s="24"/>
      <c r="V46" s="25"/>
      <c r="W46" s="24"/>
      <c r="X46" s="24"/>
      <c r="Y46" s="15"/>
      <c r="Z46" s="24"/>
      <c r="AA46" s="24"/>
      <c r="AB46" s="24"/>
      <c r="AC46" s="25"/>
      <c r="AD46" s="25"/>
      <c r="AE46" s="24"/>
      <c r="AF46" s="24"/>
      <c r="AG46" s="25"/>
      <c r="AH46" s="24"/>
      <c r="AI46" s="24"/>
      <c r="AJ46" s="15"/>
    </row>
    <row r="47" spans="1:36" x14ac:dyDescent="0.25">
      <c r="A47" s="80"/>
      <c r="B47" s="25"/>
      <c r="C47" s="24"/>
      <c r="D47" s="24"/>
      <c r="E47" s="25"/>
      <c r="F47" s="24"/>
      <c r="G47" s="24"/>
      <c r="H47" s="24"/>
      <c r="I47" s="76"/>
      <c r="J47" s="24"/>
      <c r="K47" s="24"/>
      <c r="L47" s="24"/>
      <c r="M47" s="24"/>
      <c r="N47" s="24"/>
      <c r="O47" s="25"/>
      <c r="P47" s="25"/>
      <c r="Q47" s="76"/>
      <c r="R47" s="25"/>
      <c r="S47" s="25"/>
      <c r="T47" s="25"/>
      <c r="U47" s="24"/>
      <c r="V47" s="24"/>
      <c r="W47" s="24"/>
      <c r="X47" s="24"/>
      <c r="Y47" s="76"/>
      <c r="Z47" s="25"/>
      <c r="AA47" s="25"/>
      <c r="AB47" s="25"/>
      <c r="AC47" s="25"/>
      <c r="AD47" s="24"/>
      <c r="AE47" s="24"/>
      <c r="AF47" s="25"/>
      <c r="AG47" s="24"/>
      <c r="AH47" s="24"/>
      <c r="AI47" s="24"/>
      <c r="AJ47" s="76"/>
    </row>
    <row r="48" spans="1:36" x14ac:dyDescent="0.25">
      <c r="A48" s="80"/>
      <c r="B48" s="24"/>
      <c r="C48" s="24"/>
      <c r="D48" s="24"/>
      <c r="E48" s="25"/>
      <c r="F48" s="24"/>
      <c r="G48" s="24"/>
      <c r="H48" s="25"/>
      <c r="I48" s="76"/>
      <c r="J48" s="25"/>
      <c r="K48" s="24"/>
      <c r="L48" s="25"/>
      <c r="M48" s="24"/>
      <c r="N48" s="25"/>
      <c r="O48" s="25"/>
      <c r="P48" s="24"/>
      <c r="Q48" s="76"/>
      <c r="R48" s="25"/>
      <c r="S48" s="24"/>
      <c r="T48" s="24"/>
      <c r="U48" s="24"/>
      <c r="V48" s="24"/>
      <c r="W48" s="25"/>
      <c r="X48" s="24"/>
      <c r="Y48" s="76"/>
      <c r="Z48" s="25"/>
      <c r="AA48" s="24"/>
      <c r="AB48" s="24"/>
      <c r="AC48" s="24"/>
      <c r="AD48" s="25"/>
      <c r="AE48" s="25"/>
      <c r="AF48" s="25"/>
      <c r="AG48" s="24"/>
      <c r="AH48" s="25"/>
      <c r="AI48" s="24"/>
      <c r="AJ48" s="76"/>
    </row>
    <row r="49" spans="1:36" x14ac:dyDescent="0.25">
      <c r="A49" s="80"/>
      <c r="B49" s="25"/>
      <c r="C49" s="24"/>
      <c r="D49" s="24"/>
      <c r="E49" s="92"/>
      <c r="F49" s="24"/>
      <c r="G49" s="25"/>
      <c r="H49" s="25"/>
      <c r="I49" s="76"/>
      <c r="J49" s="24"/>
      <c r="K49" s="25"/>
      <c r="L49" s="24"/>
      <c r="M49" s="24"/>
      <c r="N49" s="24"/>
      <c r="O49" s="25"/>
      <c r="P49" s="25"/>
      <c r="Q49" s="76"/>
      <c r="R49" s="25"/>
      <c r="S49" s="24"/>
      <c r="T49" s="25"/>
      <c r="U49" s="24"/>
      <c r="V49" s="24"/>
      <c r="W49" s="25"/>
      <c r="X49" s="24"/>
      <c r="Y49" s="76"/>
      <c r="Z49" s="25"/>
      <c r="AA49" s="24"/>
      <c r="AB49" s="25"/>
      <c r="AC49" s="24"/>
      <c r="AD49" s="24"/>
      <c r="AE49" s="25"/>
      <c r="AF49" s="24"/>
      <c r="AG49" s="24"/>
      <c r="AH49" s="25"/>
      <c r="AI49" s="24"/>
      <c r="AJ49" s="76"/>
    </row>
    <row r="50" spans="1:36" x14ac:dyDescent="0.25">
      <c r="A50" s="80"/>
      <c r="B50" s="24"/>
      <c r="C50" s="24"/>
      <c r="D50" s="24"/>
      <c r="E50" s="92"/>
      <c r="F50" s="25"/>
      <c r="G50" s="24"/>
      <c r="H50" s="24"/>
      <c r="I50" s="15"/>
      <c r="J50" s="25"/>
      <c r="K50" s="24"/>
      <c r="L50" s="24"/>
      <c r="M50" s="24"/>
      <c r="N50" s="24"/>
      <c r="O50" s="24"/>
      <c r="P50" s="24"/>
      <c r="Q50" s="76"/>
      <c r="R50" s="24"/>
      <c r="S50" s="24"/>
      <c r="T50" s="24"/>
      <c r="U50" s="25"/>
      <c r="V50" s="24"/>
      <c r="W50" s="24"/>
      <c r="X50" s="24"/>
      <c r="Y50" s="76"/>
      <c r="Z50" s="24"/>
      <c r="AA50" s="24"/>
      <c r="AB50" s="24"/>
      <c r="AC50" s="25"/>
      <c r="AD50" s="24"/>
      <c r="AE50" s="25"/>
      <c r="AF50" s="24"/>
      <c r="AG50" s="24"/>
      <c r="AH50" s="24"/>
      <c r="AI50" s="25"/>
      <c r="AJ50" s="76"/>
    </row>
    <row r="51" spans="1:36" x14ac:dyDescent="0.25">
      <c r="A51" s="80"/>
      <c r="B51" s="24"/>
      <c r="C51" s="93"/>
      <c r="D51" s="25"/>
      <c r="E51" s="25"/>
      <c r="F51" s="24"/>
      <c r="G51" s="24"/>
      <c r="H51" s="24"/>
      <c r="I51" s="15"/>
      <c r="J51" s="25"/>
      <c r="K51" s="25"/>
      <c r="L51" s="25"/>
      <c r="M51" s="25"/>
      <c r="N51" s="25"/>
      <c r="O51" s="25"/>
      <c r="P51" s="25"/>
      <c r="Q51" s="76"/>
      <c r="R51" s="24"/>
      <c r="S51" s="24"/>
      <c r="T51" s="25"/>
      <c r="U51" s="24"/>
      <c r="V51" s="24"/>
      <c r="W51" s="24"/>
      <c r="X51" s="24"/>
      <c r="Y51" s="15"/>
      <c r="Z51" s="24"/>
      <c r="AA51" s="24"/>
      <c r="AB51" s="25"/>
      <c r="AC51" s="24"/>
      <c r="AD51" s="24"/>
      <c r="AE51" s="24"/>
      <c r="AF51" s="24"/>
      <c r="AG51" s="24"/>
      <c r="AH51" s="24"/>
      <c r="AI51" s="24"/>
      <c r="AJ51" s="15"/>
    </row>
    <row r="52" spans="1:36" x14ac:dyDescent="0.25">
      <c r="A52" s="80"/>
      <c r="B52" s="25"/>
      <c r="C52" s="24"/>
      <c r="D52" s="25"/>
      <c r="E52" s="92"/>
      <c r="F52" s="24"/>
      <c r="G52" s="24"/>
      <c r="H52" s="24"/>
      <c r="I52" s="76"/>
      <c r="J52" s="24"/>
      <c r="K52" s="24"/>
      <c r="L52" s="25"/>
      <c r="M52" s="24"/>
      <c r="N52" s="24"/>
      <c r="O52" s="24"/>
      <c r="P52" s="24"/>
      <c r="Q52" s="15"/>
      <c r="R52" s="25"/>
      <c r="S52" s="24"/>
      <c r="T52" s="24"/>
      <c r="U52" s="24"/>
      <c r="V52" s="24"/>
      <c r="W52" s="24"/>
      <c r="X52" s="24"/>
      <c r="Y52" s="76"/>
      <c r="Z52" s="25"/>
      <c r="AA52" s="24"/>
      <c r="AB52" s="24"/>
      <c r="AC52" s="25"/>
      <c r="AD52" s="24"/>
      <c r="AE52" s="24"/>
      <c r="AF52" s="25"/>
      <c r="AG52" s="24"/>
      <c r="AH52" s="24"/>
      <c r="AI52" s="24"/>
      <c r="AJ52" s="76"/>
    </row>
    <row r="53" spans="1:36" x14ac:dyDescent="0.25">
      <c r="A53" s="80"/>
      <c r="B53" s="25"/>
      <c r="C53" s="25"/>
      <c r="D53" s="25"/>
      <c r="E53" s="92"/>
      <c r="F53" s="24"/>
      <c r="G53" s="24"/>
      <c r="H53" s="24"/>
      <c r="I53" s="76"/>
      <c r="J53" s="24"/>
      <c r="K53" s="24"/>
      <c r="L53" s="25"/>
      <c r="M53" s="24"/>
      <c r="N53" s="24"/>
      <c r="O53" s="24"/>
      <c r="P53" s="25"/>
      <c r="Q53" s="15"/>
      <c r="R53" s="24"/>
      <c r="S53" s="25"/>
      <c r="T53" s="24"/>
      <c r="U53" s="24"/>
      <c r="V53" s="24"/>
      <c r="W53" s="24"/>
      <c r="X53" s="24"/>
      <c r="Y53" s="15"/>
      <c r="Z53" s="24"/>
      <c r="AA53" s="25"/>
      <c r="AB53" s="24"/>
      <c r="AC53" s="24"/>
      <c r="AD53" s="24"/>
      <c r="AE53" s="25"/>
      <c r="AF53" s="24"/>
      <c r="AG53" s="24"/>
      <c r="AH53" s="24"/>
      <c r="AI53" s="24"/>
      <c r="AJ53" s="15"/>
    </row>
    <row r="54" spans="1:36" x14ac:dyDescent="0.25">
      <c r="A54" s="80"/>
      <c r="B54" s="24"/>
      <c r="C54" s="25"/>
      <c r="D54" s="24"/>
      <c r="E54" s="92"/>
      <c r="F54" s="24"/>
      <c r="G54" s="24"/>
      <c r="H54" s="24"/>
      <c r="I54" s="76"/>
      <c r="J54" s="24"/>
      <c r="K54" s="25"/>
      <c r="L54" s="24"/>
      <c r="M54" s="24"/>
      <c r="N54" s="24"/>
      <c r="O54" s="24"/>
      <c r="P54" s="24"/>
      <c r="Q54" s="15"/>
      <c r="R54" s="24"/>
      <c r="S54" s="24"/>
      <c r="T54" s="24"/>
      <c r="U54" s="25"/>
      <c r="V54" s="24"/>
      <c r="W54" s="25"/>
      <c r="X54" s="24"/>
      <c r="Y54" s="15"/>
      <c r="Z54" s="24"/>
      <c r="AA54" s="24"/>
      <c r="AB54" s="25"/>
      <c r="AC54" s="25"/>
      <c r="AD54" s="24"/>
      <c r="AE54" s="24"/>
      <c r="AF54" s="24"/>
      <c r="AG54" s="24"/>
      <c r="AH54" s="24"/>
      <c r="AI54" s="24"/>
      <c r="AJ54" s="15"/>
    </row>
    <row r="55" spans="1:36" x14ac:dyDescent="0.25">
      <c r="A55" s="80"/>
      <c r="B55" s="24"/>
      <c r="C55" s="24"/>
      <c r="D55" s="24"/>
      <c r="E55" s="92"/>
      <c r="F55" s="24"/>
      <c r="G55" s="25"/>
      <c r="H55" s="24"/>
      <c r="I55" s="76"/>
      <c r="J55" s="25"/>
      <c r="K55" s="24"/>
      <c r="L55" s="24"/>
      <c r="M55" s="25"/>
      <c r="N55" s="24"/>
      <c r="O55" s="24"/>
      <c r="P55" s="24"/>
      <c r="Q55" s="76"/>
      <c r="R55" s="24"/>
      <c r="S55" s="24"/>
      <c r="T55" s="24"/>
      <c r="U55" s="24"/>
      <c r="V55" s="24"/>
      <c r="W55" s="24"/>
      <c r="X55" s="25"/>
      <c r="Y55" s="15"/>
      <c r="Z55" s="24"/>
      <c r="AA55" s="24"/>
      <c r="AB55" s="24"/>
      <c r="AC55" s="24"/>
      <c r="AD55" s="24"/>
      <c r="AE55" s="24"/>
      <c r="AF55" s="25"/>
      <c r="AG55" s="24"/>
      <c r="AH55" s="24"/>
      <c r="AI55" s="25"/>
      <c r="AJ55" s="15"/>
    </row>
    <row r="56" spans="1:36" x14ac:dyDescent="0.25">
      <c r="A56" s="80"/>
      <c r="B56" s="25"/>
      <c r="C56" s="24"/>
      <c r="D56" s="24"/>
      <c r="E56" s="25"/>
      <c r="F56" s="25"/>
      <c r="G56" s="24"/>
      <c r="H56" s="24"/>
      <c r="I56" s="76"/>
      <c r="J56" s="24"/>
      <c r="K56" s="24"/>
      <c r="L56" s="24"/>
      <c r="M56" s="24"/>
      <c r="N56" s="24"/>
      <c r="O56" s="24"/>
      <c r="P56" s="24"/>
      <c r="Q56" s="15"/>
      <c r="R56" s="24"/>
      <c r="S56" s="24"/>
      <c r="T56" s="24"/>
      <c r="U56" s="24"/>
      <c r="V56" s="25"/>
      <c r="W56" s="25"/>
      <c r="X56" s="24"/>
      <c r="Y56" s="15"/>
      <c r="Z56" s="24"/>
      <c r="AA56" s="24"/>
      <c r="AB56" s="24"/>
      <c r="AC56" s="24"/>
      <c r="AD56" s="25"/>
      <c r="AE56" s="24"/>
      <c r="AF56" s="24"/>
      <c r="AG56" s="25"/>
      <c r="AH56" s="24"/>
      <c r="AI56" s="24"/>
      <c r="AJ56" s="15"/>
    </row>
    <row r="57" spans="1:36" x14ac:dyDescent="0.25">
      <c r="A57" s="80"/>
      <c r="B57" s="24"/>
      <c r="C57" s="24"/>
      <c r="D57" s="25"/>
      <c r="E57" s="92"/>
      <c r="F57" s="25"/>
      <c r="G57" s="24"/>
      <c r="H57" s="25"/>
      <c r="I57" s="76"/>
      <c r="J57" s="25"/>
      <c r="K57" s="24"/>
      <c r="L57" s="25"/>
      <c r="M57" s="24"/>
      <c r="N57" s="24"/>
      <c r="O57" s="25"/>
      <c r="P57" s="25"/>
      <c r="Q57" s="76"/>
      <c r="R57" s="25"/>
      <c r="S57" s="24"/>
      <c r="T57" s="24"/>
      <c r="U57" s="24"/>
      <c r="V57" s="24"/>
      <c r="W57" s="24"/>
      <c r="X57" s="25"/>
      <c r="Y57" s="76"/>
      <c r="Z57" s="25"/>
      <c r="AA57" s="24"/>
      <c r="AB57" s="24"/>
      <c r="AC57" s="24"/>
      <c r="AD57" s="24"/>
      <c r="AE57" s="24"/>
      <c r="AF57" s="25"/>
      <c r="AG57" s="24"/>
      <c r="AH57" s="24"/>
      <c r="AI57" s="25"/>
      <c r="AJ57" s="76"/>
    </row>
    <row r="58" spans="1:36" x14ac:dyDescent="0.25">
      <c r="A58" s="80"/>
      <c r="B58" s="24"/>
      <c r="C58" s="25"/>
      <c r="D58" s="25"/>
      <c r="E58" s="92"/>
      <c r="F58" s="25"/>
      <c r="G58" s="24"/>
      <c r="H58" s="25"/>
      <c r="I58" s="76"/>
      <c r="J58" s="24"/>
      <c r="K58" s="25"/>
      <c r="L58" s="24"/>
      <c r="M58" s="24"/>
      <c r="N58" s="24"/>
      <c r="O58" s="24"/>
      <c r="P58" s="24"/>
      <c r="Q58" s="76"/>
      <c r="R58" s="24"/>
      <c r="S58" s="24"/>
      <c r="T58" s="24"/>
      <c r="U58" s="24"/>
      <c r="V58" s="24"/>
      <c r="W58" s="24"/>
      <c r="X58" s="24"/>
      <c r="Y58" s="15"/>
      <c r="Z58" s="24"/>
      <c r="AA58" s="25"/>
      <c r="AB58" s="24"/>
      <c r="AC58" s="24"/>
      <c r="AD58" s="24"/>
      <c r="AE58" s="24"/>
      <c r="AF58" s="24"/>
      <c r="AG58" s="24"/>
      <c r="AH58" s="24"/>
      <c r="AI58" s="24"/>
      <c r="AJ58" s="15"/>
    </row>
    <row r="59" spans="1:36" x14ac:dyDescent="0.25">
      <c r="A59" s="80"/>
      <c r="B59" s="24"/>
      <c r="C59" s="24"/>
      <c r="D59" s="24"/>
      <c r="E59" s="92"/>
      <c r="F59" s="24"/>
      <c r="G59" s="24"/>
      <c r="H59" s="24"/>
      <c r="I59" s="76"/>
      <c r="J59" s="24"/>
      <c r="K59" s="25"/>
      <c r="L59" s="24"/>
      <c r="M59" s="24"/>
      <c r="N59" s="24"/>
      <c r="O59" s="24"/>
      <c r="P59" s="24"/>
      <c r="Q59" s="76"/>
      <c r="R59" s="24"/>
      <c r="S59" s="24"/>
      <c r="T59" s="24"/>
      <c r="U59" s="25"/>
      <c r="V59" s="24"/>
      <c r="W59" s="25"/>
      <c r="X59" s="24"/>
      <c r="Y59" s="15"/>
      <c r="Z59" s="24"/>
      <c r="AA59" s="24"/>
      <c r="AB59" s="24"/>
      <c r="AC59" s="25"/>
      <c r="AD59" s="25"/>
      <c r="AE59" s="24"/>
      <c r="AF59" s="24"/>
      <c r="AG59" s="24"/>
      <c r="AH59" s="24"/>
      <c r="AI59" s="24"/>
      <c r="AJ59" s="15"/>
    </row>
    <row r="60" spans="1:36" x14ac:dyDescent="0.25">
      <c r="A60" s="80"/>
      <c r="B60" s="25"/>
      <c r="C60" s="24"/>
      <c r="D60" s="25"/>
      <c r="E60" s="92"/>
      <c r="F60" s="24"/>
      <c r="G60" s="25"/>
      <c r="H60" s="25"/>
      <c r="I60" s="76"/>
      <c r="J60" s="24"/>
      <c r="K60" s="24"/>
      <c r="L60" s="24"/>
      <c r="M60" s="24"/>
      <c r="N60" s="24"/>
      <c r="O60" s="25"/>
      <c r="P60" s="25"/>
      <c r="Q60" s="15"/>
      <c r="R60" s="24"/>
      <c r="S60" s="24"/>
      <c r="T60" s="25"/>
      <c r="U60" s="25"/>
      <c r="V60" s="25"/>
      <c r="W60" s="24"/>
      <c r="X60" s="25"/>
      <c r="Y60" s="15"/>
      <c r="Z60" s="24"/>
      <c r="AA60" s="24"/>
      <c r="AB60" s="25"/>
      <c r="AC60" s="25"/>
      <c r="AD60" s="25"/>
      <c r="AE60" s="24"/>
      <c r="AF60" s="25"/>
      <c r="AG60" s="25"/>
      <c r="AH60" s="25"/>
      <c r="AI60" s="25"/>
      <c r="AJ60" s="15"/>
    </row>
    <row r="61" spans="1:36" x14ac:dyDescent="0.25">
      <c r="A61" s="80"/>
      <c r="B61" s="24"/>
      <c r="C61" s="24"/>
      <c r="D61" s="24"/>
      <c r="E61" s="92"/>
      <c r="F61" s="24"/>
      <c r="G61" s="24"/>
      <c r="H61" s="24"/>
      <c r="I61" s="15"/>
      <c r="J61" s="24"/>
      <c r="K61" s="24"/>
      <c r="L61" s="25"/>
      <c r="M61" s="24"/>
      <c r="N61" s="24"/>
      <c r="O61" s="24"/>
      <c r="P61" s="24"/>
      <c r="Q61" s="15"/>
      <c r="R61" s="24"/>
      <c r="S61" s="24"/>
      <c r="T61" s="24"/>
      <c r="U61" s="24"/>
      <c r="V61" s="24"/>
      <c r="W61" s="24"/>
      <c r="X61" s="24"/>
      <c r="Y61" s="76"/>
      <c r="Z61" s="24"/>
      <c r="AA61" s="24"/>
      <c r="AB61" s="24"/>
      <c r="AC61" s="25"/>
      <c r="AD61" s="24"/>
      <c r="AE61" s="24"/>
      <c r="AF61" s="24"/>
      <c r="AG61" s="24"/>
      <c r="AH61" s="24"/>
      <c r="AI61" s="24"/>
      <c r="AJ61" s="76"/>
    </row>
    <row r="62" spans="1:36" x14ac:dyDescent="0.25">
      <c r="A62" s="80"/>
      <c r="B62" s="25"/>
      <c r="C62" s="24"/>
      <c r="D62" s="24"/>
      <c r="E62" s="92"/>
      <c r="F62" s="24"/>
      <c r="G62" s="25"/>
      <c r="H62" s="24"/>
      <c r="I62" s="76"/>
      <c r="J62" s="24"/>
      <c r="K62" s="25"/>
      <c r="L62" s="24"/>
      <c r="M62" s="25"/>
      <c r="N62" s="24"/>
      <c r="O62" s="24"/>
      <c r="P62" s="25"/>
      <c r="Q62" s="76"/>
      <c r="R62" s="25"/>
      <c r="S62" s="24"/>
      <c r="T62" s="25"/>
      <c r="U62" s="24"/>
      <c r="V62" s="24"/>
      <c r="W62" s="25"/>
      <c r="X62" s="24"/>
      <c r="Y62" s="76"/>
      <c r="Z62" s="25"/>
      <c r="AA62" s="24"/>
      <c r="AB62" s="25"/>
      <c r="AC62" s="24"/>
      <c r="AD62" s="24"/>
      <c r="AE62" s="24"/>
      <c r="AF62" s="24"/>
      <c r="AG62" s="24"/>
      <c r="AH62" s="24"/>
      <c r="AI62" s="24"/>
      <c r="AJ62" s="76"/>
    </row>
    <row r="63" spans="1:36" x14ac:dyDescent="0.25">
      <c r="A63" s="80"/>
      <c r="B63" s="24"/>
      <c r="C63" s="25"/>
      <c r="D63" s="24"/>
      <c r="E63" s="92"/>
      <c r="F63" s="24"/>
      <c r="G63" s="24"/>
      <c r="H63" s="24"/>
      <c r="I63" s="76"/>
      <c r="J63" s="25"/>
      <c r="K63" s="25"/>
      <c r="L63" s="25"/>
      <c r="M63" s="24"/>
      <c r="N63" s="24"/>
      <c r="O63" s="25"/>
      <c r="P63" s="25"/>
      <c r="Q63" s="76"/>
      <c r="R63" s="24"/>
      <c r="S63" s="24"/>
      <c r="T63" s="25"/>
      <c r="U63" s="24"/>
      <c r="V63" s="24"/>
      <c r="W63" s="24"/>
      <c r="X63" s="24"/>
      <c r="Y63" s="15"/>
      <c r="Z63" s="24"/>
      <c r="AA63" s="24"/>
      <c r="AB63" s="25"/>
      <c r="AC63" s="25"/>
      <c r="AD63" s="25"/>
      <c r="AE63" s="24"/>
      <c r="AF63" s="25"/>
      <c r="AG63" s="24"/>
      <c r="AH63" s="24"/>
      <c r="AI63" s="24"/>
      <c r="AJ63" s="15"/>
    </row>
    <row r="64" spans="1:36" x14ac:dyDescent="0.25">
      <c r="A64" s="80"/>
      <c r="B64" s="25"/>
      <c r="C64" s="24"/>
      <c r="D64" s="24"/>
      <c r="E64" s="92"/>
      <c r="F64" s="25"/>
      <c r="G64" s="24"/>
      <c r="H64" s="24"/>
      <c r="I64" s="76"/>
      <c r="J64" s="24"/>
      <c r="K64" s="24"/>
      <c r="L64" s="24"/>
      <c r="M64" s="24"/>
      <c r="N64" s="24"/>
      <c r="O64" s="24"/>
      <c r="P64" s="24"/>
      <c r="Q64" s="15"/>
      <c r="R64" s="24"/>
      <c r="S64" s="24"/>
      <c r="T64" s="24"/>
      <c r="U64" s="24"/>
      <c r="V64" s="24"/>
      <c r="W64" s="24"/>
      <c r="X64" s="24"/>
      <c r="Y64" s="15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15"/>
    </row>
    <row r="65" spans="1:36" x14ac:dyDescent="0.25">
      <c r="A65" s="80"/>
      <c r="B65" s="25"/>
      <c r="C65" s="25"/>
      <c r="D65" s="25"/>
      <c r="E65" s="92"/>
      <c r="F65" s="24"/>
      <c r="G65" s="24"/>
      <c r="H65" s="25"/>
      <c r="I65" s="76"/>
      <c r="J65" s="24"/>
      <c r="K65" s="25"/>
      <c r="L65" s="24"/>
      <c r="M65" s="24"/>
      <c r="N65" s="24"/>
      <c r="O65" s="24"/>
      <c r="P65" s="24"/>
      <c r="Q65" s="15"/>
      <c r="R65" s="24"/>
      <c r="S65" s="24"/>
      <c r="T65" s="25"/>
      <c r="U65" s="25"/>
      <c r="V65" s="24"/>
      <c r="W65" s="24"/>
      <c r="X65" s="24"/>
      <c r="Y65" s="15"/>
      <c r="Z65" s="24"/>
      <c r="AA65" s="24"/>
      <c r="AB65" s="25"/>
      <c r="AC65" s="25"/>
      <c r="AD65" s="24"/>
      <c r="AE65" s="24"/>
      <c r="AF65" s="24"/>
      <c r="AG65" s="24"/>
      <c r="AH65" s="24"/>
      <c r="AI65" s="24"/>
      <c r="AJ65" s="15"/>
    </row>
    <row r="66" spans="1:36" x14ac:dyDescent="0.25">
      <c r="A66" s="80"/>
      <c r="B66" s="24"/>
      <c r="C66" s="25"/>
      <c r="D66" s="25"/>
      <c r="E66" s="92"/>
      <c r="F66" s="24"/>
      <c r="G66" s="24"/>
      <c r="H66" s="24"/>
      <c r="I66" s="15"/>
      <c r="J66" s="25"/>
      <c r="K66" s="24"/>
      <c r="L66" s="24"/>
      <c r="M66" s="25"/>
      <c r="N66" s="24"/>
      <c r="O66" s="24"/>
      <c r="P66" s="24"/>
      <c r="Q66" s="76"/>
      <c r="R66" s="25"/>
      <c r="S66" s="24"/>
      <c r="T66" s="25"/>
      <c r="U66" s="24"/>
      <c r="V66" s="24"/>
      <c r="W66" s="24"/>
      <c r="X66" s="24"/>
      <c r="Y66" s="76"/>
      <c r="Z66" s="25"/>
      <c r="AA66" s="24"/>
      <c r="AB66" s="25"/>
      <c r="AC66" s="24"/>
      <c r="AD66" s="24"/>
      <c r="AE66" s="24"/>
      <c r="AF66" s="24"/>
      <c r="AG66" s="24"/>
      <c r="AH66" s="24"/>
      <c r="AI66" s="25"/>
      <c r="AJ66" s="76"/>
    </row>
    <row r="67" spans="1:36" x14ac:dyDescent="0.25">
      <c r="A67" s="80"/>
      <c r="B67" s="25"/>
      <c r="C67" s="24"/>
      <c r="D67" s="24"/>
      <c r="E67" s="92"/>
      <c r="F67" s="25"/>
      <c r="G67" s="24"/>
      <c r="H67" s="24"/>
      <c r="I67" s="76"/>
      <c r="J67" s="24"/>
      <c r="K67" s="24"/>
      <c r="L67" s="24"/>
      <c r="M67" s="24"/>
      <c r="N67" s="24"/>
      <c r="O67" s="24"/>
      <c r="P67" s="24"/>
      <c r="Q67" s="15"/>
      <c r="R67" s="24"/>
      <c r="S67" s="25"/>
      <c r="T67" s="25"/>
      <c r="U67" s="24"/>
      <c r="V67" s="24"/>
      <c r="W67" s="24"/>
      <c r="X67" s="25"/>
      <c r="Y67" s="15"/>
      <c r="Z67" s="24"/>
      <c r="AA67" s="25"/>
      <c r="AB67" s="25"/>
      <c r="AC67" s="24"/>
      <c r="AD67" s="24"/>
      <c r="AE67" s="24"/>
      <c r="AF67" s="25"/>
      <c r="AG67" s="24"/>
      <c r="AH67" s="24"/>
      <c r="AI67" s="25"/>
      <c r="AJ67" s="15"/>
    </row>
    <row r="68" spans="1:36" x14ac:dyDescent="0.25">
      <c r="A68" s="80"/>
      <c r="B68" s="24"/>
      <c r="C68" s="24"/>
      <c r="D68" s="25"/>
      <c r="E68" s="25"/>
      <c r="F68" s="24"/>
      <c r="G68" s="25"/>
      <c r="H68" s="25"/>
      <c r="I68" s="15"/>
      <c r="J68" s="24"/>
      <c r="K68" s="25"/>
      <c r="L68" s="25"/>
      <c r="M68" s="24"/>
      <c r="N68" s="25"/>
      <c r="O68" s="25"/>
      <c r="P68" s="24"/>
      <c r="Q68" s="76"/>
      <c r="R68" s="24"/>
      <c r="S68" s="24"/>
      <c r="T68" s="24"/>
      <c r="U68" s="24"/>
      <c r="V68" s="24"/>
      <c r="W68" s="24"/>
      <c r="X68" s="24"/>
      <c r="Y68" s="15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15"/>
    </row>
    <row r="69" spans="1:36" x14ac:dyDescent="0.25">
      <c r="A69" s="80"/>
      <c r="B69" s="24"/>
      <c r="C69" s="25"/>
      <c r="D69" s="25"/>
      <c r="E69" s="25"/>
      <c r="F69" s="25"/>
      <c r="G69" s="25"/>
      <c r="H69" s="24"/>
      <c r="I69" s="76"/>
      <c r="J69" s="25"/>
      <c r="K69" s="25"/>
      <c r="L69" s="24"/>
      <c r="M69" s="24"/>
      <c r="N69" s="24"/>
      <c r="O69" s="24"/>
      <c r="P69" s="24"/>
      <c r="Q69" s="76"/>
      <c r="R69" s="24"/>
      <c r="S69" s="24"/>
      <c r="T69" s="25"/>
      <c r="U69" s="25"/>
      <c r="V69" s="24"/>
      <c r="W69" s="24"/>
      <c r="X69" s="24"/>
      <c r="Y69" s="15"/>
      <c r="Z69" s="24"/>
      <c r="AA69" s="24"/>
      <c r="AB69" s="25"/>
      <c r="AC69" s="25"/>
      <c r="AD69" s="24"/>
      <c r="AE69" s="24"/>
      <c r="AF69" s="24"/>
      <c r="AG69" s="24"/>
      <c r="AH69" s="24"/>
      <c r="AI69" s="24"/>
      <c r="AJ69" s="15"/>
    </row>
    <row r="70" spans="1:36" x14ac:dyDescent="0.25">
      <c r="A70" s="80"/>
      <c r="B70" s="24"/>
      <c r="C70" s="24"/>
      <c r="D70" s="24"/>
      <c r="E70" s="92"/>
      <c r="F70" s="24"/>
      <c r="G70" s="25"/>
      <c r="H70" s="25"/>
      <c r="I70" s="76"/>
      <c r="J70" s="25"/>
      <c r="K70" s="24"/>
      <c r="L70" s="24"/>
      <c r="M70" s="24"/>
      <c r="N70" s="24"/>
      <c r="O70" s="24"/>
      <c r="P70" s="24"/>
      <c r="Q70" s="76"/>
      <c r="R70" s="24"/>
      <c r="S70" s="24"/>
      <c r="T70" s="24"/>
      <c r="U70" s="24"/>
      <c r="V70" s="24"/>
      <c r="W70" s="24"/>
      <c r="X70" s="24"/>
      <c r="Y70" s="15"/>
      <c r="Z70" s="25"/>
      <c r="AA70" s="25"/>
      <c r="AB70" s="24"/>
      <c r="AC70" s="25"/>
      <c r="AD70" s="24"/>
      <c r="AE70" s="24"/>
      <c r="AF70" s="24"/>
      <c r="AG70" s="24"/>
      <c r="AH70" s="24"/>
      <c r="AI70" s="25"/>
      <c r="AJ70" s="76"/>
    </row>
    <row r="71" spans="1:36" x14ac:dyDescent="0.25">
      <c r="A71" s="80"/>
      <c r="B71" s="25"/>
      <c r="C71" s="24"/>
      <c r="D71" s="24"/>
      <c r="E71" s="25"/>
      <c r="F71" s="24"/>
      <c r="G71" s="25"/>
      <c r="H71" s="24"/>
      <c r="I71" s="76"/>
      <c r="J71" s="24"/>
      <c r="K71" s="24"/>
      <c r="L71" s="24"/>
      <c r="M71" s="25"/>
      <c r="N71" s="24"/>
      <c r="O71" s="25"/>
      <c r="P71" s="24"/>
      <c r="Q71" s="76"/>
      <c r="R71" s="24"/>
      <c r="S71" s="24"/>
      <c r="T71" s="24"/>
      <c r="U71" s="24"/>
      <c r="V71" s="24"/>
      <c r="W71" s="24"/>
      <c r="X71" s="25"/>
      <c r="Y71" s="15"/>
      <c r="Z71" s="24"/>
      <c r="AA71" s="24"/>
      <c r="AB71" s="24"/>
      <c r="AC71" s="24"/>
      <c r="AD71" s="24"/>
      <c r="AE71" s="25"/>
      <c r="AF71" s="24"/>
      <c r="AG71" s="24"/>
      <c r="AH71" s="24"/>
      <c r="AI71" s="24"/>
      <c r="AJ71" s="15"/>
    </row>
    <row r="72" spans="1:36" x14ac:dyDescent="0.25">
      <c r="A72" s="80"/>
      <c r="B72" s="24"/>
      <c r="C72" s="24"/>
      <c r="D72" s="24"/>
      <c r="E72" s="92"/>
      <c r="F72" s="25"/>
      <c r="G72" s="24"/>
      <c r="H72" s="24"/>
      <c r="I72" s="76"/>
      <c r="J72" s="24"/>
      <c r="K72" s="24"/>
      <c r="L72" s="24"/>
      <c r="M72" s="25"/>
      <c r="N72" s="24"/>
      <c r="O72" s="25"/>
      <c r="P72" s="24"/>
      <c r="Q72" s="15"/>
      <c r="R72" s="25"/>
      <c r="S72" s="24"/>
      <c r="T72" s="24"/>
      <c r="U72" s="24"/>
      <c r="V72" s="24"/>
      <c r="W72" s="25"/>
      <c r="X72" s="24"/>
      <c r="Y72" s="76"/>
      <c r="Z72" s="25"/>
      <c r="AA72" s="24"/>
      <c r="AB72" s="24"/>
      <c r="AC72" s="24"/>
      <c r="AD72" s="24"/>
      <c r="AE72" s="25"/>
      <c r="AF72" s="24"/>
      <c r="AG72" s="24"/>
      <c r="AH72" s="25"/>
      <c r="AI72" s="24"/>
      <c r="AJ72" s="76"/>
    </row>
    <row r="73" spans="1:36" x14ac:dyDescent="0.25">
      <c r="A73" s="80"/>
      <c r="B73" s="24"/>
      <c r="C73" s="25"/>
      <c r="D73" s="24"/>
      <c r="E73" s="92"/>
      <c r="F73" s="24"/>
      <c r="G73" s="24"/>
      <c r="H73" s="24"/>
      <c r="I73" s="15"/>
      <c r="J73" s="24"/>
      <c r="K73" s="24"/>
      <c r="L73" s="24"/>
      <c r="M73" s="24"/>
      <c r="N73" s="25"/>
      <c r="O73" s="24"/>
      <c r="P73" s="24"/>
      <c r="Q73" s="15"/>
      <c r="R73" s="24"/>
      <c r="S73" s="24"/>
      <c r="T73" s="24"/>
      <c r="U73" s="24"/>
      <c r="V73" s="24"/>
      <c r="W73" s="24"/>
      <c r="X73" s="24"/>
      <c r="Y73" s="15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15"/>
    </row>
    <row r="74" spans="1:36" x14ac:dyDescent="0.25">
      <c r="A74" s="80"/>
      <c r="B74" s="24"/>
      <c r="C74" s="24"/>
      <c r="D74" s="24"/>
      <c r="E74" s="92"/>
      <c r="F74" s="24"/>
      <c r="G74" s="24"/>
      <c r="H74" s="25"/>
      <c r="I74" s="15"/>
      <c r="J74" s="24"/>
      <c r="K74" s="25"/>
      <c r="L74" s="25"/>
      <c r="M74" s="24"/>
      <c r="N74" s="25"/>
      <c r="O74" s="24"/>
      <c r="P74" s="25"/>
      <c r="Q74" s="76"/>
      <c r="R74" s="24"/>
      <c r="S74" s="24"/>
      <c r="T74" s="24"/>
      <c r="U74" s="24"/>
      <c r="V74" s="24"/>
      <c r="W74" s="25"/>
      <c r="X74" s="24"/>
      <c r="Y74" s="15"/>
      <c r="Z74" s="24"/>
      <c r="AA74" s="24"/>
      <c r="AB74" s="24"/>
      <c r="AC74" s="24"/>
      <c r="AD74" s="24"/>
      <c r="AE74" s="25"/>
      <c r="AF74" s="24"/>
      <c r="AG74" s="24"/>
      <c r="AH74" s="25"/>
      <c r="AI74" s="24"/>
      <c r="AJ74" s="15"/>
    </row>
    <row r="75" spans="1:36" x14ac:dyDescent="0.25">
      <c r="A75" s="80"/>
      <c r="B75" s="25"/>
      <c r="C75" s="24"/>
      <c r="D75" s="25"/>
      <c r="E75" s="25"/>
      <c r="F75" s="24"/>
      <c r="G75" s="24"/>
      <c r="H75" s="24"/>
      <c r="I75" s="76"/>
      <c r="J75" s="24"/>
      <c r="K75" s="25"/>
      <c r="L75" s="24"/>
      <c r="M75" s="25"/>
      <c r="N75" s="25"/>
      <c r="O75" s="25"/>
      <c r="P75" s="25"/>
      <c r="Q75" s="15"/>
      <c r="R75" s="24"/>
      <c r="S75" s="25"/>
      <c r="T75" s="24"/>
      <c r="U75" s="25"/>
      <c r="V75" s="24"/>
      <c r="W75" s="25"/>
      <c r="X75" s="25"/>
      <c r="Y75" s="15"/>
      <c r="Z75" s="24"/>
      <c r="AA75" s="25"/>
      <c r="AB75" s="24"/>
      <c r="AC75" s="25"/>
      <c r="AD75" s="24"/>
      <c r="AE75" s="25"/>
      <c r="AF75" s="24"/>
      <c r="AG75" s="24"/>
      <c r="AH75" s="25"/>
      <c r="AI75" s="24"/>
      <c r="AJ75" s="15"/>
    </row>
    <row r="76" spans="1:36" x14ac:dyDescent="0.25">
      <c r="A76" s="80"/>
      <c r="B76" s="25"/>
      <c r="C76" s="24"/>
      <c r="D76" s="25"/>
      <c r="E76" s="92"/>
      <c r="F76" s="25"/>
      <c r="G76" s="24"/>
      <c r="H76" s="24"/>
      <c r="I76" s="76"/>
      <c r="J76" s="24"/>
      <c r="K76" s="25"/>
      <c r="L76" s="25"/>
      <c r="M76" s="24"/>
      <c r="N76" s="24"/>
      <c r="O76" s="24"/>
      <c r="P76" s="24"/>
      <c r="Q76" s="15"/>
      <c r="R76" s="25"/>
      <c r="S76" s="24"/>
      <c r="T76" s="24"/>
      <c r="U76" s="24"/>
      <c r="V76" s="24"/>
      <c r="W76" s="25"/>
      <c r="X76" s="24"/>
      <c r="Y76" s="76"/>
      <c r="Z76" s="25"/>
      <c r="AA76" s="24"/>
      <c r="AB76" s="24"/>
      <c r="AC76" s="24"/>
      <c r="AD76" s="24"/>
      <c r="AE76" s="25"/>
      <c r="AF76" s="24"/>
      <c r="AG76" s="25"/>
      <c r="AH76" s="25"/>
      <c r="AI76" s="24"/>
      <c r="AJ76" s="76"/>
    </row>
    <row r="77" spans="1:36" x14ac:dyDescent="0.25">
      <c r="A77" s="80"/>
      <c r="B77" s="24"/>
      <c r="C77" s="25"/>
      <c r="D77" s="24"/>
      <c r="E77" s="25"/>
      <c r="F77" s="25"/>
      <c r="G77" s="25"/>
      <c r="H77" s="24"/>
      <c r="I77" s="76"/>
      <c r="J77" s="24"/>
      <c r="K77" s="25"/>
      <c r="L77" s="24"/>
      <c r="M77" s="24"/>
      <c r="N77" s="25"/>
      <c r="O77" s="24"/>
      <c r="P77" s="24"/>
      <c r="Q77" s="15"/>
      <c r="R77" s="24"/>
      <c r="S77" s="24"/>
      <c r="T77" s="24"/>
      <c r="U77" s="24"/>
      <c r="V77" s="25"/>
      <c r="W77" s="24"/>
      <c r="X77" s="24"/>
      <c r="Y77" s="15"/>
      <c r="Z77" s="24"/>
      <c r="AA77" s="24"/>
      <c r="AB77" s="24"/>
      <c r="AC77" s="24"/>
      <c r="AD77" s="25"/>
      <c r="AE77" s="24"/>
      <c r="AF77" s="24"/>
      <c r="AG77" s="25"/>
      <c r="AH77" s="24"/>
      <c r="AI77" s="24"/>
      <c r="AJ77" s="15"/>
    </row>
    <row r="78" spans="1:36" x14ac:dyDescent="0.25">
      <c r="A78" s="80"/>
      <c r="B78" s="25"/>
      <c r="C78" s="25"/>
      <c r="D78" s="24"/>
      <c r="E78" s="25"/>
      <c r="F78" s="24"/>
      <c r="G78" s="25"/>
      <c r="H78" s="25"/>
      <c r="I78" s="76"/>
      <c r="J78" s="25"/>
      <c r="K78" s="24"/>
      <c r="L78" s="24"/>
      <c r="M78" s="25"/>
      <c r="N78" s="24"/>
      <c r="O78" s="24"/>
      <c r="P78" s="24"/>
      <c r="Q78" s="76"/>
      <c r="R78" s="24"/>
      <c r="S78" s="24"/>
      <c r="T78" s="24"/>
      <c r="U78" s="24"/>
      <c r="V78" s="24"/>
      <c r="W78" s="25"/>
      <c r="X78" s="24"/>
      <c r="Y78" s="15"/>
      <c r="Z78" s="25"/>
      <c r="AA78" s="24"/>
      <c r="AB78" s="24"/>
      <c r="AC78" s="24"/>
      <c r="AD78" s="24"/>
      <c r="AE78" s="24"/>
      <c r="AF78" s="24"/>
      <c r="AG78" s="25"/>
      <c r="AH78" s="25"/>
      <c r="AI78" s="25"/>
      <c r="AJ78" s="76"/>
    </row>
    <row r="79" spans="1:36" x14ac:dyDescent="0.25">
      <c r="A79" s="80"/>
      <c r="B79" s="25"/>
      <c r="C79" s="25"/>
      <c r="D79" s="24"/>
      <c r="E79" s="92"/>
      <c r="F79" s="25"/>
      <c r="G79" s="25"/>
      <c r="H79" s="24"/>
      <c r="I79" s="76"/>
      <c r="J79" s="25"/>
      <c r="K79" s="24"/>
      <c r="L79" s="24"/>
      <c r="M79" s="24"/>
      <c r="N79" s="25"/>
      <c r="O79" s="25"/>
      <c r="P79" s="25"/>
      <c r="Q79" s="76"/>
      <c r="R79" s="24"/>
      <c r="S79" s="24"/>
      <c r="T79" s="25"/>
      <c r="U79" s="24"/>
      <c r="V79" s="24"/>
      <c r="W79" s="24"/>
      <c r="X79" s="24"/>
      <c r="Y79" s="15"/>
      <c r="Z79" s="24"/>
      <c r="AA79" s="24"/>
      <c r="AB79" s="25"/>
      <c r="AC79" s="24"/>
      <c r="AD79" s="24"/>
      <c r="AE79" s="24"/>
      <c r="AF79" s="25"/>
      <c r="AG79" s="24"/>
      <c r="AH79" s="24"/>
      <c r="AI79" s="24"/>
      <c r="AJ79" s="15"/>
    </row>
    <row r="80" spans="1:36" x14ac:dyDescent="0.25">
      <c r="A80" s="80"/>
      <c r="B80" s="24"/>
      <c r="C80" s="25"/>
      <c r="D80" s="24"/>
      <c r="E80" s="92"/>
      <c r="F80" s="24"/>
      <c r="G80" s="25"/>
      <c r="H80" s="25"/>
      <c r="I80" s="15"/>
      <c r="J80" s="24"/>
      <c r="K80" s="24"/>
      <c r="L80" s="24"/>
      <c r="M80" s="24"/>
      <c r="N80" s="24"/>
      <c r="O80" s="24"/>
      <c r="P80" s="24"/>
      <c r="Q80" s="15"/>
      <c r="R80" s="24"/>
      <c r="S80" s="24"/>
      <c r="T80" s="25"/>
      <c r="U80" s="25"/>
      <c r="V80" s="24"/>
      <c r="W80" s="25"/>
      <c r="X80" s="24"/>
      <c r="Y80" s="76"/>
      <c r="Z80" s="24"/>
      <c r="AA80" s="24"/>
      <c r="AB80" s="25"/>
      <c r="AC80" s="25"/>
      <c r="AD80" s="24"/>
      <c r="AE80" s="24"/>
      <c r="AF80" s="24"/>
      <c r="AG80" s="24"/>
      <c r="AH80" s="24"/>
      <c r="AI80" s="24"/>
      <c r="AJ80" s="76"/>
    </row>
    <row r="81" spans="1:36" x14ac:dyDescent="0.25">
      <c r="A81" s="80"/>
      <c r="B81" s="25"/>
      <c r="C81" s="24"/>
      <c r="D81" s="24"/>
      <c r="E81" s="92"/>
      <c r="F81" s="24"/>
      <c r="G81" s="25"/>
      <c r="H81" s="24"/>
      <c r="I81" s="76"/>
      <c r="J81" s="25"/>
      <c r="K81" s="24"/>
      <c r="L81" s="25"/>
      <c r="M81" s="24"/>
      <c r="N81" s="24"/>
      <c r="O81" s="24"/>
      <c r="P81" s="24"/>
      <c r="Q81" s="76"/>
      <c r="R81" s="24"/>
      <c r="S81" s="24"/>
      <c r="T81" s="24"/>
      <c r="U81" s="24"/>
      <c r="V81" s="25"/>
      <c r="W81" s="25"/>
      <c r="X81" s="24"/>
      <c r="Y81" s="76"/>
      <c r="Z81" s="24"/>
      <c r="AA81" s="24"/>
      <c r="AB81" s="24"/>
      <c r="AC81" s="24"/>
      <c r="AD81" s="25"/>
      <c r="AE81" s="24"/>
      <c r="AF81" s="24"/>
      <c r="AG81" s="25"/>
      <c r="AH81" s="24"/>
      <c r="AI81" s="24"/>
      <c r="AJ81" s="76"/>
    </row>
    <row r="82" spans="1:36" x14ac:dyDescent="0.25">
      <c r="A82" s="80"/>
      <c r="B82" s="24"/>
      <c r="C82" s="24"/>
      <c r="D82" s="25"/>
      <c r="E82" s="92"/>
      <c r="F82" s="25"/>
      <c r="G82" s="24"/>
      <c r="H82" s="24"/>
      <c r="I82" s="76"/>
      <c r="J82" s="25"/>
      <c r="K82" s="24"/>
      <c r="L82" s="24"/>
      <c r="M82" s="24"/>
      <c r="N82" s="24"/>
      <c r="O82" s="24"/>
      <c r="P82" s="25"/>
      <c r="Q82" s="76"/>
      <c r="R82" s="24"/>
      <c r="S82" s="24"/>
      <c r="T82" s="24"/>
      <c r="U82" s="24"/>
      <c r="V82" s="24"/>
      <c r="W82" s="24"/>
      <c r="X82" s="24"/>
      <c r="Y82" s="76"/>
      <c r="Z82" s="24"/>
      <c r="AA82" s="24"/>
      <c r="AB82" s="24"/>
      <c r="AC82" s="24"/>
      <c r="AD82" s="24"/>
      <c r="AE82" s="24"/>
      <c r="AF82" s="24"/>
      <c r="AG82" s="24"/>
      <c r="AH82" s="24"/>
      <c r="AI82" s="25"/>
      <c r="AJ82" s="76"/>
    </row>
    <row r="83" spans="1:36" x14ac:dyDescent="0.25">
      <c r="A83" s="80"/>
      <c r="B83" s="24"/>
      <c r="C83" s="25"/>
      <c r="D83" s="24"/>
      <c r="E83" s="92"/>
      <c r="F83" s="24"/>
      <c r="G83" s="24"/>
      <c r="H83" s="24"/>
      <c r="I83" s="76"/>
      <c r="J83" s="25"/>
      <c r="K83" s="24"/>
      <c r="L83" s="25"/>
      <c r="M83" s="25"/>
      <c r="N83" s="25"/>
      <c r="O83" s="24"/>
      <c r="P83" s="24"/>
      <c r="Q83" s="76"/>
      <c r="R83" s="15"/>
      <c r="S83" s="24"/>
      <c r="T83" s="24"/>
      <c r="U83" s="24"/>
      <c r="V83" s="24"/>
      <c r="W83" s="24"/>
      <c r="X83" s="24"/>
      <c r="Y83" s="15"/>
      <c r="Z83" s="76"/>
      <c r="AA83" s="24"/>
      <c r="AB83" s="24"/>
      <c r="AC83" s="24"/>
      <c r="AD83" s="24"/>
      <c r="AE83" s="24"/>
      <c r="AF83" s="24"/>
      <c r="AG83" s="25"/>
      <c r="AH83" s="24"/>
      <c r="AI83" s="24"/>
      <c r="AJ83" s="76"/>
    </row>
    <row r="84" spans="1:36" x14ac:dyDescent="0.25">
      <c r="A84" s="80"/>
      <c r="B84" s="24"/>
      <c r="C84" s="25"/>
      <c r="D84" s="24"/>
      <c r="E84" s="92"/>
      <c r="F84" s="24"/>
      <c r="G84" s="24"/>
      <c r="H84" s="25"/>
      <c r="I84" s="76"/>
      <c r="J84" s="24"/>
      <c r="K84" s="25"/>
      <c r="L84" s="24"/>
      <c r="M84" s="24"/>
      <c r="N84" s="24"/>
      <c r="O84" s="25"/>
      <c r="P84" s="25"/>
      <c r="Q84" s="15"/>
      <c r="R84" s="25"/>
      <c r="S84" s="25"/>
      <c r="T84" s="24"/>
      <c r="U84" s="24"/>
      <c r="V84" s="24"/>
      <c r="W84" s="24"/>
      <c r="X84" s="24"/>
      <c r="Y84" s="76"/>
      <c r="Z84" s="25"/>
      <c r="AA84" s="25"/>
      <c r="AB84" s="24"/>
      <c r="AC84" s="24"/>
      <c r="AD84" s="24"/>
      <c r="AE84" s="25"/>
      <c r="AF84" s="24"/>
      <c r="AG84" s="24"/>
      <c r="AH84" s="24"/>
      <c r="AI84" s="24"/>
      <c r="AJ84" s="76"/>
    </row>
    <row r="85" spans="1:36" x14ac:dyDescent="0.25">
      <c r="A85" s="80"/>
      <c r="B85" s="24"/>
      <c r="C85" s="25"/>
      <c r="D85" s="24"/>
      <c r="E85" s="92"/>
      <c r="F85" s="24"/>
      <c r="G85" s="24"/>
      <c r="H85" s="24"/>
      <c r="I85" s="76"/>
      <c r="J85" s="24"/>
      <c r="K85" s="24"/>
      <c r="L85" s="24"/>
      <c r="M85" s="25"/>
      <c r="N85" s="24"/>
      <c r="O85" s="25"/>
      <c r="P85" s="25"/>
      <c r="Q85" s="76"/>
      <c r="R85" s="24"/>
      <c r="S85" s="24"/>
      <c r="T85" s="24"/>
      <c r="U85" s="25"/>
      <c r="V85" s="24"/>
      <c r="W85" s="24"/>
      <c r="X85" s="25"/>
      <c r="Y85" s="15"/>
      <c r="Z85" s="24"/>
      <c r="AA85" s="24"/>
      <c r="AB85" s="24"/>
      <c r="AC85" s="25"/>
      <c r="AD85" s="24"/>
      <c r="AE85" s="24"/>
      <c r="AF85" s="25"/>
      <c r="AG85" s="24"/>
      <c r="AH85" s="24"/>
      <c r="AI85" s="24"/>
      <c r="AJ85" s="15"/>
    </row>
    <row r="86" spans="1:36" x14ac:dyDescent="0.25">
      <c r="A86" s="80"/>
      <c r="B86" s="25"/>
      <c r="C86" s="24"/>
      <c r="D86" s="25"/>
      <c r="E86" s="92"/>
      <c r="F86" s="25"/>
      <c r="G86" s="25"/>
      <c r="H86" s="24"/>
      <c r="I86" s="76"/>
      <c r="J86" s="24"/>
      <c r="K86" s="24"/>
      <c r="L86" s="24"/>
      <c r="M86" s="25"/>
      <c r="N86" s="24"/>
      <c r="O86" s="24"/>
      <c r="P86" s="24"/>
      <c r="Q86" s="15"/>
      <c r="R86" s="24"/>
      <c r="S86" s="24"/>
      <c r="T86" s="24"/>
      <c r="U86" s="24"/>
      <c r="V86" s="25"/>
      <c r="W86" s="24"/>
      <c r="X86" s="24"/>
      <c r="Y86" s="15"/>
      <c r="Z86" s="24"/>
      <c r="AA86" s="24"/>
      <c r="AB86" s="24"/>
      <c r="AC86" s="24"/>
      <c r="AD86" s="25"/>
      <c r="AE86" s="24"/>
      <c r="AF86" s="24"/>
      <c r="AG86" s="25"/>
      <c r="AH86" s="24"/>
      <c r="AI86" s="24"/>
      <c r="AJ86" s="15"/>
    </row>
    <row r="87" spans="1:36" x14ac:dyDescent="0.25">
      <c r="A87" s="80"/>
      <c r="B87" s="25"/>
      <c r="C87" s="24"/>
      <c r="D87" s="25"/>
      <c r="E87" s="25"/>
      <c r="F87" s="24"/>
      <c r="G87" s="24"/>
      <c r="H87" s="24"/>
      <c r="I87" s="76"/>
      <c r="J87" s="24"/>
      <c r="K87" s="25"/>
      <c r="L87" s="24"/>
      <c r="M87" s="24"/>
      <c r="N87" s="24"/>
      <c r="O87" s="25"/>
      <c r="P87" s="25"/>
      <c r="Q87" s="76"/>
      <c r="R87" s="25"/>
      <c r="S87" s="25"/>
      <c r="T87" s="25"/>
      <c r="U87" s="24"/>
      <c r="V87" s="24"/>
      <c r="W87" s="24"/>
      <c r="X87" s="24"/>
      <c r="Y87" s="76"/>
      <c r="Z87" s="25"/>
      <c r="AA87" s="25"/>
      <c r="AB87" s="25"/>
      <c r="AC87" s="24"/>
      <c r="AD87" s="24"/>
      <c r="AE87" s="24"/>
      <c r="AF87" s="24"/>
      <c r="AG87" s="24"/>
      <c r="AH87" s="24"/>
      <c r="AI87" s="24"/>
      <c r="AJ87" s="76"/>
    </row>
    <row r="88" spans="1:36" x14ac:dyDescent="0.25">
      <c r="A88" s="80"/>
      <c r="B88" s="24"/>
      <c r="C88" s="25"/>
      <c r="D88" s="24"/>
      <c r="E88" s="25"/>
      <c r="F88" s="24"/>
      <c r="G88" s="24"/>
      <c r="H88" s="24"/>
      <c r="I88" s="76"/>
      <c r="J88" s="24"/>
      <c r="K88" s="25"/>
      <c r="L88" s="25"/>
      <c r="M88" s="25"/>
      <c r="N88" s="24"/>
      <c r="O88" s="24"/>
      <c r="P88" s="24"/>
      <c r="Q88" s="15"/>
      <c r="R88" s="24"/>
      <c r="S88" s="24"/>
      <c r="T88" s="24"/>
      <c r="U88" s="24"/>
      <c r="V88" s="25"/>
      <c r="W88" s="25"/>
      <c r="X88" s="24"/>
      <c r="Y88" s="15"/>
      <c r="Z88" s="24"/>
      <c r="AA88" s="24"/>
      <c r="AB88" s="24"/>
      <c r="AC88" s="24"/>
      <c r="AD88" s="25"/>
      <c r="AE88" s="25"/>
      <c r="AF88" s="24"/>
      <c r="AG88" s="25"/>
      <c r="AH88" s="25"/>
      <c r="AI88" s="25"/>
      <c r="AJ88" s="15"/>
    </row>
    <row r="89" spans="1:36" x14ac:dyDescent="0.25">
      <c r="A89" s="80"/>
      <c r="B89" s="25"/>
      <c r="C89" s="25"/>
      <c r="D89" s="24"/>
      <c r="E89" s="92"/>
      <c r="F89" s="24"/>
      <c r="G89" s="24"/>
      <c r="H89" s="24"/>
      <c r="I89" s="76"/>
      <c r="J89" s="25"/>
      <c r="K89" s="24"/>
      <c r="L89" s="24"/>
      <c r="M89" s="25"/>
      <c r="N89" s="24"/>
      <c r="O89" s="24"/>
      <c r="P89" s="24"/>
      <c r="Q89" s="76"/>
      <c r="R89" s="25"/>
      <c r="S89" s="24"/>
      <c r="T89" s="24"/>
      <c r="U89" s="24"/>
      <c r="V89" s="24"/>
      <c r="W89" s="25"/>
      <c r="X89" s="24"/>
      <c r="Y89" s="76"/>
      <c r="Z89" s="25"/>
      <c r="AA89" s="24"/>
      <c r="AB89" s="24"/>
      <c r="AC89" s="24"/>
      <c r="AD89" s="24"/>
      <c r="AE89" s="25"/>
      <c r="AF89" s="24"/>
      <c r="AG89" s="24"/>
      <c r="AH89" s="25"/>
      <c r="AI89" s="24"/>
      <c r="AJ89" s="76"/>
    </row>
    <row r="90" spans="1:36" x14ac:dyDescent="0.25">
      <c r="A90" s="80"/>
      <c r="B90" s="25"/>
      <c r="C90" s="25"/>
      <c r="D90" s="24"/>
      <c r="E90" s="92"/>
      <c r="F90" s="24"/>
      <c r="G90" s="25"/>
      <c r="H90" s="24"/>
      <c r="I90" s="76"/>
      <c r="J90" s="25"/>
      <c r="K90" s="24"/>
      <c r="L90" s="24"/>
      <c r="M90" s="24"/>
      <c r="N90" s="25"/>
      <c r="O90" s="24"/>
      <c r="P90" s="24"/>
      <c r="Q90" s="76"/>
      <c r="R90" s="25"/>
      <c r="S90" s="24"/>
      <c r="T90" s="25"/>
      <c r="U90" s="24"/>
      <c r="V90" s="25"/>
      <c r="W90" s="24"/>
      <c r="X90" s="25"/>
      <c r="Y90" s="76"/>
      <c r="Z90" s="25"/>
      <c r="AA90" s="24"/>
      <c r="AB90" s="25"/>
      <c r="AC90" s="24"/>
      <c r="AD90" s="25"/>
      <c r="AE90" s="24"/>
      <c r="AF90" s="25"/>
      <c r="AG90" s="25"/>
      <c r="AH90" s="24"/>
      <c r="AI90" s="24"/>
      <c r="AJ90" s="76"/>
    </row>
    <row r="91" spans="1:36" x14ac:dyDescent="0.25">
      <c r="A91" s="80"/>
      <c r="B91" s="24"/>
      <c r="C91" s="24"/>
      <c r="D91" s="25"/>
      <c r="E91" s="25"/>
      <c r="F91" s="25"/>
      <c r="G91" s="25"/>
      <c r="H91" s="24"/>
      <c r="I91" s="15"/>
      <c r="J91" s="24"/>
      <c r="K91" s="24"/>
      <c r="L91" s="24"/>
      <c r="M91" s="24"/>
      <c r="N91" s="24"/>
      <c r="O91" s="25"/>
      <c r="P91" s="25"/>
      <c r="Q91" s="15"/>
      <c r="R91" s="24"/>
      <c r="S91" s="24"/>
      <c r="T91" s="25"/>
      <c r="U91" s="24"/>
      <c r="V91" s="24"/>
      <c r="W91" s="24"/>
      <c r="X91" s="25"/>
      <c r="Y91" s="76"/>
      <c r="Z91" s="24"/>
      <c r="AA91" s="24"/>
      <c r="AB91" s="25"/>
      <c r="AC91" s="24"/>
      <c r="AD91" s="24"/>
      <c r="AE91" s="24"/>
      <c r="AF91" s="25"/>
      <c r="AG91" s="24"/>
      <c r="AH91" s="24"/>
      <c r="AI91" s="25"/>
      <c r="AJ91" s="76"/>
    </row>
    <row r="92" spans="1:36" x14ac:dyDescent="0.25">
      <c r="A92" s="80"/>
      <c r="B92" s="24"/>
      <c r="C92" s="25"/>
      <c r="D92" s="25"/>
      <c r="E92" s="25"/>
      <c r="F92" s="25"/>
      <c r="G92" s="25"/>
      <c r="H92" s="24"/>
      <c r="I92" s="15"/>
      <c r="J92" s="24"/>
      <c r="K92" s="24"/>
      <c r="L92" s="24"/>
      <c r="M92" s="24"/>
      <c r="N92" s="24"/>
      <c r="O92" s="25"/>
      <c r="P92" s="25"/>
      <c r="Q92" s="15"/>
      <c r="R92" s="24"/>
      <c r="S92" s="24"/>
      <c r="T92" s="25"/>
      <c r="U92" s="24"/>
      <c r="V92" s="24"/>
      <c r="W92" s="24"/>
      <c r="X92" s="25"/>
      <c r="Y92" s="76"/>
      <c r="Z92" s="24"/>
      <c r="AA92" s="24"/>
      <c r="AB92" s="25"/>
      <c r="AC92" s="24"/>
      <c r="AD92" s="24"/>
      <c r="AE92" s="24"/>
      <c r="AF92" s="25"/>
      <c r="AG92" s="24"/>
      <c r="AH92" s="24"/>
      <c r="AI92" s="25"/>
      <c r="AJ92" s="76"/>
    </row>
    <row r="93" spans="1:36" x14ac:dyDescent="0.25">
      <c r="A93" s="80"/>
      <c r="B93" s="24"/>
      <c r="C93" s="25"/>
      <c r="D93" s="24"/>
      <c r="E93" s="92"/>
      <c r="F93" s="24"/>
      <c r="G93" s="24"/>
      <c r="H93" s="24"/>
      <c r="I93" s="76"/>
      <c r="J93" s="25"/>
      <c r="K93" s="24"/>
      <c r="L93" s="24"/>
      <c r="M93" s="25"/>
      <c r="N93" s="25"/>
      <c r="O93" s="25"/>
      <c r="P93" s="25"/>
      <c r="Q93" s="76"/>
      <c r="R93" s="24"/>
      <c r="S93" s="24"/>
      <c r="T93" s="24"/>
      <c r="U93" s="25"/>
      <c r="V93" s="25"/>
      <c r="W93" s="24"/>
      <c r="X93" s="25"/>
      <c r="Y93" s="15"/>
      <c r="Z93" s="24"/>
      <c r="AA93" s="25"/>
      <c r="AB93" s="24"/>
      <c r="AC93" s="25"/>
      <c r="AD93" s="25"/>
      <c r="AE93" s="24"/>
      <c r="AF93" s="24"/>
      <c r="AG93" s="25"/>
      <c r="AH93" s="24"/>
      <c r="AI93" s="24"/>
      <c r="AJ93" s="15"/>
    </row>
    <row r="94" spans="1:36" x14ac:dyDescent="0.25">
      <c r="A94" s="80"/>
      <c r="B94" s="25"/>
      <c r="C94" s="24"/>
      <c r="D94" s="24"/>
      <c r="E94" s="25"/>
      <c r="F94" s="24"/>
      <c r="G94" s="24"/>
      <c r="H94" s="24"/>
      <c r="I94" s="76"/>
      <c r="J94" s="24"/>
      <c r="K94" s="24"/>
      <c r="L94" s="24"/>
      <c r="M94" s="24"/>
      <c r="N94" s="25"/>
      <c r="O94" s="24"/>
      <c r="P94" s="24"/>
      <c r="Q94" s="15"/>
      <c r="R94" s="24"/>
      <c r="S94" s="24"/>
      <c r="T94" s="24"/>
      <c r="U94" s="24"/>
      <c r="V94" s="24"/>
      <c r="W94" s="24"/>
      <c r="X94" s="24"/>
      <c r="Y94" s="15"/>
      <c r="Z94" s="24"/>
      <c r="AA94" s="24"/>
      <c r="AB94" s="25"/>
      <c r="AC94" s="24"/>
      <c r="AD94" s="24"/>
      <c r="AE94" s="24"/>
      <c r="AF94" s="24"/>
      <c r="AG94" s="24"/>
      <c r="AH94" s="24"/>
      <c r="AI94" s="24"/>
      <c r="AJ94" s="15"/>
    </row>
    <row r="95" spans="1:36" x14ac:dyDescent="0.25">
      <c r="A95" s="80"/>
      <c r="B95" s="24"/>
      <c r="C95" s="24"/>
      <c r="D95" s="24"/>
      <c r="E95" s="92"/>
      <c r="F95" s="24"/>
      <c r="G95" s="25"/>
      <c r="H95" s="24"/>
      <c r="I95" s="76"/>
      <c r="J95" s="25"/>
      <c r="K95" s="25"/>
      <c r="L95" s="24"/>
      <c r="M95" s="24"/>
      <c r="N95" s="24"/>
      <c r="O95" s="25"/>
      <c r="P95" s="24"/>
      <c r="Q95" s="76"/>
      <c r="R95" s="25"/>
      <c r="S95" s="24"/>
      <c r="T95" s="25"/>
      <c r="U95" s="24"/>
      <c r="V95" s="24"/>
      <c r="W95" s="24"/>
      <c r="X95" s="24"/>
      <c r="Y95" s="76"/>
      <c r="Z95" s="25"/>
      <c r="AA95" s="24"/>
      <c r="AB95" s="25"/>
      <c r="AC95" s="24"/>
      <c r="AD95" s="24"/>
      <c r="AE95" s="24"/>
      <c r="AF95" s="24"/>
      <c r="AG95" s="24"/>
      <c r="AH95" s="25"/>
      <c r="AI95" s="24"/>
      <c r="AJ95" s="76"/>
    </row>
    <row r="96" spans="1:36" x14ac:dyDescent="0.25">
      <c r="A96" s="80"/>
      <c r="B96" s="25"/>
      <c r="C96" s="25"/>
      <c r="D96" s="25"/>
      <c r="E96" s="92"/>
      <c r="F96" s="25"/>
      <c r="G96" s="24"/>
      <c r="H96" s="25"/>
      <c r="I96" s="76"/>
      <c r="J96" s="24"/>
      <c r="K96" s="25"/>
      <c r="L96" s="25"/>
      <c r="M96" s="25"/>
      <c r="N96" s="24"/>
      <c r="O96" s="24"/>
      <c r="P96" s="24"/>
      <c r="Q96" s="15"/>
      <c r="R96" s="24"/>
      <c r="S96" s="24"/>
      <c r="T96" s="24"/>
      <c r="U96" s="24"/>
      <c r="V96" s="24"/>
      <c r="W96" s="25"/>
      <c r="X96" s="24"/>
      <c r="Y96" s="76"/>
      <c r="Z96" s="24"/>
      <c r="AA96" s="24"/>
      <c r="AB96" s="24"/>
      <c r="AC96" s="24"/>
      <c r="AD96" s="24"/>
      <c r="AE96" s="25"/>
      <c r="AF96" s="24"/>
      <c r="AG96" s="24"/>
      <c r="AH96" s="25"/>
      <c r="AI96" s="24"/>
      <c r="AJ96" s="76"/>
    </row>
    <row r="97" spans="1:36" x14ac:dyDescent="0.25">
      <c r="A97" s="80"/>
      <c r="B97" s="25"/>
      <c r="C97" s="24"/>
      <c r="D97" s="24"/>
      <c r="E97" s="25"/>
      <c r="F97" s="25"/>
      <c r="G97" s="24"/>
      <c r="H97" s="25"/>
      <c r="I97" s="76"/>
      <c r="J97" s="25"/>
      <c r="K97" s="24"/>
      <c r="L97" s="25"/>
      <c r="M97" s="25"/>
      <c r="N97" s="25"/>
      <c r="O97" s="25"/>
      <c r="P97" s="24"/>
      <c r="Q97" s="76"/>
      <c r="R97" s="24"/>
      <c r="S97" s="25"/>
      <c r="T97" s="24"/>
      <c r="U97" s="24"/>
      <c r="V97" s="25"/>
      <c r="W97" s="24"/>
      <c r="X97" s="24"/>
      <c r="Y97" s="15"/>
      <c r="Z97" s="24"/>
      <c r="AA97" s="25"/>
      <c r="AB97" s="24"/>
      <c r="AC97" s="24"/>
      <c r="AD97" s="25"/>
      <c r="AE97" s="24"/>
      <c r="AF97" s="24"/>
      <c r="AG97" s="25"/>
      <c r="AH97" s="24"/>
      <c r="AI97" s="24"/>
      <c r="AJ97" s="15"/>
    </row>
    <row r="98" spans="1:36" x14ac:dyDescent="0.25">
      <c r="A98" s="80"/>
      <c r="B98" s="25"/>
      <c r="C98" s="24"/>
      <c r="D98" s="24"/>
      <c r="E98" s="92"/>
      <c r="F98" s="24"/>
      <c r="G98" s="24"/>
      <c r="H98" s="25"/>
      <c r="I98" s="76"/>
      <c r="J98" s="25"/>
      <c r="K98" s="24"/>
      <c r="L98" s="24"/>
      <c r="M98" s="24"/>
      <c r="N98" s="24"/>
      <c r="O98" s="25"/>
      <c r="P98" s="25"/>
      <c r="Q98" s="76"/>
      <c r="R98" s="15"/>
      <c r="S98" s="24"/>
      <c r="T98" s="24"/>
      <c r="U98" s="25"/>
      <c r="V98" s="24"/>
      <c r="W98" s="24"/>
      <c r="X98" s="24"/>
      <c r="Y98" s="76"/>
      <c r="Z98" s="15"/>
      <c r="AA98" s="24"/>
      <c r="AB98" s="24"/>
      <c r="AC98" s="25"/>
      <c r="AD98" s="24"/>
      <c r="AE98" s="24"/>
      <c r="AF98" s="24"/>
      <c r="AG98" s="24"/>
      <c r="AH98" s="24"/>
      <c r="AI98" s="24"/>
      <c r="AJ98" s="76"/>
    </row>
    <row r="99" spans="1:36" x14ac:dyDescent="0.25">
      <c r="A99" s="80"/>
      <c r="B99" s="24"/>
      <c r="C99" s="24"/>
      <c r="D99" s="24"/>
      <c r="E99" s="92"/>
      <c r="F99" s="25"/>
      <c r="G99" s="24"/>
      <c r="H99" s="25"/>
      <c r="I99" s="76"/>
      <c r="J99" s="24"/>
      <c r="K99" s="25"/>
      <c r="L99" s="24"/>
      <c r="M99" s="25"/>
      <c r="N99" s="25"/>
      <c r="O99" s="25"/>
      <c r="P99" s="25"/>
      <c r="Q99" s="15"/>
      <c r="R99" s="24"/>
      <c r="S99" s="25"/>
      <c r="T99" s="24"/>
      <c r="U99" s="25"/>
      <c r="V99" s="24"/>
      <c r="W99" s="24"/>
      <c r="X99" s="25"/>
      <c r="Y99" s="76"/>
      <c r="Z99" s="24"/>
      <c r="AA99" s="25"/>
      <c r="AB99" s="24"/>
      <c r="AC99" s="25"/>
      <c r="AD99" s="24"/>
      <c r="AE99" s="24"/>
      <c r="AF99" s="25"/>
      <c r="AG99" s="25"/>
      <c r="AH99" s="24"/>
      <c r="AI99" s="25"/>
      <c r="AJ99" s="76"/>
    </row>
    <row r="100" spans="1:36" x14ac:dyDescent="0.25">
      <c r="A100" s="80"/>
      <c r="B100" s="24"/>
      <c r="C100" s="25"/>
      <c r="D100" s="25"/>
      <c r="E100" s="25"/>
      <c r="F100" s="25"/>
      <c r="G100" s="25"/>
      <c r="H100" s="25"/>
      <c r="I100" s="15"/>
      <c r="J100" s="25"/>
      <c r="K100" s="24"/>
      <c r="L100" s="25"/>
      <c r="M100" s="25"/>
      <c r="N100" s="24"/>
      <c r="O100" s="24"/>
      <c r="P100" s="24"/>
      <c r="Q100" s="76"/>
      <c r="R100" s="25"/>
      <c r="S100" s="24"/>
      <c r="T100" s="24"/>
      <c r="U100" s="25"/>
      <c r="V100" s="24"/>
      <c r="W100" s="24"/>
      <c r="X100" s="24"/>
      <c r="Y100" s="76"/>
      <c r="Z100" s="25"/>
      <c r="AA100" s="24"/>
      <c r="AB100" s="24"/>
      <c r="AC100" s="25"/>
      <c r="AD100" s="24"/>
      <c r="AE100" s="24"/>
      <c r="AF100" s="24"/>
      <c r="AG100" s="24"/>
      <c r="AH100" s="24"/>
      <c r="AI100" s="24"/>
      <c r="AJ100" s="76"/>
    </row>
    <row r="101" spans="1:36" x14ac:dyDescent="0.25">
      <c r="A101" s="80"/>
      <c r="B101" s="25"/>
      <c r="C101" s="24"/>
      <c r="D101" s="25"/>
      <c r="E101" s="92"/>
      <c r="F101" s="24"/>
      <c r="G101" s="24"/>
      <c r="H101" s="24"/>
      <c r="I101" s="76"/>
      <c r="J101" s="24"/>
      <c r="K101" s="25"/>
      <c r="L101" s="24"/>
      <c r="M101" s="25"/>
      <c r="N101" s="25"/>
      <c r="O101" s="24"/>
      <c r="P101" s="24"/>
      <c r="Q101" s="15"/>
      <c r="R101" s="24"/>
      <c r="S101" s="24"/>
      <c r="T101" s="24"/>
      <c r="U101" s="24"/>
      <c r="V101" s="24"/>
      <c r="W101" s="25"/>
      <c r="X101" s="24"/>
      <c r="Y101" s="15"/>
      <c r="Z101" s="24"/>
      <c r="AA101" s="24"/>
      <c r="AB101" s="24"/>
      <c r="AC101" s="24"/>
      <c r="AD101" s="24"/>
      <c r="AE101" s="25"/>
      <c r="AF101" s="24"/>
      <c r="AG101" s="24"/>
      <c r="AH101" s="25"/>
      <c r="AI101" s="24"/>
      <c r="AJ101" s="15"/>
    </row>
    <row r="102" spans="1:36" x14ac:dyDescent="0.25">
      <c r="A102" s="80"/>
      <c r="B102" s="25"/>
      <c r="C102" s="24"/>
      <c r="D102" s="24"/>
      <c r="E102" s="25"/>
      <c r="F102" s="24"/>
      <c r="G102" s="24"/>
      <c r="H102" s="24"/>
      <c r="I102" s="76"/>
      <c r="J102" s="25"/>
      <c r="K102" s="25"/>
      <c r="L102" s="25"/>
      <c r="M102" s="24"/>
      <c r="N102" s="24"/>
      <c r="O102" s="24"/>
      <c r="P102" s="24"/>
      <c r="Q102" s="76"/>
      <c r="R102" s="25"/>
      <c r="S102" s="24"/>
      <c r="T102" s="24"/>
      <c r="U102" s="24"/>
      <c r="V102" s="24"/>
      <c r="W102" s="25"/>
      <c r="X102" s="24"/>
      <c r="Y102" s="76"/>
      <c r="Z102" s="25"/>
      <c r="AA102" s="24"/>
      <c r="AB102" s="24"/>
      <c r="AC102" s="24"/>
      <c r="AD102" s="24"/>
      <c r="AE102" s="25"/>
      <c r="AF102" s="25"/>
      <c r="AG102" s="24"/>
      <c r="AH102" s="25"/>
      <c r="AI102" s="24"/>
      <c r="AJ102" s="76"/>
    </row>
    <row r="103" spans="1:36" x14ac:dyDescent="0.25">
      <c r="A103" s="80"/>
      <c r="B103" s="24"/>
      <c r="C103" s="24"/>
      <c r="D103" s="24"/>
      <c r="E103" s="92"/>
      <c r="F103" s="24"/>
      <c r="G103" s="24"/>
      <c r="H103" s="24"/>
      <c r="I103" s="76"/>
      <c r="J103" s="24"/>
      <c r="K103" s="24"/>
      <c r="L103" s="24"/>
      <c r="M103" s="24"/>
      <c r="N103" s="24"/>
      <c r="O103" s="25"/>
      <c r="P103" s="25"/>
      <c r="Q103" s="15"/>
      <c r="R103" s="25"/>
      <c r="S103" s="24"/>
      <c r="T103" s="24"/>
      <c r="U103" s="25"/>
      <c r="V103" s="24"/>
      <c r="W103" s="24"/>
      <c r="X103" s="25"/>
      <c r="Y103" s="76"/>
      <c r="Z103" s="25"/>
      <c r="AA103" s="24"/>
      <c r="AB103" s="24"/>
      <c r="AC103" s="25"/>
      <c r="AD103" s="24"/>
      <c r="AE103" s="24"/>
      <c r="AF103" s="25"/>
      <c r="AG103" s="24"/>
      <c r="AH103" s="24"/>
      <c r="AI103" s="25"/>
      <c r="AJ103" s="76"/>
    </row>
    <row r="104" spans="1:36" x14ac:dyDescent="0.25">
      <c r="A104" s="80"/>
      <c r="B104" s="25"/>
      <c r="C104" s="25"/>
      <c r="D104" s="24"/>
      <c r="E104" s="92"/>
      <c r="F104" s="25"/>
      <c r="G104" s="24"/>
      <c r="H104" s="25"/>
      <c r="I104" s="76"/>
      <c r="J104" s="24"/>
      <c r="K104" s="25"/>
      <c r="L104" s="25"/>
      <c r="M104" s="25"/>
      <c r="N104" s="24"/>
      <c r="O104" s="25"/>
      <c r="P104" s="25"/>
      <c r="Q104" s="76"/>
      <c r="R104" s="24"/>
      <c r="S104" s="25"/>
      <c r="T104" s="24"/>
      <c r="U104" s="24"/>
      <c r="V104" s="24"/>
      <c r="W104" s="24"/>
      <c r="X104" s="25"/>
      <c r="Y104" s="15"/>
      <c r="Z104" s="24"/>
      <c r="AA104" s="25"/>
      <c r="AB104" s="25"/>
      <c r="AC104" s="24"/>
      <c r="AD104" s="24"/>
      <c r="AE104" s="25"/>
      <c r="AF104" s="25"/>
      <c r="AG104" s="24"/>
      <c r="AH104" s="24"/>
      <c r="AI104" s="25"/>
      <c r="AJ104" s="15"/>
    </row>
    <row r="105" spans="1:36" x14ac:dyDescent="0.25">
      <c r="A105" s="80"/>
      <c r="B105" s="24"/>
      <c r="C105" s="25"/>
      <c r="D105" s="25"/>
      <c r="E105" s="25"/>
      <c r="F105" s="76"/>
      <c r="G105" s="76"/>
      <c r="H105" s="76"/>
      <c r="I105" s="76"/>
      <c r="J105" s="76"/>
      <c r="K105" s="15"/>
      <c r="L105" s="15"/>
      <c r="M105" s="76"/>
      <c r="N105" s="15"/>
      <c r="O105" s="15"/>
      <c r="P105" s="15"/>
      <c r="Q105" s="76"/>
      <c r="R105" s="76"/>
      <c r="S105" s="15"/>
      <c r="T105" s="15"/>
      <c r="U105" s="76"/>
      <c r="V105" s="15"/>
      <c r="W105" s="15"/>
      <c r="X105" s="15"/>
      <c r="Y105" s="76"/>
      <c r="Z105" s="76"/>
      <c r="AA105" s="15"/>
      <c r="AB105" s="15"/>
      <c r="AC105" s="76"/>
      <c r="AD105" s="15"/>
      <c r="AE105" s="15"/>
      <c r="AF105" s="15"/>
      <c r="AG105" s="15"/>
      <c r="AH105" s="76"/>
      <c r="AI105" s="15"/>
      <c r="AJ105" s="76"/>
    </row>
    <row r="106" spans="1:36" x14ac:dyDescent="0.25">
      <c r="A106" s="80"/>
      <c r="B106" s="31"/>
      <c r="C106" s="31"/>
      <c r="D106" s="31"/>
      <c r="E106" s="31"/>
      <c r="F106" s="31"/>
      <c r="G106" s="31"/>
      <c r="H106" s="31"/>
      <c r="I106" s="76"/>
      <c r="J106" s="31"/>
      <c r="K106" s="31"/>
      <c r="L106" s="31"/>
      <c r="M106" s="31"/>
      <c r="N106" s="31"/>
      <c r="O106" s="31"/>
      <c r="P106" s="31"/>
      <c r="Q106" s="76"/>
      <c r="R106" s="31"/>
      <c r="S106" s="31"/>
      <c r="T106" s="31"/>
      <c r="U106" s="31"/>
      <c r="V106" s="31"/>
      <c r="W106" s="31"/>
      <c r="X106" s="31"/>
      <c r="Y106" s="76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76"/>
    </row>
    <row r="107" spans="1:36" x14ac:dyDescent="0.25">
      <c r="A107" s="80"/>
      <c r="B107" s="76"/>
      <c r="C107" s="76"/>
      <c r="D107" s="76"/>
      <c r="E107" s="76"/>
      <c r="F107" s="76"/>
      <c r="G107" s="15"/>
      <c r="H107" s="76"/>
      <c r="I107" s="76"/>
      <c r="J107" s="15"/>
      <c r="K107" s="15"/>
      <c r="L107" s="15"/>
      <c r="M107" s="15"/>
      <c r="N107" s="15"/>
      <c r="O107" s="15"/>
      <c r="P107" s="76"/>
      <c r="Q107" s="15"/>
      <c r="R107" s="15"/>
      <c r="S107" s="15"/>
      <c r="T107" s="15"/>
      <c r="U107" s="15"/>
      <c r="V107" s="15"/>
      <c r="W107" s="76"/>
      <c r="X107" s="15"/>
      <c r="Y107" s="19"/>
      <c r="Z107" s="15"/>
      <c r="AA107" s="15"/>
      <c r="AB107" s="76"/>
      <c r="AC107" s="15"/>
      <c r="AD107" s="15"/>
      <c r="AE107" s="76"/>
      <c r="AF107" s="76"/>
      <c r="AG107" s="15"/>
      <c r="AH107" s="76"/>
      <c r="AI107" s="15"/>
      <c r="AJ107" s="19"/>
    </row>
    <row r="108" spans="1:36" x14ac:dyDescent="0.25">
      <c r="A108" s="19"/>
      <c r="B108" s="76"/>
      <c r="C108" s="76"/>
      <c r="D108" s="77"/>
      <c r="E108" s="76"/>
      <c r="F108" s="76"/>
      <c r="G108" s="15"/>
      <c r="H108" s="15"/>
      <c r="I108" s="76"/>
      <c r="J108" s="76"/>
      <c r="K108" s="94"/>
      <c r="L108" s="76"/>
      <c r="M108" s="15"/>
      <c r="N108" s="76"/>
      <c r="O108" s="15"/>
      <c r="P108" s="76"/>
      <c r="Q108" s="15"/>
      <c r="R108" s="15"/>
      <c r="S108" s="15"/>
      <c r="T108" s="76"/>
      <c r="U108" s="76"/>
      <c r="V108" s="15"/>
      <c r="W108" s="76"/>
      <c r="X108" s="15"/>
      <c r="Y108" s="19"/>
      <c r="Z108" s="76"/>
      <c r="AA108" s="76"/>
      <c r="AB108" s="76"/>
      <c r="AC108" s="76"/>
      <c r="AD108" s="15"/>
      <c r="AE108" s="76"/>
      <c r="AF108" s="15"/>
      <c r="AG108" s="15"/>
      <c r="AH108" s="76"/>
      <c r="AI108" s="15"/>
      <c r="AJ108" s="19"/>
    </row>
    <row r="109" spans="1:36" x14ac:dyDescent="0.25">
      <c r="A109" s="19"/>
      <c r="B109" s="31"/>
      <c r="C109" s="31"/>
      <c r="D109" s="31"/>
      <c r="E109" s="31"/>
      <c r="F109" s="31"/>
      <c r="G109" s="30"/>
      <c r="H109" s="31"/>
      <c r="I109" s="25"/>
      <c r="J109" s="31"/>
      <c r="K109" s="31"/>
      <c r="L109" s="31"/>
      <c r="M109" s="31"/>
      <c r="N109" s="31"/>
      <c r="O109" s="31"/>
      <c r="P109" s="31"/>
      <c r="Q109" s="25"/>
      <c r="R109" s="31"/>
      <c r="S109" s="31"/>
      <c r="T109" s="31"/>
      <c r="U109" s="31"/>
      <c r="V109" s="31"/>
      <c r="W109" s="31"/>
      <c r="X109" s="31"/>
      <c r="Y109" s="25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25"/>
    </row>
    <row r="110" spans="1:36" x14ac:dyDescent="0.25">
      <c r="A110" s="28"/>
      <c r="B110" s="28"/>
      <c r="C110" s="28"/>
      <c r="D110" s="28"/>
      <c r="E110" s="95"/>
      <c r="F110" s="28"/>
      <c r="G110" s="80"/>
      <c r="H110" s="80"/>
      <c r="I110" s="96"/>
      <c r="J110" s="80"/>
      <c r="K110" s="80"/>
      <c r="L110" s="80"/>
      <c r="M110" s="80"/>
      <c r="N110" s="80"/>
      <c r="O110" s="80"/>
      <c r="P110" s="80"/>
      <c r="Q110" s="96"/>
      <c r="R110" s="80"/>
      <c r="S110" s="80"/>
      <c r="T110" s="80"/>
      <c r="U110" s="80"/>
      <c r="V110" s="80"/>
      <c r="W110" s="80"/>
      <c r="X110" s="80"/>
      <c r="Y110" s="19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19"/>
    </row>
    <row r="114" spans="3:3" x14ac:dyDescent="0.25">
      <c r="C114" s="1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8"/>
  <sheetViews>
    <sheetView workbookViewId="0"/>
  </sheetViews>
  <sheetFormatPr defaultRowHeight="15" x14ac:dyDescent="0.25"/>
  <cols>
    <col min="2" max="2" width="3" customWidth="1"/>
    <col min="3" max="3" width="2.42578125" customWidth="1"/>
    <col min="4" max="4" width="2.7109375" customWidth="1"/>
    <col min="5" max="6" width="2.5703125" customWidth="1"/>
    <col min="7" max="7" width="2.85546875" customWidth="1"/>
    <col min="8" max="8" width="2.5703125" customWidth="1"/>
    <col min="10" max="10" width="1.85546875" customWidth="1"/>
    <col min="11" max="11" width="1.5703125" customWidth="1"/>
    <col min="12" max="12" width="1.42578125" customWidth="1"/>
    <col min="13" max="13" width="1.85546875" customWidth="1"/>
    <col min="14" max="15" width="2.140625" customWidth="1"/>
    <col min="16" max="16" width="1.5703125" customWidth="1"/>
    <col min="18" max="18" width="3.85546875" customWidth="1"/>
    <col min="19" max="19" width="2.42578125" customWidth="1"/>
    <col min="20" max="20" width="1.85546875" customWidth="1"/>
    <col min="21" max="21" width="2.28515625" customWidth="1"/>
    <col min="22" max="22" width="2.140625" customWidth="1"/>
    <col min="23" max="23" width="1.85546875" customWidth="1"/>
    <col min="24" max="24" width="1.5703125" customWidth="1"/>
    <col min="36" max="36" width="9.5703125" bestFit="1" customWidth="1"/>
  </cols>
  <sheetData>
    <row r="1" spans="1:36" x14ac:dyDescent="0.25">
      <c r="A1" s="23"/>
      <c r="B1" s="23"/>
      <c r="C1" s="23"/>
      <c r="D1" s="23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spans="1:36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 x14ac:dyDescent="0.25">
      <c r="A3" s="23"/>
      <c r="B3" s="79"/>
      <c r="C3" s="79"/>
      <c r="D3" s="79"/>
      <c r="E3" s="79"/>
      <c r="F3" s="79"/>
      <c r="G3" s="79"/>
      <c r="H3" s="79"/>
      <c r="I3" s="23"/>
      <c r="J3" s="79"/>
      <c r="K3" s="79"/>
      <c r="L3" s="79"/>
      <c r="M3" s="79"/>
      <c r="N3" s="79"/>
      <c r="O3" s="79"/>
      <c r="P3" s="79"/>
      <c r="Q3" s="23"/>
      <c r="R3" s="79"/>
      <c r="S3" s="79"/>
      <c r="T3" s="79"/>
      <c r="U3" s="79"/>
      <c r="V3" s="79"/>
      <c r="W3" s="79"/>
      <c r="X3" s="79"/>
      <c r="Y3" s="24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24"/>
    </row>
    <row r="4" spans="1:36" x14ac:dyDescent="0.25">
      <c r="A4" s="80"/>
      <c r="B4" s="81"/>
      <c r="C4" s="81"/>
      <c r="D4" s="81"/>
      <c r="E4" s="81"/>
      <c r="F4" s="81"/>
      <c r="G4" s="81"/>
      <c r="H4" s="81"/>
      <c r="I4" s="25"/>
      <c r="J4" s="81"/>
      <c r="K4" s="81"/>
      <c r="L4" s="81"/>
      <c r="M4" s="81"/>
      <c r="N4" s="81"/>
      <c r="O4" s="81"/>
      <c r="P4" s="81"/>
      <c r="Q4" s="25"/>
      <c r="R4" s="81"/>
      <c r="S4" s="81"/>
      <c r="T4" s="81"/>
      <c r="U4" s="81"/>
      <c r="V4" s="81"/>
      <c r="W4" s="81"/>
      <c r="X4" s="81"/>
      <c r="Y4" s="25"/>
      <c r="Z4" s="81"/>
      <c r="AA4" s="81"/>
      <c r="AB4" s="81"/>
      <c r="AC4" s="81"/>
      <c r="AD4" s="82"/>
      <c r="AE4" s="81"/>
      <c r="AF4" s="81"/>
      <c r="AG4" s="81"/>
      <c r="AH4" s="81"/>
      <c r="AI4" s="81"/>
      <c r="AJ4" s="25"/>
    </row>
    <row r="5" spans="1:36" x14ac:dyDescent="0.25">
      <c r="A5" s="80"/>
      <c r="B5" s="81"/>
      <c r="C5" s="81"/>
      <c r="D5" s="81"/>
      <c r="E5" s="81"/>
      <c r="F5" s="81"/>
      <c r="G5" s="81"/>
      <c r="H5" s="81"/>
      <c r="I5" s="25"/>
      <c r="J5" s="81"/>
      <c r="K5" s="81"/>
      <c r="L5" s="81"/>
      <c r="M5" s="81"/>
      <c r="N5" s="81"/>
      <c r="O5" s="81"/>
      <c r="P5" s="81"/>
      <c r="Q5" s="25"/>
      <c r="R5" s="81"/>
      <c r="S5" s="81"/>
      <c r="T5" s="81"/>
      <c r="U5" s="81"/>
      <c r="V5" s="81"/>
      <c r="W5" s="81"/>
      <c r="X5" s="81"/>
      <c r="Y5" s="25"/>
      <c r="Z5" s="81"/>
      <c r="AA5" s="81"/>
      <c r="AB5" s="81"/>
      <c r="AC5" s="81"/>
      <c r="AD5" s="82"/>
      <c r="AE5" s="81"/>
      <c r="AF5" s="81"/>
      <c r="AG5" s="81"/>
      <c r="AH5" s="81"/>
      <c r="AI5" s="81"/>
      <c r="AJ5" s="25"/>
    </row>
    <row r="6" spans="1:36" x14ac:dyDescent="0.25">
      <c r="A6" s="80"/>
      <c r="B6" s="81"/>
      <c r="C6" s="81"/>
      <c r="D6" s="81"/>
      <c r="E6" s="81"/>
      <c r="F6" s="81"/>
      <c r="G6" s="81"/>
      <c r="H6" s="81"/>
      <c r="I6" s="25"/>
      <c r="J6" s="81"/>
      <c r="K6" s="81"/>
      <c r="L6" s="81"/>
      <c r="M6" s="81"/>
      <c r="N6" s="81"/>
      <c r="O6" s="81"/>
      <c r="P6" s="81"/>
      <c r="Q6" s="25"/>
      <c r="R6" s="81"/>
      <c r="S6" s="81"/>
      <c r="T6" s="81"/>
      <c r="U6" s="81"/>
      <c r="V6" s="81"/>
      <c r="W6" s="81"/>
      <c r="X6" s="81"/>
      <c r="Y6" s="25"/>
      <c r="Z6" s="81"/>
      <c r="AA6" s="81"/>
      <c r="AB6" s="81"/>
      <c r="AC6" s="81"/>
      <c r="AD6" s="82"/>
      <c r="AE6" s="81"/>
      <c r="AF6" s="81"/>
      <c r="AG6" s="81"/>
      <c r="AH6" s="81"/>
      <c r="AI6" s="81"/>
      <c r="AJ6" s="25"/>
    </row>
    <row r="7" spans="1:36" x14ac:dyDescent="0.25">
      <c r="A7" s="80"/>
      <c r="B7" s="78"/>
      <c r="C7" s="78"/>
      <c r="D7" s="78"/>
      <c r="E7" s="78"/>
      <c r="F7" s="78"/>
      <c r="G7" s="78"/>
      <c r="H7" s="78"/>
      <c r="I7" s="25"/>
      <c r="J7" s="78"/>
      <c r="K7" s="78"/>
      <c r="L7" s="78"/>
      <c r="M7" s="78"/>
      <c r="N7" s="78"/>
      <c r="O7" s="78"/>
      <c r="P7" s="78"/>
      <c r="Q7" s="25"/>
      <c r="R7" s="78"/>
      <c r="S7" s="78"/>
      <c r="T7" s="78"/>
      <c r="U7" s="78"/>
      <c r="V7" s="78"/>
      <c r="W7" s="78"/>
      <c r="X7" s="78"/>
      <c r="Y7" s="25"/>
      <c r="Z7" s="28"/>
      <c r="AA7" s="78"/>
      <c r="AB7" s="78"/>
      <c r="AC7" s="78"/>
      <c r="AD7" s="26"/>
      <c r="AE7" s="78"/>
      <c r="AF7" s="78"/>
      <c r="AG7" s="78"/>
      <c r="AH7" s="78"/>
      <c r="AI7" s="78"/>
      <c r="AJ7" s="24"/>
    </row>
    <row r="8" spans="1:36" x14ac:dyDescent="0.25">
      <c r="A8" s="80"/>
      <c r="B8" s="81"/>
      <c r="C8" s="81"/>
      <c r="D8" s="81"/>
      <c r="E8" s="81"/>
      <c r="F8" s="81"/>
      <c r="G8" s="81"/>
      <c r="H8" s="81"/>
      <c r="I8" s="25"/>
      <c r="J8" s="81"/>
      <c r="K8" s="81"/>
      <c r="L8" s="81"/>
      <c r="M8" s="81"/>
      <c r="N8" s="81"/>
      <c r="O8" s="78"/>
      <c r="P8" s="78"/>
      <c r="Q8" s="25"/>
      <c r="R8" s="81"/>
      <c r="S8" s="81"/>
      <c r="T8" s="81"/>
      <c r="U8" s="81"/>
      <c r="V8" s="81"/>
      <c r="W8" s="81"/>
      <c r="X8" s="81"/>
      <c r="Y8" s="25"/>
      <c r="Z8" s="81"/>
      <c r="AA8" s="78"/>
      <c r="AB8" s="81"/>
      <c r="AC8" s="81"/>
      <c r="AD8" s="82"/>
      <c r="AE8" s="81"/>
      <c r="AF8" s="81"/>
      <c r="AG8" s="81"/>
      <c r="AH8" s="81"/>
      <c r="AI8" s="81"/>
      <c r="AJ8" s="25"/>
    </row>
    <row r="9" spans="1:36" x14ac:dyDescent="0.25">
      <c r="A9" s="80"/>
      <c r="B9" s="81"/>
      <c r="C9" s="81"/>
      <c r="D9" s="81"/>
      <c r="E9" s="81"/>
      <c r="F9" s="81"/>
      <c r="G9" s="81"/>
      <c r="H9" s="81"/>
      <c r="I9" s="25"/>
      <c r="J9" s="81"/>
      <c r="K9" s="81"/>
      <c r="L9" s="81"/>
      <c r="M9" s="81"/>
      <c r="N9" s="81"/>
      <c r="O9" s="81"/>
      <c r="P9" s="78"/>
      <c r="Q9" s="25"/>
      <c r="R9" s="81"/>
      <c r="S9" s="81"/>
      <c r="T9" s="81"/>
      <c r="U9" s="81"/>
      <c r="V9" s="81"/>
      <c r="W9" s="81"/>
      <c r="X9" s="81"/>
      <c r="Y9" s="25"/>
      <c r="Z9" s="81"/>
      <c r="AA9" s="81"/>
      <c r="AB9" s="81"/>
      <c r="AC9" s="81"/>
      <c r="AD9" s="82"/>
      <c r="AE9" s="81"/>
      <c r="AF9" s="81"/>
      <c r="AG9" s="81"/>
      <c r="AH9" s="81"/>
      <c r="AI9" s="81"/>
      <c r="AJ9" s="25"/>
    </row>
    <row r="10" spans="1:36" x14ac:dyDescent="0.25">
      <c r="A10" s="80"/>
      <c r="B10" s="29"/>
      <c r="C10" s="29"/>
      <c r="D10" s="29"/>
      <c r="E10" s="29"/>
      <c r="F10" s="29"/>
      <c r="G10" s="29"/>
      <c r="H10" s="29"/>
      <c r="I10" s="24"/>
      <c r="J10" s="29"/>
      <c r="K10" s="83"/>
      <c r="L10" s="83"/>
      <c r="M10" s="83"/>
      <c r="N10" s="83"/>
      <c r="O10" s="83"/>
      <c r="P10" s="83"/>
      <c r="Q10" s="24"/>
      <c r="R10" s="29"/>
      <c r="S10" s="84"/>
      <c r="T10" s="29"/>
      <c r="U10" s="29"/>
      <c r="V10" s="29"/>
      <c r="W10" s="29"/>
      <c r="X10" s="29"/>
      <c r="Y10" s="24"/>
      <c r="Z10" s="29"/>
      <c r="AA10" s="29"/>
      <c r="AB10" s="83"/>
      <c r="AC10" s="83"/>
      <c r="AD10" s="85"/>
      <c r="AE10" s="83"/>
      <c r="AF10" s="83"/>
      <c r="AG10" s="83"/>
      <c r="AH10" s="83"/>
      <c r="AI10" s="83"/>
      <c r="AJ10" s="24"/>
    </row>
    <row r="11" spans="1:36" x14ac:dyDescent="0.25">
      <c r="A11" s="80"/>
      <c r="B11" s="81"/>
      <c r="C11" s="81"/>
      <c r="D11" s="81"/>
      <c r="E11" s="78"/>
      <c r="F11" s="78"/>
      <c r="G11" s="80"/>
      <c r="H11" s="81"/>
      <c r="I11" s="25"/>
      <c r="J11" s="81"/>
      <c r="K11" s="78"/>
      <c r="L11" s="81"/>
      <c r="M11" s="78"/>
      <c r="N11" s="78"/>
      <c r="O11" s="78"/>
      <c r="P11" s="81"/>
      <c r="Q11" s="25"/>
      <c r="R11" s="81"/>
      <c r="S11" s="81"/>
      <c r="T11" s="81"/>
      <c r="U11" s="81"/>
      <c r="V11" s="81"/>
      <c r="W11" s="81"/>
      <c r="X11" s="81"/>
      <c r="Y11" s="25"/>
      <c r="Z11" s="81"/>
      <c r="AA11" s="81"/>
      <c r="AB11" s="81"/>
      <c r="AC11" s="81"/>
      <c r="AD11" s="82"/>
      <c r="AE11" s="81"/>
      <c r="AF11" s="81"/>
      <c r="AG11" s="81"/>
      <c r="AH11" s="81"/>
      <c r="AI11" s="81"/>
      <c r="AJ11" s="25"/>
    </row>
    <row r="12" spans="1:36" x14ac:dyDescent="0.25">
      <c r="A12" s="80"/>
      <c r="B12" s="78"/>
      <c r="C12" s="78"/>
      <c r="D12" s="78"/>
      <c r="E12" s="78"/>
      <c r="F12" s="78"/>
      <c r="G12" s="78"/>
      <c r="H12" s="78"/>
      <c r="I12" s="25"/>
      <c r="J12" s="78"/>
      <c r="K12" s="78"/>
      <c r="L12" s="78"/>
      <c r="M12" s="81"/>
      <c r="N12" s="78"/>
      <c r="O12" s="81"/>
      <c r="P12" s="81"/>
      <c r="Q12" s="25"/>
      <c r="R12" s="81"/>
      <c r="S12" s="86"/>
      <c r="T12" s="81"/>
      <c r="U12" s="81"/>
      <c r="V12" s="81"/>
      <c r="W12" s="81"/>
      <c r="X12" s="78"/>
      <c r="Y12" s="25"/>
      <c r="Z12" s="81"/>
      <c r="AA12" s="81"/>
      <c r="AB12" s="81"/>
      <c r="AC12" s="81"/>
      <c r="AD12" s="82"/>
      <c r="AE12" s="81"/>
      <c r="AF12" s="81"/>
      <c r="AG12" s="81"/>
      <c r="AH12" s="81"/>
      <c r="AI12" s="81"/>
      <c r="AJ12" s="25"/>
    </row>
    <row r="13" spans="1:36" x14ac:dyDescent="0.25">
      <c r="A13" s="80"/>
      <c r="B13" s="81"/>
      <c r="C13" s="81"/>
      <c r="D13" s="81"/>
      <c r="E13" s="81"/>
      <c r="F13" s="81"/>
      <c r="G13" s="81"/>
      <c r="H13" s="81"/>
      <c r="I13" s="25"/>
      <c r="J13" s="81"/>
      <c r="K13" s="81"/>
      <c r="L13" s="81"/>
      <c r="M13" s="81"/>
      <c r="N13" s="81"/>
      <c r="O13" s="81"/>
      <c r="P13" s="81"/>
      <c r="Q13" s="25"/>
      <c r="R13" s="81"/>
      <c r="S13" s="81"/>
      <c r="T13" s="81"/>
      <c r="U13" s="81"/>
      <c r="V13" s="81"/>
      <c r="W13" s="81"/>
      <c r="X13" s="81"/>
      <c r="Y13" s="25"/>
      <c r="Z13" s="81"/>
      <c r="AA13" s="81"/>
      <c r="AB13" s="81"/>
      <c r="AC13" s="81"/>
      <c r="AD13" s="82"/>
      <c r="AE13" s="81"/>
      <c r="AF13" s="81"/>
      <c r="AG13" s="81"/>
      <c r="AH13" s="81"/>
      <c r="AI13" s="81"/>
      <c r="AJ13" s="25"/>
    </row>
    <row r="14" spans="1:36" x14ac:dyDescent="0.25">
      <c r="A14" s="80"/>
      <c r="B14" s="81"/>
      <c r="C14" s="81"/>
      <c r="D14" s="81"/>
      <c r="E14" s="81"/>
      <c r="F14" s="81"/>
      <c r="G14" s="81"/>
      <c r="H14" s="81"/>
      <c r="I14" s="25"/>
      <c r="J14" s="81"/>
      <c r="K14" s="81"/>
      <c r="L14" s="81"/>
      <c r="M14" s="81"/>
      <c r="N14" s="81"/>
      <c r="O14" s="81"/>
      <c r="P14" s="81"/>
      <c r="Q14" s="25"/>
      <c r="R14" s="81"/>
      <c r="S14" s="81"/>
      <c r="T14" s="81"/>
      <c r="U14" s="81"/>
      <c r="V14" s="81"/>
      <c r="W14" s="81"/>
      <c r="X14" s="81"/>
      <c r="Y14" s="25"/>
      <c r="Z14" s="81"/>
      <c r="AA14" s="81"/>
      <c r="AB14" s="81"/>
      <c r="AC14" s="81"/>
      <c r="AD14" s="82"/>
      <c r="AE14" s="81"/>
      <c r="AF14" s="81"/>
      <c r="AG14" s="81"/>
      <c r="AH14" s="81"/>
      <c r="AI14" s="81"/>
      <c r="AJ14" s="25"/>
    </row>
    <row r="15" spans="1:36" x14ac:dyDescent="0.25">
      <c r="A15" s="80"/>
      <c r="B15" s="81"/>
      <c r="C15" s="81"/>
      <c r="D15" s="81"/>
      <c r="E15" s="81"/>
      <c r="F15" s="81"/>
      <c r="G15" s="81"/>
      <c r="H15" s="81"/>
      <c r="I15" s="25"/>
      <c r="J15" s="81"/>
      <c r="K15" s="81"/>
      <c r="L15" s="81"/>
      <c r="M15" s="81"/>
      <c r="N15" s="81"/>
      <c r="O15" s="81"/>
      <c r="P15" s="81"/>
      <c r="Q15" s="25"/>
      <c r="R15" s="28"/>
      <c r="S15" s="86"/>
      <c r="T15" s="80"/>
      <c r="U15" s="80"/>
      <c r="V15" s="80"/>
      <c r="W15" s="80"/>
      <c r="X15" s="80"/>
      <c r="Y15" s="24"/>
      <c r="Z15" s="80"/>
      <c r="AA15" s="80"/>
      <c r="AB15" s="81"/>
      <c r="AC15" s="81"/>
      <c r="AD15" s="82"/>
      <c r="AE15" s="80"/>
      <c r="AF15" s="80"/>
      <c r="AG15" s="81"/>
      <c r="AH15" s="81"/>
      <c r="AI15" s="81"/>
      <c r="AJ15" s="24"/>
    </row>
    <row r="16" spans="1:36" x14ac:dyDescent="0.25">
      <c r="A16" s="80"/>
      <c r="B16" s="81"/>
      <c r="C16" s="81"/>
      <c r="D16" s="81"/>
      <c r="E16" s="81"/>
      <c r="F16" s="81"/>
      <c r="G16" s="81"/>
      <c r="H16" s="81"/>
      <c r="I16" s="25"/>
      <c r="J16" s="81"/>
      <c r="K16" s="81"/>
      <c r="L16" s="81"/>
      <c r="M16" s="81"/>
      <c r="N16" s="81"/>
      <c r="O16" s="81"/>
      <c r="P16" s="81"/>
      <c r="Q16" s="25"/>
      <c r="R16" s="81"/>
      <c r="S16" s="81"/>
      <c r="T16" s="81"/>
      <c r="U16" s="81"/>
      <c r="V16" s="81"/>
      <c r="W16" s="81"/>
      <c r="X16" s="81"/>
      <c r="Y16" s="25"/>
      <c r="Z16" s="81"/>
      <c r="AA16" s="81"/>
      <c r="AB16" s="81"/>
      <c r="AC16" s="81"/>
      <c r="AD16" s="82"/>
      <c r="AE16" s="81"/>
      <c r="AF16" s="81"/>
      <c r="AG16" s="81"/>
      <c r="AH16" s="81"/>
      <c r="AI16" s="81"/>
      <c r="AJ16" s="25"/>
    </row>
    <row r="17" spans="1:36" x14ac:dyDescent="0.25">
      <c r="A17" s="80"/>
      <c r="B17" s="81"/>
      <c r="C17" s="81"/>
      <c r="D17" s="81"/>
      <c r="E17" s="81"/>
      <c r="F17" s="81"/>
      <c r="G17" s="81"/>
      <c r="H17" s="81"/>
      <c r="I17" s="25"/>
      <c r="J17" s="81"/>
      <c r="K17" s="81"/>
      <c r="L17" s="81"/>
      <c r="M17" s="81"/>
      <c r="N17" s="81"/>
      <c r="O17" s="81"/>
      <c r="P17" s="81"/>
      <c r="Q17" s="25"/>
      <c r="R17" s="78"/>
      <c r="S17" s="81"/>
      <c r="T17" s="81"/>
      <c r="U17" s="81"/>
      <c r="V17" s="78"/>
      <c r="W17" s="81"/>
      <c r="X17" s="81"/>
      <c r="Y17" s="25"/>
      <c r="Z17" s="81"/>
      <c r="AA17" s="81"/>
      <c r="AB17" s="81"/>
      <c r="AC17" s="81"/>
      <c r="AD17" s="82"/>
      <c r="AE17" s="81"/>
      <c r="AF17" s="81"/>
      <c r="AG17" s="81"/>
      <c r="AH17" s="81"/>
      <c r="AI17" s="81"/>
      <c r="AJ17" s="25"/>
    </row>
    <row r="18" spans="1:36" x14ac:dyDescent="0.25">
      <c r="A18" s="80"/>
      <c r="B18" s="81"/>
      <c r="C18" s="81"/>
      <c r="D18" s="25"/>
      <c r="E18" s="25"/>
      <c r="F18" s="81"/>
      <c r="G18" s="81"/>
      <c r="H18" s="81"/>
      <c r="I18" s="25"/>
      <c r="J18" s="81"/>
      <c r="K18" s="78"/>
      <c r="L18" s="81"/>
      <c r="M18" s="81"/>
      <c r="N18" s="81"/>
      <c r="O18" s="81"/>
      <c r="P18" s="81"/>
      <c r="Q18" s="25"/>
      <c r="R18" s="81"/>
      <c r="S18" s="81"/>
      <c r="T18" s="81"/>
      <c r="U18" s="81"/>
      <c r="V18" s="81"/>
      <c r="W18" s="81"/>
      <c r="X18" s="81"/>
      <c r="Y18" s="25"/>
      <c r="Z18" s="81"/>
      <c r="AA18" s="81"/>
      <c r="AB18" s="81"/>
      <c r="AC18" s="81"/>
      <c r="AD18" s="82"/>
      <c r="AE18" s="81"/>
      <c r="AF18" s="81"/>
      <c r="AG18" s="81"/>
      <c r="AH18" s="81"/>
      <c r="AI18" s="81"/>
      <c r="AJ18" s="25"/>
    </row>
    <row r="19" spans="1:36" x14ac:dyDescent="0.25">
      <c r="A19" s="80"/>
      <c r="B19" s="29"/>
      <c r="C19" s="29"/>
      <c r="D19" s="29"/>
      <c r="E19" s="29"/>
      <c r="F19" s="29"/>
      <c r="G19" s="29"/>
      <c r="H19" s="29"/>
      <c r="I19" s="24"/>
      <c r="J19" s="29"/>
      <c r="K19" s="83"/>
      <c r="L19" s="29"/>
      <c r="M19" s="83"/>
      <c r="N19" s="83"/>
      <c r="O19" s="83"/>
      <c r="P19" s="83"/>
      <c r="Q19" s="24"/>
      <c r="R19" s="29"/>
      <c r="S19" s="29"/>
      <c r="T19" s="29"/>
      <c r="U19" s="29"/>
      <c r="V19" s="29"/>
      <c r="W19" s="29"/>
      <c r="X19" s="29"/>
      <c r="Y19" s="24"/>
      <c r="Z19" s="29"/>
      <c r="AA19" s="29"/>
      <c r="AB19" s="29"/>
      <c r="AC19" s="29"/>
      <c r="AD19" s="17"/>
      <c r="AE19" s="29"/>
      <c r="AF19" s="29"/>
      <c r="AG19" s="29"/>
      <c r="AH19" s="29"/>
      <c r="AI19" s="29"/>
      <c r="AJ19" s="24"/>
    </row>
    <row r="20" spans="1:36" x14ac:dyDescent="0.25">
      <c r="A20" s="80"/>
      <c r="B20" s="81"/>
      <c r="C20" s="81"/>
      <c r="D20" s="81"/>
      <c r="E20" s="81"/>
      <c r="F20" s="81"/>
      <c r="G20" s="81"/>
      <c r="H20" s="81"/>
      <c r="I20" s="25"/>
      <c r="J20" s="81"/>
      <c r="K20" s="81"/>
      <c r="L20" s="81"/>
      <c r="M20" s="81"/>
      <c r="N20" s="81"/>
      <c r="O20" s="81"/>
      <c r="P20" s="81"/>
      <c r="Q20" s="25"/>
      <c r="R20" s="81"/>
      <c r="S20" s="81"/>
      <c r="T20" s="81"/>
      <c r="U20" s="81"/>
      <c r="V20" s="81"/>
      <c r="W20" s="81"/>
      <c r="X20" s="81"/>
      <c r="Y20" s="25"/>
      <c r="Z20" s="81"/>
      <c r="AA20" s="81"/>
      <c r="AB20" s="81"/>
      <c r="AC20" s="81"/>
      <c r="AD20" s="82"/>
      <c r="AE20" s="81"/>
      <c r="AF20" s="81"/>
      <c r="AG20" s="81"/>
      <c r="AH20" s="81"/>
      <c r="AI20" s="81"/>
      <c r="AJ20" s="25"/>
    </row>
    <row r="21" spans="1:36" x14ac:dyDescent="0.25">
      <c r="A21" s="80"/>
      <c r="B21" s="81"/>
      <c r="C21" s="81"/>
      <c r="D21" s="81"/>
      <c r="E21" s="81"/>
      <c r="F21" s="81"/>
      <c r="G21" s="81"/>
      <c r="H21" s="81"/>
      <c r="I21" s="25"/>
      <c r="J21" s="81"/>
      <c r="K21" s="81"/>
      <c r="L21" s="81"/>
      <c r="M21" s="81"/>
      <c r="N21" s="81"/>
      <c r="O21" s="81"/>
      <c r="P21" s="81"/>
      <c r="Q21" s="25"/>
      <c r="R21" s="81"/>
      <c r="S21" s="81"/>
      <c r="T21" s="81"/>
      <c r="U21" s="81"/>
      <c r="V21" s="81"/>
      <c r="W21" s="81"/>
      <c r="X21" s="81"/>
      <c r="Y21" s="25"/>
      <c r="Z21" s="81"/>
      <c r="AA21" s="81"/>
      <c r="AB21" s="81"/>
      <c r="AC21" s="81"/>
      <c r="AD21" s="82"/>
      <c r="AE21" s="81"/>
      <c r="AF21" s="81"/>
      <c r="AG21" s="81"/>
      <c r="AH21" s="81"/>
      <c r="AI21" s="81"/>
      <c r="AJ21" s="25"/>
    </row>
    <row r="22" spans="1:36" x14ac:dyDescent="0.25">
      <c r="A22" s="80"/>
      <c r="B22" s="81"/>
      <c r="C22" s="81"/>
      <c r="D22" s="81"/>
      <c r="E22" s="81"/>
      <c r="F22" s="81"/>
      <c r="G22" s="81"/>
      <c r="H22" s="78"/>
      <c r="I22" s="25"/>
      <c r="J22" s="81"/>
      <c r="K22" s="81"/>
      <c r="L22" s="81"/>
      <c r="M22" s="81"/>
      <c r="N22" s="81"/>
      <c r="O22" s="81"/>
      <c r="P22" s="81"/>
      <c r="Q22" s="25"/>
      <c r="R22" s="81"/>
      <c r="S22" s="81"/>
      <c r="T22" s="81"/>
      <c r="U22" s="81"/>
      <c r="V22" s="81"/>
      <c r="W22" s="81"/>
      <c r="X22" s="81"/>
      <c r="Y22" s="25"/>
      <c r="Z22" s="81"/>
      <c r="AA22" s="81"/>
      <c r="AB22" s="81"/>
      <c r="AC22" s="81"/>
      <c r="AD22" s="82"/>
      <c r="AE22" s="81"/>
      <c r="AF22" s="81"/>
      <c r="AG22" s="81"/>
      <c r="AH22" s="81"/>
      <c r="AI22" s="81"/>
      <c r="AJ22" s="25"/>
    </row>
    <row r="23" spans="1:36" x14ac:dyDescent="0.25">
      <c r="A23" s="80"/>
      <c r="B23" s="81"/>
      <c r="C23" s="81"/>
      <c r="D23" s="81"/>
      <c r="E23" s="81"/>
      <c r="F23" s="81"/>
      <c r="G23" s="81"/>
      <c r="H23" s="81"/>
      <c r="I23" s="25"/>
      <c r="J23" s="81"/>
      <c r="K23" s="81"/>
      <c r="L23" s="81"/>
      <c r="M23" s="81"/>
      <c r="N23" s="81"/>
      <c r="O23" s="81"/>
      <c r="P23" s="81"/>
      <c r="Q23" s="25"/>
      <c r="R23" s="81"/>
      <c r="S23" s="81"/>
      <c r="T23" s="81"/>
      <c r="U23" s="81"/>
      <c r="V23" s="81"/>
      <c r="W23" s="81"/>
      <c r="X23" s="81"/>
      <c r="Y23" s="25"/>
      <c r="Z23" s="81"/>
      <c r="AA23" s="81"/>
      <c r="AB23" s="81"/>
      <c r="AC23" s="81"/>
      <c r="AD23" s="82"/>
      <c r="AE23" s="81"/>
      <c r="AF23" s="81"/>
      <c r="AG23" s="81"/>
      <c r="AH23" s="81"/>
      <c r="AI23" s="81"/>
      <c r="AJ23" s="25"/>
    </row>
    <row r="24" spans="1:36" x14ac:dyDescent="0.25">
      <c r="A24" s="80"/>
      <c r="B24" s="29"/>
      <c r="C24" s="29"/>
      <c r="D24" s="29"/>
      <c r="E24" s="29"/>
      <c r="F24" s="29"/>
      <c r="G24" s="29"/>
      <c r="H24" s="29"/>
      <c r="I24" s="24"/>
      <c r="J24" s="29"/>
      <c r="K24" s="83"/>
      <c r="L24" s="83"/>
      <c r="M24" s="83"/>
      <c r="N24" s="83"/>
      <c r="O24" s="83"/>
      <c r="P24" s="83"/>
      <c r="Q24" s="24"/>
      <c r="R24" s="29"/>
      <c r="S24" s="29"/>
      <c r="T24" s="29"/>
      <c r="U24" s="29"/>
      <c r="V24" s="29"/>
      <c r="W24" s="29"/>
      <c r="X24" s="29"/>
      <c r="Y24" s="24"/>
      <c r="Z24" s="29"/>
      <c r="AA24" s="29"/>
      <c r="AB24" s="29"/>
      <c r="AC24" s="29"/>
      <c r="AD24" s="17"/>
      <c r="AE24" s="29"/>
      <c r="AF24" s="29"/>
      <c r="AG24" s="29"/>
      <c r="AH24" s="29"/>
      <c r="AI24" s="29"/>
      <c r="AJ24" s="24"/>
    </row>
    <row r="25" spans="1:36" x14ac:dyDescent="0.25">
      <c r="A25" s="80"/>
      <c r="B25" s="78"/>
      <c r="C25" s="28"/>
      <c r="D25" s="78"/>
      <c r="E25" s="78"/>
      <c r="F25" s="78"/>
      <c r="G25" s="78"/>
      <c r="H25" s="78"/>
      <c r="I25" s="25"/>
      <c r="J25" s="78"/>
      <c r="K25" s="78"/>
      <c r="L25" s="78"/>
      <c r="M25" s="78"/>
      <c r="N25" s="78"/>
      <c r="O25" s="78"/>
      <c r="P25" s="78"/>
      <c r="Q25" s="25"/>
      <c r="R25" s="78"/>
      <c r="S25" s="78"/>
      <c r="T25" s="78"/>
      <c r="U25" s="78"/>
      <c r="V25" s="78"/>
      <c r="W25" s="78"/>
      <c r="X25" s="78"/>
      <c r="Y25" s="25"/>
      <c r="Z25" s="78"/>
      <c r="AA25" s="78"/>
      <c r="AB25" s="78"/>
      <c r="AC25" s="78"/>
      <c r="AD25" s="26"/>
      <c r="AE25" s="78"/>
      <c r="AF25" s="78"/>
      <c r="AG25" s="78"/>
      <c r="AH25" s="78"/>
      <c r="AI25" s="78"/>
      <c r="AJ25" s="25"/>
    </row>
    <row r="26" spans="1:36" x14ac:dyDescent="0.25">
      <c r="A26" s="80"/>
      <c r="B26" s="29"/>
      <c r="C26" s="29"/>
      <c r="D26" s="29"/>
      <c r="E26" s="29"/>
      <c r="F26" s="29"/>
      <c r="G26" s="29"/>
      <c r="H26" s="29"/>
      <c r="I26" s="24"/>
      <c r="J26" s="29"/>
      <c r="K26" s="83"/>
      <c r="L26" s="83"/>
      <c r="M26" s="83"/>
      <c r="N26" s="83"/>
      <c r="O26" s="83"/>
      <c r="P26" s="83"/>
      <c r="Q26" s="24"/>
      <c r="R26" s="29"/>
      <c r="S26" s="29"/>
      <c r="T26" s="29"/>
      <c r="U26" s="29"/>
      <c r="V26" s="29"/>
      <c r="W26" s="29"/>
      <c r="X26" s="29"/>
      <c r="Y26" s="24"/>
      <c r="Z26" s="29"/>
      <c r="AA26" s="29"/>
      <c r="AB26" s="29"/>
      <c r="AC26" s="29"/>
      <c r="AD26" s="17"/>
      <c r="AE26" s="29"/>
      <c r="AF26" s="29"/>
      <c r="AG26" s="29"/>
      <c r="AH26" s="29"/>
      <c r="AI26" s="29"/>
      <c r="AJ26" s="24"/>
    </row>
    <row r="27" spans="1:36" x14ac:dyDescent="0.25">
      <c r="A27" s="80"/>
      <c r="B27" s="29"/>
      <c r="C27" s="29"/>
      <c r="D27" s="29"/>
      <c r="E27" s="29"/>
      <c r="F27" s="29"/>
      <c r="G27" s="29"/>
      <c r="H27" s="29"/>
      <c r="I27" s="24"/>
      <c r="J27" s="29"/>
      <c r="K27" s="83"/>
      <c r="L27" s="83"/>
      <c r="M27" s="83"/>
      <c r="N27" s="83"/>
      <c r="O27" s="83"/>
      <c r="P27" s="83"/>
      <c r="Q27" s="24"/>
      <c r="R27" s="29"/>
      <c r="S27" s="29"/>
      <c r="T27" s="29"/>
      <c r="U27" s="29"/>
      <c r="V27" s="29"/>
      <c r="W27" s="29"/>
      <c r="X27" s="29"/>
      <c r="Y27" s="24"/>
      <c r="Z27" s="29"/>
      <c r="AA27" s="29"/>
      <c r="AB27" s="29"/>
      <c r="AC27" s="29"/>
      <c r="AD27" s="17"/>
      <c r="AE27" s="29"/>
      <c r="AF27" s="29"/>
      <c r="AG27" s="29"/>
      <c r="AH27" s="29"/>
      <c r="AI27" s="29"/>
      <c r="AJ27" s="24"/>
    </row>
    <row r="28" spans="1:36" x14ac:dyDescent="0.25">
      <c r="A28" s="80"/>
      <c r="B28" s="29"/>
      <c r="C28" s="29"/>
      <c r="D28" s="29"/>
      <c r="E28" s="29"/>
      <c r="F28" s="29"/>
      <c r="G28" s="29"/>
      <c r="H28" s="29"/>
      <c r="I28" s="24"/>
      <c r="J28" s="29"/>
      <c r="K28" s="83"/>
      <c r="L28" s="83"/>
      <c r="M28" s="83"/>
      <c r="N28" s="83"/>
      <c r="O28" s="83"/>
      <c r="P28" s="83"/>
      <c r="Q28" s="24"/>
      <c r="R28" s="29"/>
      <c r="S28" s="29"/>
      <c r="T28" s="29"/>
      <c r="U28" s="29"/>
      <c r="V28" s="29"/>
      <c r="W28" s="29"/>
      <c r="X28" s="29"/>
      <c r="Y28" s="24"/>
      <c r="Z28" s="29"/>
      <c r="AA28" s="29"/>
      <c r="AB28" s="29"/>
      <c r="AC28" s="29"/>
      <c r="AD28" s="17"/>
      <c r="AE28" s="29"/>
      <c r="AF28" s="29"/>
      <c r="AG28" s="29"/>
      <c r="AH28" s="29"/>
      <c r="AI28" s="29"/>
      <c r="AJ28" s="24"/>
    </row>
    <row r="29" spans="1:36" x14ac:dyDescent="0.25">
      <c r="A29" s="80"/>
      <c r="B29" s="29"/>
      <c r="C29" s="29"/>
      <c r="D29" s="29"/>
      <c r="E29" s="29"/>
      <c r="F29" s="29"/>
      <c r="G29" s="29"/>
      <c r="H29" s="29"/>
      <c r="I29" s="24"/>
      <c r="J29" s="29"/>
      <c r="K29" s="83"/>
      <c r="L29" s="83"/>
      <c r="M29" s="83"/>
      <c r="N29" s="83"/>
      <c r="O29" s="83"/>
      <c r="P29" s="83"/>
      <c r="Q29" s="24"/>
      <c r="R29" s="29"/>
      <c r="S29" s="29"/>
      <c r="T29" s="29"/>
      <c r="U29" s="29"/>
      <c r="V29" s="29"/>
      <c r="W29" s="29"/>
      <c r="X29" s="29"/>
      <c r="Y29" s="24"/>
      <c r="Z29" s="29"/>
      <c r="AA29" s="29"/>
      <c r="AB29" s="29"/>
      <c r="AC29" s="29"/>
      <c r="AD29" s="17"/>
      <c r="AE29" s="29"/>
      <c r="AF29" s="29"/>
      <c r="AG29" s="29"/>
      <c r="AH29" s="29"/>
      <c r="AI29" s="29"/>
      <c r="AJ29" s="24"/>
    </row>
    <row r="30" spans="1:36" x14ac:dyDescent="0.25">
      <c r="A30" s="80"/>
      <c r="B30" s="78"/>
      <c r="C30" s="80"/>
      <c r="D30" s="28"/>
      <c r="E30" s="78"/>
      <c r="F30" s="78"/>
      <c r="G30" s="78"/>
      <c r="H30" s="78"/>
      <c r="I30" s="25"/>
      <c r="J30" s="78"/>
      <c r="K30" s="78"/>
      <c r="L30" s="78"/>
      <c r="M30" s="78"/>
      <c r="N30" s="78"/>
      <c r="O30" s="78"/>
      <c r="P30" s="78"/>
      <c r="Q30" s="25"/>
      <c r="R30" s="78"/>
      <c r="S30" s="78"/>
      <c r="T30" s="78"/>
      <c r="U30" s="78"/>
      <c r="V30" s="78"/>
      <c r="W30" s="28"/>
      <c r="X30" s="28"/>
      <c r="Y30" s="25"/>
      <c r="Z30" s="78"/>
      <c r="AA30" s="78"/>
      <c r="AB30" s="78"/>
      <c r="AC30" s="28"/>
      <c r="AD30" s="16"/>
      <c r="AE30" s="28"/>
      <c r="AF30" s="28"/>
      <c r="AG30" s="28"/>
      <c r="AH30" s="28"/>
      <c r="AI30" s="28"/>
      <c r="AJ30" s="24"/>
    </row>
    <row r="31" spans="1:36" x14ac:dyDescent="0.25">
      <c r="A31" s="80"/>
      <c r="B31" s="81"/>
      <c r="C31" s="81"/>
      <c r="D31" s="81"/>
      <c r="E31" s="81"/>
      <c r="F31" s="81"/>
      <c r="G31" s="81"/>
      <c r="H31" s="81"/>
      <c r="I31" s="25"/>
      <c r="J31" s="81"/>
      <c r="K31" s="81"/>
      <c r="L31" s="81"/>
      <c r="M31" s="81"/>
      <c r="N31" s="81"/>
      <c r="O31" s="81"/>
      <c r="P31" s="81"/>
      <c r="Q31" s="25"/>
      <c r="R31" s="81"/>
      <c r="S31" s="81"/>
      <c r="T31" s="81"/>
      <c r="U31" s="81"/>
      <c r="V31" s="81"/>
      <c r="W31" s="81"/>
      <c r="X31" s="81"/>
      <c r="Y31" s="25"/>
      <c r="Z31" s="81"/>
      <c r="AA31" s="81"/>
      <c r="AB31" s="81"/>
      <c r="AC31" s="81"/>
      <c r="AD31" s="82"/>
      <c r="AE31" s="81"/>
      <c r="AF31" s="81"/>
      <c r="AG31" s="81"/>
      <c r="AH31" s="81"/>
      <c r="AI31" s="81"/>
      <c r="AJ31" s="25"/>
    </row>
    <row r="32" spans="1:36" x14ac:dyDescent="0.25">
      <c r="A32" s="80"/>
      <c r="B32" s="29"/>
      <c r="C32" s="29"/>
      <c r="D32" s="29"/>
      <c r="E32" s="29"/>
      <c r="F32" s="29"/>
      <c r="G32" s="29"/>
      <c r="H32" s="29"/>
      <c r="I32" s="24"/>
      <c r="J32" s="29"/>
      <c r="K32" s="83"/>
      <c r="L32" s="83"/>
      <c r="M32" s="83"/>
      <c r="N32" s="83"/>
      <c r="O32" s="83"/>
      <c r="P32" s="83"/>
      <c r="Q32" s="24"/>
      <c r="R32" s="29"/>
      <c r="S32" s="29"/>
      <c r="T32" s="29"/>
      <c r="U32" s="29"/>
      <c r="V32" s="29"/>
      <c r="W32" s="29"/>
      <c r="X32" s="29"/>
      <c r="Y32" s="24"/>
      <c r="Z32" s="29"/>
      <c r="AA32" s="29"/>
      <c r="AB32" s="29"/>
      <c r="AC32" s="29"/>
      <c r="AD32" s="17"/>
      <c r="AE32" s="83"/>
      <c r="AF32" s="83"/>
      <c r="AG32" s="83"/>
      <c r="AH32" s="29"/>
      <c r="AI32" s="83"/>
      <c r="AJ32" s="24"/>
    </row>
    <row r="33" spans="1:36" x14ac:dyDescent="0.25">
      <c r="A33" s="80"/>
      <c r="B33" s="81"/>
      <c r="C33" s="81"/>
      <c r="D33" s="81"/>
      <c r="E33" s="81"/>
      <c r="F33" s="81"/>
      <c r="G33" s="81"/>
      <c r="H33" s="81"/>
      <c r="I33" s="25"/>
      <c r="J33" s="81"/>
      <c r="K33" s="81"/>
      <c r="L33" s="81"/>
      <c r="M33" s="81"/>
      <c r="N33" s="81"/>
      <c r="O33" s="81"/>
      <c r="P33" s="81"/>
      <c r="Q33" s="25"/>
      <c r="R33" s="81"/>
      <c r="S33" s="81"/>
      <c r="T33" s="81"/>
      <c r="U33" s="81"/>
      <c r="V33" s="81"/>
      <c r="W33" s="81"/>
      <c r="X33" s="81"/>
      <c r="Y33" s="25"/>
      <c r="Z33" s="81"/>
      <c r="AA33" s="81"/>
      <c r="AB33" s="81"/>
      <c r="AC33" s="78"/>
      <c r="AD33" s="26"/>
      <c r="AE33" s="81"/>
      <c r="AF33" s="81"/>
      <c r="AG33" s="81"/>
      <c r="AH33" s="81"/>
      <c r="AI33" s="81"/>
      <c r="AJ33" s="25"/>
    </row>
    <row r="34" spans="1:36" x14ac:dyDescent="0.25">
      <c r="A34" s="80"/>
      <c r="B34" s="78"/>
      <c r="C34" s="78"/>
      <c r="D34" s="78"/>
      <c r="E34" s="78"/>
      <c r="F34" s="78"/>
      <c r="G34" s="78"/>
      <c r="H34" s="78"/>
      <c r="I34" s="25"/>
      <c r="J34" s="78"/>
      <c r="K34" s="78"/>
      <c r="L34" s="78"/>
      <c r="M34" s="78"/>
      <c r="N34" s="78"/>
      <c r="O34" s="78"/>
      <c r="P34" s="78"/>
      <c r="Q34" s="25"/>
      <c r="R34" s="78"/>
      <c r="S34" s="78"/>
      <c r="T34" s="78"/>
      <c r="U34" s="78"/>
      <c r="V34" s="78"/>
      <c r="W34" s="78"/>
      <c r="X34" s="78"/>
      <c r="Y34" s="25"/>
      <c r="Z34" s="28"/>
      <c r="AA34" s="78"/>
      <c r="AB34" s="78"/>
      <c r="AC34" s="78"/>
      <c r="AD34" s="26"/>
      <c r="AE34" s="78"/>
      <c r="AF34" s="78"/>
      <c r="AG34" s="78"/>
      <c r="AH34" s="78"/>
      <c r="AI34" s="78"/>
      <c r="AJ34" s="24"/>
    </row>
    <row r="35" spans="1:36" x14ac:dyDescent="0.25">
      <c r="A35" s="80"/>
      <c r="B35" s="78"/>
      <c r="C35" s="78"/>
      <c r="D35" s="78"/>
      <c r="E35" s="78"/>
      <c r="F35" s="78"/>
      <c r="G35" s="78"/>
      <c r="H35" s="78"/>
      <c r="I35" s="25"/>
      <c r="J35" s="78"/>
      <c r="K35" s="78"/>
      <c r="L35" s="78"/>
      <c r="M35" s="78"/>
      <c r="N35" s="78"/>
      <c r="O35" s="78"/>
      <c r="P35" s="78"/>
      <c r="Q35" s="25"/>
      <c r="R35" s="78"/>
      <c r="S35" s="78"/>
      <c r="T35" s="78"/>
      <c r="U35" s="78"/>
      <c r="V35" s="78"/>
      <c r="W35" s="78"/>
      <c r="X35" s="78"/>
      <c r="Y35" s="25"/>
      <c r="Z35" s="78"/>
      <c r="AA35" s="78"/>
      <c r="AB35" s="78"/>
      <c r="AC35" s="78"/>
      <c r="AD35" s="26"/>
      <c r="AE35" s="78"/>
      <c r="AF35" s="78"/>
      <c r="AG35" s="78"/>
      <c r="AH35" s="78"/>
      <c r="AI35" s="78"/>
      <c r="AJ35" s="25"/>
    </row>
    <row r="36" spans="1:36" x14ac:dyDescent="0.25">
      <c r="A36" s="80"/>
      <c r="B36" s="78"/>
      <c r="C36" s="78"/>
      <c r="D36" s="78"/>
      <c r="E36" s="78"/>
      <c r="F36" s="78"/>
      <c r="G36" s="78"/>
      <c r="H36" s="78"/>
      <c r="I36" s="25"/>
      <c r="J36" s="78"/>
      <c r="K36" s="78"/>
      <c r="L36" s="78"/>
      <c r="M36" s="78"/>
      <c r="N36" s="78"/>
      <c r="O36" s="78"/>
      <c r="P36" s="78"/>
      <c r="Q36" s="25"/>
      <c r="R36" s="78"/>
      <c r="S36" s="78"/>
      <c r="T36" s="78"/>
      <c r="U36" s="78"/>
      <c r="V36" s="81"/>
      <c r="W36" s="78"/>
      <c r="X36" s="78"/>
      <c r="Y36" s="25"/>
      <c r="Z36" s="81"/>
      <c r="AA36" s="81"/>
      <c r="AB36" s="81"/>
      <c r="AC36" s="81"/>
      <c r="AD36" s="82"/>
      <c r="AE36" s="81"/>
      <c r="AF36" s="81"/>
      <c r="AG36" s="81"/>
      <c r="AH36" s="81"/>
      <c r="AI36" s="81"/>
      <c r="AJ36" s="25"/>
    </row>
    <row r="37" spans="1:36" x14ac:dyDescent="0.25">
      <c r="A37" s="80"/>
      <c r="B37" s="78"/>
      <c r="C37" s="81"/>
      <c r="D37" s="81"/>
      <c r="E37" s="81"/>
      <c r="F37" s="78"/>
      <c r="G37" s="81"/>
      <c r="H37" s="81"/>
      <c r="I37" s="25"/>
      <c r="J37" s="81"/>
      <c r="K37" s="81"/>
      <c r="L37" s="78"/>
      <c r="M37" s="81"/>
      <c r="N37" s="81"/>
      <c r="O37" s="78"/>
      <c r="P37" s="81"/>
      <c r="Q37" s="25"/>
      <c r="R37" s="81"/>
      <c r="S37" s="81"/>
      <c r="T37" s="81"/>
      <c r="U37" s="81"/>
      <c r="V37" s="81"/>
      <c r="W37" s="81"/>
      <c r="X37" s="81"/>
      <c r="Y37" s="25"/>
      <c r="Z37" s="81"/>
      <c r="AA37" s="81"/>
      <c r="AB37" s="81"/>
      <c r="AC37" s="81"/>
      <c r="AD37" s="82"/>
      <c r="AE37" s="81"/>
      <c r="AF37" s="81"/>
      <c r="AG37" s="81"/>
      <c r="AH37" s="81"/>
      <c r="AI37" s="81"/>
      <c r="AJ37" s="25"/>
    </row>
    <row r="38" spans="1:36" x14ac:dyDescent="0.25">
      <c r="A38" s="80"/>
      <c r="B38" s="81"/>
      <c r="C38" s="81"/>
      <c r="D38" s="81"/>
      <c r="E38" s="81"/>
      <c r="F38" s="81"/>
      <c r="G38" s="81"/>
      <c r="H38" s="81"/>
      <c r="I38" s="25"/>
      <c r="J38" s="81"/>
      <c r="K38" s="81"/>
      <c r="L38" s="78"/>
      <c r="M38" s="81"/>
      <c r="N38" s="81"/>
      <c r="O38" s="81"/>
      <c r="P38" s="81"/>
      <c r="Q38" s="25"/>
      <c r="R38" s="81"/>
      <c r="S38" s="81"/>
      <c r="T38" s="81"/>
      <c r="U38" s="81"/>
      <c r="V38" s="81"/>
      <c r="W38" s="81"/>
      <c r="X38" s="81"/>
      <c r="Y38" s="25"/>
      <c r="Z38" s="81"/>
      <c r="AA38" s="81"/>
      <c r="AB38" s="81"/>
      <c r="AC38" s="81"/>
      <c r="AD38" s="82"/>
      <c r="AE38" s="81"/>
      <c r="AF38" s="81"/>
      <c r="AG38" s="81"/>
      <c r="AH38" s="81"/>
      <c r="AI38" s="81"/>
      <c r="AJ38" s="25"/>
    </row>
    <row r="39" spans="1:36" x14ac:dyDescent="0.25">
      <c r="A39" s="80"/>
      <c r="B39" s="29"/>
      <c r="C39" s="29"/>
      <c r="D39" s="29"/>
      <c r="E39" s="29"/>
      <c r="F39" s="29"/>
      <c r="G39" s="29"/>
      <c r="H39" s="29"/>
      <c r="I39" s="24"/>
      <c r="J39" s="29"/>
      <c r="K39" s="83"/>
      <c r="L39" s="83"/>
      <c r="M39" s="83"/>
      <c r="N39" s="83"/>
      <c r="O39" s="83"/>
      <c r="P39" s="83"/>
      <c r="Q39" s="24"/>
      <c r="R39" s="29"/>
      <c r="S39" s="29"/>
      <c r="T39" s="29"/>
      <c r="U39" s="29"/>
      <c r="V39" s="29"/>
      <c r="W39" s="29"/>
      <c r="X39" s="29"/>
      <c r="Y39" s="24"/>
      <c r="Z39" s="29"/>
      <c r="AA39" s="29"/>
      <c r="AB39" s="29"/>
      <c r="AC39" s="29"/>
      <c r="AD39" s="85"/>
      <c r="AE39" s="83"/>
      <c r="AF39" s="83"/>
      <c r="AG39" s="83"/>
      <c r="AH39" s="29"/>
      <c r="AI39" s="29"/>
      <c r="AJ39" s="24"/>
    </row>
    <row r="40" spans="1:36" x14ac:dyDescent="0.25">
      <c r="A40" s="80"/>
      <c r="B40" s="78"/>
      <c r="C40" s="78"/>
      <c r="D40" s="78"/>
      <c r="E40" s="78"/>
      <c r="F40" s="78"/>
      <c r="G40" s="78"/>
      <c r="H40" s="78"/>
      <c r="I40" s="25"/>
      <c r="J40" s="78"/>
      <c r="K40" s="81"/>
      <c r="L40" s="78"/>
      <c r="M40" s="78"/>
      <c r="N40" s="78"/>
      <c r="O40" s="78"/>
      <c r="P40" s="78"/>
      <c r="Q40" s="25"/>
      <c r="R40" s="28"/>
      <c r="S40" s="78"/>
      <c r="T40" s="78"/>
      <c r="U40" s="78"/>
      <c r="V40" s="78"/>
      <c r="W40" s="78"/>
      <c r="X40" s="78"/>
      <c r="Y40" s="25"/>
      <c r="Z40" s="28"/>
      <c r="AA40" s="28"/>
      <c r="AB40" s="78"/>
      <c r="AC40" s="78"/>
      <c r="AD40" s="26"/>
      <c r="AE40" s="78"/>
      <c r="AF40" s="78"/>
      <c r="AG40" s="78"/>
      <c r="AH40" s="28"/>
      <c r="AI40" s="28"/>
      <c r="AJ40" s="24"/>
    </row>
    <row r="41" spans="1:36" x14ac:dyDescent="0.25">
      <c r="A41" s="80"/>
      <c r="B41" s="80"/>
      <c r="C41" s="81"/>
      <c r="D41" s="81"/>
      <c r="E41" s="81"/>
      <c r="F41" s="81"/>
      <c r="G41" s="81"/>
      <c r="H41" s="78"/>
      <c r="I41" s="24"/>
      <c r="J41" s="28"/>
      <c r="K41" s="78"/>
      <c r="L41" s="78"/>
      <c r="M41" s="78"/>
      <c r="N41" s="78"/>
      <c r="O41" s="78"/>
      <c r="P41" s="78"/>
      <c r="Q41" s="25"/>
      <c r="R41" s="28"/>
      <c r="S41" s="28"/>
      <c r="T41" s="28"/>
      <c r="U41" s="28"/>
      <c r="V41" s="78"/>
      <c r="W41" s="78"/>
      <c r="X41" s="28"/>
      <c r="Y41" s="25"/>
      <c r="Z41" s="28"/>
      <c r="AA41" s="78"/>
      <c r="AB41" s="78"/>
      <c r="AC41" s="28"/>
      <c r="AD41" s="26"/>
      <c r="AE41" s="78"/>
      <c r="AF41" s="78"/>
      <c r="AG41" s="81"/>
      <c r="AH41" s="81"/>
      <c r="AI41" s="78"/>
      <c r="AJ41" s="25"/>
    </row>
    <row r="42" spans="1:36" x14ac:dyDescent="0.25">
      <c r="A42" s="80"/>
      <c r="B42" s="81"/>
      <c r="C42" s="81"/>
      <c r="D42" s="81"/>
      <c r="E42" s="81"/>
      <c r="F42" s="81"/>
      <c r="G42" s="81"/>
      <c r="H42" s="81"/>
      <c r="I42" s="25"/>
      <c r="J42" s="81"/>
      <c r="K42" s="78"/>
      <c r="L42" s="78"/>
      <c r="M42" s="78"/>
      <c r="N42" s="78"/>
      <c r="O42" s="81"/>
      <c r="P42" s="78"/>
      <c r="Q42" s="25"/>
      <c r="R42" s="78"/>
      <c r="S42" s="81"/>
      <c r="T42" s="81"/>
      <c r="U42" s="81"/>
      <c r="V42" s="81"/>
      <c r="W42" s="81"/>
      <c r="X42" s="81"/>
      <c r="Y42" s="25"/>
      <c r="Z42" s="81"/>
      <c r="AA42" s="81"/>
      <c r="AB42" s="81"/>
      <c r="AC42" s="81"/>
      <c r="AD42" s="82"/>
      <c r="AE42" s="81"/>
      <c r="AF42" s="81"/>
      <c r="AG42" s="81"/>
      <c r="AH42" s="81"/>
      <c r="AI42" s="78"/>
      <c r="AJ42" s="25"/>
    </row>
    <row r="43" spans="1:36" x14ac:dyDescent="0.25">
      <c r="A43" s="80"/>
      <c r="B43" s="78"/>
      <c r="C43" s="80"/>
      <c r="D43" s="28"/>
      <c r="E43" s="28"/>
      <c r="F43" s="28"/>
      <c r="G43" s="28"/>
      <c r="H43" s="28"/>
      <c r="I43" s="25"/>
      <c r="J43" s="28"/>
      <c r="K43" s="78"/>
      <c r="L43" s="78"/>
      <c r="M43" s="78"/>
      <c r="N43" s="78"/>
      <c r="O43" s="78"/>
      <c r="P43" s="78"/>
      <c r="Q43" s="24"/>
      <c r="R43" s="28"/>
      <c r="S43" s="28"/>
      <c r="T43" s="28"/>
      <c r="U43" s="28"/>
      <c r="V43" s="28"/>
      <c r="W43" s="28"/>
      <c r="X43" s="28"/>
      <c r="Y43" s="24"/>
      <c r="Z43" s="28"/>
      <c r="AA43" s="28"/>
      <c r="AB43" s="28"/>
      <c r="AC43" s="28"/>
      <c r="AD43" s="26"/>
      <c r="AE43" s="78"/>
      <c r="AF43" s="78"/>
      <c r="AG43" s="78"/>
      <c r="AH43" s="28"/>
      <c r="AI43" s="78"/>
      <c r="AJ43" s="24"/>
    </row>
    <row r="44" spans="1:36" x14ac:dyDescent="0.25">
      <c r="A44" s="80"/>
      <c r="B44" s="83"/>
      <c r="C44" s="83"/>
      <c r="D44" s="83"/>
      <c r="E44" s="83"/>
      <c r="F44" s="83"/>
      <c r="G44" s="83"/>
      <c r="H44" s="83"/>
      <c r="I44" s="25"/>
      <c r="J44" s="83"/>
      <c r="K44" s="83"/>
      <c r="L44" s="83"/>
      <c r="M44" s="83"/>
      <c r="N44" s="83"/>
      <c r="O44" s="83"/>
      <c r="P44" s="83"/>
      <c r="Q44" s="25"/>
      <c r="R44" s="83"/>
      <c r="S44" s="83"/>
      <c r="T44" s="83"/>
      <c r="U44" s="83"/>
      <c r="V44" s="83"/>
      <c r="W44" s="29"/>
      <c r="X44" s="83"/>
      <c r="Y44" s="25"/>
      <c r="Z44" s="83"/>
      <c r="AA44" s="83"/>
      <c r="AB44" s="83"/>
      <c r="AC44" s="83"/>
      <c r="AD44" s="85"/>
      <c r="AE44" s="83"/>
      <c r="AF44" s="83"/>
      <c r="AG44" s="83"/>
      <c r="AH44" s="83"/>
      <c r="AI44" s="83"/>
      <c r="AJ44" s="25"/>
    </row>
    <row r="45" spans="1:36" x14ac:dyDescent="0.25">
      <c r="A45" s="80"/>
      <c r="B45" s="29"/>
      <c r="C45" s="29"/>
      <c r="D45" s="29"/>
      <c r="E45" s="29"/>
      <c r="F45" s="29"/>
      <c r="G45" s="29"/>
      <c r="H45" s="29"/>
      <c r="I45" s="24"/>
      <c r="J45" s="83"/>
      <c r="K45" s="83"/>
      <c r="L45" s="83"/>
      <c r="M45" s="83"/>
      <c r="N45" s="83"/>
      <c r="O45" s="83"/>
      <c r="P45" s="83"/>
      <c r="Q45" s="24"/>
      <c r="R45" s="29"/>
      <c r="S45" s="29"/>
      <c r="T45" s="29"/>
      <c r="U45" s="29"/>
      <c r="V45" s="29"/>
      <c r="W45" s="29"/>
      <c r="X45" s="29"/>
      <c r="Y45" s="24"/>
      <c r="Z45" s="29"/>
      <c r="AA45" s="29"/>
      <c r="AB45" s="29"/>
      <c r="AC45" s="29"/>
      <c r="AD45" s="85"/>
      <c r="AE45" s="83"/>
      <c r="AF45" s="29"/>
      <c r="AG45" s="83"/>
      <c r="AH45" s="29"/>
      <c r="AI45" s="83"/>
      <c r="AJ45" s="24"/>
    </row>
    <row r="46" spans="1:36" x14ac:dyDescent="0.25">
      <c r="A46" s="80"/>
      <c r="B46" s="81"/>
      <c r="C46" s="81"/>
      <c r="D46" s="81"/>
      <c r="E46" s="81"/>
      <c r="F46" s="81"/>
      <c r="G46" s="81"/>
      <c r="H46" s="81"/>
      <c r="I46" s="25"/>
      <c r="J46" s="78"/>
      <c r="K46" s="81"/>
      <c r="L46" s="81"/>
      <c r="M46" s="81"/>
      <c r="N46" s="81"/>
      <c r="O46" s="81"/>
      <c r="P46" s="81"/>
      <c r="Q46" s="25"/>
      <c r="R46" s="81"/>
      <c r="S46" s="81"/>
      <c r="T46" s="81"/>
      <c r="U46" s="81"/>
      <c r="V46" s="81"/>
      <c r="W46" s="81"/>
      <c r="X46" s="81"/>
      <c r="Y46" s="25"/>
      <c r="Z46" s="81"/>
      <c r="AA46" s="81"/>
      <c r="AB46" s="81"/>
      <c r="AC46" s="81"/>
      <c r="AD46" s="82"/>
      <c r="AE46" s="81"/>
      <c r="AF46" s="81"/>
      <c r="AG46" s="81"/>
      <c r="AH46" s="81"/>
      <c r="AI46" s="81"/>
      <c r="AJ46" s="25"/>
    </row>
    <row r="47" spans="1:36" x14ac:dyDescent="0.25">
      <c r="A47" s="80"/>
      <c r="B47" s="81"/>
      <c r="C47" s="81"/>
      <c r="D47" s="81"/>
      <c r="E47" s="81"/>
      <c r="F47" s="81"/>
      <c r="G47" s="81"/>
      <c r="H47" s="81"/>
      <c r="I47" s="25"/>
      <c r="J47" s="81"/>
      <c r="K47" s="78"/>
      <c r="L47" s="78"/>
      <c r="M47" s="78"/>
      <c r="N47" s="81"/>
      <c r="O47" s="81"/>
      <c r="P47" s="81"/>
      <c r="Q47" s="25"/>
      <c r="R47" s="78"/>
      <c r="S47" s="81"/>
      <c r="T47" s="81"/>
      <c r="U47" s="81"/>
      <c r="V47" s="81"/>
      <c r="W47" s="81"/>
      <c r="X47" s="81"/>
      <c r="Y47" s="25"/>
      <c r="Z47" s="81"/>
      <c r="AA47" s="81"/>
      <c r="AB47" s="81"/>
      <c r="AC47" s="81"/>
      <c r="AD47" s="82"/>
      <c r="AE47" s="81"/>
      <c r="AF47" s="81"/>
      <c r="AG47" s="81"/>
      <c r="AH47" s="81"/>
      <c r="AI47" s="81"/>
      <c r="AJ47" s="25"/>
    </row>
    <row r="48" spans="1:36" x14ac:dyDescent="0.25">
      <c r="A48" s="80"/>
      <c r="B48" s="81"/>
      <c r="C48" s="81"/>
      <c r="D48" s="81"/>
      <c r="E48" s="78"/>
      <c r="F48" s="28"/>
      <c r="G48" s="28"/>
      <c r="H48" s="78"/>
      <c r="I48" s="25"/>
      <c r="J48" s="81"/>
      <c r="K48" s="78"/>
      <c r="L48" s="78"/>
      <c r="M48" s="78"/>
      <c r="N48" s="78"/>
      <c r="O48" s="78"/>
      <c r="P48" s="78"/>
      <c r="Q48" s="25"/>
      <c r="R48" s="78"/>
      <c r="S48" s="78"/>
      <c r="T48" s="28"/>
      <c r="U48" s="28"/>
      <c r="V48" s="28"/>
      <c r="W48" s="28"/>
      <c r="X48" s="28"/>
      <c r="Y48" s="25"/>
      <c r="Z48" s="28"/>
      <c r="AA48" s="28"/>
      <c r="AB48" s="28"/>
      <c r="AC48" s="28"/>
      <c r="AD48" s="26"/>
      <c r="AE48" s="78"/>
      <c r="AF48" s="81"/>
      <c r="AG48" s="81"/>
      <c r="AH48" s="81"/>
      <c r="AI48" s="81"/>
      <c r="AJ48" s="25"/>
    </row>
    <row r="49" spans="1:36" x14ac:dyDescent="0.25">
      <c r="A49" s="80"/>
      <c r="B49" s="81"/>
      <c r="C49" s="81"/>
      <c r="D49" s="81"/>
      <c r="E49" s="81"/>
      <c r="F49" s="81"/>
      <c r="G49" s="81"/>
      <c r="H49" s="81"/>
      <c r="I49" s="25"/>
      <c r="J49" s="78"/>
      <c r="K49" s="81"/>
      <c r="L49" s="81"/>
      <c r="M49" s="81"/>
      <c r="N49" s="81"/>
      <c r="O49" s="81"/>
      <c r="P49" s="81"/>
      <c r="Q49" s="25"/>
      <c r="R49" s="81"/>
      <c r="S49" s="81"/>
      <c r="T49" s="81"/>
      <c r="U49" s="81"/>
      <c r="V49" s="81"/>
      <c r="W49" s="81"/>
      <c r="X49" s="81"/>
      <c r="Y49" s="25"/>
      <c r="Z49" s="81"/>
      <c r="AA49" s="81"/>
      <c r="AB49" s="81"/>
      <c r="AC49" s="81"/>
      <c r="AD49" s="82"/>
      <c r="AE49" s="81"/>
      <c r="AF49" s="81"/>
      <c r="AG49" s="81"/>
      <c r="AH49" s="81"/>
      <c r="AI49" s="81"/>
      <c r="AJ49" s="25"/>
    </row>
    <row r="50" spans="1:36" x14ac:dyDescent="0.25">
      <c r="A50" s="80"/>
      <c r="B50" s="81"/>
      <c r="C50" s="81"/>
      <c r="D50" s="78"/>
      <c r="E50" s="81"/>
      <c r="F50" s="81"/>
      <c r="G50" s="81"/>
      <c r="H50" s="81"/>
      <c r="I50" s="25"/>
      <c r="J50" s="78"/>
      <c r="K50" s="81"/>
      <c r="L50" s="81"/>
      <c r="M50" s="81"/>
      <c r="N50" s="81"/>
      <c r="O50" s="81"/>
      <c r="P50" s="81"/>
      <c r="Q50" s="25"/>
      <c r="R50" s="81"/>
      <c r="S50" s="81"/>
      <c r="T50" s="81"/>
      <c r="U50" s="81"/>
      <c r="V50" s="81"/>
      <c r="W50" s="81"/>
      <c r="X50" s="81"/>
      <c r="Y50" s="25"/>
      <c r="Z50" s="81"/>
      <c r="AA50" s="81"/>
      <c r="AB50" s="81"/>
      <c r="AC50" s="81"/>
      <c r="AD50" s="82"/>
      <c r="AE50" s="81"/>
      <c r="AF50" s="81"/>
      <c r="AG50" s="81"/>
      <c r="AH50" s="81"/>
      <c r="AI50" s="81"/>
      <c r="AJ50" s="25"/>
    </row>
    <row r="51" spans="1:36" x14ac:dyDescent="0.25">
      <c r="A51" s="80"/>
      <c r="B51" s="78"/>
      <c r="C51" s="78"/>
      <c r="D51" s="78"/>
      <c r="E51" s="78"/>
      <c r="F51" s="81"/>
      <c r="G51" s="78"/>
      <c r="H51" s="78"/>
      <c r="I51" s="25"/>
      <c r="J51" s="81"/>
      <c r="K51" s="78"/>
      <c r="L51" s="81"/>
      <c r="M51" s="81"/>
      <c r="N51" s="81"/>
      <c r="O51" s="81"/>
      <c r="P51" s="81"/>
      <c r="Q51" s="25"/>
      <c r="R51" s="81"/>
      <c r="S51" s="81"/>
      <c r="T51" s="81"/>
      <c r="U51" s="81"/>
      <c r="V51" s="81"/>
      <c r="W51" s="81"/>
      <c r="X51" s="81"/>
      <c r="Y51" s="25"/>
      <c r="Z51" s="81"/>
      <c r="AA51" s="81"/>
      <c r="AB51" s="81"/>
      <c r="AC51" s="81"/>
      <c r="AD51" s="82"/>
      <c r="AE51" s="81"/>
      <c r="AF51" s="81"/>
      <c r="AG51" s="81"/>
      <c r="AH51" s="81"/>
      <c r="AI51" s="81"/>
      <c r="AJ51" s="25"/>
    </row>
    <row r="52" spans="1:36" x14ac:dyDescent="0.25">
      <c r="A52" s="80"/>
      <c r="B52" s="81"/>
      <c r="C52" s="81"/>
      <c r="D52" s="81"/>
      <c r="E52" s="81"/>
      <c r="F52" s="81"/>
      <c r="G52" s="81"/>
      <c r="H52" s="81"/>
      <c r="I52" s="25"/>
      <c r="J52" s="78"/>
      <c r="K52" s="81"/>
      <c r="L52" s="81"/>
      <c r="M52" s="81"/>
      <c r="N52" s="81"/>
      <c r="O52" s="81"/>
      <c r="P52" s="81"/>
      <c r="Q52" s="25"/>
      <c r="R52" s="81"/>
      <c r="S52" s="81"/>
      <c r="T52" s="81"/>
      <c r="U52" s="81"/>
      <c r="V52" s="81"/>
      <c r="W52" s="81"/>
      <c r="X52" s="81"/>
      <c r="Y52" s="25"/>
      <c r="Z52" s="81"/>
      <c r="AA52" s="81"/>
      <c r="AB52" s="81"/>
      <c r="AC52" s="81"/>
      <c r="AD52" s="82"/>
      <c r="AE52" s="81"/>
      <c r="AF52" s="81"/>
      <c r="AG52" s="81"/>
      <c r="AH52" s="81"/>
      <c r="AI52" s="81"/>
      <c r="AJ52" s="25"/>
    </row>
    <row r="53" spans="1:36" x14ac:dyDescent="0.25">
      <c r="A53" s="80"/>
      <c r="B53" s="81"/>
      <c r="C53" s="81"/>
      <c r="D53" s="81"/>
      <c r="E53" s="81"/>
      <c r="F53" s="81"/>
      <c r="G53" s="81"/>
      <c r="H53" s="81"/>
      <c r="I53" s="25"/>
      <c r="J53" s="78"/>
      <c r="K53" s="81"/>
      <c r="L53" s="81"/>
      <c r="M53" s="81"/>
      <c r="N53" s="81"/>
      <c r="O53" s="81"/>
      <c r="P53" s="81"/>
      <c r="Q53" s="25"/>
      <c r="R53" s="81"/>
      <c r="S53" s="81"/>
      <c r="T53" s="81"/>
      <c r="U53" s="81"/>
      <c r="V53" s="81"/>
      <c r="W53" s="81"/>
      <c r="X53" s="81"/>
      <c r="Y53" s="25"/>
      <c r="Z53" s="81"/>
      <c r="AA53" s="81"/>
      <c r="AB53" s="81"/>
      <c r="AC53" s="81"/>
      <c r="AD53" s="82"/>
      <c r="AE53" s="81"/>
      <c r="AF53" s="81"/>
      <c r="AG53" s="81"/>
      <c r="AH53" s="81"/>
      <c r="AI53" s="81"/>
      <c r="AJ53" s="25"/>
    </row>
    <row r="54" spans="1:36" x14ac:dyDescent="0.25">
      <c r="A54" s="80"/>
      <c r="B54" s="81"/>
      <c r="C54" s="81"/>
      <c r="D54" s="81"/>
      <c r="E54" s="81"/>
      <c r="F54" s="81"/>
      <c r="G54" s="81"/>
      <c r="H54" s="78"/>
      <c r="I54" s="25"/>
      <c r="J54" s="78"/>
      <c r="K54" s="78"/>
      <c r="L54" s="81"/>
      <c r="M54" s="81"/>
      <c r="N54" s="81"/>
      <c r="O54" s="81"/>
      <c r="P54" s="81"/>
      <c r="Q54" s="25"/>
      <c r="R54" s="81"/>
      <c r="S54" s="81"/>
      <c r="T54" s="81"/>
      <c r="U54" s="81"/>
      <c r="V54" s="81"/>
      <c r="W54" s="81"/>
      <c r="X54" s="81"/>
      <c r="Y54" s="25"/>
      <c r="Z54" s="81"/>
      <c r="AA54" s="81"/>
      <c r="AB54" s="81"/>
      <c r="AC54" s="81"/>
      <c r="AD54" s="82"/>
      <c r="AE54" s="81"/>
      <c r="AF54" s="81"/>
      <c r="AG54" s="81"/>
      <c r="AH54" s="81"/>
      <c r="AI54" s="81"/>
      <c r="AJ54" s="25"/>
    </row>
    <row r="55" spans="1:36" x14ac:dyDescent="0.25">
      <c r="A55" s="80"/>
      <c r="B55" s="81"/>
      <c r="C55" s="81"/>
      <c r="D55" s="81"/>
      <c r="E55" s="81"/>
      <c r="F55" s="81"/>
      <c r="G55" s="81"/>
      <c r="H55" s="81"/>
      <c r="I55" s="25"/>
      <c r="J55" s="78"/>
      <c r="K55" s="81"/>
      <c r="L55" s="81"/>
      <c r="M55" s="81"/>
      <c r="N55" s="81"/>
      <c r="O55" s="81"/>
      <c r="P55" s="81"/>
      <c r="Q55" s="25"/>
      <c r="R55" s="81"/>
      <c r="S55" s="81"/>
      <c r="T55" s="81"/>
      <c r="U55" s="81"/>
      <c r="V55" s="81"/>
      <c r="W55" s="81"/>
      <c r="X55" s="81"/>
      <c r="Y55" s="25"/>
      <c r="Z55" s="81"/>
      <c r="AA55" s="81"/>
      <c r="AB55" s="81"/>
      <c r="AC55" s="81"/>
      <c r="AD55" s="82"/>
      <c r="AE55" s="81"/>
      <c r="AF55" s="81"/>
      <c r="AG55" s="81"/>
      <c r="AH55" s="81"/>
      <c r="AI55" s="81"/>
      <c r="AJ55" s="25"/>
    </row>
    <row r="56" spans="1:36" x14ac:dyDescent="0.25">
      <c r="A56" s="80"/>
      <c r="B56" s="81"/>
      <c r="C56" s="81"/>
      <c r="D56" s="81"/>
      <c r="E56" s="81"/>
      <c r="F56" s="81"/>
      <c r="G56" s="81"/>
      <c r="H56" s="81"/>
      <c r="I56" s="25"/>
      <c r="J56" s="81"/>
      <c r="K56" s="81"/>
      <c r="L56" s="81"/>
      <c r="M56" s="81"/>
      <c r="N56" s="81"/>
      <c r="O56" s="81"/>
      <c r="P56" s="81"/>
      <c r="Q56" s="25"/>
      <c r="R56" s="81"/>
      <c r="S56" s="81"/>
      <c r="T56" s="81"/>
      <c r="U56" s="81"/>
      <c r="V56" s="81"/>
      <c r="W56" s="81"/>
      <c r="X56" s="81"/>
      <c r="Y56" s="25"/>
      <c r="Z56" s="81"/>
      <c r="AA56" s="81"/>
      <c r="AB56" s="81"/>
      <c r="AC56" s="81"/>
      <c r="AD56" s="82"/>
      <c r="AE56" s="81"/>
      <c r="AF56" s="81"/>
      <c r="AG56" s="81"/>
      <c r="AH56" s="81"/>
      <c r="AI56" s="81"/>
      <c r="AJ56" s="25"/>
    </row>
    <row r="57" spans="1:36" x14ac:dyDescent="0.25">
      <c r="A57" s="80"/>
      <c r="B57" s="81"/>
      <c r="C57" s="81"/>
      <c r="D57" s="81"/>
      <c r="E57" s="81"/>
      <c r="F57" s="81"/>
      <c r="G57" s="81"/>
      <c r="H57" s="81"/>
      <c r="I57" s="25"/>
      <c r="J57" s="81"/>
      <c r="K57" s="81"/>
      <c r="L57" s="81"/>
      <c r="M57" s="81"/>
      <c r="N57" s="81"/>
      <c r="O57" s="81"/>
      <c r="P57" s="81"/>
      <c r="Q57" s="25"/>
      <c r="R57" s="81"/>
      <c r="S57" s="81"/>
      <c r="T57" s="81"/>
      <c r="U57" s="81"/>
      <c r="V57" s="81"/>
      <c r="W57" s="81"/>
      <c r="X57" s="81"/>
      <c r="Y57" s="25"/>
      <c r="Z57" s="81"/>
      <c r="AA57" s="81"/>
      <c r="AB57" s="81"/>
      <c r="AC57" s="81"/>
      <c r="AD57" s="82"/>
      <c r="AE57" s="81"/>
      <c r="AF57" s="81"/>
      <c r="AG57" s="81"/>
      <c r="AH57" s="81"/>
      <c r="AI57" s="81"/>
      <c r="AJ57" s="25"/>
    </row>
    <row r="58" spans="1:36" x14ac:dyDescent="0.25">
      <c r="A58" s="80"/>
      <c r="B58" s="81"/>
      <c r="C58" s="81"/>
      <c r="D58" s="81"/>
      <c r="E58" s="81"/>
      <c r="F58" s="81"/>
      <c r="G58" s="81"/>
      <c r="H58" s="81"/>
      <c r="I58" s="25"/>
      <c r="J58" s="78"/>
      <c r="K58" s="81"/>
      <c r="L58" s="81"/>
      <c r="M58" s="81"/>
      <c r="N58" s="81"/>
      <c r="O58" s="81"/>
      <c r="P58" s="81"/>
      <c r="Q58" s="25"/>
      <c r="R58" s="81"/>
      <c r="S58" s="81"/>
      <c r="T58" s="81"/>
      <c r="U58" s="81"/>
      <c r="V58" s="81"/>
      <c r="W58" s="81"/>
      <c r="X58" s="81"/>
      <c r="Y58" s="25"/>
      <c r="Z58" s="81"/>
      <c r="AA58" s="81"/>
      <c r="AB58" s="81"/>
      <c r="AC58" s="81"/>
      <c r="AD58" s="82"/>
      <c r="AE58" s="81"/>
      <c r="AF58" s="81"/>
      <c r="AG58" s="81"/>
      <c r="AH58" s="81"/>
      <c r="AI58" s="81"/>
      <c r="AJ58" s="25"/>
    </row>
    <row r="59" spans="1:36" x14ac:dyDescent="0.25">
      <c r="A59" s="80"/>
      <c r="B59" s="81"/>
      <c r="C59" s="81"/>
      <c r="D59" s="81"/>
      <c r="E59" s="81"/>
      <c r="F59" s="81"/>
      <c r="G59" s="81"/>
      <c r="H59" s="81"/>
      <c r="I59" s="25"/>
      <c r="J59" s="78"/>
      <c r="K59" s="81"/>
      <c r="L59" s="81"/>
      <c r="M59" s="81"/>
      <c r="N59" s="81"/>
      <c r="O59" s="81"/>
      <c r="P59" s="81"/>
      <c r="Q59" s="25"/>
      <c r="R59" s="81"/>
      <c r="S59" s="81"/>
      <c r="T59" s="81"/>
      <c r="U59" s="81"/>
      <c r="V59" s="81"/>
      <c r="W59" s="81"/>
      <c r="X59" s="81"/>
      <c r="Y59" s="25"/>
      <c r="Z59" s="81"/>
      <c r="AA59" s="81"/>
      <c r="AB59" s="81"/>
      <c r="AC59" s="81"/>
      <c r="AD59" s="82"/>
      <c r="AE59" s="81"/>
      <c r="AF59" s="81"/>
      <c r="AG59" s="81"/>
      <c r="AH59" s="81"/>
      <c r="AI59" s="81"/>
      <c r="AJ59" s="25"/>
    </row>
    <row r="60" spans="1:36" x14ac:dyDescent="0.25">
      <c r="A60" s="80"/>
      <c r="B60" s="81"/>
      <c r="C60" s="81"/>
      <c r="D60" s="81"/>
      <c r="E60" s="81"/>
      <c r="F60" s="81"/>
      <c r="G60" s="81"/>
      <c r="H60" s="81"/>
      <c r="I60" s="25"/>
      <c r="J60" s="78"/>
      <c r="K60" s="81"/>
      <c r="L60" s="81"/>
      <c r="M60" s="81"/>
      <c r="N60" s="81"/>
      <c r="O60" s="81"/>
      <c r="P60" s="81"/>
      <c r="Q60" s="25"/>
      <c r="R60" s="81"/>
      <c r="S60" s="81"/>
      <c r="T60" s="81"/>
      <c r="U60" s="81"/>
      <c r="V60" s="81"/>
      <c r="W60" s="81"/>
      <c r="X60" s="81"/>
      <c r="Y60" s="25"/>
      <c r="Z60" s="81"/>
      <c r="AA60" s="81"/>
      <c r="AB60" s="81"/>
      <c r="AC60" s="81"/>
      <c r="AD60" s="82"/>
      <c r="AE60" s="81"/>
      <c r="AF60" s="81"/>
      <c r="AG60" s="81"/>
      <c r="AH60" s="81"/>
      <c r="AI60" s="81"/>
      <c r="AJ60" s="25"/>
    </row>
    <row r="61" spans="1:36" x14ac:dyDescent="0.25">
      <c r="A61" s="80"/>
      <c r="B61" s="81"/>
      <c r="C61" s="81"/>
      <c r="D61" s="81"/>
      <c r="E61" s="81"/>
      <c r="F61" s="81"/>
      <c r="G61" s="81"/>
      <c r="H61" s="81"/>
      <c r="I61" s="25"/>
      <c r="J61" s="78"/>
      <c r="K61" s="81"/>
      <c r="L61" s="81"/>
      <c r="M61" s="81"/>
      <c r="N61" s="81"/>
      <c r="O61" s="81"/>
      <c r="P61" s="81"/>
      <c r="Q61" s="25"/>
      <c r="R61" s="81"/>
      <c r="S61" s="81"/>
      <c r="T61" s="81"/>
      <c r="U61" s="81"/>
      <c r="V61" s="81"/>
      <c r="W61" s="81"/>
      <c r="X61" s="81"/>
      <c r="Y61" s="25"/>
      <c r="Z61" s="81"/>
      <c r="AA61" s="81"/>
      <c r="AB61" s="81"/>
      <c r="AC61" s="81"/>
      <c r="AD61" s="82"/>
      <c r="AE61" s="81"/>
      <c r="AF61" s="81"/>
      <c r="AG61" s="81"/>
      <c r="AH61" s="81"/>
      <c r="AI61" s="81"/>
      <c r="AJ61" s="25"/>
    </row>
    <row r="62" spans="1:36" x14ac:dyDescent="0.25">
      <c r="A62" s="80"/>
      <c r="B62" s="81"/>
      <c r="C62" s="81"/>
      <c r="D62" s="81"/>
      <c r="E62" s="81"/>
      <c r="F62" s="81"/>
      <c r="G62" s="81"/>
      <c r="H62" s="81"/>
      <c r="I62" s="25"/>
      <c r="J62" s="78"/>
      <c r="K62" s="78"/>
      <c r="L62" s="81"/>
      <c r="M62" s="81"/>
      <c r="N62" s="81"/>
      <c r="O62" s="81"/>
      <c r="P62" s="81"/>
      <c r="Q62" s="25"/>
      <c r="R62" s="81"/>
      <c r="S62" s="81"/>
      <c r="T62" s="81"/>
      <c r="U62" s="81"/>
      <c r="V62" s="81"/>
      <c r="W62" s="81"/>
      <c r="X62" s="81"/>
      <c r="Y62" s="25"/>
      <c r="Z62" s="81"/>
      <c r="AA62" s="81"/>
      <c r="AB62" s="81"/>
      <c r="AC62" s="81"/>
      <c r="AD62" s="82"/>
      <c r="AE62" s="80"/>
      <c r="AF62" s="81"/>
      <c r="AG62" s="81"/>
      <c r="AH62" s="81"/>
      <c r="AI62" s="81"/>
      <c r="AJ62" s="25"/>
    </row>
    <row r="63" spans="1:36" x14ac:dyDescent="0.25">
      <c r="A63" s="80"/>
      <c r="B63" s="81"/>
      <c r="C63" s="81"/>
      <c r="D63" s="81"/>
      <c r="E63" s="81"/>
      <c r="F63" s="81"/>
      <c r="G63" s="81"/>
      <c r="H63" s="81"/>
      <c r="I63" s="25"/>
      <c r="J63" s="78"/>
      <c r="K63" s="81"/>
      <c r="L63" s="81"/>
      <c r="M63" s="81"/>
      <c r="N63" s="81"/>
      <c r="O63" s="81"/>
      <c r="P63" s="81"/>
      <c r="Q63" s="25"/>
      <c r="R63" s="81"/>
      <c r="S63" s="81"/>
      <c r="T63" s="81"/>
      <c r="U63" s="81"/>
      <c r="V63" s="81"/>
      <c r="W63" s="81"/>
      <c r="X63" s="81"/>
      <c r="Y63" s="25"/>
      <c r="Z63" s="81"/>
      <c r="AA63" s="81"/>
      <c r="AB63" s="81"/>
      <c r="AC63" s="81"/>
      <c r="AD63" s="82"/>
      <c r="AE63" s="81"/>
      <c r="AF63" s="81"/>
      <c r="AG63" s="81"/>
      <c r="AH63" s="81"/>
      <c r="AI63" s="81"/>
      <c r="AJ63" s="25"/>
    </row>
    <row r="64" spans="1:36" x14ac:dyDescent="0.25">
      <c r="A64" s="80"/>
      <c r="B64" s="81"/>
      <c r="C64" s="81"/>
      <c r="D64" s="81"/>
      <c r="E64" s="81"/>
      <c r="F64" s="81"/>
      <c r="G64" s="81"/>
      <c r="H64" s="81"/>
      <c r="I64" s="25"/>
      <c r="J64" s="81"/>
      <c r="K64" s="81"/>
      <c r="L64" s="81"/>
      <c r="M64" s="81"/>
      <c r="N64" s="81"/>
      <c r="O64" s="81"/>
      <c r="P64" s="81"/>
      <c r="Q64" s="25"/>
      <c r="R64" s="81"/>
      <c r="S64" s="81"/>
      <c r="T64" s="81"/>
      <c r="U64" s="81"/>
      <c r="V64" s="81"/>
      <c r="W64" s="81"/>
      <c r="X64" s="81"/>
      <c r="Y64" s="25"/>
      <c r="Z64" s="81"/>
      <c r="AA64" s="81"/>
      <c r="AB64" s="81"/>
      <c r="AC64" s="81"/>
      <c r="AD64" s="82"/>
      <c r="AE64" s="81"/>
      <c r="AF64" s="81"/>
      <c r="AG64" s="81"/>
      <c r="AH64" s="81"/>
      <c r="AI64" s="81"/>
      <c r="AJ64" s="25"/>
    </row>
    <row r="65" spans="1:36" x14ac:dyDescent="0.25">
      <c r="A65" s="80"/>
      <c r="B65" s="81"/>
      <c r="C65" s="81"/>
      <c r="D65" s="81"/>
      <c r="E65" s="81"/>
      <c r="F65" s="81"/>
      <c r="G65" s="81"/>
      <c r="H65" s="81"/>
      <c r="I65" s="25"/>
      <c r="J65" s="81"/>
      <c r="K65" s="81"/>
      <c r="L65" s="81"/>
      <c r="M65" s="81"/>
      <c r="N65" s="81"/>
      <c r="O65" s="81"/>
      <c r="P65" s="81"/>
      <c r="Q65" s="25"/>
      <c r="R65" s="81"/>
      <c r="S65" s="81"/>
      <c r="T65" s="81"/>
      <c r="U65" s="81"/>
      <c r="V65" s="81"/>
      <c r="W65" s="81"/>
      <c r="X65" s="81"/>
      <c r="Y65" s="25"/>
      <c r="Z65" s="81"/>
      <c r="AA65" s="81"/>
      <c r="AB65" s="81"/>
      <c r="AC65" s="81"/>
      <c r="AD65" s="82"/>
      <c r="AE65" s="81"/>
      <c r="AF65" s="81"/>
      <c r="AG65" s="81"/>
      <c r="AH65" s="81"/>
      <c r="AI65" s="81"/>
      <c r="AJ65" s="25"/>
    </row>
    <row r="66" spans="1:36" x14ac:dyDescent="0.25">
      <c r="A66" s="80"/>
      <c r="B66" s="29"/>
      <c r="C66" s="29"/>
      <c r="D66" s="29"/>
      <c r="E66" s="29"/>
      <c r="F66" s="29"/>
      <c r="G66" s="29"/>
      <c r="H66" s="29"/>
      <c r="I66" s="24"/>
      <c r="J66" s="29"/>
      <c r="K66" s="83"/>
      <c r="L66" s="83"/>
      <c r="M66" s="83"/>
      <c r="N66" s="83"/>
      <c r="O66" s="83"/>
      <c r="P66" s="83"/>
      <c r="Q66" s="24"/>
      <c r="R66" s="29"/>
      <c r="S66" s="29"/>
      <c r="T66" s="29"/>
      <c r="U66" s="29"/>
      <c r="V66" s="29"/>
      <c r="W66" s="29"/>
      <c r="X66" s="29"/>
      <c r="Y66" s="24"/>
      <c r="Z66" s="29"/>
      <c r="AA66" s="29"/>
      <c r="AB66" s="29"/>
      <c r="AC66" s="29"/>
      <c r="AD66" s="17"/>
      <c r="AE66" s="29"/>
      <c r="AF66" s="29"/>
      <c r="AG66" s="29"/>
      <c r="AH66" s="29"/>
      <c r="AI66" s="29"/>
      <c r="AJ66" s="24"/>
    </row>
    <row r="67" spans="1:36" x14ac:dyDescent="0.25">
      <c r="A67" s="79"/>
      <c r="B67" s="87"/>
      <c r="C67" s="87"/>
      <c r="D67" s="88"/>
      <c r="E67" s="88"/>
      <c r="F67" s="88"/>
      <c r="G67" s="88"/>
      <c r="H67" s="88"/>
      <c r="I67" s="76"/>
      <c r="J67" s="88"/>
      <c r="K67" s="88"/>
      <c r="L67" s="88"/>
      <c r="M67" s="88"/>
      <c r="N67" s="88"/>
      <c r="O67" s="88"/>
      <c r="P67" s="88"/>
      <c r="Q67" s="76"/>
      <c r="R67" s="31"/>
      <c r="S67" s="31"/>
      <c r="T67" s="31"/>
      <c r="U67" s="31"/>
      <c r="V67" s="31"/>
      <c r="W67" s="31"/>
      <c r="X67" s="31"/>
      <c r="Y67" s="76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76"/>
    </row>
    <row r="68" spans="1:36" x14ac:dyDescent="0.25">
      <c r="A68" s="23"/>
      <c r="B68" s="80"/>
      <c r="C68" s="24"/>
      <c r="D68" s="24"/>
      <c r="E68" s="24"/>
      <c r="F68" s="89"/>
      <c r="G68" s="24"/>
      <c r="H68" s="24"/>
      <c r="I68" s="90"/>
      <c r="J68" s="81"/>
      <c r="K68" s="81"/>
      <c r="L68" s="81"/>
      <c r="M68" s="81"/>
      <c r="N68" s="81"/>
      <c r="O68" s="81"/>
      <c r="P68" s="81"/>
      <c r="Q68" s="32"/>
      <c r="R68" s="80"/>
      <c r="S68" s="80"/>
      <c r="T68" s="80"/>
      <c r="U68" s="91"/>
      <c r="V68" s="80"/>
      <c r="W68" s="80"/>
      <c r="X68" s="80"/>
      <c r="Y68" s="19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19"/>
    </row>
    <row r="78" spans="1:36" x14ac:dyDescent="0.25">
      <c r="M78" s="13"/>
    </row>
  </sheetData>
  <pageMargins left="0.7" right="0.7" top="0.75" bottom="0.75" header="0.3" footer="0.3"/>
  <pageSetup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Charts</vt:lpstr>
      </vt:variant>
      <vt:variant>
        <vt:i4>1</vt:i4>
      </vt:variant>
    </vt:vector>
  </HeadingPairs>
  <TitlesOfParts>
    <vt:vector size="40" baseType="lpstr">
      <vt:lpstr>JANUARI 2026</vt:lpstr>
      <vt:lpstr>FEBUARI 2026</vt:lpstr>
      <vt:lpstr>MARET 2026</vt:lpstr>
      <vt:lpstr>APRIL 2026</vt:lpstr>
      <vt:lpstr>MEI 2026</vt:lpstr>
      <vt:lpstr>JUNI 2026</vt:lpstr>
      <vt:lpstr>JULI 2026</vt:lpstr>
      <vt:lpstr>AGUSTUS 2026</vt:lpstr>
      <vt:lpstr>SEPTEMBER 2026</vt:lpstr>
      <vt:lpstr>OKTOBER 2026</vt:lpstr>
      <vt:lpstr>NOPEMBER 2026</vt:lpstr>
      <vt:lpstr>DESEMBER 2026</vt:lpstr>
      <vt:lpstr>12</vt:lpstr>
      <vt:lpstr>13</vt:lpstr>
      <vt:lpstr>14 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Rekap minggu 4</vt:lpstr>
      <vt:lpstr>Total Januari 2024</vt:lpstr>
      <vt:lpstr>Rekap khusus HT</vt:lpstr>
      <vt:lpstr>Rekap khusus RTGC</vt:lpstr>
      <vt:lpstr>Sheet1</vt:lpstr>
      <vt:lpstr>Chart1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bbm</dc:creator>
  <cp:lastModifiedBy>BBM</cp:lastModifiedBy>
  <dcterms:created xsi:type="dcterms:W3CDTF">2023-07-04T03:17:32Z</dcterms:created>
  <dcterms:modified xsi:type="dcterms:W3CDTF">2026-07-20T08:59:52Z</dcterms:modified>
</cp:coreProperties>
</file>